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bocconi.sharepoint.com/sites/Geopolitics-DataGroup1/Documenti condivisi/General/Final Dataset - CGPR/"/>
    </mc:Choice>
  </mc:AlternateContent>
  <xr:revisionPtr revIDLastSave="492" documentId="13_ncr:1_{265C54AE-AA66-4A4A-B31A-5CCC79B2EC4F}" xr6:coauthVersionLast="47" xr6:coauthVersionMax="47" xr10:uidLastSave="{EF67D32C-8805-4E4E-ACC7-2673CAE132BD}"/>
  <bookViews>
    <workbookView xWindow="0" yWindow="0" windowWidth="28800" windowHeight="18000" firstSheet="1" activeTab="8" xr2:uid="{266D4EF2-EDBA-FA44-A696-554C257F20B6}"/>
  </bookViews>
  <sheets>
    <sheet name="Introduction" sheetId="1" r:id="rId1"/>
    <sheet name="Final Template - 2024" sheetId="3" r:id="rId2"/>
    <sheet name="Correlation Matrix - 2024" sheetId="11" r:id="rId3"/>
    <sheet name="HQ Country Risk" sheetId="4" r:id="rId4"/>
    <sheet name="Revenue Exposure" sheetId="5" r:id="rId5"/>
    <sheet name="Supply Chain Exposure" sheetId="6" r:id="rId6"/>
    <sheet name="Facility Sites Location Risk" sheetId="7" r:id="rId7"/>
    <sheet name="Financial Exposure" sheetId="10" r:id="rId8"/>
    <sheet name="Sector Risk Multiplier" sheetId="8" r:id="rId9"/>
    <sheet name="Volatility Risk Multiplier" sheetId="9" r:id="rId10"/>
  </sheets>
  <externalReferences>
    <externalReference r:id="rId11"/>
    <externalReference r:id="rId12"/>
    <externalReference r:id="rId13"/>
    <externalReference r:id="rId14"/>
    <externalReference r:id="rId1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0" l="1"/>
  <c r="K1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" i="1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K7" i="11" a="1"/>
  <c r="K7" i="11" s="1"/>
  <c r="J7" i="11" a="1"/>
  <c r="J7" i="11" s="1"/>
  <c r="L7" i="11" a="1"/>
  <c r="L7" i="11" s="1"/>
  <c r="M7" i="11" a="1"/>
  <c r="M7" i="11" s="1"/>
  <c r="N7" i="11" a="1"/>
  <c r="N7" i="11" s="1"/>
  <c r="N6" i="11" a="1"/>
  <c r="N6" i="11" s="1"/>
  <c r="K6" i="11" a="1"/>
  <c r="K6" i="11" s="1"/>
  <c r="L6" i="11" a="1"/>
  <c r="L6" i="11" s="1"/>
  <c r="M6" i="11" a="1"/>
  <c r="M6" i="11" s="1"/>
  <c r="J6" i="11" a="1"/>
  <c r="J6" i="11" s="1"/>
  <c r="J15" i="11" s="1" a="1"/>
  <c r="J15" i="11" s="1"/>
  <c r="K5" i="11" a="1"/>
  <c r="K5" i="11" s="1"/>
  <c r="L5" i="11" a="1"/>
  <c r="L5" i="11" s="1"/>
  <c r="M5" i="11" a="1"/>
  <c r="M5" i="11" s="1"/>
  <c r="N5" i="11" a="1"/>
  <c r="N5" i="11" s="1"/>
  <c r="J5" i="11" a="1"/>
  <c r="J5" i="11" s="1"/>
  <c r="J14" i="11" s="1" a="1"/>
  <c r="J14" i="11" s="1"/>
  <c r="K14" i="11" s="1"/>
  <c r="J4" i="11" a="1"/>
  <c r="J4" i="11" s="1"/>
  <c r="K4" i="11" a="1"/>
  <c r="K4" i="11" s="1"/>
  <c r="L4" i="11" a="1"/>
  <c r="L4" i="11" s="1"/>
  <c r="M4" i="11" a="1"/>
  <c r="M4" i="11" s="1"/>
  <c r="N4" i="11" a="1"/>
  <c r="N4" i="11" s="1"/>
  <c r="K3" i="11" a="1"/>
  <c r="K3" i="11" s="1"/>
  <c r="L3" i="11" a="1"/>
  <c r="L3" i="11" s="1"/>
  <c r="M3" i="11" a="1"/>
  <c r="M3" i="11" s="1"/>
  <c r="N3" i="11" a="1"/>
  <c r="N3" i="11" s="1"/>
  <c r="J3" i="11" a="1"/>
  <c r="J3" i="11" s="1"/>
  <c r="J12" i="11" s="1" a="1"/>
  <c r="J12" i="11" s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C26" i="10"/>
  <c r="F27" i="3" s="1"/>
  <c r="C25" i="10"/>
  <c r="F26" i="3" s="1"/>
  <c r="C24" i="10"/>
  <c r="F25" i="3" s="1"/>
  <c r="C23" i="10"/>
  <c r="F24" i="3" s="1"/>
  <c r="C22" i="10"/>
  <c r="F23" i="3" s="1"/>
  <c r="C21" i="10"/>
  <c r="F22" i="3" s="1"/>
  <c r="C20" i="10"/>
  <c r="F21" i="3" s="1"/>
  <c r="C19" i="10"/>
  <c r="F20" i="3" s="1"/>
  <c r="C18" i="10"/>
  <c r="F19" i="3" s="1"/>
  <c r="C17" i="10"/>
  <c r="F18" i="3" s="1"/>
  <c r="C16" i="10"/>
  <c r="F17" i="3" s="1"/>
  <c r="C15" i="10"/>
  <c r="F16" i="3" s="1"/>
  <c r="C14" i="10"/>
  <c r="F15" i="3" s="1"/>
  <c r="C13" i="10"/>
  <c r="F14" i="3" s="1"/>
  <c r="C12" i="10"/>
  <c r="F13" i="3" s="1"/>
  <c r="C11" i="10"/>
  <c r="F12" i="3" s="1"/>
  <c r="C10" i="10"/>
  <c r="F11" i="3" s="1"/>
  <c r="C9" i="10"/>
  <c r="F10" i="3" s="1"/>
  <c r="C8" i="10"/>
  <c r="F9" i="3" s="1"/>
  <c r="C7" i="10"/>
  <c r="F8" i="3" s="1"/>
  <c r="C6" i="10"/>
  <c r="F7" i="3" s="1"/>
  <c r="C5" i="10"/>
  <c r="F6" i="3" s="1"/>
  <c r="C4" i="10"/>
  <c r="F5" i="3" s="1"/>
  <c r="C3" i="10"/>
  <c r="F4" i="3" s="1"/>
  <c r="F3" i="3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" i="6"/>
  <c r="B8" i="7"/>
  <c r="E9" i="3" s="1"/>
  <c r="I9" i="3" s="1"/>
  <c r="B7" i="7"/>
  <c r="E8" i="3" s="1"/>
  <c r="I8" i="3" s="1"/>
  <c r="B6" i="7"/>
  <c r="E7" i="3" s="1"/>
  <c r="I7" i="3" s="1"/>
  <c r="B5" i="7"/>
  <c r="E6" i="3" s="1"/>
  <c r="I6" i="3" s="1"/>
  <c r="B10" i="7"/>
  <c r="E11" i="3" s="1"/>
  <c r="I11" i="3" s="1"/>
  <c r="B26" i="7"/>
  <c r="E27" i="3" s="1"/>
  <c r="I27" i="3" s="1"/>
  <c r="B25" i="7"/>
  <c r="E26" i="3" s="1"/>
  <c r="I26" i="3" s="1"/>
  <c r="B24" i="7"/>
  <c r="E25" i="3" s="1"/>
  <c r="I25" i="3" s="1"/>
  <c r="B23" i="7"/>
  <c r="E24" i="3" s="1"/>
  <c r="I24" i="3" s="1"/>
  <c r="B22" i="7"/>
  <c r="E23" i="3" s="1"/>
  <c r="I23" i="3" s="1"/>
  <c r="B21" i="7"/>
  <c r="E22" i="3" s="1"/>
  <c r="I22" i="3" s="1"/>
  <c r="B20" i="7"/>
  <c r="E21" i="3" s="1"/>
  <c r="I21" i="3" s="1"/>
  <c r="B18" i="7"/>
  <c r="E19" i="3" s="1"/>
  <c r="I19" i="3" s="1"/>
  <c r="B15" i="7"/>
  <c r="E16" i="3" s="1"/>
  <c r="I16" i="3" s="1"/>
  <c r="B12" i="7"/>
  <c r="E13" i="3" s="1"/>
  <c r="I13" i="3" s="1"/>
  <c r="B11" i="7"/>
  <c r="E12" i="3" s="1"/>
  <c r="I12" i="3" s="1"/>
  <c r="B2" i="7"/>
  <c r="E3" i="3" s="1"/>
  <c r="B16" i="7"/>
  <c r="E17" i="3" s="1"/>
  <c r="I17" i="3" s="1"/>
  <c r="B3" i="7"/>
  <c r="E4" i="3" s="1"/>
  <c r="I4" i="3" s="1"/>
  <c r="B19" i="7"/>
  <c r="E20" i="3" s="1"/>
  <c r="I20" i="3" s="1"/>
  <c r="B17" i="7"/>
  <c r="E18" i="3" s="1"/>
  <c r="I18" i="3" s="1"/>
  <c r="B9" i="7"/>
  <c r="E10" i="3" s="1"/>
  <c r="I10" i="3" s="1"/>
  <c r="B14" i="7"/>
  <c r="E15" i="3" s="1"/>
  <c r="I15" i="3" s="1"/>
  <c r="B13" i="7"/>
  <c r="E14" i="3" s="1"/>
  <c r="I14" i="3" s="1"/>
  <c r="B4" i="7"/>
  <c r="E5" i="3" s="1"/>
  <c r="I5" i="3" s="1"/>
  <c r="C8" i="4"/>
  <c r="D8" i="4" s="1"/>
  <c r="C7" i="4"/>
  <c r="D7" i="4" s="1"/>
  <c r="C6" i="4"/>
  <c r="D6" i="4" s="1"/>
  <c r="C5" i="4"/>
  <c r="D5" i="4" s="1"/>
  <c r="C10" i="4"/>
  <c r="D10" i="4" s="1"/>
  <c r="C26" i="4"/>
  <c r="D26" i="4" s="1"/>
  <c r="D25" i="4"/>
  <c r="C24" i="4"/>
  <c r="D24" i="4" s="1"/>
  <c r="C23" i="4"/>
  <c r="D23" i="4" s="1"/>
  <c r="C22" i="4"/>
  <c r="D22" i="4" s="1"/>
  <c r="C21" i="4"/>
  <c r="D21" i="4" s="1"/>
  <c r="C20" i="4"/>
  <c r="D20" i="4" s="1"/>
  <c r="C18" i="4"/>
  <c r="D18" i="4" s="1"/>
  <c r="C15" i="4"/>
  <c r="D15" i="4" s="1"/>
  <c r="C12" i="4"/>
  <c r="D12" i="4" s="1"/>
  <c r="C11" i="4"/>
  <c r="D11" i="4" s="1"/>
  <c r="C2" i="4"/>
  <c r="D2" i="4" s="1"/>
  <c r="C16" i="4"/>
  <c r="D16" i="4" s="1"/>
  <c r="C3" i="4"/>
  <c r="D3" i="4" s="1"/>
  <c r="C19" i="4"/>
  <c r="D19" i="4" s="1"/>
  <c r="C17" i="4"/>
  <c r="D17" i="4" s="1"/>
  <c r="C9" i="4"/>
  <c r="D9" i="4" s="1"/>
  <c r="C14" i="4"/>
  <c r="D14" i="4" s="1"/>
  <c r="C13" i="4"/>
  <c r="D13" i="4" s="1"/>
  <c r="C4" i="4"/>
  <c r="D4" i="4" s="1"/>
  <c r="F11" i="8"/>
  <c r="F10" i="8"/>
  <c r="F9" i="8"/>
  <c r="F8" i="8"/>
  <c r="F13" i="8"/>
  <c r="F29" i="8"/>
  <c r="F28" i="8"/>
  <c r="F27" i="8"/>
  <c r="F26" i="8"/>
  <c r="F25" i="8"/>
  <c r="F24" i="8"/>
  <c r="F23" i="8"/>
  <c r="F21" i="8"/>
  <c r="F18" i="8"/>
  <c r="F15" i="8"/>
  <c r="F14" i="8"/>
  <c r="F5" i="8"/>
  <c r="F19" i="8"/>
  <c r="F6" i="8"/>
  <c r="F22" i="8"/>
  <c r="F20" i="8"/>
  <c r="F12" i="8"/>
  <c r="F17" i="8"/>
  <c r="F16" i="8"/>
  <c r="F7" i="8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B2" i="5" l="1"/>
  <c r="C3" i="3" s="1"/>
  <c r="I3" i="3" s="1"/>
  <c r="K15" i="11"/>
  <c r="J13" i="11" a="1"/>
  <c r="J13" i="11" s="1"/>
  <c r="K13" i="11" s="1"/>
  <c r="J16" i="11" a="1"/>
  <c r="J16" i="11" s="1"/>
  <c r="K16" i="11" s="1"/>
  <c r="L16" i="11"/>
  <c r="L12" i="11"/>
  <c r="G21" i="8"/>
  <c r="H21" i="8"/>
  <c r="H11" i="8"/>
  <c r="G11" i="8"/>
  <c r="H10" i="8"/>
  <c r="G10" i="8"/>
  <c r="G9" i="8"/>
  <c r="H9" i="8"/>
  <c r="G8" i="8"/>
  <c r="H8" i="8"/>
  <c r="H13" i="8"/>
  <c r="G13" i="8"/>
  <c r="H29" i="8"/>
  <c r="G29" i="8"/>
  <c r="G28" i="8"/>
  <c r="H28" i="8"/>
  <c r="G27" i="8"/>
  <c r="H27" i="8"/>
  <c r="G26" i="8"/>
  <c r="H26" i="8"/>
  <c r="G25" i="8"/>
  <c r="H25" i="8"/>
  <c r="G24" i="8"/>
  <c r="H24" i="8"/>
  <c r="G23" i="8"/>
  <c r="H23" i="8"/>
  <c r="H18" i="8"/>
  <c r="G18" i="8"/>
  <c r="G15" i="8"/>
  <c r="H15" i="8"/>
  <c r="G14" i="8"/>
  <c r="H14" i="8"/>
  <c r="G5" i="8"/>
  <c r="H5" i="8"/>
  <c r="G19" i="8"/>
  <c r="H19" i="8"/>
  <c r="G6" i="8"/>
  <c r="H6" i="8"/>
  <c r="G22" i="8"/>
  <c r="H22" i="8"/>
  <c r="G20" i="8"/>
  <c r="H20" i="8"/>
  <c r="G12" i="8"/>
  <c r="H12" i="8"/>
  <c r="G17" i="8"/>
  <c r="H17" i="8"/>
  <c r="G16" i="8"/>
  <c r="H16" i="8"/>
  <c r="G7" i="8"/>
  <c r="H7" i="8"/>
  <c r="F5" i="9"/>
  <c r="G5" i="9" s="1"/>
  <c r="F19" i="9"/>
  <c r="G19" i="9" s="1"/>
  <c r="F10" i="9"/>
  <c r="G10" i="9" s="1"/>
  <c r="F15" i="9"/>
  <c r="G15" i="9" s="1"/>
  <c r="F9" i="9"/>
  <c r="G9" i="9" s="1"/>
  <c r="F11" i="9"/>
  <c r="G11" i="9" s="1"/>
  <c r="F8" i="9"/>
  <c r="G8" i="9" s="1"/>
  <c r="F20" i="9"/>
  <c r="G20" i="9" s="1"/>
  <c r="F7" i="9"/>
  <c r="G7" i="9" s="1"/>
  <c r="F6" i="9"/>
  <c r="G6" i="9" s="1"/>
  <c r="F13" i="9"/>
  <c r="G13" i="9" s="1"/>
  <c r="F14" i="9"/>
  <c r="G14" i="9" s="1"/>
  <c r="F16" i="9"/>
  <c r="G16" i="9" s="1"/>
  <c r="F26" i="9"/>
  <c r="G26" i="9" s="1"/>
  <c r="F17" i="9"/>
  <c r="G17" i="9" s="1"/>
  <c r="F21" i="9"/>
  <c r="G21" i="9" s="1"/>
  <c r="F29" i="9"/>
  <c r="G29" i="9" s="1"/>
  <c r="F28" i="9"/>
  <c r="G28" i="9" s="1"/>
  <c r="F18" i="9"/>
  <c r="G18" i="9" s="1"/>
  <c r="F27" i="9"/>
  <c r="G27" i="9" s="1"/>
  <c r="F23" i="9"/>
  <c r="G23" i="9" s="1"/>
  <c r="F25" i="9"/>
  <c r="G25" i="9" s="1"/>
  <c r="F24" i="9"/>
  <c r="G24" i="9" s="1"/>
  <c r="F22" i="9"/>
  <c r="G22" i="9" s="1"/>
  <c r="F12" i="9"/>
  <c r="G12" i="9" s="1"/>
  <c r="L15" i="11" l="1"/>
  <c r="L14" i="11"/>
  <c r="L1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<sst xmlns="http://schemas.openxmlformats.org/spreadsheetml/2006/main" count="437" uniqueCount="150">
  <si>
    <t>Corporate Geopolitical Risk Index - INTRODUCTION</t>
  </si>
  <si>
    <r>
      <t xml:space="preserve">This Excel file contains the empirical measurement of the </t>
    </r>
    <r>
      <rPr>
        <b/>
        <sz val="16"/>
        <color theme="1"/>
        <rFont val="Aptos Narrow"/>
        <scheme val="minor"/>
      </rPr>
      <t>Corporate Geopolitical Risk Index (CGRI)</t>
    </r>
    <r>
      <rPr>
        <sz val="16"/>
        <color theme="1"/>
        <rFont val="Aptos Narrow"/>
        <family val="2"/>
        <scheme val="minor"/>
      </rPr>
      <t>, starting from the previously developed Geopolitical Risk Index (GPR), defined at the country level.</t>
    </r>
  </si>
  <si>
    <t>[Below you find the explanation and measurement process for each element of the CGRI]</t>
  </si>
  <si>
    <t>Final Template - It aggregates the results of the single measures into a score from 1 to 10</t>
  </si>
  <si>
    <t>1) Main Components</t>
  </si>
  <si>
    <t>2) Multipliers</t>
  </si>
  <si>
    <r>
      <t xml:space="preserve">1 - Sector Risk Multiplier </t>
    </r>
    <r>
      <rPr>
        <sz val="16"/>
        <color theme="1"/>
        <rFont val="Aptos Narrow"/>
        <scheme val="minor"/>
      </rPr>
      <t xml:space="preserve">- Global Risk Assessment Index, defined by S&amp;P 500 for each sector. This index is divided into 6 categories, with different associated values, </t>
    </r>
    <r>
      <rPr>
        <b/>
        <sz val="16"/>
        <color theme="1"/>
        <rFont val="Aptos Narrow"/>
        <scheme val="minor"/>
      </rPr>
      <t>spanning from 0,75 to 1,25</t>
    </r>
  </si>
  <si>
    <r>
      <t xml:space="preserve">2 - Volatility Index Multiplier </t>
    </r>
    <r>
      <rPr>
        <sz val="16"/>
        <color theme="1"/>
        <rFont val="Aptos Narrow"/>
        <scheme val="minor"/>
      </rPr>
      <t>- Volatility index for the S&amp;P 500 companies, averaged over the year. The measure is</t>
    </r>
    <r>
      <rPr>
        <b/>
        <sz val="16"/>
        <color theme="1"/>
        <rFont val="Aptos Narrow"/>
        <scheme val="minor"/>
      </rPr>
      <t xml:space="preserve"> one plus the percentage difference between the current VIX average year index and the historical average of the last 25 years.</t>
    </r>
  </si>
  <si>
    <t>Main Components</t>
  </si>
  <si>
    <t>Multipliers</t>
  </si>
  <si>
    <t>Company Name</t>
  </si>
  <si>
    <t>HQ Country Risk</t>
  </si>
  <si>
    <t>Revenue Exposure</t>
  </si>
  <si>
    <t>Supply Chain Exposure</t>
  </si>
  <si>
    <t>Facility Sites Location Risk</t>
  </si>
  <si>
    <t>Sector Risk</t>
  </si>
  <si>
    <t>Volatility Risk</t>
  </si>
  <si>
    <t>Final Risk Index</t>
  </si>
  <si>
    <t>HQ Country</t>
  </si>
  <si>
    <t>Country Geopolitical Risk Index</t>
  </si>
  <si>
    <t>HQ Country Risk - Component</t>
  </si>
  <si>
    <t>Apple</t>
  </si>
  <si>
    <t>United States</t>
  </si>
  <si>
    <t>Meta</t>
  </si>
  <si>
    <t>Microsoft</t>
  </si>
  <si>
    <t>Ford</t>
  </si>
  <si>
    <t>Procter &amp; Gamble</t>
  </si>
  <si>
    <t>Samsung</t>
  </si>
  <si>
    <t>South Korea</t>
  </si>
  <si>
    <t>Amazon</t>
  </si>
  <si>
    <t>NVIDIA</t>
  </si>
  <si>
    <t>Allianz</t>
  </si>
  <si>
    <t>Germany</t>
  </si>
  <si>
    <t>L'Oreal</t>
  </si>
  <si>
    <t>France</t>
  </si>
  <si>
    <t>LVMH</t>
  </si>
  <si>
    <t>Novo Nordisk</t>
  </si>
  <si>
    <t>Denmark</t>
  </si>
  <si>
    <t>Reliance Industries</t>
  </si>
  <si>
    <t>India</t>
  </si>
  <si>
    <t>SAP</t>
  </si>
  <si>
    <t>Sony</t>
  </si>
  <si>
    <t>Japan</t>
  </si>
  <si>
    <t>Tencent</t>
  </si>
  <si>
    <t>China</t>
  </si>
  <si>
    <t>Toyota</t>
  </si>
  <si>
    <t>TSMC</t>
  </si>
  <si>
    <t>Taiwan</t>
  </si>
  <si>
    <t>Volkswagen</t>
  </si>
  <si>
    <t>JP Morgan</t>
  </si>
  <si>
    <t>ASML</t>
  </si>
  <si>
    <t>Netherlands</t>
  </si>
  <si>
    <t>BNP Paribas</t>
  </si>
  <si>
    <t>Eli Lilly</t>
  </si>
  <si>
    <t>Revenue Exposure - Component</t>
  </si>
  <si>
    <t>Supply Chain Risk - Component</t>
  </si>
  <si>
    <t>Facility Risk - Component</t>
  </si>
  <si>
    <t>Sector - List</t>
  </si>
  <si>
    <t>S&amp;P Global Industry Risk Assessment Index</t>
  </si>
  <si>
    <t>Sector</t>
  </si>
  <si>
    <t>S&amp;P Global Industry Risk Assessment</t>
  </si>
  <si>
    <t>S&amp;P Global Industry Risk Assessment - Value</t>
  </si>
  <si>
    <t>Sector Risk - Multiplier</t>
  </si>
  <si>
    <t>Aerospace and defense</t>
  </si>
  <si>
    <t>Intermediate risk</t>
  </si>
  <si>
    <t>Technology hardware and semiconductors</t>
  </si>
  <si>
    <t>Agribusiness, commodity foods, and agricultural cooperatives</t>
  </si>
  <si>
    <t>Technology software and services</t>
  </si>
  <si>
    <t>Asset managers</t>
  </si>
  <si>
    <t>Auto and commercial vehicle manufacturing</t>
  </si>
  <si>
    <t>Moderately high risk</t>
  </si>
  <si>
    <t>Auto suppliers</t>
  </si>
  <si>
    <t>Consumer staples and branded nondurables</t>
  </si>
  <si>
    <t>Building materials</t>
  </si>
  <si>
    <t>Business and consumer services</t>
  </si>
  <si>
    <t>Retail and restaurants</t>
  </si>
  <si>
    <t>Capital goods</t>
  </si>
  <si>
    <t>Charter schools</t>
  </si>
  <si>
    <t>Insurance (Financial services)</t>
  </si>
  <si>
    <t>Commodity chemicals</t>
  </si>
  <si>
    <t>Consumer durables</t>
  </si>
  <si>
    <t>Low risk</t>
  </si>
  <si>
    <t>Pharmaceuticals</t>
  </si>
  <si>
    <t>Containers and packaging</t>
  </si>
  <si>
    <t>Oil and gas exploration and production</t>
  </si>
  <si>
    <t>Digital infrastructure</t>
  </si>
  <si>
    <t>Engineering and construction</t>
  </si>
  <si>
    <t>Environmental services</t>
  </si>
  <si>
    <t>Financial market infrastructure companies</t>
  </si>
  <si>
    <t>Financial services finance companies</t>
  </si>
  <si>
    <t>Forest and paper products</t>
  </si>
  <si>
    <t>Health care equipment</t>
  </si>
  <si>
    <t>Health care services</t>
  </si>
  <si>
    <t>Homebuilders and real estate developers</t>
  </si>
  <si>
    <t>Leisure and sports</t>
  </si>
  <si>
    <t>Long-term municipal pools</t>
  </si>
  <si>
    <t>Media and entertainment</t>
  </si>
  <si>
    <t>Metals production and processing</t>
  </si>
  <si>
    <t>Midstream energy</t>
  </si>
  <si>
    <t>Mining</t>
  </si>
  <si>
    <t>Municipal retail electric and gas utilities</t>
  </si>
  <si>
    <t>Very low risk</t>
  </si>
  <si>
    <t>Municipal water and waste - Irrigation</t>
  </si>
  <si>
    <t>Municipal water and waste - Solid waste</t>
  </si>
  <si>
    <t>Municipal water and waste - Water, sewer, and combined</t>
  </si>
  <si>
    <t>Not-for-profit acute care health care organizations</t>
  </si>
  <si>
    <t>Not-for-profit education providers</t>
  </si>
  <si>
    <t>Not-for-profit transportation infrastructure enterprises - Airports and ports</t>
  </si>
  <si>
    <t>Not-for-profit transportation infrastructure enterprises - Toll roads, parking systems, and mass transit</t>
  </si>
  <si>
    <t>Oilfield services and equipment</t>
  </si>
  <si>
    <t>Public and nonprofit social housing providers</t>
  </si>
  <si>
    <t>Railroads, package express, and logistics</t>
  </si>
  <si>
    <t>Real estate</t>
  </si>
  <si>
    <t>Refining and marketing</t>
  </si>
  <si>
    <t>Regulated utilities</t>
  </si>
  <si>
    <t>Specialty chemicals</t>
  </si>
  <si>
    <t>Telecommunications</t>
  </si>
  <si>
    <t>Transportation cyclical</t>
  </si>
  <si>
    <t>High risk</t>
  </si>
  <si>
    <t>Transportation infrastructure</t>
  </si>
  <si>
    <t>Transportation leasing</t>
  </si>
  <si>
    <t>Unregulated power and gas</t>
  </si>
  <si>
    <t>Observation Date</t>
  </si>
  <si>
    <t>VIX</t>
  </si>
  <si>
    <t>Year</t>
  </si>
  <si>
    <t>VIX Average</t>
  </si>
  <si>
    <t>Delta %</t>
  </si>
  <si>
    <t>Volatility Risk - Multiplier ( 1 + Delta %)</t>
  </si>
  <si>
    <t>ENI</t>
  </si>
  <si>
    <t>Italy</t>
  </si>
  <si>
    <t>Company</t>
  </si>
  <si>
    <t>Net Debt/EBITDA 2024</t>
  </si>
  <si>
    <t>Financial Exposure</t>
  </si>
  <si>
    <t>META</t>
  </si>
  <si>
    <t>P&amp;G</t>
  </si>
  <si>
    <r>
      <rPr>
        <b/>
        <sz val="14"/>
        <color theme="1"/>
        <rFont val="Aptos Narrow (Corpo)"/>
      </rPr>
      <t>Source - S&amp;P Global Ratings (Industry Risk Assessment)</t>
    </r>
    <r>
      <rPr>
        <b/>
        <sz val="14"/>
        <color theme="1"/>
        <rFont val="Aptos Narrow"/>
        <scheme val="minor"/>
      </rPr>
      <t xml:space="preserve">: </t>
    </r>
    <r>
      <rPr>
        <sz val="14"/>
        <color theme="1"/>
        <rFont val="Aptos Narrow"/>
        <scheme val="minor"/>
      </rPr>
      <t>https://spratings.spglobal.com/ratings/en/regulatory/article/-/view/sourceId/8304862</t>
    </r>
  </si>
  <si>
    <r>
      <rPr>
        <b/>
        <sz val="14"/>
        <color theme="1"/>
        <rFont val="Aptos Narrow (Corpo)"/>
      </rPr>
      <t xml:space="preserve">Source - CBOE Volatility Index (VIXCLS) </t>
    </r>
    <r>
      <rPr>
        <b/>
        <sz val="14"/>
        <color theme="1"/>
        <rFont val="Aptos Narrow"/>
        <scheme val="minor"/>
      </rPr>
      <t xml:space="preserve">: </t>
    </r>
    <r>
      <rPr>
        <sz val="14"/>
        <color theme="1"/>
        <rFont val="Aptos Narrow"/>
        <scheme val="minor"/>
      </rPr>
      <t>https://fred.stlouisfed.org/series/VIXCLS</t>
    </r>
  </si>
  <si>
    <r>
      <t xml:space="preserve">5 - Financial Exposure </t>
    </r>
    <r>
      <rPr>
        <sz val="16"/>
        <color theme="1"/>
        <rFont val="Aptos Narrow"/>
        <scheme val="minor"/>
      </rPr>
      <t xml:space="preserve">- Net Debt / EBITDA, which defines the credit vulnerability of the company - </t>
    </r>
    <r>
      <rPr>
        <b/>
        <u/>
        <sz val="16"/>
        <color theme="1"/>
        <rFont val="Aptos Narrow (Corpo)"/>
      </rPr>
      <t>Weight Assigned: 20%</t>
    </r>
  </si>
  <si>
    <r>
      <t>Specifically, the file is unpacked into 8</t>
    </r>
    <r>
      <rPr>
        <b/>
        <sz val="16"/>
        <color theme="1"/>
        <rFont val="Aptos Narrow"/>
        <scheme val="minor"/>
      </rPr>
      <t xml:space="preserve"> different sheets</t>
    </r>
    <r>
      <rPr>
        <sz val="16"/>
        <color theme="1"/>
        <rFont val="Aptos Narrow"/>
        <family val="2"/>
        <scheme val="minor"/>
      </rPr>
      <t xml:space="preserve"> (excluding this "Introduction" section), where a final template of the index  is represented, as well as all its 7 single company-level measures</t>
    </r>
  </si>
  <si>
    <t>Total Energies</t>
  </si>
  <si>
    <t>Correlation coefficients for 2023</t>
  </si>
  <si>
    <t>Re-weighting of sub-sub-indices:</t>
  </si>
  <si>
    <t>Sum abs. Corr.</t>
  </si>
  <si>
    <t>Inversion</t>
  </si>
  <si>
    <t>Weights</t>
  </si>
  <si>
    <r>
      <t xml:space="preserve">1 - HQ Country Risk </t>
    </r>
    <r>
      <rPr>
        <sz val="16"/>
        <color theme="1"/>
        <rFont val="Aptos Narrow"/>
        <scheme val="minor"/>
      </rPr>
      <t xml:space="preserve">- GPR of the company's HQ country - </t>
    </r>
    <r>
      <rPr>
        <b/>
        <u/>
        <sz val="16"/>
        <color theme="1"/>
        <rFont val="Aptos Narrow (Corpo)"/>
      </rPr>
      <t>Weight assigned: 15%</t>
    </r>
  </si>
  <si>
    <r>
      <t xml:space="preserve">2 - Revenue Exposure </t>
    </r>
    <r>
      <rPr>
        <sz val="16"/>
        <color theme="1"/>
        <rFont val="Aptos Narrow"/>
        <scheme val="minor"/>
      </rPr>
      <t xml:space="preserve">- </t>
    </r>
    <r>
      <rPr>
        <b/>
        <sz val="16"/>
        <color theme="1"/>
        <rFont val="Aptos Narrow"/>
        <scheme val="minor"/>
      </rPr>
      <t>GPR of each country of revenue</t>
    </r>
    <r>
      <rPr>
        <sz val="16"/>
        <color theme="1"/>
        <rFont val="Aptos Narrow"/>
        <scheme val="minor"/>
      </rPr>
      <t xml:space="preserve">, weighted by the associated percentage of company's revenue in the country - </t>
    </r>
    <r>
      <rPr>
        <b/>
        <u/>
        <sz val="16"/>
        <color theme="1"/>
        <rFont val="Aptos Narrow (Corpo)"/>
      </rPr>
      <t>Weight assigned: 25%</t>
    </r>
  </si>
  <si>
    <r>
      <t xml:space="preserve">3 - Supply Chain Exposure </t>
    </r>
    <r>
      <rPr>
        <sz val="16"/>
        <color theme="1"/>
        <rFont val="Aptos Narrow"/>
        <scheme val="minor"/>
      </rPr>
      <t xml:space="preserve">- </t>
    </r>
    <r>
      <rPr>
        <b/>
        <sz val="16"/>
        <color theme="1"/>
        <rFont val="Aptos Narrow"/>
        <scheme val="minor"/>
      </rPr>
      <t>GPR of each country of the company's supply chain</t>
    </r>
    <r>
      <rPr>
        <sz val="16"/>
        <color theme="1"/>
        <rFont val="Aptos Narrow"/>
        <scheme val="minor"/>
      </rPr>
      <t xml:space="preserve">, weighted by the associated percentage of company's supply intensity in the country - </t>
    </r>
    <r>
      <rPr>
        <b/>
        <u/>
        <sz val="16"/>
        <color theme="1"/>
        <rFont val="Aptos Narrow (Corpo)"/>
      </rPr>
      <t>Weight assigned: 25%</t>
    </r>
  </si>
  <si>
    <r>
      <t xml:space="preserve">4 - Facility Sites Location Risk </t>
    </r>
    <r>
      <rPr>
        <sz val="16"/>
        <color theme="1"/>
        <rFont val="Aptos Narrow"/>
        <scheme val="minor"/>
      </rPr>
      <t xml:space="preserve">- </t>
    </r>
    <r>
      <rPr>
        <b/>
        <sz val="16"/>
        <color theme="1"/>
        <rFont val="Aptos Narrow"/>
        <scheme val="minor"/>
      </rPr>
      <t>GPR of each country where at least a facility is located</t>
    </r>
    <r>
      <rPr>
        <sz val="16"/>
        <color theme="1"/>
        <rFont val="Aptos Narrow"/>
        <scheme val="minor"/>
      </rPr>
      <t xml:space="preserve">, weighted by the associated percentage of company's facility sites in the country - </t>
    </r>
    <r>
      <rPr>
        <b/>
        <u/>
        <sz val="16"/>
        <color theme="1"/>
        <rFont val="Aptos Narrow (Corpo)"/>
      </rPr>
      <t>Weight assigned: 15%</t>
    </r>
  </si>
  <si>
    <t>Final Index - Reweighted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</si>
</sst>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1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b/>
      <u/>
      <sz val="18"/>
      <color theme="1"/>
      <name val="Aptos Narrow"/>
      <scheme val="minor"/>
    </font>
    <font>
      <b/>
      <u/>
      <sz val="16"/>
      <color theme="1"/>
      <name val="Aptos Narrow"/>
      <scheme val="minor"/>
    </font>
    <font>
      <sz val="16"/>
      <color theme="1"/>
      <name val="Aptos Narrow"/>
      <scheme val="minor"/>
    </font>
    <font>
      <b/>
      <u/>
      <sz val="16"/>
      <color theme="1"/>
      <name val="Aptos Narrow (Corpo)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b/>
      <sz val="14"/>
      <color theme="0"/>
      <name val="Aptos Narrow"/>
      <scheme val="minor"/>
    </font>
    <font>
      <b/>
      <sz val="14"/>
      <color theme="1"/>
      <name val="Aptos Narrow (Corpo)"/>
    </font>
    <font>
      <sz val="14"/>
      <color theme="1"/>
      <name val="Aptos Narrow"/>
    </font>
    <font>
      <b/>
      <sz val="14"/>
      <color theme="0"/>
      <name val="Aptos Narrow"/>
      <family val="2"/>
      <scheme val="minor"/>
    </font>
    <font>
      <b/>
      <sz val="14"/>
      <color rgb="FF000000"/>
      <name val="Aptos Narrow"/>
    </font>
    <font>
      <sz val="14"/>
      <color rgb="FF000000"/>
      <name val="Aptos Narrow"/>
    </font>
    <font>
      <b/>
      <sz val="14"/>
      <name val="Aptos Narrow"/>
    </font>
    <font>
      <b/>
      <sz val="14"/>
      <color rgb="FF000000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1"/>
        <bgColor indexed="64"/>
      </patternFill>
    </fill>
  </fills>
  <borders count="36">
    <border>
      <left/>
      <right/>
      <top/>
      <bottom/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auto="1"/>
      </right>
      <top/>
      <bottom style="slantDashDot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3" fillId="0" borderId="0" xfId="0" applyFont="1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11" fillId="0" borderId="9" xfId="0" applyFont="1" applyBorder="1" applyAlignment="1">
      <alignment horizontal="center" vertical="top"/>
    </xf>
    <xf numFmtId="0" fontId="4" fillId="0" borderId="0" xfId="0" applyFont="1"/>
    <xf numFmtId="0" fontId="11" fillId="0" borderId="0" xfId="0" applyFont="1"/>
    <xf numFmtId="164" fontId="4" fillId="0" borderId="0" xfId="0" applyNumberFormat="1" applyFont="1" applyAlignment="1">
      <alignment horizontal="left"/>
    </xf>
    <xf numFmtId="2" fontId="4" fillId="0" borderId="0" xfId="0" applyNumberFormat="1" applyFont="1"/>
    <xf numFmtId="0" fontId="13" fillId="4" borderId="0" xfId="0" applyFont="1" applyFill="1"/>
    <xf numFmtId="0" fontId="3" fillId="6" borderId="0" xfId="0" applyFont="1" applyFill="1"/>
    <xf numFmtId="2" fontId="3" fillId="0" borderId="0" xfId="0" applyNumberFormat="1" applyFont="1"/>
    <xf numFmtId="0" fontId="1" fillId="0" borderId="10" xfId="0" applyFont="1" applyBorder="1"/>
    <xf numFmtId="0" fontId="3" fillId="0" borderId="10" xfId="0" applyFont="1" applyBorder="1"/>
    <xf numFmtId="0" fontId="4" fillId="0" borderId="10" xfId="0" applyFont="1" applyBorder="1"/>
    <xf numFmtId="2" fontId="3" fillId="3" borderId="17" xfId="0" applyNumberFormat="1" applyFont="1" applyFill="1" applyBorder="1"/>
    <xf numFmtId="2" fontId="3" fillId="0" borderId="17" xfId="0" applyNumberFormat="1" applyFont="1" applyBorder="1"/>
    <xf numFmtId="0" fontId="13" fillId="5" borderId="0" xfId="0" applyFont="1" applyFill="1"/>
    <xf numFmtId="2" fontId="3" fillId="0" borderId="10" xfId="0" applyNumberFormat="1" applyFont="1" applyBorder="1"/>
    <xf numFmtId="0" fontId="1" fillId="4" borderId="0" xfId="0" applyFont="1" applyFill="1"/>
    <xf numFmtId="0" fontId="1" fillId="0" borderId="16" xfId="0" applyFont="1" applyBorder="1"/>
    <xf numFmtId="0" fontId="3" fillId="0" borderId="16" xfId="0" applyFont="1" applyBorder="1"/>
    <xf numFmtId="0" fontId="4" fillId="0" borderId="16" xfId="0" applyFont="1" applyBorder="1"/>
    <xf numFmtId="0" fontId="11" fillId="4" borderId="0" xfId="0" applyFont="1" applyFill="1"/>
    <xf numFmtId="10" fontId="1" fillId="0" borderId="0" xfId="0" applyNumberFormat="1" applyFont="1"/>
    <xf numFmtId="2" fontId="1" fillId="0" borderId="0" xfId="0" applyNumberFormat="1" applyFont="1"/>
    <xf numFmtId="0" fontId="5" fillId="2" borderId="0" xfId="0" applyFont="1" applyFill="1"/>
    <xf numFmtId="0" fontId="0" fillId="7" borderId="14" xfId="0" applyFill="1" applyBorder="1"/>
    <xf numFmtId="0" fontId="0" fillId="7" borderId="15" xfId="0" applyFill="1" applyBorder="1"/>
    <xf numFmtId="0" fontId="5" fillId="8" borderId="0" xfId="0" applyFont="1" applyFill="1"/>
    <xf numFmtId="0" fontId="5" fillId="8" borderId="20" xfId="0" applyFont="1" applyFill="1" applyBorder="1"/>
    <xf numFmtId="0" fontId="0" fillId="8" borderId="0" xfId="0" applyFill="1"/>
    <xf numFmtId="0" fontId="0" fillId="8" borderId="19" xfId="0" applyFill="1" applyBorder="1"/>
    <xf numFmtId="0" fontId="5" fillId="8" borderId="19" xfId="0" applyFont="1" applyFill="1" applyBorder="1"/>
    <xf numFmtId="0" fontId="4" fillId="8" borderId="0" xfId="0" applyFont="1" applyFill="1"/>
    <xf numFmtId="0" fontId="0" fillId="8" borderId="18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7" xfId="0" applyFill="1" applyBorder="1"/>
    <xf numFmtId="0" fontId="0" fillId="9" borderId="8" xfId="0" applyFill="1" applyBorder="1"/>
    <xf numFmtId="0" fontId="0" fillId="10" borderId="8" xfId="0" applyFill="1" applyBorder="1"/>
    <xf numFmtId="0" fontId="8" fillId="10" borderId="1" xfId="0" applyFont="1" applyFill="1" applyBorder="1"/>
    <xf numFmtId="0" fontId="8" fillId="10" borderId="2" xfId="0" applyFont="1" applyFill="1" applyBorder="1"/>
    <xf numFmtId="0" fontId="0" fillId="10" borderId="3" xfId="0" applyFill="1" applyBorder="1"/>
    <xf numFmtId="0" fontId="8" fillId="10" borderId="6" xfId="0" applyFont="1" applyFill="1" applyBorder="1"/>
    <xf numFmtId="0" fontId="8" fillId="10" borderId="7" xfId="0" applyFont="1" applyFill="1" applyBorder="1"/>
    <xf numFmtId="0" fontId="0" fillId="11" borderId="4" xfId="0" applyFill="1" applyBorder="1"/>
    <xf numFmtId="0" fontId="0" fillId="11" borderId="0" xfId="0" applyFill="1"/>
    <xf numFmtId="0" fontId="0" fillId="11" borderId="5" xfId="0" applyFill="1" applyBorder="1"/>
    <xf numFmtId="0" fontId="2" fillId="11" borderId="0" xfId="0" applyFont="1" applyFill="1"/>
    <xf numFmtId="0" fontId="2" fillId="11" borderId="4" xfId="0" applyFont="1" applyFill="1" applyBorder="1"/>
    <xf numFmtId="0" fontId="0" fillId="11" borderId="7" xfId="0" applyFill="1" applyBorder="1"/>
    <xf numFmtId="0" fontId="0" fillId="11" borderId="18" xfId="0" applyFill="1" applyBorder="1"/>
    <xf numFmtId="0" fontId="0" fillId="12" borderId="5" xfId="0" applyFill="1" applyBorder="1"/>
    <xf numFmtId="0" fontId="2" fillId="12" borderId="6" xfId="0" applyFont="1" applyFill="1" applyBorder="1" applyAlignment="1">
      <alignment wrapText="1"/>
    </xf>
    <xf numFmtId="0" fontId="2" fillId="12" borderId="7" xfId="0" applyFont="1" applyFill="1" applyBorder="1" applyAlignment="1">
      <alignment wrapText="1"/>
    </xf>
    <xf numFmtId="0" fontId="0" fillId="12" borderId="7" xfId="0" applyFill="1" applyBorder="1"/>
    <xf numFmtId="0" fontId="0" fillId="12" borderId="8" xfId="0" applyFill="1" applyBorder="1"/>
    <xf numFmtId="0" fontId="15" fillId="0" borderId="10" xfId="0" applyFont="1" applyBorder="1"/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left"/>
    </xf>
    <xf numFmtId="0" fontId="8" fillId="9" borderId="2" xfId="0" applyFont="1" applyFill="1" applyBorder="1" applyAlignment="1">
      <alignment horizontal="left"/>
    </xf>
    <xf numFmtId="0" fontId="8" fillId="9" borderId="6" xfId="0" applyFont="1" applyFill="1" applyBorder="1" applyAlignment="1">
      <alignment horizontal="left"/>
    </xf>
    <xf numFmtId="0" fontId="8" fillId="9" borderId="7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left"/>
    </xf>
    <xf numFmtId="0" fontId="7" fillId="9" borderId="2" xfId="0" applyFont="1" applyFill="1" applyBorder="1" applyAlignment="1">
      <alignment horizontal="left"/>
    </xf>
    <xf numFmtId="0" fontId="2" fillId="11" borderId="4" xfId="0" applyFont="1" applyFill="1" applyBorder="1" applyAlignment="1">
      <alignment horizontal="left"/>
    </xf>
    <xf numFmtId="0" fontId="2" fillId="11" borderId="0" xfId="0" applyFont="1" applyFill="1" applyAlignment="1">
      <alignment horizontal="left"/>
    </xf>
    <xf numFmtId="0" fontId="2" fillId="11" borderId="5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left"/>
    </xf>
    <xf numFmtId="0" fontId="2" fillId="12" borderId="2" xfId="0" applyFont="1" applyFill="1" applyBorder="1" applyAlignment="1">
      <alignment horizontal="left"/>
    </xf>
    <xf numFmtId="0" fontId="2" fillId="12" borderId="4" xfId="0" applyFont="1" applyFill="1" applyBorder="1" applyAlignment="1">
      <alignment horizontal="left"/>
    </xf>
    <xf numFmtId="0" fontId="2" fillId="12" borderId="0" xfId="0" applyFont="1" applyFill="1" applyAlignment="1">
      <alignment horizontal="left"/>
    </xf>
    <xf numFmtId="0" fontId="2" fillId="12" borderId="5" xfId="0" applyFont="1" applyFill="1" applyBorder="1" applyAlignment="1">
      <alignment horizontal="left"/>
    </xf>
    <xf numFmtId="0" fontId="2" fillId="12" borderId="4" xfId="0" applyFont="1" applyFill="1" applyBorder="1" applyAlignment="1">
      <alignment horizontal="left" wrapText="1"/>
    </xf>
    <xf numFmtId="0" fontId="2" fillId="12" borderId="0" xfId="0" applyFont="1" applyFill="1" applyAlignment="1">
      <alignment horizontal="left" wrapText="1"/>
    </xf>
    <xf numFmtId="0" fontId="2" fillId="12" borderId="5" xfId="0" applyFont="1" applyFill="1" applyBorder="1" applyAlignment="1">
      <alignment horizontal="left" wrapText="1"/>
    </xf>
    <xf numFmtId="0" fontId="2" fillId="11" borderId="19" xfId="0" applyFont="1" applyFill="1" applyBorder="1" applyAlignment="1">
      <alignment horizontal="left"/>
    </xf>
    <xf numFmtId="0" fontId="12" fillId="5" borderId="0" xfId="0" applyFont="1" applyFill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1" fillId="0" borderId="10" xfId="0" applyFont="1" applyBorder="1"/>
    <xf numFmtId="0" fontId="11" fillId="0" borderId="16" xfId="0" applyFont="1" applyBorder="1"/>
    <xf numFmtId="0" fontId="15" fillId="0" borderId="0" xfId="0" applyFont="1"/>
    <xf numFmtId="0" fontId="17" fillId="0" borderId="0" xfId="0" applyFont="1" applyFill="1" applyBorder="1" applyAlignment="1"/>
    <xf numFmtId="0" fontId="11" fillId="3" borderId="0" xfId="0" applyFont="1" applyFill="1"/>
    <xf numFmtId="2" fontId="4" fillId="3" borderId="0" xfId="0" applyNumberFormat="1" applyFont="1" applyFill="1"/>
    <xf numFmtId="0" fontId="4" fillId="3" borderId="0" xfId="0" applyFont="1" applyFill="1"/>
    <xf numFmtId="0" fontId="11" fillId="3" borderId="22" xfId="0" applyFont="1" applyFill="1" applyBorder="1"/>
    <xf numFmtId="2" fontId="4" fillId="3" borderId="22" xfId="0" applyNumberFormat="1" applyFont="1" applyFill="1" applyBorder="1"/>
    <xf numFmtId="0" fontId="4" fillId="3" borderId="22" xfId="0" applyFont="1" applyFill="1" applyBorder="1"/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0" fontId="18" fillId="15" borderId="34" xfId="0" applyNumberFormat="1" applyFont="1" applyFill="1" applyBorder="1"/>
    <xf numFmtId="10" fontId="18" fillId="15" borderId="25" xfId="0" applyNumberFormat="1" applyFont="1" applyFill="1" applyBorder="1"/>
    <xf numFmtId="10" fontId="18" fillId="15" borderId="35" xfId="0" applyNumberFormat="1" applyFont="1" applyFill="1" applyBorder="1"/>
    <xf numFmtId="0" fontId="19" fillId="14" borderId="0" xfId="0" applyFont="1" applyFill="1" applyBorder="1" applyAlignment="1">
      <alignment horizontal="center"/>
    </xf>
    <xf numFmtId="0" fontId="19" fillId="14" borderId="29" xfId="0" applyFont="1" applyFill="1" applyBorder="1" applyAlignment="1">
      <alignment horizontal="center"/>
    </xf>
    <xf numFmtId="0" fontId="19" fillId="14" borderId="25" xfId="0" applyFont="1" applyFill="1" applyBorder="1" applyAlignment="1">
      <alignment horizontal="center"/>
    </xf>
    <xf numFmtId="0" fontId="17" fillId="13" borderId="31" xfId="0" applyFont="1" applyFill="1" applyBorder="1" applyAlignment="1"/>
    <xf numFmtId="0" fontId="17" fillId="13" borderId="32" xfId="0" applyFont="1" applyFill="1" applyBorder="1" applyAlignment="1"/>
    <xf numFmtId="0" fontId="17" fillId="13" borderId="33" xfId="0" applyFont="1" applyFill="1" applyBorder="1" applyAlignment="1"/>
    <xf numFmtId="0" fontId="16" fillId="4" borderId="21" xfId="0" applyFont="1" applyFill="1" applyBorder="1"/>
    <xf numFmtId="0" fontId="16" fillId="5" borderId="21" xfId="0" applyFont="1" applyFill="1" applyBorder="1"/>
    <xf numFmtId="0" fontId="20" fillId="13" borderId="27" xfId="0" applyFont="1" applyFill="1" applyBorder="1" applyAlignment="1"/>
    <xf numFmtId="0" fontId="20" fillId="13" borderId="23" xfId="0" applyFont="1" applyFill="1" applyBorder="1" applyAlignment="1"/>
    <xf numFmtId="0" fontId="20" fillId="13" borderId="34" xfId="0" applyFont="1" applyFill="1" applyBorder="1" applyAlignment="1"/>
    <xf numFmtId="0" fontId="15" fillId="16" borderId="29" xfId="0" applyFont="1" applyFill="1" applyBorder="1"/>
    <xf numFmtId="2" fontId="18" fillId="0" borderId="29" xfId="0" applyNumberFormat="1" applyFont="1" applyBorder="1"/>
    <xf numFmtId="2" fontId="18" fillId="0" borderId="26" xfId="0" applyNumberFormat="1" applyFont="1" applyBorder="1"/>
    <xf numFmtId="2" fontId="18" fillId="0" borderId="30" xfId="0" applyNumberFormat="1" applyFont="1" applyBorder="1"/>
    <xf numFmtId="2" fontId="18" fillId="0" borderId="9" xfId="0" applyNumberFormat="1" applyFont="1" applyBorder="1"/>
    <xf numFmtId="0" fontId="19" fillId="14" borderId="27" xfId="0" applyFont="1" applyFill="1" applyBorder="1" applyAlignment="1">
      <alignment horizontal="center"/>
    </xf>
    <xf numFmtId="2" fontId="18" fillId="0" borderId="28" xfId="0" applyNumberFormat="1" applyFont="1" applyBorder="1"/>
    <xf numFmtId="2" fontId="18" fillId="0" borderId="23" xfId="0" applyNumberFormat="1" applyFont="1" applyBorder="1"/>
    <xf numFmtId="2" fontId="18" fillId="0" borderId="0" xfId="0" applyNumberFormat="1" applyFont="1" applyBorder="1"/>
    <xf numFmtId="2" fontId="18" fillId="0" borderId="24" xfId="0" applyNumberFormat="1" applyFont="1" applyBorder="1"/>
    <xf numFmtId="0" fontId="15" fillId="16" borderId="27" xfId="0" applyFont="1" applyFill="1" applyBorder="1"/>
    <xf numFmtId="10" fontId="15" fillId="0" borderId="0" xfId="0" applyNumberFormat="1" applyFont="1"/>
    <xf numFmtId="0" fontId="19" fillId="14" borderId="29" xfId="0" applyFont="1" applyFill="1" applyBorder="1" applyAlignment="1">
      <alignment horizontal="left"/>
    </xf>
    <xf numFmtId="0" fontId="19" fillId="14" borderId="9" xfId="0" applyFont="1" applyFill="1" applyBorder="1" applyAlignment="1">
      <alignment horizontal="left"/>
    </xf>
  </cellXfs>
  <cellStyles count="1">
    <cellStyle name="Normale" xfId="0" builtinId="0"/>
  </cellStyles>
  <dxfs count="55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yyyy\-mm\-dd"/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0" formatCode="General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colors>
    <mruColors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cconi.sharepoint.com/sites/Geopolitics-DataGroup1/Documenti%20condivisi/General/Final%20Dataset%20-%20CGPR/HQ%20Country%20Risk%20Index.xlsx" TargetMode="External"/><Relationship Id="rId1" Type="http://schemas.openxmlformats.org/officeDocument/2006/relationships/externalLinkPath" Target="HQ%20Country%20Risk%20Index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cconi.sharepoint.com/sites/Geopolitics-DataGroup1/Documenti%20condivisi/General/Final%20Dataset%20-%20CGPR/Supply%20Chain%20Exposure.xlsx" TargetMode="External"/><Relationship Id="rId1" Type="http://schemas.openxmlformats.org/officeDocument/2006/relationships/externalLinkPath" Target="Supply%20Chain%20Exposur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cconi.sharepoint.com/sites/Geopolitics-DataGroup1/Documenti%20condivisi/General/Final%20Dataset%20-%20CGPR/Facility%20Sites%20Location%20Risk.xlsx" TargetMode="External"/><Relationship Id="rId1" Type="http://schemas.openxmlformats.org/officeDocument/2006/relationships/externalLinkPath" Target="Facility%20Sites%20Location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cconi.sharepoint.com/sites/Geopolitics-DataGroup1/Documenti%20condivisi/General/Final%20Dataset%20-%20CGPR/Sector%20Risk%20Multiplier.xlsx" TargetMode="External"/><Relationship Id="rId1" Type="http://schemas.openxmlformats.org/officeDocument/2006/relationships/externalLinkPath" Target="Sector%20Risk%20Multipli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cconi.sharepoint.com/sites/Geopolitics-DataGroup1/Documenti%20condivisi/General/Final%20Dataset%20-%20CGPR/Revenue%20Exposure.xlsx" TargetMode="External"/><Relationship Id="rId1" Type="http://schemas.openxmlformats.org/officeDocument/2006/relationships/externalLinkPath" Target="Revenue%20Expos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opolitical Risk Index"/>
      <sheetName val="HQ Country Risk Index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pply Chain Exposure - Overall"/>
      <sheetName val="HHI Index - Submultiplier"/>
      <sheetName val="Country of Suppliers - Apple"/>
      <sheetName val="Country of Suppliers - Sony"/>
      <sheetName val="Country of Suppliers - Meta"/>
      <sheetName val="Country of Suppliers - NVIDIA"/>
      <sheetName val="Country of Suppliers - VW"/>
      <sheetName val="Country of Suppliers Microsoft"/>
      <sheetName val="Country of Suppliers - JPMorgan"/>
      <sheetName val="Country of Suppliers - Tencent"/>
      <sheetName val="Country of Suppliers - Reliance"/>
      <sheetName val="Country of Suppliers - Total En"/>
      <sheetName val="Country of Suppliers - P&amp;G"/>
      <sheetName val="Country of Suppliers - EliLilly"/>
      <sheetName val="Country of Suppliers - ENI"/>
      <sheetName val="Country of Suppliers - Allianz"/>
      <sheetName val="Country of Suppliers - ASML"/>
      <sheetName val="Country of Suppliers - TSMC"/>
      <sheetName val="Country of Suppliers - Toyota"/>
      <sheetName val="Country of Suppliers - SAP"/>
      <sheetName val="Country of Suppliers - Nordisk"/>
      <sheetName val="Country of Suppliers - LVMH"/>
      <sheetName val="Country of Suppliers - Oreal"/>
      <sheetName val="Country of Suppliers - BNP"/>
      <sheetName val="Country of Suppliers - Samsung"/>
      <sheetName val="Country of Suppliers - Amazon"/>
      <sheetName val="Country of Suppliers - Fo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ility Risk - Overall"/>
      <sheetName val="Facility Risk - Apple"/>
      <sheetName val="Facility Risk - Meta"/>
      <sheetName val="Facility Risk - Microsoft"/>
      <sheetName val="Facility Risk - NVIDIA"/>
      <sheetName val="Facility Risk - VW"/>
      <sheetName val="Facility Risk - Reliance"/>
      <sheetName val="Facility Risk - Total en"/>
      <sheetName val="Facility Risk - JP Morgan"/>
      <sheetName val="Facility Risk - P&amp;G"/>
      <sheetName val="Facility Risk - Samsung"/>
      <sheetName val="Facility Risk - Tencent"/>
      <sheetName val="Facility Risk - ASML"/>
      <sheetName val="Facility Risk - TSMC"/>
      <sheetName val="Facility Risk - Sony"/>
      <sheetName val="Facility Risk - Eli Lilly"/>
      <sheetName val="Facility Risk - L'Oreal"/>
      <sheetName val="Facility Risk - Eni"/>
      <sheetName val="Facility Risk - Amazon"/>
      <sheetName val="Facility Risk - Ford"/>
      <sheetName val="Facility Risk - BNP"/>
      <sheetName val="Facility Risk - Allianz"/>
      <sheetName val="Facility Risk - LVMH"/>
      <sheetName val="Facility Risk - Toyota"/>
      <sheetName val="Facility Risk - Nordisk"/>
      <sheetName val="Facility Risk - SAP"/>
    </sheetNames>
    <sheetDataSet>
      <sheetData sheetId="0"/>
      <sheetData sheetId="1">
        <row r="9">
          <cell r="J9">
            <v>4.2493629362936289</v>
          </cell>
        </row>
      </sheetData>
      <sheetData sheetId="2">
        <row r="9">
          <cell r="J9">
            <v>3.32</v>
          </cell>
        </row>
      </sheetData>
      <sheetData sheetId="3">
        <row r="9">
          <cell r="J9">
            <v>4.0500000000000016</v>
          </cell>
        </row>
      </sheetData>
      <sheetData sheetId="4">
        <row r="9">
          <cell r="J9">
            <v>4.4000000000000004</v>
          </cell>
        </row>
      </sheetData>
      <sheetData sheetId="5">
        <row r="9">
          <cell r="J9">
            <v>4.1877050810380814</v>
          </cell>
        </row>
      </sheetData>
      <sheetData sheetId="6">
        <row r="9">
          <cell r="J9">
            <v>5.07</v>
          </cell>
        </row>
      </sheetData>
      <sheetData sheetId="7">
        <row r="9">
          <cell r="J9">
            <v>4.2137973408541525</v>
          </cell>
        </row>
      </sheetData>
      <sheetData sheetId="8">
        <row r="9">
          <cell r="J9">
            <v>0</v>
          </cell>
        </row>
      </sheetData>
      <sheetData sheetId="9">
        <row r="9">
          <cell r="J9">
            <v>4.3110533044846564</v>
          </cell>
        </row>
      </sheetData>
      <sheetData sheetId="10">
        <row r="9">
          <cell r="J9">
            <v>4.0176366050454497</v>
          </cell>
        </row>
      </sheetData>
      <sheetData sheetId="11">
        <row r="9">
          <cell r="J9">
            <v>0</v>
          </cell>
        </row>
      </sheetData>
      <sheetData sheetId="12">
        <row r="9">
          <cell r="J9">
            <v>3.9969190000000001</v>
          </cell>
        </row>
      </sheetData>
      <sheetData sheetId="13"/>
      <sheetData sheetId="14">
        <row r="9">
          <cell r="J9">
            <v>3.6262216221622157</v>
          </cell>
        </row>
      </sheetData>
      <sheetData sheetId="15">
        <row r="9">
          <cell r="J9">
            <v>3.9675000000000002</v>
          </cell>
        </row>
      </sheetData>
      <sheetData sheetId="16">
        <row r="9">
          <cell r="J9">
            <v>4.110906637345062</v>
          </cell>
        </row>
      </sheetData>
      <sheetData sheetId="17">
        <row r="9">
          <cell r="J9">
            <v>0</v>
          </cell>
        </row>
      </sheetData>
      <sheetData sheetId="18">
        <row r="9">
          <cell r="J9">
            <v>4.0365251351892653</v>
          </cell>
        </row>
      </sheetData>
      <sheetData sheetId="19">
        <row r="9">
          <cell r="J9">
            <v>4.2394476591267756</v>
          </cell>
        </row>
      </sheetData>
      <sheetData sheetId="20">
        <row r="9">
          <cell r="J9">
            <v>0</v>
          </cell>
        </row>
      </sheetData>
      <sheetData sheetId="21">
        <row r="9">
          <cell r="J9">
            <v>0</v>
          </cell>
        </row>
      </sheetData>
      <sheetData sheetId="22">
        <row r="9">
          <cell r="J9">
            <v>3.7645546336099174</v>
          </cell>
        </row>
      </sheetData>
      <sheetData sheetId="23">
        <row r="9">
          <cell r="J9">
            <v>4.0088225204318437</v>
          </cell>
        </row>
      </sheetData>
      <sheetData sheetId="24">
        <row r="9">
          <cell r="J9">
            <v>3.8971999999999998</v>
          </cell>
        </row>
      </sheetData>
      <sheetData sheetId="25">
        <row r="9">
          <cell r="J9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ctor Risk Multiplier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nue Exposure - Overall"/>
      <sheetName val="HHI Index Submultiplier"/>
      <sheetName val="Country of Revenues - Apple"/>
      <sheetName val="Country of Revenues - Meta"/>
      <sheetName val="Country of Revenues - Microsoft"/>
      <sheetName val="Country of Revenues - Ford"/>
      <sheetName val="Country of Revenues - P&amp;G"/>
      <sheetName val="Country of Revenues - Samsung"/>
      <sheetName val="Country of Revenues - Amazon"/>
      <sheetName val="Country of Revenues - NVIDIA"/>
      <sheetName val="Country of Revenues - Allianz"/>
      <sheetName val="Country of Revenues - ASML"/>
      <sheetName val="Country of Revenues - BNP"/>
      <sheetName val="Country of Revenues - Eli LIlly"/>
      <sheetName val="Country of Revenues - ENI"/>
      <sheetName val="Country of Revenues - JP Morgan"/>
      <sheetName val="Country of Revenues - Oreal"/>
      <sheetName val="Country of Revenues - LVMH"/>
      <sheetName val="Country of Revenues - Nordisk"/>
      <sheetName val="Country of Revenues - Reliance"/>
      <sheetName val="Country of Revenues - SAP"/>
      <sheetName val="Country of Revenues - Sony"/>
      <sheetName val="Country of Revenues - Tencent"/>
      <sheetName val="Country of Revenues - Total En"/>
      <sheetName val="Country of Revenues - Toyota"/>
      <sheetName val="Country of Revenues - TSMC"/>
      <sheetName val="Country of Revenues - V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8E5188-CE97-9B41-851C-F6890830C982}" name="Tabella6" displayName="Tabella6" ref="A2:H27" totalsRowShown="0" headerRowDxfId="52" dataDxfId="51">
  <autoFilter ref="A2:H27" xr:uid="{148E5188-CE97-9B41-851C-F6890830C982}"/>
  <sortState xmlns:xlrd2="http://schemas.microsoft.com/office/spreadsheetml/2017/richdata2" ref="A3:H27">
    <sortCondition ref="A2:A27"/>
  </sortState>
  <tableColumns count="8">
    <tableColumn id="1" xr3:uid="{114D04B0-DFA9-2641-BC93-63E24476E166}" name="Company Name" dataDxfId="50"/>
    <tableColumn id="2" xr3:uid="{390C4C5F-17E3-5745-9D43-52AECD0F68D0}" name="HQ Country Risk" dataDxfId="49">
      <calculatedColumnFormula>'HQ Country Risk'!D2</calculatedColumnFormula>
    </tableColumn>
    <tableColumn id="3" xr3:uid="{F4DC2280-B3B7-8143-9EEB-D90E84A367A6}" name="Revenue Exposure" dataDxfId="48">
      <calculatedColumnFormula>'Revenue Exposure'!B2</calculatedColumnFormula>
    </tableColumn>
    <tableColumn id="4" xr3:uid="{6E613F97-E2F6-5E40-987F-4B7843201383}" name="Supply Chain Exposure" dataDxfId="47">
      <calculatedColumnFormula>'Supply Chain Exposure'!B2</calculatedColumnFormula>
    </tableColumn>
    <tableColumn id="5" xr3:uid="{1CF5CECE-055D-C541-9376-5FE50E696AF5}" name="Facility Sites Location Risk" dataDxfId="46">
      <calculatedColumnFormula>'Facility Sites Location Risk'!B2</calculatedColumnFormula>
    </tableColumn>
    <tableColumn id="6" xr3:uid="{3C11285B-CC35-CD46-B824-CD849043F74A}" name="Financial Exposure" dataDxfId="45">
      <calculatedColumnFormula>'Financial Exposure'!C2</calculatedColumnFormula>
    </tableColumn>
    <tableColumn id="7" xr3:uid="{6F8988C6-9835-8B4E-AF2A-D10CA96FB285}" name="Sector Risk" dataDxfId="44">
      <calculatedColumnFormula>'Sector Risk Multiplier'!H5</calculatedColumnFormula>
    </tableColumn>
    <tableColumn id="8" xr3:uid="{84EDE270-74EC-4244-938C-8C53161172B6}" name="Volatility Risk" dataDxfId="5">
      <calculatedColumnFormula>'Volatility Risk Multiplier'!$H$29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2674C26-397A-9E4F-8682-10C3E1468A30}" name="Tabella112" displayName="Tabella112" ref="A1:D26" totalsRowShown="0" headerRowDxfId="43" dataDxfId="42">
  <autoFilter ref="A1:D26" xr:uid="{42674C26-397A-9E4F-8682-10C3E1468A30}"/>
  <sortState xmlns:xlrd2="http://schemas.microsoft.com/office/spreadsheetml/2017/richdata2" ref="A2:D26">
    <sortCondition ref="A1:A26"/>
  </sortState>
  <tableColumns count="4">
    <tableColumn id="1" xr3:uid="{0A569C55-7D9C-C24A-9024-F7AB3855FF56}" name="Company Name" dataDxfId="41"/>
    <tableColumn id="2" xr3:uid="{1B1A68CC-CDAD-6A42-8D2F-94B74F22258E}" name="HQ Country" dataDxfId="40"/>
    <tableColumn id="3" xr3:uid="{6ACDAAC2-0BEB-7F44-8777-FB7C6D44F0E2}" name="Country Geopolitical Risk Index" dataDxfId="39">
      <calculatedColumnFormula>VLOOKUP(Tabella112[[#This Row],[HQ Country]],'[1]Geopolitical Risk Index'!A2:B148,2,FALSE)</calculatedColumnFormula>
    </tableColumn>
    <tableColumn id="4" xr3:uid="{B4421AB6-9C4A-B342-B854-3705200F444B}" name="HQ Country Risk - Component" dataDxfId="38">
      <calculatedColumnFormula>Tabella112[[#This Row],[Country Geopolitical Risk Index]]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BB8A42-43EE-154F-97F4-4CB478CC6758}" name="Tabella7" displayName="Tabella7" ref="A1:B26" totalsRowShown="0" tableBorderDxfId="54">
  <autoFilter ref="A1:B26" xr:uid="{76BB8A42-43EE-154F-97F4-4CB478CC6758}"/>
  <sortState xmlns:xlrd2="http://schemas.microsoft.com/office/spreadsheetml/2017/richdata2" ref="A2:B26">
    <sortCondition ref="A1:A26"/>
  </sortState>
  <tableColumns count="2">
    <tableColumn id="1" xr3:uid="{C41DD8CD-4E04-E54A-AAD2-0AF392B640A4}" name="Company Name" dataDxfId="53"/>
    <tableColumn id="2" xr3:uid="{2E9378D4-70A0-7143-A77C-CE7608813C88}" name="Revenue Exposure - Component" dataDxfId="7">
      <calculatedColumnFormula>[5]!Tabella2[[#This Row],[Revenue Exposure - Intermediate Component]]*[5]!Tabella2[[#This Row],[HHI Index - Submultiplier]]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F8D28A-684A-7147-A5A4-D17ACFA8B479}" name="Tabella8" displayName="Tabella8" ref="A1:B26" totalsRowShown="0" dataDxfId="37">
  <autoFilter ref="A1:B26" xr:uid="{F0F8D28A-684A-7147-A5A4-D17ACFA8B479}"/>
  <sortState xmlns:xlrd2="http://schemas.microsoft.com/office/spreadsheetml/2017/richdata2" ref="A2:B26">
    <sortCondition ref="A1:A26"/>
  </sortState>
  <tableColumns count="2">
    <tableColumn id="1" xr3:uid="{7CCBD08B-A76A-A543-8D03-3BBEA51248D9}" name="Company Name" dataDxfId="36"/>
    <tableColumn id="2" xr3:uid="{B166E128-2A16-014E-8A4D-DAA9AFA70404}" name="Supply Chain Risk - Component" dataDxfId="35">
      <calculatedColumnFormula>[2]!Tabella26[[#This Row],[Supply Chain Exposure - Final Component]]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867BAD-2CF4-3746-9952-18BAA3702466}" name="Tabella9" displayName="Tabella9" ref="A1:B26" totalsRowShown="0" headerRowDxfId="34" dataDxfId="33">
  <autoFilter ref="A1:B26" xr:uid="{34867BAD-2CF4-3746-9952-18BAA3702466}"/>
  <sortState xmlns:xlrd2="http://schemas.microsoft.com/office/spreadsheetml/2017/richdata2" ref="A2:B26">
    <sortCondition ref="A1:A26"/>
  </sortState>
  <tableColumns count="2">
    <tableColumn id="1" xr3:uid="{6DC5BA83-F6DF-4D47-97AA-A48305A21949}" name="Company Name" dataDxfId="32"/>
    <tableColumn id="2" xr3:uid="{A0FC42C7-A77D-A04F-BD60-12306566686D}" name="Facility Risk - Component" dataDxfId="31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CA97BE3-3CE9-BE4B-9D52-626BC53B8506}" name="Tabella113" displayName="Tabella113" ref="A1:C26" totalsRowShown="0" headerRowDxfId="4" dataDxfId="3">
  <autoFilter ref="A1:C26" xr:uid="{5CA97BE3-3CE9-BE4B-9D52-626BC53B8506}"/>
  <sortState xmlns:xlrd2="http://schemas.microsoft.com/office/spreadsheetml/2017/richdata2" ref="A2:B26">
    <sortCondition ref="A1:A26"/>
  </sortState>
  <tableColumns count="3">
    <tableColumn id="1" xr3:uid="{FEB05927-7B1C-1247-B0A0-2718AC9AC5CB}" name="Company" dataDxfId="2"/>
    <tableColumn id="2" xr3:uid="{2C68DD3C-C456-D34A-98D6-26A806D0249A}" name="Net Debt/EBITDA 2024" dataDxfId="1"/>
    <tableColumn id="3" xr3:uid="{9566E383-59D0-D642-B087-36EEC689F11E}" name="Financial Exposure" dataDxfId="0">
      <calculatedColumnFormula>IF(B2&lt;-1,2,
IF(B2&lt;0,3,
IF(B2&lt;1,4,
IF(B2&lt;2,5,
IF(B2&lt;3,6,
IF(B2&lt;4,7,
IF(B2&lt;5,8,
IF(B2&lt;6,9,
10))))))))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FFDE3-E73D-F34F-AD9F-E79C098A1189}" name="Tabella14" displayName="Tabella14" ref="A4:B57" totalsRowShown="0" headerRowDxfId="30" dataDxfId="29">
  <autoFilter ref="A4:B57" xr:uid="{DC1FFDE3-E73D-F34F-AD9F-E79C098A1189}"/>
  <sortState xmlns:xlrd2="http://schemas.microsoft.com/office/spreadsheetml/2017/richdata2" ref="A5:B57">
    <sortCondition ref="A5:A57"/>
  </sortState>
  <tableColumns count="2">
    <tableColumn id="1" xr3:uid="{4E635AAD-6014-E148-AA49-974B1E858237}" name="Sector - List" dataDxfId="28"/>
    <tableColumn id="2" xr3:uid="{92E21896-74AD-0B4A-BD90-518C9AFFDB88}" name="S&amp;P Global Industry Risk Assessment Index" dataDxfId="27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0B7D4AB-85BE-E147-B017-D3CB30F75A7B}" name="Tabella211" displayName="Tabella211" ref="D4:H29" totalsRowShown="0" headerRowDxfId="26" dataDxfId="25">
  <autoFilter ref="D4:H29" xr:uid="{F0B7D4AB-85BE-E147-B017-D3CB30F75A7B}"/>
  <sortState xmlns:xlrd2="http://schemas.microsoft.com/office/spreadsheetml/2017/richdata2" ref="D5:H29">
    <sortCondition ref="D4:D29"/>
  </sortState>
  <tableColumns count="5">
    <tableColumn id="1" xr3:uid="{91208F1B-2CB6-854E-A31F-03640EC3B76C}" name="Company Name" dataDxfId="24"/>
    <tableColumn id="2" xr3:uid="{4EE51410-F4A0-FF44-A455-9FA0C5114365}" name="Sector" dataDxfId="23"/>
    <tableColumn id="3" xr3:uid="{5EEAC7B8-4AED-9E46-B2A3-5BA0E496A7CE}" name="S&amp;P Global Industry Risk Assessment" dataDxfId="22">
      <calculatedColumnFormula xml:space="preserve"> VLOOKUP(Tabella211[[#This Row],[Sector]],[4]!Tabella1[#Data],2)</calculatedColumnFormula>
    </tableColumn>
    <tableColumn id="4" xr3:uid="{53EF36AB-CCE1-0943-BE00-8AB5EABB4FE9}" name="S&amp;P Global Industry Risk Assessment - Value" dataDxfId="21">
      <calculatedColumnFormula>IF(F5="Very low risk",1,IF(F5="Low risk",2,IF(F5="Intermediate risk",3,IF(F5="Moderately high risk",4,IF(F5="High risk",5,IF(F5="Very high risk",6, ""))))))</calculatedColumnFormula>
    </tableColumn>
    <tableColumn id="5" xr3:uid="{E3E3A023-AF1B-8C49-A4DB-F1477A9E0915}" name="Sector Risk - Multiplier" dataDxfId="20">
      <calculatedColumnFormula>IF(F5="Very low risk",0.75,IF(F5="Low risk",0.85,IF(F5="Intermediate risk",1,IF(F5="Moderately high risk",1.1,IF(F5="High risk",1.15,IF(F5="Very high risk",1.25, ""))))))</calculatedColumnFormula>
    </tableColumn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084FF-6AE8-AC41-BBCA-DDA3AB28EBC8}" name="Tabella1" displayName="Tabella1" ref="A4:B6526" totalsRowShown="0" headerRowDxfId="19" dataDxfId="17" headerRowBorderDxfId="18" tableBorderDxfId="16">
  <autoFilter ref="A4:B6526" xr:uid="{21C084FF-6AE8-AC41-BBCA-DDA3AB28EBC8}"/>
  <tableColumns count="2">
    <tableColumn id="1" xr3:uid="{9E64E2B8-8E7C-0C49-AB72-0739369D456C}" name="Observation Date" dataDxfId="15"/>
    <tableColumn id="2" xr3:uid="{A8EB1197-2AE8-4443-83B6-8F63AD146E1B}" name="VIX" dataDxfId="1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FFB839-5F71-ED41-A209-53E6FAAE7096}" name="Tabella3" displayName="Tabella3" ref="D4:H29" totalsRowShown="0" headerRowDxfId="13" dataDxfId="12">
  <autoFilter ref="D4:H29" xr:uid="{07FFB839-5F71-ED41-A209-53E6FAAE7096}"/>
  <tableColumns count="5">
    <tableColumn id="1" xr3:uid="{94D22EF3-4773-304D-9942-E367DA2EFF19}" name="Year" dataDxfId="11"/>
    <tableColumn id="2" xr3:uid="{D429AE48-E46C-234E-86C5-6398C39A99AF}" name="VIX" dataDxfId="10">
      <calculatedColumnFormula>AVERAGEIFS($B$5:$B$6526,$A$5:$A$6526,"&gt;="&amp;DATE(D5,1,1),$A$5:$A$6526,"&lt;="&amp;DATE(D5,12,31))</calculatedColumnFormula>
    </tableColumn>
    <tableColumn id="3" xr3:uid="{1E0FA3BA-80B9-E040-B18F-AADA16338E4C}" name="VIX Average" dataDxfId="9">
      <calculatedColumnFormula>AVERAGE(Tabella3[VIX])</calculatedColumnFormula>
    </tableColumn>
    <tableColumn id="4" xr3:uid="{2636A586-7DBB-0C4A-BA3D-94F92362E4F8}" name="Delta %" dataDxfId="8">
      <calculatedColumnFormula>(Tabella3[[#This Row],[VIX]]-Tabella3[[#This Row],[VIX Average]])/Tabella3[[#This Row],[VIX Average]]</calculatedColumnFormula>
    </tableColumn>
    <tableColumn id="5" xr3:uid="{1077B055-A5D0-1D49-AAF9-19DAE124D828}" name="Volatility Risk - Multiplier ( 1 + Delta %)" dataDxfId="6">
      <calculatedColumnFormula xml:space="preserve"> 1 +0.3*Tabella3[[#This Row],[Delta %]]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0DDE-0DC8-934F-9AD6-6C28480967D1}">
  <dimension ref="A1:AF35"/>
  <sheetViews>
    <sheetView workbookViewId="0">
      <selection activeCell="A19" sqref="A19:R19"/>
    </sheetView>
  </sheetViews>
  <sheetFormatPr baseColWidth="10" defaultColWidth="11" defaultRowHeight="16" x14ac:dyDescent="0.2"/>
  <cols>
    <col min="1" max="9" width="11.33203125" style="3" customWidth="1"/>
    <col min="10" max="99" width="12.33203125" style="3" customWidth="1"/>
    <col min="100" max="999" width="13.33203125" style="3" customWidth="1"/>
    <col min="1000" max="9999" width="14.33203125" style="3" customWidth="1"/>
    <col min="10000" max="16384" width="15.33203125" style="3" customWidth="1"/>
  </cols>
  <sheetData>
    <row r="1" spans="1:19" ht="29" x14ac:dyDescent="0.3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4"/>
    </row>
    <row r="2" spans="1:19" ht="17" thickBot="1" x14ac:dyDescent="0.2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28"/>
      <c r="P2" s="28"/>
      <c r="Q2" s="28"/>
      <c r="R2" s="29"/>
    </row>
    <row r="3" spans="1:19" ht="22" customHeight="1" thickTop="1" x14ac:dyDescent="0.3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1"/>
      <c r="S3" s="27"/>
    </row>
    <row r="4" spans="1:19" ht="22" customHeight="1" x14ac:dyDescent="0.3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2"/>
      <c r="P4" s="32"/>
      <c r="Q4" s="32"/>
      <c r="R4" s="33"/>
    </row>
    <row r="5" spans="1:19" ht="22" customHeight="1" x14ac:dyDescent="0.3">
      <c r="A5" s="30" t="s">
        <v>138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4"/>
      <c r="S5" s="27"/>
    </row>
    <row r="6" spans="1:19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3"/>
    </row>
    <row r="7" spans="1:19" ht="19" x14ac:dyDescent="0.25">
      <c r="A7" s="35" t="s">
        <v>2</v>
      </c>
      <c r="B7" s="35"/>
      <c r="C7" s="35"/>
      <c r="D7" s="35"/>
      <c r="E7" s="35"/>
      <c r="F7" s="35"/>
      <c r="G7" s="35"/>
      <c r="H7" s="35"/>
      <c r="I7" s="35"/>
      <c r="J7" s="35"/>
      <c r="K7" s="32"/>
      <c r="L7" s="32"/>
      <c r="M7" s="32"/>
      <c r="N7" s="32"/>
      <c r="O7" s="32"/>
      <c r="P7" s="32"/>
      <c r="Q7" s="32"/>
      <c r="R7" s="33"/>
    </row>
    <row r="8" spans="1:19" ht="17" thickBo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6"/>
    </row>
    <row r="9" spans="1:19" ht="25" thickBot="1" x14ac:dyDescent="0.35">
      <c r="A9" s="69" t="s">
        <v>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37"/>
      <c r="M9" s="37"/>
      <c r="N9" s="37"/>
      <c r="O9" s="37"/>
      <c r="P9" s="37"/>
      <c r="Q9" s="37"/>
      <c r="R9" s="38"/>
    </row>
    <row r="10" spans="1:19" x14ac:dyDescent="0.2">
      <c r="A10" s="65" t="s">
        <v>4</v>
      </c>
      <c r="B10" s="66"/>
      <c r="C10" s="66"/>
      <c r="D10" s="66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8"/>
    </row>
    <row r="11" spans="1:19" ht="16" customHeight="1" thickBot="1" x14ac:dyDescent="0.25">
      <c r="A11" s="67"/>
      <c r="B11" s="68"/>
      <c r="C11" s="68"/>
      <c r="D11" s="68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40"/>
    </row>
    <row r="12" spans="1:19" ht="16" customHeight="1" x14ac:dyDescent="0.2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9"/>
    </row>
    <row r="13" spans="1:19" ht="22" x14ac:dyDescent="0.3">
      <c r="A13" s="71" t="s">
        <v>145</v>
      </c>
      <c r="B13" s="72"/>
      <c r="C13" s="72"/>
      <c r="D13" s="72"/>
      <c r="E13" s="72"/>
      <c r="F13" s="72"/>
      <c r="G13" s="72"/>
      <c r="H13" s="72"/>
      <c r="I13" s="72"/>
      <c r="J13" s="50"/>
      <c r="K13" s="50"/>
      <c r="L13" s="50"/>
      <c r="M13" s="48"/>
      <c r="N13" s="48"/>
      <c r="O13" s="48"/>
      <c r="P13" s="48"/>
      <c r="Q13" s="48"/>
      <c r="R13" s="49"/>
    </row>
    <row r="14" spans="1:19" ht="16" customHeight="1" x14ac:dyDescent="0.3">
      <c r="A14" s="51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48"/>
      <c r="N14" s="48"/>
      <c r="O14" s="48"/>
      <c r="P14" s="48"/>
      <c r="Q14" s="48"/>
      <c r="R14" s="49"/>
    </row>
    <row r="15" spans="1:19" ht="16" customHeight="1" x14ac:dyDescent="0.2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9"/>
    </row>
    <row r="16" spans="1:19" ht="22" x14ac:dyDescent="0.3">
      <c r="A16" s="71" t="s">
        <v>146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48"/>
      <c r="R16" s="49"/>
    </row>
    <row r="17" spans="1:32" ht="16" customHeight="1" x14ac:dyDescent="0.3">
      <c r="A17" s="51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48"/>
      <c r="Q17" s="48"/>
      <c r="R17" s="49"/>
    </row>
    <row r="18" spans="1:32" ht="16" customHeight="1" x14ac:dyDescent="0.2">
      <c r="A18" s="47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9"/>
    </row>
    <row r="19" spans="1:32" ht="22" x14ac:dyDescent="0.3">
      <c r="A19" s="71" t="s">
        <v>147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3"/>
    </row>
    <row r="20" spans="1:32" ht="16" customHeight="1" x14ac:dyDescent="0.3">
      <c r="A20" s="51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49"/>
    </row>
    <row r="21" spans="1:32" ht="16" customHeight="1" x14ac:dyDescent="0.2">
      <c r="A21" s="47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9"/>
    </row>
    <row r="22" spans="1:32" ht="22" x14ac:dyDescent="0.3">
      <c r="A22" s="71" t="s">
        <v>148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3"/>
    </row>
    <row r="23" spans="1:32" ht="22" x14ac:dyDescent="0.3">
      <c r="A23" s="51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49"/>
    </row>
    <row r="24" spans="1:32" ht="16" customHeight="1" x14ac:dyDescent="0.2">
      <c r="A24" s="72" t="s">
        <v>137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82"/>
    </row>
    <row r="25" spans="1:32" ht="16" customHeight="1" x14ac:dyDescent="0.2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82"/>
    </row>
    <row r="26" spans="1:32" ht="16" customHeight="1" thickBot="1" x14ac:dyDescent="0.2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3"/>
    </row>
    <row r="27" spans="1:32" ht="22" x14ac:dyDescent="0.3">
      <c r="A27" s="42" t="s">
        <v>5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4"/>
    </row>
    <row r="28" spans="1:32" ht="23" thickBot="1" x14ac:dyDescent="0.35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1"/>
    </row>
    <row r="29" spans="1:32" ht="22" customHeight="1" x14ac:dyDescent="0.3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5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6" customHeight="1" x14ac:dyDescent="0.2">
      <c r="A30" s="76" t="s">
        <v>6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8"/>
    </row>
    <row r="31" spans="1:32" ht="16" customHeight="1" x14ac:dyDescent="0.2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8"/>
    </row>
    <row r="32" spans="1:32" ht="16" customHeight="1" x14ac:dyDescent="0.2">
      <c r="A32" s="79" t="s">
        <v>7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1"/>
    </row>
    <row r="33" spans="1:18" ht="22" customHeight="1" x14ac:dyDescent="0.2">
      <c r="A33" s="79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1"/>
    </row>
    <row r="34" spans="1:18" ht="22" customHeight="1" x14ac:dyDescent="0.2">
      <c r="A34" s="79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1"/>
    </row>
    <row r="35" spans="1:18" ht="23" thickBot="1" x14ac:dyDescent="0.35">
      <c r="A35" s="55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7"/>
      <c r="Q35" s="57"/>
      <c r="R35" s="58"/>
    </row>
  </sheetData>
  <mergeCells count="12">
    <mergeCell ref="A32:R34"/>
    <mergeCell ref="A24:R25"/>
    <mergeCell ref="A16:P16"/>
    <mergeCell ref="A19:R19"/>
    <mergeCell ref="A29:Q29"/>
    <mergeCell ref="A22:R22"/>
    <mergeCell ref="A30:R31"/>
    <mergeCell ref="A2:N2"/>
    <mergeCell ref="A1:R1"/>
    <mergeCell ref="A10:D11"/>
    <mergeCell ref="A9:K9"/>
    <mergeCell ref="A13:I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9245-A763-104E-BFC6-88FA4AB943E9}">
  <sheetPr>
    <tabColor theme="4" tint="0.59999389629810485"/>
  </sheetPr>
  <dimension ref="A1:I27"/>
  <sheetViews>
    <sheetView workbookViewId="0">
      <selection activeCell="A18" sqref="A18"/>
    </sheetView>
  </sheetViews>
  <sheetFormatPr baseColWidth="10" defaultColWidth="10.83203125" defaultRowHeight="19" x14ac:dyDescent="0.25"/>
  <cols>
    <col min="1" max="2" width="18.6640625" style="1" customWidth="1"/>
    <col min="3" max="3" width="20.6640625" style="1" customWidth="1"/>
    <col min="4" max="4" width="24.6640625" style="1" customWidth="1"/>
    <col min="5" max="5" width="28" style="1" customWidth="1"/>
    <col min="6" max="6" width="22" style="1" bestFit="1" customWidth="1"/>
    <col min="7" max="7" width="15.6640625" style="1" customWidth="1"/>
    <col min="8" max="8" width="18.6640625" style="1" customWidth="1"/>
    <col min="9" max="9" width="16.5" style="1" bestFit="1" customWidth="1"/>
    <col min="10" max="16384" width="10.83203125" style="1"/>
  </cols>
  <sheetData>
    <row r="1" spans="1:9" ht="22" x14ac:dyDescent="0.3">
      <c r="A1" s="11"/>
      <c r="B1" s="83" t="s">
        <v>8</v>
      </c>
      <c r="C1" s="83"/>
      <c r="D1" s="83"/>
      <c r="E1" s="83"/>
      <c r="F1" s="83"/>
      <c r="G1" s="83" t="s">
        <v>9</v>
      </c>
      <c r="H1" s="83"/>
      <c r="I1" s="11"/>
    </row>
    <row r="2" spans="1:9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6" t="s">
        <v>132</v>
      </c>
      <c r="G2" s="1" t="s">
        <v>15</v>
      </c>
      <c r="H2" s="1" t="s">
        <v>16</v>
      </c>
      <c r="I2" s="10" t="s">
        <v>17</v>
      </c>
    </row>
    <row r="3" spans="1:9" x14ac:dyDescent="0.25">
      <c r="A3" s="2" t="s">
        <v>31</v>
      </c>
      <c r="B3" s="12">
        <f>'HQ Country Risk'!D2</f>
        <v>3.42</v>
      </c>
      <c r="C3" s="12">
        <f>'Revenue Exposure'!B2</f>
        <v>3.3948194835522369</v>
      </c>
      <c r="D3" s="12">
        <f>'Supply Chain Exposure'!B2</f>
        <v>3.6559788612969721</v>
      </c>
      <c r="E3" s="12">
        <f>'Facility Sites Location Risk'!B2</f>
        <v>0</v>
      </c>
      <c r="F3" s="1">
        <f>'Financial Exposure'!C2</f>
        <v>5</v>
      </c>
      <c r="G3" s="1">
        <f>'Sector Risk Multiplier'!H5</f>
        <v>1.1000000000000001</v>
      </c>
      <c r="H3" s="12">
        <f>'Volatility Risk Multiplier'!$H$29</f>
        <v>0.9348282637706109</v>
      </c>
      <c r="I3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3.3684382124942505</v>
      </c>
    </row>
    <row r="4" spans="1:9" x14ac:dyDescent="0.25">
      <c r="A4" s="2" t="s">
        <v>29</v>
      </c>
      <c r="B4" s="12">
        <f>'HQ Country Risk'!D3</f>
        <v>4.1900000000000004</v>
      </c>
      <c r="C4" s="12">
        <f>'Revenue Exposure'!B3</f>
        <v>6.0438157732721729</v>
      </c>
      <c r="D4" s="12">
        <f>'Supply Chain Exposure'!B3</f>
        <v>4.2231945088433331</v>
      </c>
      <c r="E4" s="12">
        <f>'Facility Sites Location Risk'!B3</f>
        <v>4.0365251351892653</v>
      </c>
      <c r="F4" s="1">
        <f>'Financial Exposure'!C3</f>
        <v>4</v>
      </c>
      <c r="G4" s="1">
        <f>'Sector Risk Multiplier'!H6</f>
        <v>1</v>
      </c>
      <c r="H4" s="12">
        <f>'Volatility Risk Multiplier'!$H$29</f>
        <v>0.9348282637706109</v>
      </c>
      <c r="I4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4.3008936914018916</v>
      </c>
    </row>
    <row r="5" spans="1:9" x14ac:dyDescent="0.25">
      <c r="A5" s="2" t="s">
        <v>21</v>
      </c>
      <c r="B5" s="12">
        <f>'HQ Country Risk'!D4</f>
        <v>4.1900000000000004</v>
      </c>
      <c r="C5" s="12">
        <f>'Revenue Exposure'!B4</f>
        <v>4.1049432163174231</v>
      </c>
      <c r="D5" s="12">
        <f>'Supply Chain Exposure'!B4</f>
        <v>3.9761124859162744</v>
      </c>
      <c r="E5" s="12">
        <f>'Facility Sites Location Risk'!B4</f>
        <v>4.2493629362936289</v>
      </c>
      <c r="F5" s="1">
        <f>'Financial Exposure'!C4</f>
        <v>3</v>
      </c>
      <c r="G5" s="1">
        <f>'Sector Risk Multiplier'!H7</f>
        <v>1.1000000000000001</v>
      </c>
      <c r="H5" s="12">
        <f>'Volatility Risk Multiplier'!$H$29</f>
        <v>0.9348282637706109</v>
      </c>
      <c r="I5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3.9961900289413967</v>
      </c>
    </row>
    <row r="6" spans="1:9" x14ac:dyDescent="0.25">
      <c r="A6" s="2" t="s">
        <v>50</v>
      </c>
      <c r="B6" s="12">
        <f>'HQ Country Risk'!D5</f>
        <v>3.59</v>
      </c>
      <c r="C6" s="12">
        <f>'Revenue Exposure'!B5</f>
        <v>4.4116251089083942</v>
      </c>
      <c r="D6" s="12">
        <f>'Supply Chain Exposure'!B5</f>
        <v>3.8700067027664677</v>
      </c>
      <c r="E6" s="12">
        <f>'Facility Sites Location Risk'!B5</f>
        <v>3.9969190000000001</v>
      </c>
      <c r="F6" s="1">
        <f>'Financial Exposure'!C5</f>
        <v>3</v>
      </c>
      <c r="G6" s="1">
        <f>'Sector Risk Multiplier'!H8</f>
        <v>1.1000000000000001</v>
      </c>
      <c r="H6" s="12">
        <f>'Volatility Risk Multiplier'!$H$29</f>
        <v>0.9348282637706109</v>
      </c>
      <c r="I6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3.9162670553676708</v>
      </c>
    </row>
    <row r="7" spans="1:9" x14ac:dyDescent="0.25">
      <c r="A7" s="2" t="s">
        <v>52</v>
      </c>
      <c r="B7" s="12">
        <f>'HQ Country Risk'!D6</f>
        <v>3.65</v>
      </c>
      <c r="C7" s="12">
        <f>'Revenue Exposure'!B6</f>
        <v>3.3561259320403041</v>
      </c>
      <c r="D7" s="12">
        <f>'Supply Chain Exposure'!B6</f>
        <v>3.5278254163250766</v>
      </c>
      <c r="E7" s="12">
        <f>'Facility Sites Location Risk'!B6</f>
        <v>0</v>
      </c>
      <c r="F7" s="1">
        <f>'Financial Exposure'!C6</f>
        <v>9</v>
      </c>
      <c r="G7" s="1">
        <f>'Sector Risk Multiplier'!H9</f>
        <v>1.1000000000000001</v>
      </c>
      <c r="H7" s="12">
        <f>'Volatility Risk Multiplier'!$H$29</f>
        <v>0.9348282637706109</v>
      </c>
      <c r="I7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4.1836711630119456</v>
      </c>
    </row>
    <row r="8" spans="1:9" x14ac:dyDescent="0.25">
      <c r="A8" s="2" t="s">
        <v>53</v>
      </c>
      <c r="B8" s="12">
        <f>'HQ Country Risk'!D7</f>
        <v>4.1900000000000004</v>
      </c>
      <c r="C8" s="12">
        <f>'Revenue Exposure'!B7</f>
        <v>4.1002007312436222</v>
      </c>
      <c r="D8" s="12">
        <f>'Supply Chain Exposure'!B7</f>
        <v>4.3884561218946878</v>
      </c>
      <c r="E8" s="12">
        <f>'Facility Sites Location Risk'!B7</f>
        <v>3.9675000000000002</v>
      </c>
      <c r="F8" s="1">
        <f>'Financial Exposure'!C7</f>
        <v>6</v>
      </c>
      <c r="G8" s="1">
        <f>'Sector Risk Multiplier'!H10</f>
        <v>0.85</v>
      </c>
      <c r="H8" s="12">
        <f>'Volatility Risk Multiplier'!$H$29</f>
        <v>0.9348282637706109</v>
      </c>
      <c r="I8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3.6121024020636936</v>
      </c>
    </row>
    <row r="9" spans="1:9" x14ac:dyDescent="0.25">
      <c r="A9" s="2" t="s">
        <v>128</v>
      </c>
      <c r="B9" s="12">
        <f>'HQ Country Risk'!D8</f>
        <v>3.84</v>
      </c>
      <c r="C9" s="12">
        <f>'Revenue Exposure'!B8</f>
        <v>3.9368104426669146</v>
      </c>
      <c r="D9" s="12">
        <f>'Supply Chain Exposure'!B8</f>
        <v>3.6504162113846532</v>
      </c>
      <c r="E9" s="12">
        <f>'Facility Sites Location Risk'!B8</f>
        <v>0</v>
      </c>
      <c r="F9" s="1">
        <f>'Financial Exposure'!C8</f>
        <v>5</v>
      </c>
      <c r="G9" s="1">
        <f>'Sector Risk Multiplier'!H11</f>
        <v>1.1000000000000001</v>
      </c>
      <c r="H9" s="12">
        <f>'Volatility Risk Multiplier'!$H$29</f>
        <v>0.9348282637706109</v>
      </c>
      <c r="I9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3.5711256060290415</v>
      </c>
    </row>
    <row r="10" spans="1:9" x14ac:dyDescent="0.25">
      <c r="A10" s="2" t="s">
        <v>25</v>
      </c>
      <c r="B10" s="12">
        <f>'HQ Country Risk'!D9</f>
        <v>4.1900000000000004</v>
      </c>
      <c r="C10" s="12">
        <f>'Revenue Exposure'!B9</f>
        <v>5.0981045185174132</v>
      </c>
      <c r="D10" s="12">
        <f>'Supply Chain Exposure'!B9</f>
        <v>3.7340613507382772</v>
      </c>
      <c r="E10" s="12">
        <f>'Facility Sites Location Risk'!B9</f>
        <v>4.2394476591267756</v>
      </c>
      <c r="F10" s="1">
        <f>'Financial Exposure'!C9</f>
        <v>3</v>
      </c>
      <c r="G10" s="1">
        <f>'Sector Risk Multiplier'!H12</f>
        <v>1.1000000000000001</v>
      </c>
      <c r="H10" s="12">
        <f>'Volatility Risk Multiplier'!$H$29</f>
        <v>0.9348282637706109</v>
      </c>
      <c r="I10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4.1877543591883581</v>
      </c>
    </row>
    <row r="11" spans="1:9" x14ac:dyDescent="0.25">
      <c r="A11" s="2" t="s">
        <v>49</v>
      </c>
      <c r="B11" s="12">
        <f>'HQ Country Risk'!D10</f>
        <v>4.1900000000000004</v>
      </c>
      <c r="C11" s="12">
        <f>'Revenue Exposure'!B10</f>
        <v>5.041123077931009</v>
      </c>
      <c r="D11" s="12">
        <f>'Supply Chain Exposure'!B10</f>
        <v>4.2350891133807318</v>
      </c>
      <c r="E11" s="12">
        <f>'Facility Sites Location Risk'!B10</f>
        <v>0</v>
      </c>
      <c r="F11" s="1">
        <f>'Financial Exposure'!C10</f>
        <v>3</v>
      </c>
      <c r="G11" s="1">
        <f>'Sector Risk Multiplier'!H13</f>
        <v>1.1000000000000001</v>
      </c>
      <c r="H11" s="12">
        <f>'Volatility Risk Multiplier'!$H$29</f>
        <v>0.9348282637706109</v>
      </c>
      <c r="I11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3.6479881419686411</v>
      </c>
    </row>
    <row r="12" spans="1:9" x14ac:dyDescent="0.25">
      <c r="A12" s="2" t="s">
        <v>33</v>
      </c>
      <c r="B12" s="12">
        <f>'HQ Country Risk'!D11</f>
        <v>3.65</v>
      </c>
      <c r="C12" s="12">
        <f>'Revenue Exposure'!B11</f>
        <v>4.0242963704895498</v>
      </c>
      <c r="D12" s="12">
        <f>'Supply Chain Exposure'!B11</f>
        <v>3.5876771645061005</v>
      </c>
      <c r="E12" s="12">
        <f>'Facility Sites Location Risk'!B11</f>
        <v>4.110906637345062</v>
      </c>
      <c r="F12" s="1">
        <f>'Financial Exposure'!C11</f>
        <v>4</v>
      </c>
      <c r="G12" s="1">
        <f>'Sector Risk Multiplier'!H14</f>
        <v>0.85</v>
      </c>
      <c r="H12" s="12">
        <f>'Volatility Risk Multiplier'!$H$29</f>
        <v>0.9348282637706109</v>
      </c>
      <c r="I12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3.0728365669535025</v>
      </c>
    </row>
    <row r="13" spans="1:9" x14ac:dyDescent="0.25">
      <c r="A13" s="2" t="s">
        <v>35</v>
      </c>
      <c r="B13" s="12">
        <f>'HQ Country Risk'!D12</f>
        <v>3.65</v>
      </c>
      <c r="C13" s="12">
        <f>'Revenue Exposure'!B12</f>
        <v>4.0610136651551283</v>
      </c>
      <c r="D13" s="12">
        <f>'Supply Chain Exposure'!B12</f>
        <v>3.458849018180282</v>
      </c>
      <c r="E13" s="12">
        <f>'Facility Sites Location Risk'!B12</f>
        <v>3.7645546336099174</v>
      </c>
      <c r="F13" s="1">
        <f>'Financial Exposure'!C12</f>
        <v>5</v>
      </c>
      <c r="G13" s="1">
        <f>'Sector Risk Multiplier'!H15</f>
        <v>1</v>
      </c>
      <c r="H13" s="12">
        <f>'Volatility Risk Multiplier'!$H$29</f>
        <v>0.9348282637706109</v>
      </c>
      <c r="I13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3.731973593000057</v>
      </c>
    </row>
    <row r="14" spans="1:9" x14ac:dyDescent="0.25">
      <c r="A14" s="2" t="s">
        <v>23</v>
      </c>
      <c r="B14" s="12">
        <f>'HQ Country Risk'!D13</f>
        <v>4.1900000000000004</v>
      </c>
      <c r="C14" s="12">
        <f>'Revenue Exposure'!B13</f>
        <v>4.0756275288239578</v>
      </c>
      <c r="D14" s="12">
        <f>'Supply Chain Exposure'!B13</f>
        <v>3.6287715504113272</v>
      </c>
      <c r="E14" s="12">
        <f>'Facility Sites Location Risk'!B13</f>
        <v>3.32</v>
      </c>
      <c r="F14" s="1">
        <f>'Financial Exposure'!C13</f>
        <v>3</v>
      </c>
      <c r="G14" s="1">
        <f>'Sector Risk Multiplier'!H16</f>
        <v>1</v>
      </c>
      <c r="H14" s="12">
        <f>'Volatility Risk Multiplier'!$H$29</f>
        <v>0.9348282637706109</v>
      </c>
      <c r="I14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3.4145535010593133</v>
      </c>
    </row>
    <row r="15" spans="1:9" x14ac:dyDescent="0.25">
      <c r="A15" s="2" t="s">
        <v>24</v>
      </c>
      <c r="B15" s="12">
        <f>'HQ Country Risk'!D14</f>
        <v>4.1900000000000004</v>
      </c>
      <c r="C15" s="12">
        <f>'Revenue Exposure'!B14</f>
        <v>5.2124622727051149</v>
      </c>
      <c r="D15" s="12">
        <f>'Supply Chain Exposure'!B14</f>
        <v>4.1209866131937387</v>
      </c>
      <c r="E15" s="12">
        <f>'Facility Sites Location Risk'!B14</f>
        <v>4.0500000000000016</v>
      </c>
      <c r="F15" s="1">
        <f>'Financial Exposure'!C14</f>
        <v>4</v>
      </c>
      <c r="G15" s="1">
        <f>'Sector Risk Multiplier'!H17</f>
        <v>1</v>
      </c>
      <c r="H15" s="12">
        <f>'Volatility Risk Multiplier'!$H$29</f>
        <v>0.9348282637706109</v>
      </c>
      <c r="I15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4.0846032992861065</v>
      </c>
    </row>
    <row r="16" spans="1:9" x14ac:dyDescent="0.25">
      <c r="A16" s="2" t="s">
        <v>36</v>
      </c>
      <c r="B16" s="12">
        <f>'HQ Country Risk'!D15</f>
        <v>3.2</v>
      </c>
      <c r="C16" s="12">
        <f>'Revenue Exposure'!B15</f>
        <v>5.1711360861675111</v>
      </c>
      <c r="D16" s="12">
        <f>'Supply Chain Exposure'!B15</f>
        <v>3.4176085866730359</v>
      </c>
      <c r="E16" s="12">
        <f>'Facility Sites Location Risk'!B15</f>
        <v>3.8971999999999998</v>
      </c>
      <c r="F16" s="1">
        <f>'Financial Exposure'!C15</f>
        <v>4</v>
      </c>
      <c r="G16" s="1">
        <f>'Sector Risk Multiplier'!H18</f>
        <v>0.85</v>
      </c>
      <c r="H16" s="12">
        <f>'Volatility Risk Multiplier'!$H$29</f>
        <v>0.9348282637706109</v>
      </c>
      <c r="I16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3.1877655414293242</v>
      </c>
    </row>
    <row r="17" spans="1:9" x14ac:dyDescent="0.25">
      <c r="A17" s="2" t="s">
        <v>30</v>
      </c>
      <c r="B17" s="12">
        <f>'HQ Country Risk'!D16</f>
        <v>4.1900000000000004</v>
      </c>
      <c r="C17" s="12">
        <f>'Revenue Exposure'!B16</f>
        <v>5.2612344608866266</v>
      </c>
      <c r="D17" s="12">
        <f>'Supply Chain Exposure'!B16</f>
        <v>4.1434830855177376</v>
      </c>
      <c r="E17" s="12">
        <f>'Facility Sites Location Risk'!B16</f>
        <v>4.4000000000000004</v>
      </c>
      <c r="F17" s="1">
        <f>'Financial Exposure'!C16</f>
        <v>3</v>
      </c>
      <c r="G17" s="1">
        <f>'Sector Risk Multiplier'!H19</f>
        <v>1.1000000000000001</v>
      </c>
      <c r="H17" s="12">
        <f>'Volatility Risk Multiplier'!$H$29</f>
        <v>0.9348282637706109</v>
      </c>
      <c r="I17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4.3597093319123825</v>
      </c>
    </row>
    <row r="18" spans="1:9" x14ac:dyDescent="0.25">
      <c r="A18" s="2" t="s">
        <v>26</v>
      </c>
      <c r="B18" s="12">
        <f>'HQ Country Risk'!D17</f>
        <v>4.1900000000000004</v>
      </c>
      <c r="C18" s="12">
        <f>'Revenue Exposure'!B17</f>
        <v>4.5829008442437091</v>
      </c>
      <c r="D18" s="12">
        <f>'Supply Chain Exposure'!B17</f>
        <v>4.2609774057491565</v>
      </c>
      <c r="E18" s="12">
        <f>'Facility Sites Location Risk'!B17</f>
        <v>4.3110533044846564</v>
      </c>
      <c r="F18" s="1">
        <f>'Financial Exposure'!C17</f>
        <v>5</v>
      </c>
      <c r="G18" s="1">
        <f>'Sector Risk Multiplier'!H20</f>
        <v>0.85</v>
      </c>
      <c r="H18" s="12">
        <f>'Volatility Risk Multiplier'!$H$29</f>
        <v>0.9348282637706109</v>
      </c>
      <c r="I18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3.5646950108196451</v>
      </c>
    </row>
    <row r="19" spans="1:9" x14ac:dyDescent="0.25">
      <c r="A19" s="2" t="s">
        <v>38</v>
      </c>
      <c r="B19" s="12">
        <f>'HQ Country Risk'!D18</f>
        <v>5.07</v>
      </c>
      <c r="C19" s="12">
        <f>'Revenue Exposure'!B18</f>
        <v>7.3623067404550397</v>
      </c>
      <c r="D19" s="12">
        <f>'Supply Chain Exposure'!B18</f>
        <v>5.8345159844228309</v>
      </c>
      <c r="E19" s="12">
        <f>'Facility Sites Location Risk'!B18</f>
        <v>5.07</v>
      </c>
      <c r="F19" s="1">
        <f>'Financial Exposure'!C18</f>
        <v>4</v>
      </c>
      <c r="G19" s="1">
        <f>'Sector Risk Multiplier'!H21</f>
        <v>1.1000000000000001</v>
      </c>
      <c r="H19" s="12">
        <f>'Volatility Risk Multiplier'!$H$29</f>
        <v>0.9348282637706109</v>
      </c>
      <c r="I19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5.7793198309089311</v>
      </c>
    </row>
    <row r="20" spans="1:9" x14ac:dyDescent="0.25">
      <c r="A20" s="2" t="s">
        <v>27</v>
      </c>
      <c r="B20" s="12">
        <f>'HQ Country Risk'!D19</f>
        <v>3.57</v>
      </c>
      <c r="C20" s="12">
        <f>'Revenue Exposure'!B19</f>
        <v>4.0305108185247978</v>
      </c>
      <c r="D20" s="12">
        <f>'Supply Chain Exposure'!B19</f>
        <v>3.9049290180419716</v>
      </c>
      <c r="E20" s="12">
        <f>'Facility Sites Location Risk'!B19</f>
        <v>4.0176366050454497</v>
      </c>
      <c r="F20" s="1">
        <f>'Financial Exposure'!C19</f>
        <v>2</v>
      </c>
      <c r="G20" s="1">
        <f>'Sector Risk Multiplier'!H22</f>
        <v>1.1000000000000001</v>
      </c>
      <c r="H20" s="12">
        <f>'Volatility Risk Multiplier'!$H$29</f>
        <v>0.9348282637706109</v>
      </c>
      <c r="I20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3.6217172636911781</v>
      </c>
    </row>
    <row r="21" spans="1:9" x14ac:dyDescent="0.25">
      <c r="A21" s="2" t="s">
        <v>40</v>
      </c>
      <c r="B21" s="12">
        <f>'HQ Country Risk'!D20</f>
        <v>4.1900000000000004</v>
      </c>
      <c r="C21" s="12">
        <f>'Revenue Exposure'!B20</f>
        <v>4.3659773288524724</v>
      </c>
      <c r="D21" s="12">
        <f>'Supply Chain Exposure'!B20</f>
        <v>3.8569461207997797</v>
      </c>
      <c r="E21" s="12">
        <f>'Facility Sites Location Risk'!B20</f>
        <v>0</v>
      </c>
      <c r="F21" s="1">
        <f>'Financial Exposure'!C20</f>
        <v>3</v>
      </c>
      <c r="G21" s="1">
        <f>'Sector Risk Multiplier'!H23</f>
        <v>1</v>
      </c>
      <c r="H21" s="12">
        <f>'Volatility Risk Multiplier'!$H$29</f>
        <v>0.9348282637706109</v>
      </c>
      <c r="I21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3.0701918349314599</v>
      </c>
    </row>
    <row r="22" spans="1:9" x14ac:dyDescent="0.25">
      <c r="A22" s="2" t="s">
        <v>41</v>
      </c>
      <c r="B22" s="12">
        <f>'HQ Country Risk'!D21</f>
        <v>3.38</v>
      </c>
      <c r="C22" s="12">
        <f>'Revenue Exposure'!B21</f>
        <v>3.9318580373530141</v>
      </c>
      <c r="D22" s="12">
        <f>'Supply Chain Exposure'!B21</f>
        <v>3.8860855784142521</v>
      </c>
      <c r="E22" s="12">
        <f>'Facility Sites Location Risk'!B21</f>
        <v>3.6262216221622157</v>
      </c>
      <c r="F22" s="1">
        <f>'Financial Exposure'!C21</f>
        <v>4</v>
      </c>
      <c r="G22" s="1">
        <f>'Sector Risk Multiplier'!H24</f>
        <v>1</v>
      </c>
      <c r="H22" s="12">
        <f>'Volatility Risk Multiplier'!$H$29</f>
        <v>0.9348282637706109</v>
      </c>
      <c r="I22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3.5574133743582519</v>
      </c>
    </row>
    <row r="23" spans="1:9" x14ac:dyDescent="0.25">
      <c r="A23" s="2" t="s">
        <v>43</v>
      </c>
      <c r="B23" s="12">
        <f>'HQ Country Risk'!D22</f>
        <v>4.26</v>
      </c>
      <c r="C23" s="12">
        <f>'Revenue Exposure'!B22</f>
        <v>6.3838241971610312</v>
      </c>
      <c r="D23" s="12">
        <f>'Supply Chain Exposure'!B22</f>
        <v>5.3896557425760863</v>
      </c>
      <c r="E23" s="12">
        <f>'Facility Sites Location Risk'!B22</f>
        <v>0</v>
      </c>
      <c r="F23" s="1">
        <f>'Financial Exposure'!C22</f>
        <v>4</v>
      </c>
      <c r="G23" s="1">
        <f>'Sector Risk Multiplier'!H25</f>
        <v>1</v>
      </c>
      <c r="H23" s="12">
        <f>'Volatility Risk Multiplier'!$H$29</f>
        <v>0.9348282637706109</v>
      </c>
      <c r="I23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4.0967633242165498</v>
      </c>
    </row>
    <row r="24" spans="1:9" x14ac:dyDescent="0.25">
      <c r="A24" s="7" t="s">
        <v>139</v>
      </c>
      <c r="B24" s="12">
        <f>'HQ Country Risk'!D23</f>
        <v>3.65</v>
      </c>
      <c r="C24" s="12">
        <f>'Revenue Exposure'!B23</f>
        <v>3.4740648625929329</v>
      </c>
      <c r="D24" s="12">
        <f>'Supply Chain Exposure'!B23</f>
        <v>3.657192275375666</v>
      </c>
      <c r="E24" s="12">
        <f>'Facility Sites Location Risk'!B23</f>
        <v>4.2137973408541525</v>
      </c>
      <c r="F24" s="1">
        <f>'Financial Exposure'!C23</f>
        <v>4</v>
      </c>
      <c r="G24" s="1">
        <f>'Sector Risk Multiplier'!H26</f>
        <v>1.1000000000000001</v>
      </c>
      <c r="H24" s="12">
        <f>'Volatility Risk Multiplier'!$H$29</f>
        <v>0.9348282637706109</v>
      </c>
      <c r="I24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3.8689010749762174</v>
      </c>
    </row>
    <row r="25" spans="1:9" x14ac:dyDescent="0.25">
      <c r="A25" s="2" t="s">
        <v>45</v>
      </c>
      <c r="B25" s="12">
        <f>'HQ Country Risk'!D24</f>
        <v>3.38</v>
      </c>
      <c r="C25" s="12">
        <f>'Revenue Exposure'!B24</f>
        <v>4.0129565213980154</v>
      </c>
      <c r="D25" s="12">
        <f>'Supply Chain Exposure'!B24</f>
        <v>3.6129971625635133</v>
      </c>
      <c r="E25" s="12">
        <f>'Facility Sites Location Risk'!B24</f>
        <v>4.0088225204318437</v>
      </c>
      <c r="F25" s="1">
        <f>'Financial Exposure'!C24</f>
        <v>2</v>
      </c>
      <c r="G25" s="1">
        <f>'Sector Risk Multiplier'!H27</f>
        <v>1.1000000000000001</v>
      </c>
      <c r="H25" s="12">
        <f>'Volatility Risk Multiplier'!$H$29</f>
        <v>0.9348282637706109</v>
      </c>
      <c r="I25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3.5114888437355436</v>
      </c>
    </row>
    <row r="26" spans="1:9" x14ac:dyDescent="0.25">
      <c r="A26" s="2" t="s">
        <v>46</v>
      </c>
      <c r="B26" s="12">
        <f>'HQ Country Risk'!D25</f>
        <v>4.26</v>
      </c>
      <c r="C26" s="12">
        <f>'Revenue Exposure'!B25</f>
        <v>6.2516869498945535</v>
      </c>
      <c r="D26" s="12">
        <f>'Supply Chain Exposure'!B25</f>
        <v>3.8774537199924923</v>
      </c>
      <c r="E26" s="12">
        <f>'Facility Sites Location Risk'!B25</f>
        <v>3.9969190000000001</v>
      </c>
      <c r="F26" s="1">
        <f>'Financial Exposure'!C25</f>
        <v>3</v>
      </c>
      <c r="G26" s="1">
        <f>'Sector Risk Multiplier'!H28</f>
        <v>1.1000000000000001</v>
      </c>
      <c r="H26" s="12">
        <f>'Volatility Risk Multiplier'!$H$29</f>
        <v>0.9348282637706109</v>
      </c>
      <c r="I26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4.494565781938924</v>
      </c>
    </row>
    <row r="27" spans="1:9" x14ac:dyDescent="0.25">
      <c r="A27" s="2" t="s">
        <v>48</v>
      </c>
      <c r="B27" s="12">
        <f>'HQ Country Risk'!D26</f>
        <v>3.42</v>
      </c>
      <c r="C27" s="12">
        <f>'Revenue Exposure'!B26</f>
        <v>3.4274332673491497</v>
      </c>
      <c r="D27" s="12">
        <f>'Supply Chain Exposure'!B26</f>
        <v>3.7787244828917039</v>
      </c>
      <c r="E27" s="12">
        <f>'Facility Sites Location Risk'!B26</f>
        <v>4.1877050810380814</v>
      </c>
      <c r="F27" s="1">
        <f>'Financial Exposure'!C26</f>
        <v>3</v>
      </c>
      <c r="G27" s="1">
        <f>'Sector Risk Multiplier'!H29</f>
        <v>1.1000000000000001</v>
      </c>
      <c r="H27" s="12">
        <f>'Volatility Risk Multiplier'!$H$29</f>
        <v>0.9348282637706109</v>
      </c>
      <c r="I27" s="14">
        <f>(0.15*Tabella6[[#This Row],[HQ Country Risk]]+0.25*Tabella6[[#This Row],[Revenue Exposure]]+0.25*Tabella6[[#This Row],[Supply Chain Exposure]]+0.15*Tabella6[[#This Row],[Facility Sites Location Risk]]+0.2*Tabella6[[#This Row],[Financial Exposure]]) *Tabella6[[#This Row],[Sector Risk]]*Tabella6[[#This Row],[Volatility Risk]]</f>
        <v>3.6429927628808083</v>
      </c>
    </row>
  </sheetData>
  <mergeCells count="2">
    <mergeCell ref="G1:H1"/>
    <mergeCell ref="B1:F1"/>
  </mergeCells>
  <conditionalFormatting sqref="I3:I27">
    <cfRule type="colorScale" priority="1">
      <colorScale>
        <cfvo type="min"/>
        <cfvo type="percentile" val="50"/>
        <cfvo type="max"/>
        <color rgb="FF00B050"/>
        <color theme="0"/>
        <color rgb="FFFF7D7D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4CAB-0E75-514B-B340-69F252C9BD72}">
  <dimension ref="A1:N29"/>
  <sheetViews>
    <sheetView topLeftCell="E1" workbookViewId="0">
      <selection activeCell="J12" sqref="J12"/>
    </sheetView>
  </sheetViews>
  <sheetFormatPr baseColWidth="10" defaultRowHeight="19" x14ac:dyDescent="0.25"/>
  <cols>
    <col min="1" max="1" width="19.83203125" style="87" bestFit="1" customWidth="1"/>
    <col min="2" max="2" width="17" style="87" bestFit="1" customWidth="1"/>
    <col min="3" max="3" width="18.6640625" style="87" bestFit="1" customWidth="1"/>
    <col min="4" max="4" width="23.33203125" style="87" bestFit="1" customWidth="1"/>
    <col min="5" max="5" width="27.5" style="87" bestFit="1" customWidth="1"/>
    <col min="6" max="6" width="19.5" style="87" bestFit="1" customWidth="1"/>
    <col min="7" max="7" width="34.83203125" style="87" bestFit="1" customWidth="1"/>
    <col min="8" max="9" width="32.5" style="87" bestFit="1" customWidth="1"/>
    <col min="10" max="10" width="18.6640625" style="87" bestFit="1" customWidth="1"/>
    <col min="11" max="11" width="23.33203125" style="87" bestFit="1" customWidth="1"/>
    <col min="12" max="12" width="27.5" style="87" bestFit="1" customWidth="1"/>
    <col min="13" max="14" width="19.5" style="87" bestFit="1" customWidth="1"/>
    <col min="15" max="16384" width="10.83203125" style="87"/>
  </cols>
  <sheetData>
    <row r="1" spans="1:14" x14ac:dyDescent="0.25">
      <c r="A1" s="107" t="s">
        <v>10</v>
      </c>
      <c r="B1" s="106" t="s">
        <v>11</v>
      </c>
      <c r="C1" s="106" t="s">
        <v>12</v>
      </c>
      <c r="D1" s="106" t="s">
        <v>13</v>
      </c>
      <c r="E1" s="106" t="s">
        <v>14</v>
      </c>
      <c r="F1" s="106" t="s">
        <v>132</v>
      </c>
      <c r="G1" s="106" t="s">
        <v>149</v>
      </c>
      <c r="I1" s="108" t="s">
        <v>140</v>
      </c>
      <c r="J1" s="109"/>
      <c r="K1" s="109"/>
      <c r="L1" s="109"/>
      <c r="M1" s="109"/>
      <c r="N1" s="110"/>
    </row>
    <row r="2" spans="1:14" x14ac:dyDescent="0.25">
      <c r="A2" s="89" t="s">
        <v>31</v>
      </c>
      <c r="B2" s="90">
        <v>3.42</v>
      </c>
      <c r="C2" s="90">
        <v>3.3948194835522369</v>
      </c>
      <c r="D2" s="90">
        <v>3.6559788612969721</v>
      </c>
      <c r="E2" s="90">
        <v>0</v>
      </c>
      <c r="F2" s="91">
        <v>5</v>
      </c>
      <c r="G2" s="14">
        <f>L$12*B2+L$13*C2+L$14*D2+L$15*E2+L$16*F2</f>
        <v>2.8396871640588239</v>
      </c>
      <c r="I2" s="111"/>
      <c r="J2" s="101" t="s">
        <v>11</v>
      </c>
      <c r="K2" s="100" t="s">
        <v>12</v>
      </c>
      <c r="L2" s="100" t="s">
        <v>13</v>
      </c>
      <c r="M2" s="100" t="s">
        <v>14</v>
      </c>
      <c r="N2" s="102" t="s">
        <v>132</v>
      </c>
    </row>
    <row r="3" spans="1:14" x14ac:dyDescent="0.25">
      <c r="A3" s="7" t="s">
        <v>29</v>
      </c>
      <c r="B3" s="9">
        <v>4.1900000000000004</v>
      </c>
      <c r="C3" s="9">
        <v>6.0438157732721729</v>
      </c>
      <c r="D3" s="9">
        <v>4.2231945088433331</v>
      </c>
      <c r="E3" s="9">
        <v>4.0365251351892653</v>
      </c>
      <c r="F3" s="6">
        <v>4</v>
      </c>
      <c r="G3" s="14">
        <f t="shared" ref="G3:G26" si="0">L$12*B3+L$13*C3+L$14*D3+L$15*E3+L$16*F3</f>
        <v>4.292132717761576</v>
      </c>
      <c r="I3" s="123" t="s">
        <v>11</v>
      </c>
      <c r="J3" s="112" cm="1">
        <f t="array" ref="J3">CORREL(_xlfn._xlws.FILTER($B2:$B26,ISNUMBER($B2:$B26)*ISNUMBER(B2:B26)),_xlfn._xlws.FILTER(B2:B26,ISNUMBER($B2:$B26)*ISNUMBER(B2:B26)))</f>
        <v>1</v>
      </c>
      <c r="K3" s="112" cm="1">
        <f t="array" ref="K3">CORREL(_xlfn._xlws.FILTER($B2:$B26,ISNUMBER($B2:$B26)*ISNUMBER(C2:C26)),_xlfn._xlws.FILTER(C2:C26,ISNUMBER($B2:$B26)*ISNUMBER(C2:C26)))</f>
        <v>0.70782220278160224</v>
      </c>
      <c r="L3" s="112" cm="1">
        <f t="array" ref="L3">CORREL(_xlfn._xlws.FILTER($B2:$B26,ISNUMBER($B2:$B26)*ISNUMBER(D2:D26)),_xlfn._xlws.FILTER(D2:D26,ISNUMBER($B2:$B26)*ISNUMBER(D2:D26)))</f>
        <v>0.73728628976357735</v>
      </c>
      <c r="M3" s="112" cm="1">
        <f t="array" ref="M3">CORREL(_xlfn._xlws.FILTER($B2:$B26,ISNUMBER($B2:$B26)*ISNUMBER(E2:E26)),_xlfn._xlws.FILTER(E2:E26,ISNUMBER($B2:$B26)*ISNUMBER(E2:E26)))</f>
        <v>7.0792686939762373E-2</v>
      </c>
      <c r="N3" s="113" cm="1">
        <f t="array" ref="N3">CORREL(_xlfn._xlws.FILTER($B2:$B26,ISNUMBER($B2:$B26)*ISNUMBER(F2:F26)),_xlfn._xlws.FILTER(F2:F26,ISNUMBER($B2:$B26)*ISNUMBER(F2:F26)))</f>
        <v>-5.0489285741231432E-2</v>
      </c>
    </row>
    <row r="4" spans="1:14" x14ac:dyDescent="0.25">
      <c r="A4" s="89" t="s">
        <v>21</v>
      </c>
      <c r="B4" s="90">
        <v>4.1900000000000004</v>
      </c>
      <c r="C4" s="90">
        <v>4.1049432163174231</v>
      </c>
      <c r="D4" s="90">
        <v>3.9761124859162744</v>
      </c>
      <c r="E4" s="90">
        <v>4.2493629362936289</v>
      </c>
      <c r="F4" s="91">
        <v>3</v>
      </c>
      <c r="G4" s="14">
        <f t="shared" si="0"/>
        <v>3.8060785567848581</v>
      </c>
      <c r="I4" s="123" t="s">
        <v>12</v>
      </c>
      <c r="J4" s="112" cm="1">
        <f t="array" ref="J4">CORREL(_xlfn._xlws.FILTER($C2:$C26,ISNUMBER($C2:$C26)*ISNUMBER(B2:B26)),_xlfn._xlws.FILTER(B2:B26,ISNUMBER($C2:$C26)*ISNUMBER(B2:B26)))</f>
        <v>0.70782220278160224</v>
      </c>
      <c r="K4" s="112" cm="1">
        <f t="array" ref="K4">CORREL(_xlfn._xlws.FILTER($C2:$C26,ISNUMBER($C2:$C26)*ISNUMBER(C2:C26)),_xlfn._xlws.FILTER(C2:C26,ISNUMBER($C2:$C26)*ISNUMBER(C2:C26)))</f>
        <v>1</v>
      </c>
      <c r="L4" s="112" cm="1">
        <f t="array" ref="L4">CORREL(_xlfn._xlws.FILTER($C2:$C26,ISNUMBER($C2:$C26)*ISNUMBER(D2:D26)),_xlfn._xlws.FILTER(D2:D26,ISNUMBER($C2:$C26)*ISNUMBER(D2:D26)))</f>
        <v>0.73888107373051548</v>
      </c>
      <c r="M4" s="112" cm="1">
        <f t="array" ref="M4">CORREL(_xlfn._xlws.FILTER($C2:$C26,ISNUMBER($C2:$C26)*ISNUMBER(E2:E26)),_xlfn._xlws.FILTER(E2:E26,ISNUMBER($C2:$C26)*ISNUMBER(E2:E26)))</f>
        <v>0.17875779377319617</v>
      </c>
      <c r="N4" s="113" cm="1">
        <f t="array" ref="N4">CORREL(_xlfn._xlws.FILTER($C2:$C26,ISNUMBER($C2:$C26)*ISNUMBER(F2:F26)),_xlfn._xlws.FILTER(F2:F26,ISNUMBER($C2:$C26)*ISNUMBER(F2:F26)))</f>
        <v>-0.22157866239470861</v>
      </c>
    </row>
    <row r="5" spans="1:14" x14ac:dyDescent="0.25">
      <c r="A5" s="7" t="s">
        <v>50</v>
      </c>
      <c r="B5" s="9">
        <v>3.59</v>
      </c>
      <c r="C5" s="9">
        <v>4.4116251089083942</v>
      </c>
      <c r="D5" s="9">
        <v>3.8700067027664677</v>
      </c>
      <c r="E5" s="9">
        <v>3.9969190000000001</v>
      </c>
      <c r="F5" s="6">
        <v>3</v>
      </c>
      <c r="G5" s="14">
        <f t="shared" si="0"/>
        <v>3.6669752330756364</v>
      </c>
      <c r="I5" s="123" t="s">
        <v>13</v>
      </c>
      <c r="J5" s="112" cm="1">
        <f t="array" ref="J5">CORREL(_xlfn._xlws.FILTER($D2:$D26,ISNUMBER($D2:$D26)*ISNUMBER(B2:B26)),_xlfn._xlws.FILTER(B2:B26,ISNUMBER($D2:$D26)*ISNUMBER(B2:B26)))</f>
        <v>0.73728628976357735</v>
      </c>
      <c r="K5" s="112" cm="1">
        <f t="array" ref="K5">CORREL(_xlfn._xlws.FILTER($D2:$D26,ISNUMBER($D2:$D26)*ISNUMBER(C2:C26)),_xlfn._xlws.FILTER(C2:C26,ISNUMBER($D2:$D26)*ISNUMBER(C2:C26)))</f>
        <v>0.73888107373051548</v>
      </c>
      <c r="L5" s="112" cm="1">
        <f t="array" ref="L5">CORREL(_xlfn._xlws.FILTER($D2:$D26,ISNUMBER($D2:$D26)*ISNUMBER(D2:D26)),_xlfn._xlws.FILTER(D2:D26,ISNUMBER($D2:$D26)*ISNUMBER(D2:D26)))</f>
        <v>1</v>
      </c>
      <c r="M5" s="112" cm="1">
        <f t="array" ref="M5">CORREL(_xlfn._xlws.FILTER($D2:$D26,ISNUMBER($D2:$D26)*ISNUMBER(E2:E26)),_xlfn._xlws.FILTER(E2:E26,ISNUMBER($D2:$D26)*ISNUMBER(E2:E26)))</f>
        <v>3.2918525365626707E-2</v>
      </c>
      <c r="N5" s="113" cm="1">
        <f t="array" ref="N5">CORREL(_xlfn._xlws.FILTER($D2:$D26,ISNUMBER($D2:$D26)*ISNUMBER(F2:F26)),_xlfn._xlws.FILTER(F2:F26,ISNUMBER($D2:$D26)*ISNUMBER(F2:F26)))</f>
        <v>-3.7198038311107726E-2</v>
      </c>
    </row>
    <row r="6" spans="1:14" x14ac:dyDescent="0.25">
      <c r="A6" s="89" t="s">
        <v>52</v>
      </c>
      <c r="B6" s="90">
        <v>3.65</v>
      </c>
      <c r="C6" s="90">
        <v>3.3561259320403041</v>
      </c>
      <c r="D6" s="90">
        <v>3.5278254163250766</v>
      </c>
      <c r="E6" s="90">
        <v>0</v>
      </c>
      <c r="F6" s="91">
        <v>9</v>
      </c>
      <c r="G6" s="14">
        <f t="shared" si="0"/>
        <v>4.0761105684934327</v>
      </c>
      <c r="I6" s="123" t="s">
        <v>14</v>
      </c>
      <c r="J6" s="112" cm="1">
        <f t="array" ref="J6">CORREL(_xlfn._xlws.FILTER($E2:$E26,ISNUMBER($E2:$E26)*ISNUMBER(B2:B26)),_xlfn._xlws.FILTER(B2:B26,ISNUMBER($E2:$E26)*ISNUMBER(B2:B26)))</f>
        <v>7.0792686939762373E-2</v>
      </c>
      <c r="K6" s="112" cm="1">
        <f t="array" ref="K6">CORREL(_xlfn._xlws.FILTER($E2:$E26,ISNUMBER($E2:$E26)*ISNUMBER(C2:C26)),_xlfn._xlws.FILTER(C2:C26,ISNUMBER($E2:$E26)*ISNUMBER(C2:C26)))</f>
        <v>0.17875779377319617</v>
      </c>
      <c r="L6" s="112" cm="1">
        <f t="array" ref="L6">CORREL(_xlfn._xlws.FILTER($E2:$E26,ISNUMBER($E2:$E26)*ISNUMBER(D2:D26)),_xlfn._xlws.FILTER(D2:D26,ISNUMBER($E2:$E26)*ISNUMBER(D2:D26)))</f>
        <v>3.2918525365626707E-2</v>
      </c>
      <c r="M6" s="112" cm="1">
        <f t="array" ref="M6">CORREL(_xlfn._xlws.FILTER($E2:$E26,ISNUMBER($E2:$E26)*ISNUMBER(E2:E26)),_xlfn._xlws.FILTER(E2:E26,ISNUMBER($E2:$E26)*ISNUMBER(E2:E26)))</f>
        <v>1</v>
      </c>
      <c r="N6" s="113" cm="1">
        <f t="array" ref="N6">CORREL(_xlfn._xlws.FILTER($E2:$E26,ISNUMBER($E2:$E26)*ISNUMBER(F2:F26)),_xlfn._xlws.FILTER(F2:F26,ISNUMBER($E2:$E26)*ISNUMBER(F2:F26)))</f>
        <v>-0.35668342896906413</v>
      </c>
    </row>
    <row r="7" spans="1:14" x14ac:dyDescent="0.25">
      <c r="A7" s="7" t="s">
        <v>53</v>
      </c>
      <c r="B7" s="9">
        <v>4.1900000000000004</v>
      </c>
      <c r="C7" s="9">
        <v>4.1002007312436222</v>
      </c>
      <c r="D7" s="9">
        <v>4.3884561218946878</v>
      </c>
      <c r="E7" s="9">
        <v>3.9675000000000002</v>
      </c>
      <c r="F7" s="6">
        <v>6</v>
      </c>
      <c r="G7" s="14">
        <f t="shared" si="0"/>
        <v>4.6906488316573807</v>
      </c>
      <c r="I7" s="124" t="s">
        <v>132</v>
      </c>
      <c r="J7" s="114" cm="1">
        <f t="array" ref="J7">CORREL(_xlfn._xlws.FILTER($F2:$F26,ISNUMBER($F2:$F26)*ISNUMBER(B2:B26)),_xlfn._xlws.FILTER(B2:B26,ISNUMBER($F2:$F26)*ISNUMBER(B2:B26)))</f>
        <v>-5.0489285741231432E-2</v>
      </c>
      <c r="K7" s="114" cm="1">
        <f t="array" ref="K7">CORREL(_xlfn._xlws.FILTER($F2:$F26,ISNUMBER($F2:$F26)*ISNUMBER(C2:C26)),_xlfn._xlws.FILTER(C2:C26,ISNUMBER($F2:$F26)*ISNUMBER(C2:C26)))</f>
        <v>-0.22157866239470861</v>
      </c>
      <c r="L7" s="114" cm="1">
        <f t="array" ref="L7">CORREL(_xlfn._xlws.FILTER($F2:$F26,ISNUMBER($F2:$F26)*ISNUMBER(D2:D26)),_xlfn._xlws.FILTER(D2:D26,ISNUMBER($F2:$F26)*ISNUMBER(D2:D26)))</f>
        <v>-3.7198038311107726E-2</v>
      </c>
      <c r="M7" s="114" cm="1">
        <f t="array" ref="M7">CORREL(_xlfn._xlws.FILTER($F2:$F26,ISNUMBER($F2:$F26)*ISNUMBER(E2:E26)),_xlfn._xlws.FILTER(E2:E26,ISNUMBER($F2:$F26)*ISNUMBER(E2:E26)))</f>
        <v>-0.35668342896906413</v>
      </c>
      <c r="N7" s="115" cm="1">
        <f t="array" ref="N7">CORREL(_xlfn._xlws.FILTER($F2:$F26,ISNUMBER($F2:$F26)*ISNUMBER(F2:F26)),_xlfn._xlws.FILTER(F2:F26,ISNUMBER($F2:$F26)*ISNUMBER(F2:F26)))</f>
        <v>1</v>
      </c>
    </row>
    <row r="8" spans="1:14" x14ac:dyDescent="0.25">
      <c r="A8" s="89" t="s">
        <v>128</v>
      </c>
      <c r="B8" s="90">
        <v>3.84</v>
      </c>
      <c r="C8" s="90">
        <v>3.9368104426669146</v>
      </c>
      <c r="D8" s="90">
        <v>3.6504162113846532</v>
      </c>
      <c r="E8" s="90">
        <v>0</v>
      </c>
      <c r="F8" s="91">
        <v>5</v>
      </c>
      <c r="G8" s="14">
        <f t="shared" si="0"/>
        <v>2.9537286303466015</v>
      </c>
    </row>
    <row r="9" spans="1:14" x14ac:dyDescent="0.25">
      <c r="A9" s="7" t="s">
        <v>25</v>
      </c>
      <c r="B9" s="9">
        <v>4.1900000000000004</v>
      </c>
      <c r="C9" s="9">
        <v>5.0981045185174132</v>
      </c>
      <c r="D9" s="9">
        <v>3.7340613507382772</v>
      </c>
      <c r="E9" s="9">
        <v>4.2394476591267756</v>
      </c>
      <c r="F9" s="6">
        <v>3</v>
      </c>
      <c r="G9" s="14">
        <f t="shared" si="0"/>
        <v>3.8808128814983225</v>
      </c>
    </row>
    <row r="10" spans="1:14" x14ac:dyDescent="0.25">
      <c r="A10" s="89" t="s">
        <v>49</v>
      </c>
      <c r="B10" s="90">
        <v>4.1900000000000004</v>
      </c>
      <c r="C10" s="90">
        <v>5.041123077931009</v>
      </c>
      <c r="D10" s="90">
        <v>4.2350891133807318</v>
      </c>
      <c r="E10" s="90">
        <v>0</v>
      </c>
      <c r="F10" s="91">
        <v>3</v>
      </c>
      <c r="G10" s="14">
        <f t="shared" si="0"/>
        <v>2.5850601957529262</v>
      </c>
      <c r="I10" s="121"/>
      <c r="J10" s="103" t="s">
        <v>141</v>
      </c>
      <c r="K10" s="104"/>
      <c r="L10" s="105"/>
      <c r="M10" s="88"/>
    </row>
    <row r="11" spans="1:14" x14ac:dyDescent="0.25">
      <c r="A11" s="7" t="s">
        <v>33</v>
      </c>
      <c r="B11" s="9">
        <v>3.65</v>
      </c>
      <c r="C11" s="9">
        <v>4.0242963704895498</v>
      </c>
      <c r="D11" s="9">
        <v>3.5876771645061005</v>
      </c>
      <c r="E11" s="9">
        <v>4.110906637345062</v>
      </c>
      <c r="F11" s="6">
        <v>4</v>
      </c>
      <c r="G11" s="14">
        <f t="shared" si="0"/>
        <v>3.9379849562373099</v>
      </c>
      <c r="I11" s="111"/>
      <c r="J11" s="116" t="s">
        <v>142</v>
      </c>
      <c r="K11" s="95" t="s">
        <v>143</v>
      </c>
      <c r="L11" s="96" t="s">
        <v>144</v>
      </c>
    </row>
    <row r="12" spans="1:14" x14ac:dyDescent="0.25">
      <c r="A12" s="89" t="s">
        <v>35</v>
      </c>
      <c r="B12" s="90">
        <v>3.65</v>
      </c>
      <c r="C12" s="90">
        <v>4.0610136651551283</v>
      </c>
      <c r="D12" s="90">
        <v>3.458849018180282</v>
      </c>
      <c r="E12" s="90">
        <v>3.7645546336099174</v>
      </c>
      <c r="F12" s="91">
        <v>5</v>
      </c>
      <c r="G12" s="14">
        <f t="shared" si="0"/>
        <v>4.1211730089391931</v>
      </c>
      <c r="I12" s="123" t="s">
        <v>11</v>
      </c>
      <c r="J12" s="117" cm="1">
        <f t="array" ref="J12">+SUM(ABS(J3:N3))-1</f>
        <v>1.5663904652261733</v>
      </c>
      <c r="K12" s="118">
        <f>1/J12</f>
        <v>0.63841042332673326</v>
      </c>
      <c r="L12" s="97">
        <f>K12/SUM(K$12:K$16)</f>
        <v>0.13048179067017932</v>
      </c>
    </row>
    <row r="13" spans="1:14" x14ac:dyDescent="0.25">
      <c r="A13" s="7" t="s">
        <v>23</v>
      </c>
      <c r="B13" s="9">
        <v>4.1900000000000004</v>
      </c>
      <c r="C13" s="9">
        <v>4.0756275288239578</v>
      </c>
      <c r="D13" s="9">
        <v>3.6287715504113272</v>
      </c>
      <c r="E13" s="9">
        <v>3.32</v>
      </c>
      <c r="F13" s="6">
        <v>3</v>
      </c>
      <c r="G13" s="14">
        <f t="shared" si="0"/>
        <v>3.4597359125515807</v>
      </c>
      <c r="I13" s="123" t="s">
        <v>12</v>
      </c>
      <c r="J13" s="113" cm="1">
        <f t="array" ref="J13">+SUM(ABS(J4:N4))-1</f>
        <v>1.8470397326800225</v>
      </c>
      <c r="K13" s="119">
        <f t="shared" ref="K13:K16" si="1">1/J13</f>
        <v>0.54140686976398578</v>
      </c>
      <c r="L13" s="98">
        <f>K13/SUM(K$12:K$16)</f>
        <v>0.11065567739295282</v>
      </c>
    </row>
    <row r="14" spans="1:14" x14ac:dyDescent="0.25">
      <c r="A14" s="89" t="s">
        <v>24</v>
      </c>
      <c r="B14" s="90">
        <v>4.1900000000000004</v>
      </c>
      <c r="C14" s="90">
        <v>5.2124622727051149</v>
      </c>
      <c r="D14" s="90">
        <v>4.1209866131937387</v>
      </c>
      <c r="E14" s="90">
        <v>4.0500000000000016</v>
      </c>
      <c r="F14" s="91">
        <v>4</v>
      </c>
      <c r="G14" s="14">
        <f t="shared" si="0"/>
        <v>4.1909379851074515</v>
      </c>
      <c r="I14" s="123" t="s">
        <v>13</v>
      </c>
      <c r="J14" s="113" cm="1">
        <f t="array" ref="J14">+SUM(ABS(J5:N5))-1</f>
        <v>1.5462839271708271</v>
      </c>
      <c r="K14" s="119">
        <f t="shared" si="1"/>
        <v>0.64671175999976882</v>
      </c>
      <c r="L14" s="98">
        <f>K14/SUM(K$12:K$16)</f>
        <v>0.13217846295884486</v>
      </c>
    </row>
    <row r="15" spans="1:14" x14ac:dyDescent="0.25">
      <c r="A15" s="7" t="s">
        <v>36</v>
      </c>
      <c r="B15" s="9">
        <v>3.2</v>
      </c>
      <c r="C15" s="9">
        <v>5.1711360861675111</v>
      </c>
      <c r="D15" s="9">
        <v>3.4176085866730359</v>
      </c>
      <c r="E15" s="9">
        <v>3.8971999999999998</v>
      </c>
      <c r="F15" s="6">
        <v>4</v>
      </c>
      <c r="G15" s="14">
        <f t="shared" si="0"/>
        <v>3.9153548780963305</v>
      </c>
      <c r="I15" s="123" t="s">
        <v>14</v>
      </c>
      <c r="J15" s="113" cm="1">
        <f t="array" ref="J15">+SUM(ABS(J6:N6))-1</f>
        <v>0.6391524350476494</v>
      </c>
      <c r="K15" s="119">
        <f t="shared" si="1"/>
        <v>1.5645719943560086</v>
      </c>
      <c r="L15" s="98">
        <f>K15/SUM(K$12:K$16)</f>
        <v>0.31977572419976663</v>
      </c>
    </row>
    <row r="16" spans="1:14" x14ac:dyDescent="0.25">
      <c r="A16" s="89" t="s">
        <v>30</v>
      </c>
      <c r="B16" s="90">
        <v>4.1900000000000004</v>
      </c>
      <c r="C16" s="90">
        <v>5.2612344608866266</v>
      </c>
      <c r="D16" s="90">
        <v>4.1434830855177376</v>
      </c>
      <c r="E16" s="90">
        <v>4.4000000000000004</v>
      </c>
      <c r="F16" s="91">
        <v>3</v>
      </c>
      <c r="G16" s="14">
        <f t="shared" si="0"/>
        <v>4.0043216124540564</v>
      </c>
      <c r="I16" s="124" t="s">
        <v>132</v>
      </c>
      <c r="J16" s="115" cm="1">
        <f t="array" ref="J16">+SUM(ABS(J7:N7))-1</f>
        <v>0.66594941541611186</v>
      </c>
      <c r="K16" s="120">
        <f t="shared" si="1"/>
        <v>1.5016155534503473</v>
      </c>
      <c r="L16" s="99">
        <f>K16/SUM(K$12:K$16)</f>
        <v>0.3069083447782564</v>
      </c>
    </row>
    <row r="17" spans="1:10" x14ac:dyDescent="0.25">
      <c r="A17" s="7" t="s">
        <v>26</v>
      </c>
      <c r="B17" s="9">
        <v>4.1900000000000004</v>
      </c>
      <c r="C17" s="9">
        <v>4.5829008442437091</v>
      </c>
      <c r="D17" s="9">
        <v>4.2609774057491565</v>
      </c>
      <c r="E17" s="9">
        <v>4.3110533044846564</v>
      </c>
      <c r="F17" s="6">
        <v>5</v>
      </c>
      <c r="G17" s="14">
        <f t="shared" si="0"/>
        <v>4.5301640608435241</v>
      </c>
    </row>
    <row r="18" spans="1:10" x14ac:dyDescent="0.25">
      <c r="A18" s="89" t="s">
        <v>38</v>
      </c>
      <c r="B18" s="90">
        <v>5.07</v>
      </c>
      <c r="C18" s="90">
        <v>7.3623067404550397</v>
      </c>
      <c r="D18" s="90">
        <v>5.8345159844228309</v>
      </c>
      <c r="E18" s="90">
        <v>5.07</v>
      </c>
      <c r="F18" s="91">
        <v>4</v>
      </c>
      <c r="G18" s="14">
        <f t="shared" si="0"/>
        <v>5.0963173739732284</v>
      </c>
    </row>
    <row r="19" spans="1:10" x14ac:dyDescent="0.25">
      <c r="A19" s="7" t="s">
        <v>27</v>
      </c>
      <c r="B19" s="9">
        <v>3.57</v>
      </c>
      <c r="C19" s="9">
        <v>4.0305108185247978</v>
      </c>
      <c r="D19" s="9">
        <v>3.9049290180419716</v>
      </c>
      <c r="E19" s="9">
        <v>4.0176366050454497</v>
      </c>
      <c r="F19" s="6">
        <v>2</v>
      </c>
      <c r="G19" s="14">
        <f t="shared" si="0"/>
        <v>3.3265257576306184</v>
      </c>
    </row>
    <row r="20" spans="1:10" x14ac:dyDescent="0.25">
      <c r="A20" s="89" t="s">
        <v>40</v>
      </c>
      <c r="B20" s="90">
        <v>4.1900000000000004</v>
      </c>
      <c r="C20" s="90">
        <v>4.3659773288524724</v>
      </c>
      <c r="D20" s="90">
        <v>3.8569461207997797</v>
      </c>
      <c r="E20" s="90">
        <v>0</v>
      </c>
      <c r="F20" s="91">
        <v>3</v>
      </c>
      <c r="G20" s="14">
        <f t="shared" si="0"/>
        <v>2.4603691260116598</v>
      </c>
    </row>
    <row r="21" spans="1:10" x14ac:dyDescent="0.25">
      <c r="A21" s="7" t="s">
        <v>41</v>
      </c>
      <c r="B21" s="9">
        <v>3.38</v>
      </c>
      <c r="C21" s="9">
        <v>3.9318580373530141</v>
      </c>
      <c r="D21" s="9">
        <v>3.8860855784142521</v>
      </c>
      <c r="E21" s="9">
        <v>3.6262216221622157</v>
      </c>
      <c r="F21" s="6">
        <v>4</v>
      </c>
      <c r="G21" s="14">
        <f t="shared" si="0"/>
        <v>3.7769787101315595</v>
      </c>
    </row>
    <row r="22" spans="1:10" x14ac:dyDescent="0.25">
      <c r="A22" s="89" t="s">
        <v>43</v>
      </c>
      <c r="B22" s="90">
        <v>4.26</v>
      </c>
      <c r="C22" s="90">
        <v>6.3838241971610312</v>
      </c>
      <c r="D22" s="90">
        <v>5.3896557425760863</v>
      </c>
      <c r="E22" s="90">
        <v>0</v>
      </c>
      <c r="F22" s="91">
        <v>4</v>
      </c>
      <c r="G22" s="14">
        <f t="shared" si="0"/>
        <v>3.202288610193385</v>
      </c>
    </row>
    <row r="23" spans="1:10" x14ac:dyDescent="0.25">
      <c r="A23" s="7" t="s">
        <v>139</v>
      </c>
      <c r="B23" s="9">
        <v>3.65</v>
      </c>
      <c r="C23" s="9">
        <v>3.4740648625929329</v>
      </c>
      <c r="D23" s="9">
        <v>3.657192275375666</v>
      </c>
      <c r="E23" s="9">
        <v>4.2137973408541525</v>
      </c>
      <c r="F23" s="6">
        <v>4</v>
      </c>
      <c r="G23" s="14">
        <f t="shared" si="0"/>
        <v>3.91918906574326</v>
      </c>
    </row>
    <row r="24" spans="1:10" x14ac:dyDescent="0.25">
      <c r="A24" s="89" t="s">
        <v>45</v>
      </c>
      <c r="B24" s="90">
        <v>3.38</v>
      </c>
      <c r="C24" s="90">
        <v>4.0129565213980154</v>
      </c>
      <c r="D24" s="90">
        <v>3.6129971625635133</v>
      </c>
      <c r="E24" s="90">
        <v>4.0088225204318437</v>
      </c>
      <c r="F24" s="91">
        <v>2</v>
      </c>
      <c r="G24" s="14">
        <f t="shared" si="0"/>
        <v>3.2583861005272232</v>
      </c>
    </row>
    <row r="25" spans="1:10" x14ac:dyDescent="0.25">
      <c r="A25" s="7" t="s">
        <v>46</v>
      </c>
      <c r="B25" s="9">
        <v>4.26</v>
      </c>
      <c r="C25" s="9">
        <v>6.2516869498945535</v>
      </c>
      <c r="D25" s="9">
        <v>3.8774537199924923</v>
      </c>
      <c r="E25" s="9">
        <v>3.9969190000000001</v>
      </c>
      <c r="F25" s="6">
        <v>3</v>
      </c>
      <c r="G25" s="14">
        <f t="shared" si="0"/>
        <v>3.958995657574468</v>
      </c>
    </row>
    <row r="26" spans="1:10" x14ac:dyDescent="0.25">
      <c r="A26" s="92" t="s">
        <v>48</v>
      </c>
      <c r="B26" s="93">
        <v>3.42</v>
      </c>
      <c r="C26" s="93">
        <v>3.4274332673491497</v>
      </c>
      <c r="D26" s="93">
        <v>3.7787244828917039</v>
      </c>
      <c r="E26" s="93">
        <v>4.1877050810380814</v>
      </c>
      <c r="F26" s="94">
        <v>3</v>
      </c>
      <c r="G26" s="14">
        <f t="shared" si="0"/>
        <v>3.5848301274620202</v>
      </c>
    </row>
    <row r="29" spans="1:10" x14ac:dyDescent="0.25">
      <c r="J29" s="122"/>
    </row>
  </sheetData>
  <conditionalFormatting sqref="G2:G26">
    <cfRule type="colorScale" priority="1">
      <colorScale>
        <cfvo type="min"/>
        <cfvo type="percentile" val="50"/>
        <cfvo type="max"/>
        <color rgb="FF00B050"/>
        <color theme="0"/>
        <color rgb="FFFF7D7D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C9B9-AF29-E942-9AB3-1D9F1EB85ABF}">
  <dimension ref="A1:D26"/>
  <sheetViews>
    <sheetView workbookViewId="0">
      <selection activeCell="A24" sqref="A24"/>
    </sheetView>
  </sheetViews>
  <sheetFormatPr baseColWidth="10" defaultColWidth="10.83203125" defaultRowHeight="19" x14ac:dyDescent="0.25"/>
  <cols>
    <col min="1" max="1" width="19" style="1" bestFit="1" customWidth="1"/>
    <col min="2" max="2" width="14.33203125" style="1" customWidth="1"/>
    <col min="3" max="3" width="32.33203125" style="1" customWidth="1"/>
    <col min="4" max="4" width="31.83203125" style="1" customWidth="1"/>
    <col min="5" max="16384" width="10.83203125" style="1"/>
  </cols>
  <sheetData>
    <row r="1" spans="1:4" x14ac:dyDescent="0.25">
      <c r="A1" s="1" t="s">
        <v>10</v>
      </c>
      <c r="B1" s="1" t="s">
        <v>18</v>
      </c>
      <c r="C1" s="1" t="s">
        <v>19</v>
      </c>
      <c r="D1" s="10" t="s">
        <v>20</v>
      </c>
    </row>
    <row r="2" spans="1:4" x14ac:dyDescent="0.25">
      <c r="A2" s="13" t="s">
        <v>31</v>
      </c>
      <c r="B2" s="14" t="s">
        <v>32</v>
      </c>
      <c r="C2" s="14">
        <f>VLOOKUP(Tabella112[[#This Row],[HQ Country]],'[1]Geopolitical Risk Index'!A10:B156,2,FALSE)</f>
        <v>3.42</v>
      </c>
      <c r="D2" s="14">
        <f>Tabella112[[#This Row],[Country Geopolitical Risk Index]]</f>
        <v>3.42</v>
      </c>
    </row>
    <row r="3" spans="1:4" x14ac:dyDescent="0.25">
      <c r="A3" s="13" t="s">
        <v>29</v>
      </c>
      <c r="B3" s="14" t="s">
        <v>22</v>
      </c>
      <c r="C3" s="14">
        <f>VLOOKUP(Tabella112[[#This Row],[HQ Country]],'[1]Geopolitical Risk Index'!A8:B154,2,FALSE)</f>
        <v>4.1900000000000004</v>
      </c>
      <c r="D3" s="14">
        <f>Tabella112[[#This Row],[Country Geopolitical Risk Index]]</f>
        <v>4.1900000000000004</v>
      </c>
    </row>
    <row r="4" spans="1:4" x14ac:dyDescent="0.25">
      <c r="A4" s="13" t="s">
        <v>21</v>
      </c>
      <c r="B4" s="14" t="s">
        <v>22</v>
      </c>
      <c r="C4" s="14">
        <f>VLOOKUP(Tabella112[[#This Row],[HQ Country]],'[1]Geopolitical Risk Index'!A2:B148,2,FALSE)</f>
        <v>4.1900000000000004</v>
      </c>
      <c r="D4" s="14">
        <f>Tabella112[[#This Row],[Country Geopolitical Risk Index]]</f>
        <v>4.1900000000000004</v>
      </c>
    </row>
    <row r="5" spans="1:4" x14ac:dyDescent="0.25">
      <c r="A5" s="13" t="s">
        <v>50</v>
      </c>
      <c r="B5" s="14" t="s">
        <v>51</v>
      </c>
      <c r="C5" s="14">
        <f>VLOOKUP(Tabella112[[#This Row],[HQ Country]],'[1]Geopolitical Risk Index'!A23:B169,2,FALSE)</f>
        <v>3.59</v>
      </c>
      <c r="D5" s="14">
        <f>Tabella112[[#This Row],[Country Geopolitical Risk Index]]</f>
        <v>3.59</v>
      </c>
    </row>
    <row r="6" spans="1:4" x14ac:dyDescent="0.25">
      <c r="A6" s="13" t="s">
        <v>52</v>
      </c>
      <c r="B6" s="14" t="s">
        <v>34</v>
      </c>
      <c r="C6" s="14">
        <f>VLOOKUP(Tabella112[[#This Row],[HQ Country]],'[1]Geopolitical Risk Index'!A24:B170,2,FALSE)</f>
        <v>3.65</v>
      </c>
      <c r="D6" s="14">
        <f>Tabella112[[#This Row],[Country Geopolitical Risk Index]]</f>
        <v>3.65</v>
      </c>
    </row>
    <row r="7" spans="1:4" x14ac:dyDescent="0.25">
      <c r="A7" s="13" t="s">
        <v>53</v>
      </c>
      <c r="B7" s="14" t="s">
        <v>22</v>
      </c>
      <c r="C7" s="14">
        <f>VLOOKUP(Tabella112[[#This Row],[HQ Country]],'[1]Geopolitical Risk Index'!A25:B171,2,FALSE)</f>
        <v>4.1900000000000004</v>
      </c>
      <c r="D7" s="14">
        <f>Tabella112[[#This Row],[Country Geopolitical Risk Index]]</f>
        <v>4.1900000000000004</v>
      </c>
    </row>
    <row r="8" spans="1:4" x14ac:dyDescent="0.25">
      <c r="A8" s="13" t="s">
        <v>128</v>
      </c>
      <c r="B8" s="15" t="s">
        <v>129</v>
      </c>
      <c r="C8" s="14">
        <f>VLOOKUP(Tabella112[[#This Row],[HQ Country]],'[1]Geopolitical Risk Index'!A26:B172,2,FALSE)</f>
        <v>3.84</v>
      </c>
      <c r="D8" s="14">
        <f>Tabella112[[#This Row],[Country Geopolitical Risk Index]]</f>
        <v>3.84</v>
      </c>
    </row>
    <row r="9" spans="1:4" x14ac:dyDescent="0.25">
      <c r="A9" s="13" t="s">
        <v>25</v>
      </c>
      <c r="B9" s="14" t="s">
        <v>22</v>
      </c>
      <c r="C9" s="14">
        <f>VLOOKUP(Tabella112[[#This Row],[HQ Country]],'[1]Geopolitical Risk Index'!A5:B151,2,FALSE)</f>
        <v>4.1900000000000004</v>
      </c>
      <c r="D9" s="14">
        <f>Tabella112[[#This Row],[Country Geopolitical Risk Index]]</f>
        <v>4.1900000000000004</v>
      </c>
    </row>
    <row r="10" spans="1:4" x14ac:dyDescent="0.25">
      <c r="A10" s="13" t="s">
        <v>49</v>
      </c>
      <c r="B10" s="14" t="s">
        <v>22</v>
      </c>
      <c r="C10" s="14">
        <f>VLOOKUP(Tabella112[[#This Row],[HQ Country]],'[1]Geopolitical Risk Index'!A22:B168,2,FALSE)</f>
        <v>4.1900000000000004</v>
      </c>
      <c r="D10" s="14">
        <f>Tabella112[[#This Row],[Country Geopolitical Risk Index]]</f>
        <v>4.1900000000000004</v>
      </c>
    </row>
    <row r="11" spans="1:4" x14ac:dyDescent="0.25">
      <c r="A11" s="13" t="s">
        <v>33</v>
      </c>
      <c r="B11" s="14" t="s">
        <v>34</v>
      </c>
      <c r="C11" s="14">
        <f>VLOOKUP(Tabella112[[#This Row],[HQ Country]],'[1]Geopolitical Risk Index'!A11:B157,2,FALSE)</f>
        <v>3.65</v>
      </c>
      <c r="D11" s="14">
        <f>Tabella112[[#This Row],[Country Geopolitical Risk Index]]</f>
        <v>3.65</v>
      </c>
    </row>
    <row r="12" spans="1:4" x14ac:dyDescent="0.25">
      <c r="A12" s="13" t="s">
        <v>35</v>
      </c>
      <c r="B12" s="14" t="s">
        <v>34</v>
      </c>
      <c r="C12" s="14">
        <f>VLOOKUP(Tabella112[[#This Row],[HQ Country]],'[1]Geopolitical Risk Index'!A12:B158,2,FALSE)</f>
        <v>3.65</v>
      </c>
      <c r="D12" s="14">
        <f>Tabella112[[#This Row],[Country Geopolitical Risk Index]]</f>
        <v>3.65</v>
      </c>
    </row>
    <row r="13" spans="1:4" x14ac:dyDescent="0.25">
      <c r="A13" s="13" t="s">
        <v>23</v>
      </c>
      <c r="B13" s="14" t="s">
        <v>22</v>
      </c>
      <c r="C13" s="14">
        <f>VLOOKUP(Tabella112[[#This Row],[HQ Country]],'[1]Geopolitical Risk Index'!A3:B149,2,FALSE)</f>
        <v>4.1900000000000004</v>
      </c>
      <c r="D13" s="14">
        <f>Tabella112[[#This Row],[Country Geopolitical Risk Index]]</f>
        <v>4.1900000000000004</v>
      </c>
    </row>
    <row r="14" spans="1:4" x14ac:dyDescent="0.25">
      <c r="A14" s="13" t="s">
        <v>24</v>
      </c>
      <c r="B14" s="14" t="s">
        <v>22</v>
      </c>
      <c r="C14" s="14">
        <f>VLOOKUP(Tabella112[[#This Row],[HQ Country]],'[1]Geopolitical Risk Index'!A4:B150,2,FALSE)</f>
        <v>4.1900000000000004</v>
      </c>
      <c r="D14" s="14">
        <f>Tabella112[[#This Row],[Country Geopolitical Risk Index]]</f>
        <v>4.1900000000000004</v>
      </c>
    </row>
    <row r="15" spans="1:4" x14ac:dyDescent="0.25">
      <c r="A15" s="13" t="s">
        <v>36</v>
      </c>
      <c r="B15" s="14" t="s">
        <v>37</v>
      </c>
      <c r="C15" s="14">
        <f>VLOOKUP(Tabella112[[#This Row],[HQ Country]],'[1]Geopolitical Risk Index'!A13:B159,2,FALSE)</f>
        <v>3.2</v>
      </c>
      <c r="D15" s="14">
        <f>Tabella112[[#This Row],[Country Geopolitical Risk Index]]</f>
        <v>3.2</v>
      </c>
    </row>
    <row r="16" spans="1:4" x14ac:dyDescent="0.25">
      <c r="A16" s="13" t="s">
        <v>30</v>
      </c>
      <c r="B16" s="14" t="s">
        <v>22</v>
      </c>
      <c r="C16" s="14">
        <f>VLOOKUP(Tabella112[[#This Row],[HQ Country]],'[1]Geopolitical Risk Index'!A9:B155,2,FALSE)</f>
        <v>4.1900000000000004</v>
      </c>
      <c r="D16" s="14">
        <f>Tabella112[[#This Row],[Country Geopolitical Risk Index]]</f>
        <v>4.1900000000000004</v>
      </c>
    </row>
    <row r="17" spans="1:4" x14ac:dyDescent="0.25">
      <c r="A17" s="13" t="s">
        <v>26</v>
      </c>
      <c r="B17" s="14" t="s">
        <v>22</v>
      </c>
      <c r="C17" s="14">
        <f>VLOOKUP(Tabella112[[#This Row],[HQ Country]],'[1]Geopolitical Risk Index'!A6:B152,2,FALSE)</f>
        <v>4.1900000000000004</v>
      </c>
      <c r="D17" s="14">
        <f>Tabella112[[#This Row],[Country Geopolitical Risk Index]]</f>
        <v>4.1900000000000004</v>
      </c>
    </row>
    <row r="18" spans="1:4" x14ac:dyDescent="0.25">
      <c r="A18" s="13" t="s">
        <v>38</v>
      </c>
      <c r="B18" s="14" t="s">
        <v>39</v>
      </c>
      <c r="C18" s="14">
        <f>VLOOKUP(Tabella112[[#This Row],[HQ Country]],'[1]Geopolitical Risk Index'!A14:B160,2,FALSE)</f>
        <v>5.07</v>
      </c>
      <c r="D18" s="14">
        <f>Tabella112[[#This Row],[Country Geopolitical Risk Index]]</f>
        <v>5.07</v>
      </c>
    </row>
    <row r="19" spans="1:4" x14ac:dyDescent="0.25">
      <c r="A19" s="13" t="s">
        <v>27</v>
      </c>
      <c r="B19" s="14" t="s">
        <v>28</v>
      </c>
      <c r="C19" s="14">
        <f>VLOOKUP(Tabella112[[#This Row],[HQ Country]],'[1]Geopolitical Risk Index'!A7:B153,2,FALSE)</f>
        <v>3.57</v>
      </c>
      <c r="D19" s="14">
        <f>Tabella112[[#This Row],[Country Geopolitical Risk Index]]</f>
        <v>3.57</v>
      </c>
    </row>
    <row r="20" spans="1:4" x14ac:dyDescent="0.25">
      <c r="A20" s="13" t="s">
        <v>40</v>
      </c>
      <c r="B20" s="14" t="s">
        <v>22</v>
      </c>
      <c r="C20" s="14">
        <f>VLOOKUP(Tabella112[[#This Row],[HQ Country]],'[1]Geopolitical Risk Index'!A15:B161,2,FALSE)</f>
        <v>4.1900000000000004</v>
      </c>
      <c r="D20" s="14">
        <f>Tabella112[[#This Row],[Country Geopolitical Risk Index]]</f>
        <v>4.1900000000000004</v>
      </c>
    </row>
    <row r="21" spans="1:4" x14ac:dyDescent="0.25">
      <c r="A21" s="13" t="s">
        <v>41</v>
      </c>
      <c r="B21" s="14" t="s">
        <v>42</v>
      </c>
      <c r="C21" s="14">
        <f>VLOOKUP(Tabella112[[#This Row],[HQ Country]],'[1]Geopolitical Risk Index'!A16:B162,2,FALSE)</f>
        <v>3.38</v>
      </c>
      <c r="D21" s="14">
        <f>Tabella112[[#This Row],[Country Geopolitical Risk Index]]</f>
        <v>3.38</v>
      </c>
    </row>
    <row r="22" spans="1:4" x14ac:dyDescent="0.25">
      <c r="A22" s="13" t="s">
        <v>43</v>
      </c>
      <c r="B22" s="14" t="s">
        <v>44</v>
      </c>
      <c r="C22" s="14">
        <f>VLOOKUP(Tabella112[[#This Row],[HQ Country]],'[1]Geopolitical Risk Index'!A17:B163,2,FALSE)</f>
        <v>4.26</v>
      </c>
      <c r="D22" s="14">
        <f>Tabella112[[#This Row],[Country Geopolitical Risk Index]]</f>
        <v>4.26</v>
      </c>
    </row>
    <row r="23" spans="1:4" x14ac:dyDescent="0.25">
      <c r="A23" s="85" t="s">
        <v>139</v>
      </c>
      <c r="B23" s="14" t="s">
        <v>34</v>
      </c>
      <c r="C23" s="14">
        <f>VLOOKUP(Tabella112[[#This Row],[HQ Country]],'[1]Geopolitical Risk Index'!A18:B164,2,FALSE)</f>
        <v>3.65</v>
      </c>
      <c r="D23" s="14">
        <f>Tabella112[[#This Row],[Country Geopolitical Risk Index]]</f>
        <v>3.65</v>
      </c>
    </row>
    <row r="24" spans="1:4" x14ac:dyDescent="0.25">
      <c r="A24" s="13" t="s">
        <v>45</v>
      </c>
      <c r="B24" s="14" t="s">
        <v>42</v>
      </c>
      <c r="C24" s="14">
        <f>VLOOKUP(Tabella112[[#This Row],[HQ Country]],'[1]Geopolitical Risk Index'!A19:B165,2,FALSE)</f>
        <v>3.38</v>
      </c>
      <c r="D24" s="14">
        <f>Tabella112[[#This Row],[Country Geopolitical Risk Index]]</f>
        <v>3.38</v>
      </c>
    </row>
    <row r="25" spans="1:4" x14ac:dyDescent="0.25">
      <c r="A25" s="13" t="s">
        <v>46</v>
      </c>
      <c r="B25" s="14" t="s">
        <v>47</v>
      </c>
      <c r="C25" s="14">
        <v>4.26</v>
      </c>
      <c r="D25" s="14">
        <f>Tabella112[[#This Row],[Country Geopolitical Risk Index]]</f>
        <v>4.26</v>
      </c>
    </row>
    <row r="26" spans="1:4" x14ac:dyDescent="0.25">
      <c r="A26" s="13" t="s">
        <v>48</v>
      </c>
      <c r="B26" s="14" t="s">
        <v>32</v>
      </c>
      <c r="C26" s="14">
        <f>VLOOKUP(Tabella112[[#This Row],[HQ Country]],'[1]Geopolitical Risk Index'!A21:B167,2,FALSE)</f>
        <v>3.42</v>
      </c>
      <c r="D26" s="14">
        <f>Tabella112[[#This Row],[Country Geopolitical Risk Index]]</f>
        <v>3.42</v>
      </c>
    </row>
  </sheetData>
  <conditionalFormatting sqref="D2:D26">
    <cfRule type="colorScale" priority="1">
      <colorScale>
        <cfvo type="min"/>
        <cfvo type="percentile" val="50"/>
        <cfvo type="max"/>
        <color rgb="FF00B050"/>
        <color theme="0"/>
        <color rgb="FFFF7C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D102-7270-614A-9706-C742585A366B}">
  <dimension ref="A1:B26"/>
  <sheetViews>
    <sheetView workbookViewId="0">
      <selection activeCell="B23" sqref="B23"/>
    </sheetView>
  </sheetViews>
  <sheetFormatPr baseColWidth="10" defaultColWidth="10.83203125" defaultRowHeight="19" x14ac:dyDescent="0.25"/>
  <cols>
    <col min="1" max="1" width="19.83203125" style="1" bestFit="1" customWidth="1"/>
    <col min="2" max="2" width="33.5" style="1" customWidth="1"/>
    <col min="3" max="16384" width="10.83203125" style="1"/>
  </cols>
  <sheetData>
    <row r="1" spans="1:2" x14ac:dyDescent="0.25">
      <c r="A1" s="18" t="s">
        <v>10</v>
      </c>
      <c r="B1" s="10" t="s">
        <v>54</v>
      </c>
    </row>
    <row r="2" spans="1:2" x14ac:dyDescent="0.25">
      <c r="A2" s="13" t="s">
        <v>31</v>
      </c>
      <c r="B2" s="16">
        <f>[5]!Tabella2[[#This Row],[Revenue Exposure - Intermediate Component]]*[5]!Tabella2[[#This Row],[HHI Index - Submultiplier]]</f>
        <v>3.3948194835522369</v>
      </c>
    </row>
    <row r="3" spans="1:2" x14ac:dyDescent="0.25">
      <c r="A3" s="13" t="s">
        <v>29</v>
      </c>
      <c r="B3" s="16">
        <f>[5]!Tabella2[[#This Row],[Revenue Exposure - Intermediate Component]]*[5]!Tabella2[[#This Row],[HHI Index - Submultiplier]]</f>
        <v>6.0438157732721729</v>
      </c>
    </row>
    <row r="4" spans="1:2" x14ac:dyDescent="0.25">
      <c r="A4" s="13" t="s">
        <v>21</v>
      </c>
      <c r="B4" s="16">
        <f>[5]!Tabella2[[#This Row],[Revenue Exposure - Intermediate Component]]*[5]!Tabella2[[#This Row],[HHI Index - Submultiplier]]</f>
        <v>4.1049432163174231</v>
      </c>
    </row>
    <row r="5" spans="1:2" x14ac:dyDescent="0.25">
      <c r="A5" s="13" t="s">
        <v>50</v>
      </c>
      <c r="B5" s="17">
        <f>[5]!Tabella2[[#This Row],[Revenue Exposure - Intermediate Component]]*[5]!Tabella2[[#This Row],[HHI Index - Submultiplier]]</f>
        <v>4.4116251089083942</v>
      </c>
    </row>
    <row r="6" spans="1:2" x14ac:dyDescent="0.25">
      <c r="A6" s="13" t="s">
        <v>52</v>
      </c>
      <c r="B6" s="16">
        <f>[5]!Tabella2[[#This Row],[Revenue Exposure - Intermediate Component]]*[5]!Tabella2[[#This Row],[HHI Index - Submultiplier]]</f>
        <v>3.3561259320403041</v>
      </c>
    </row>
    <row r="7" spans="1:2" x14ac:dyDescent="0.25">
      <c r="A7" s="13" t="s">
        <v>53</v>
      </c>
      <c r="B7" s="17">
        <f>[5]!Tabella2[[#This Row],[Revenue Exposure - Intermediate Component]]*[5]!Tabella2[[#This Row],[HHI Index - Submultiplier]]</f>
        <v>4.1002007312436222</v>
      </c>
    </row>
    <row r="8" spans="1:2" x14ac:dyDescent="0.25">
      <c r="A8" s="13" t="s">
        <v>128</v>
      </c>
      <c r="B8" s="16">
        <f>[5]!Tabella2[[#This Row],[Revenue Exposure - Intermediate Component]]*[5]!Tabella2[[#This Row],[HHI Index - Submultiplier]]</f>
        <v>3.9368104426669146</v>
      </c>
    </row>
    <row r="9" spans="1:2" x14ac:dyDescent="0.25">
      <c r="A9" s="13" t="s">
        <v>25</v>
      </c>
      <c r="B9" s="17">
        <f>[5]!Tabella2[[#This Row],[Revenue Exposure - Intermediate Component]]*[5]!Tabella2[[#This Row],[HHI Index - Submultiplier]]</f>
        <v>5.0981045185174132</v>
      </c>
    </row>
    <row r="10" spans="1:2" x14ac:dyDescent="0.25">
      <c r="A10" s="13" t="s">
        <v>49</v>
      </c>
      <c r="B10" s="16">
        <f>[5]!Tabella2[[#This Row],[Revenue Exposure - Intermediate Component]]*[5]!Tabella2[[#This Row],[HHI Index - Submultiplier]]</f>
        <v>5.041123077931009</v>
      </c>
    </row>
    <row r="11" spans="1:2" x14ac:dyDescent="0.25">
      <c r="A11" s="13" t="s">
        <v>33</v>
      </c>
      <c r="B11" s="17">
        <f>[5]!Tabella2[[#This Row],[Revenue Exposure - Intermediate Component]]*[5]!Tabella2[[#This Row],[HHI Index - Submultiplier]]</f>
        <v>4.0242963704895498</v>
      </c>
    </row>
    <row r="12" spans="1:2" x14ac:dyDescent="0.25">
      <c r="A12" s="13" t="s">
        <v>35</v>
      </c>
      <c r="B12" s="16">
        <f>[5]!Tabella2[[#This Row],[Revenue Exposure - Intermediate Component]]*[5]!Tabella2[[#This Row],[HHI Index - Submultiplier]]</f>
        <v>4.0610136651551283</v>
      </c>
    </row>
    <row r="13" spans="1:2" x14ac:dyDescent="0.25">
      <c r="A13" s="13" t="s">
        <v>23</v>
      </c>
      <c r="B13" s="17">
        <f>[5]!Tabella2[[#This Row],[Revenue Exposure - Intermediate Component]]*[5]!Tabella2[[#This Row],[HHI Index - Submultiplier]]</f>
        <v>4.0756275288239578</v>
      </c>
    </row>
    <row r="14" spans="1:2" x14ac:dyDescent="0.25">
      <c r="A14" s="13" t="s">
        <v>24</v>
      </c>
      <c r="B14" s="16">
        <f>[5]!Tabella2[[#This Row],[Revenue Exposure - Intermediate Component]]*[5]!Tabella2[[#This Row],[HHI Index - Submultiplier]]</f>
        <v>5.2124622727051149</v>
      </c>
    </row>
    <row r="15" spans="1:2" x14ac:dyDescent="0.25">
      <c r="A15" s="13" t="s">
        <v>36</v>
      </c>
      <c r="B15" s="17">
        <f>[5]!Tabella2[[#This Row],[Revenue Exposure - Intermediate Component]]*[5]!Tabella2[[#This Row],[HHI Index - Submultiplier]]</f>
        <v>5.1711360861675111</v>
      </c>
    </row>
    <row r="16" spans="1:2" x14ac:dyDescent="0.25">
      <c r="A16" s="13" t="s">
        <v>30</v>
      </c>
      <c r="B16" s="17">
        <f>[5]!Tabella2[[#This Row],[Revenue Exposure - Intermediate Component]]*[5]!Tabella2[[#This Row],[HHI Index - Submultiplier]]</f>
        <v>5.2612344608866266</v>
      </c>
    </row>
    <row r="17" spans="1:2" x14ac:dyDescent="0.25">
      <c r="A17" s="13" t="s">
        <v>26</v>
      </c>
      <c r="B17" s="16">
        <f>[5]!Tabella2[[#This Row],[Revenue Exposure - Intermediate Component]]*[5]!Tabella2[[#This Row],[HHI Index - Submultiplier]]</f>
        <v>4.5829008442437091</v>
      </c>
    </row>
    <row r="18" spans="1:2" x14ac:dyDescent="0.25">
      <c r="A18" s="13" t="s">
        <v>38</v>
      </c>
      <c r="B18" s="16">
        <f>[5]!Tabella2[[#This Row],[Revenue Exposure - Intermediate Component]]*[5]!Tabella2[[#This Row],[HHI Index - Submultiplier]]</f>
        <v>7.3623067404550397</v>
      </c>
    </row>
    <row r="19" spans="1:2" x14ac:dyDescent="0.25">
      <c r="A19" s="13" t="s">
        <v>27</v>
      </c>
      <c r="B19" s="17">
        <f>[5]!Tabella2[[#This Row],[Revenue Exposure - Intermediate Component]]*[5]!Tabella2[[#This Row],[HHI Index - Submultiplier]]</f>
        <v>4.0305108185247978</v>
      </c>
    </row>
    <row r="20" spans="1:2" x14ac:dyDescent="0.25">
      <c r="A20" s="13" t="s">
        <v>40</v>
      </c>
      <c r="B20" s="17">
        <f>[5]!Tabella2[[#This Row],[Revenue Exposure - Intermediate Component]]*[5]!Tabella2[[#This Row],[HHI Index - Submultiplier]]</f>
        <v>4.3659773288524724</v>
      </c>
    </row>
    <row r="21" spans="1:2" x14ac:dyDescent="0.25">
      <c r="A21" s="13" t="s">
        <v>41</v>
      </c>
      <c r="B21" s="16">
        <f>[5]!Tabella2[[#This Row],[Revenue Exposure - Intermediate Component]]*[5]!Tabella2[[#This Row],[HHI Index - Submultiplier]]</f>
        <v>3.9318580373530141</v>
      </c>
    </row>
    <row r="22" spans="1:2" x14ac:dyDescent="0.25">
      <c r="A22" s="13" t="s">
        <v>43</v>
      </c>
      <c r="B22" s="17">
        <f>[5]!Tabella2[[#This Row],[Revenue Exposure - Intermediate Component]]*[5]!Tabella2[[#This Row],[HHI Index - Submultiplier]]</f>
        <v>6.3838241971610312</v>
      </c>
    </row>
    <row r="23" spans="1:2" x14ac:dyDescent="0.25">
      <c r="A23" s="85" t="s">
        <v>139</v>
      </c>
      <c r="B23" s="16">
        <f>[5]!Tabella2[[#This Row],[Revenue Exposure - Intermediate Component]]*[5]!Tabella2[[#This Row],[HHI Index - Submultiplier]]</f>
        <v>3.4740648625929329</v>
      </c>
    </row>
    <row r="24" spans="1:2" x14ac:dyDescent="0.25">
      <c r="A24" s="13" t="s">
        <v>45</v>
      </c>
      <c r="B24" s="17">
        <f>[5]!Tabella2[[#This Row],[Revenue Exposure - Intermediate Component]]*[5]!Tabella2[[#This Row],[HHI Index - Submultiplier]]</f>
        <v>4.0129565213980154</v>
      </c>
    </row>
    <row r="25" spans="1:2" x14ac:dyDescent="0.25">
      <c r="A25" s="13" t="s">
        <v>46</v>
      </c>
      <c r="B25" s="16">
        <f>[5]!Tabella2[[#This Row],[Revenue Exposure - Intermediate Component]]*[5]!Tabella2[[#This Row],[HHI Index - Submultiplier]]</f>
        <v>6.2516869498945535</v>
      </c>
    </row>
    <row r="26" spans="1:2" x14ac:dyDescent="0.25">
      <c r="A26" s="13" t="s">
        <v>48</v>
      </c>
      <c r="B26" s="17">
        <f>[5]!Tabella2[[#This Row],[Revenue Exposure - Intermediate Component]]*[5]!Tabella2[[#This Row],[HHI Index - Submultiplier]]</f>
        <v>3.4274332673491497</v>
      </c>
    </row>
  </sheetData>
  <conditionalFormatting sqref="B2:B26">
    <cfRule type="colorScale" priority="1">
      <colorScale>
        <cfvo type="min"/>
        <cfvo type="percentile" val="50"/>
        <cfvo type="max"/>
        <color rgb="FF00B050"/>
        <color theme="0"/>
        <color rgb="FFFF7674"/>
      </colorScale>
    </cfRule>
    <cfRule type="colorScale" priority="2">
      <colorScale>
        <cfvo type="min"/>
        <cfvo type="percentile" val="50"/>
        <cfvo type="max"/>
        <color rgb="FF73F187"/>
        <color theme="0"/>
        <color rgb="FFFF7674"/>
      </colorScale>
    </cfRule>
    <cfRule type="colorScale" priority="3">
      <colorScale>
        <cfvo type="min"/>
        <cfvo type="percentile" val="50"/>
        <cfvo type="max"/>
        <color rgb="FF73F187"/>
        <color theme="0"/>
        <color rgb="FFFF7674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9417-419E-7943-8B94-17E85F7B74C8}">
  <dimension ref="A1:B26"/>
  <sheetViews>
    <sheetView workbookViewId="0">
      <selection activeCell="A23" sqref="A23"/>
    </sheetView>
  </sheetViews>
  <sheetFormatPr baseColWidth="10" defaultColWidth="10.83203125" defaultRowHeight="19" x14ac:dyDescent="0.25"/>
  <cols>
    <col min="1" max="1" width="18.6640625" style="1" customWidth="1"/>
    <col min="2" max="2" width="33.5" style="1" customWidth="1"/>
    <col min="3" max="16384" width="10.83203125" style="1"/>
  </cols>
  <sheetData>
    <row r="1" spans="1:2" x14ac:dyDescent="0.25">
      <c r="A1" s="1" t="s">
        <v>10</v>
      </c>
      <c r="B1" s="10" t="s">
        <v>55</v>
      </c>
    </row>
    <row r="2" spans="1:2" x14ac:dyDescent="0.25">
      <c r="A2" s="13" t="s">
        <v>31</v>
      </c>
      <c r="B2" s="19">
        <f>[2]!Tabella26[[#This Row],[Supply Chain Exposure - Final Component]]</f>
        <v>3.6559788612969721</v>
      </c>
    </row>
    <row r="3" spans="1:2" x14ac:dyDescent="0.25">
      <c r="A3" s="13" t="s">
        <v>29</v>
      </c>
      <c r="B3" s="19">
        <f>[2]!Tabella26[[#This Row],[Supply Chain Exposure - Final Component]]</f>
        <v>4.2231945088433331</v>
      </c>
    </row>
    <row r="4" spans="1:2" x14ac:dyDescent="0.25">
      <c r="A4" s="13" t="s">
        <v>21</v>
      </c>
      <c r="B4" s="19">
        <f>[2]!Tabella26[[#This Row],[Supply Chain Exposure - Final Component]]</f>
        <v>3.9761124859162744</v>
      </c>
    </row>
    <row r="5" spans="1:2" x14ac:dyDescent="0.25">
      <c r="A5" s="13" t="s">
        <v>50</v>
      </c>
      <c r="B5" s="19">
        <f>[2]!Tabella26[[#This Row],[Supply Chain Exposure - Final Component]]</f>
        <v>3.8700067027664677</v>
      </c>
    </row>
    <row r="6" spans="1:2" x14ac:dyDescent="0.25">
      <c r="A6" s="13" t="s">
        <v>52</v>
      </c>
      <c r="B6" s="19">
        <f>[2]!Tabella26[[#This Row],[Supply Chain Exposure - Final Component]]</f>
        <v>3.5278254163250766</v>
      </c>
    </row>
    <row r="7" spans="1:2" x14ac:dyDescent="0.25">
      <c r="A7" s="13" t="s">
        <v>53</v>
      </c>
      <c r="B7" s="19">
        <f>[2]!Tabella26[[#This Row],[Supply Chain Exposure - Final Component]]</f>
        <v>4.3884561218946878</v>
      </c>
    </row>
    <row r="8" spans="1:2" x14ac:dyDescent="0.25">
      <c r="A8" s="13" t="s">
        <v>128</v>
      </c>
      <c r="B8" s="19">
        <f>[2]!Tabella26[[#This Row],[Supply Chain Exposure - Final Component]]</f>
        <v>3.6504162113846532</v>
      </c>
    </row>
    <row r="9" spans="1:2" x14ac:dyDescent="0.25">
      <c r="A9" s="13" t="s">
        <v>25</v>
      </c>
      <c r="B9" s="19">
        <f>[2]!Tabella26[[#This Row],[Supply Chain Exposure - Final Component]]</f>
        <v>3.7340613507382772</v>
      </c>
    </row>
    <row r="10" spans="1:2" x14ac:dyDescent="0.25">
      <c r="A10" s="13" t="s">
        <v>49</v>
      </c>
      <c r="B10" s="19">
        <f>[2]!Tabella26[[#This Row],[Supply Chain Exposure - Final Component]]</f>
        <v>4.2350891133807318</v>
      </c>
    </row>
    <row r="11" spans="1:2" x14ac:dyDescent="0.25">
      <c r="A11" s="13" t="s">
        <v>33</v>
      </c>
      <c r="B11" s="19">
        <f>[2]!Tabella26[[#This Row],[Supply Chain Exposure - Final Component]]</f>
        <v>3.5876771645061005</v>
      </c>
    </row>
    <row r="12" spans="1:2" x14ac:dyDescent="0.25">
      <c r="A12" s="13" t="s">
        <v>35</v>
      </c>
      <c r="B12" s="19">
        <f>[2]!Tabella26[[#This Row],[Supply Chain Exposure - Final Component]]</f>
        <v>3.458849018180282</v>
      </c>
    </row>
    <row r="13" spans="1:2" x14ac:dyDescent="0.25">
      <c r="A13" s="13" t="s">
        <v>23</v>
      </c>
      <c r="B13" s="19">
        <f>[2]!Tabella26[[#This Row],[Supply Chain Exposure - Final Component]]</f>
        <v>3.6287715504113272</v>
      </c>
    </row>
    <row r="14" spans="1:2" x14ac:dyDescent="0.25">
      <c r="A14" s="13" t="s">
        <v>24</v>
      </c>
      <c r="B14" s="19">
        <f>[2]!Tabella26[[#This Row],[Supply Chain Exposure - Final Component]]</f>
        <v>4.1209866131937387</v>
      </c>
    </row>
    <row r="15" spans="1:2" x14ac:dyDescent="0.25">
      <c r="A15" s="13" t="s">
        <v>36</v>
      </c>
      <c r="B15" s="19">
        <f>[2]!Tabella26[[#This Row],[Supply Chain Exposure - Final Component]]</f>
        <v>3.4176085866730359</v>
      </c>
    </row>
    <row r="16" spans="1:2" x14ac:dyDescent="0.25">
      <c r="A16" s="13" t="s">
        <v>30</v>
      </c>
      <c r="B16" s="19">
        <f>[2]!Tabella26[[#This Row],[Supply Chain Exposure - Final Component]]</f>
        <v>4.1434830855177376</v>
      </c>
    </row>
    <row r="17" spans="1:2" x14ac:dyDescent="0.25">
      <c r="A17" s="13" t="s">
        <v>26</v>
      </c>
      <c r="B17" s="19">
        <f>[2]!Tabella26[[#This Row],[Supply Chain Exposure - Final Component]]</f>
        <v>4.2609774057491565</v>
      </c>
    </row>
    <row r="18" spans="1:2" x14ac:dyDescent="0.25">
      <c r="A18" s="13" t="s">
        <v>38</v>
      </c>
      <c r="B18" s="19">
        <f>[2]!Tabella26[[#This Row],[Supply Chain Exposure - Final Component]]</f>
        <v>5.8345159844228309</v>
      </c>
    </row>
    <row r="19" spans="1:2" x14ac:dyDescent="0.25">
      <c r="A19" s="13" t="s">
        <v>27</v>
      </c>
      <c r="B19" s="19">
        <f>[2]!Tabella26[[#This Row],[Supply Chain Exposure - Final Component]]</f>
        <v>3.9049290180419716</v>
      </c>
    </row>
    <row r="20" spans="1:2" x14ac:dyDescent="0.25">
      <c r="A20" s="13" t="s">
        <v>40</v>
      </c>
      <c r="B20" s="19">
        <f>[2]!Tabella26[[#This Row],[Supply Chain Exposure - Final Component]]</f>
        <v>3.8569461207997797</v>
      </c>
    </row>
    <row r="21" spans="1:2" x14ac:dyDescent="0.25">
      <c r="A21" s="13" t="s">
        <v>41</v>
      </c>
      <c r="B21" s="19">
        <f>[2]!Tabella26[[#This Row],[Supply Chain Exposure - Final Component]]</f>
        <v>3.8860855784142521</v>
      </c>
    </row>
    <row r="22" spans="1:2" x14ac:dyDescent="0.25">
      <c r="A22" s="13" t="s">
        <v>43</v>
      </c>
      <c r="B22" s="19">
        <f>[2]!Tabella26[[#This Row],[Supply Chain Exposure - Final Component]]</f>
        <v>5.3896557425760863</v>
      </c>
    </row>
    <row r="23" spans="1:2" x14ac:dyDescent="0.25">
      <c r="A23" s="85" t="s">
        <v>139</v>
      </c>
      <c r="B23" s="19">
        <f>[2]!Tabella26[[#This Row],[Supply Chain Exposure - Final Component]]</f>
        <v>3.657192275375666</v>
      </c>
    </row>
    <row r="24" spans="1:2" x14ac:dyDescent="0.25">
      <c r="A24" s="13" t="s">
        <v>45</v>
      </c>
      <c r="B24" s="19">
        <f>[2]!Tabella26[[#This Row],[Supply Chain Exposure - Final Component]]</f>
        <v>3.6129971625635133</v>
      </c>
    </row>
    <row r="25" spans="1:2" x14ac:dyDescent="0.25">
      <c r="A25" s="13" t="s">
        <v>46</v>
      </c>
      <c r="B25" s="19">
        <f>[2]!Tabella26[[#This Row],[Supply Chain Exposure - Final Component]]</f>
        <v>3.8774537199924923</v>
      </c>
    </row>
    <row r="26" spans="1:2" x14ac:dyDescent="0.25">
      <c r="A26" s="13" t="s">
        <v>48</v>
      </c>
      <c r="B26" s="19">
        <f>[2]!Tabella26[[#This Row],[Supply Chain Exposure - Final Component]]</f>
        <v>3.7787244828917039</v>
      </c>
    </row>
  </sheetData>
  <conditionalFormatting sqref="B2:B26">
    <cfRule type="colorScale" priority="1">
      <colorScale>
        <cfvo type="min"/>
        <cfvo type="percentile" val="50"/>
        <cfvo type="max"/>
        <color rgb="FF00B050"/>
        <color theme="0"/>
        <color rgb="FFFF7D7D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7776-3389-0848-8DC9-7D57B8BD697C}">
  <dimension ref="A1:B26"/>
  <sheetViews>
    <sheetView workbookViewId="0">
      <selection activeCell="A8" sqref="A8"/>
    </sheetView>
  </sheetViews>
  <sheetFormatPr baseColWidth="10" defaultColWidth="10.83203125" defaultRowHeight="19" x14ac:dyDescent="0.25"/>
  <cols>
    <col min="1" max="1" width="18.6640625" style="1" customWidth="1"/>
    <col min="2" max="2" width="28" style="1" customWidth="1"/>
    <col min="3" max="16384" width="10.83203125" style="1"/>
  </cols>
  <sheetData>
    <row r="1" spans="1:2" x14ac:dyDescent="0.25">
      <c r="A1" s="1" t="s">
        <v>10</v>
      </c>
      <c r="B1" s="10" t="s">
        <v>56</v>
      </c>
    </row>
    <row r="2" spans="1:2" x14ac:dyDescent="0.25">
      <c r="A2" s="13" t="s">
        <v>31</v>
      </c>
      <c r="B2" s="16">
        <f>'[3]Facility Risk - Allianz'!J9</f>
        <v>0</v>
      </c>
    </row>
    <row r="3" spans="1:2" x14ac:dyDescent="0.25">
      <c r="A3" s="13" t="s">
        <v>29</v>
      </c>
      <c r="B3" s="16">
        <f>'[3]Facility Risk - Amazon'!J9</f>
        <v>4.0365251351892653</v>
      </c>
    </row>
    <row r="4" spans="1:2" x14ac:dyDescent="0.25">
      <c r="A4" s="13" t="s">
        <v>21</v>
      </c>
      <c r="B4" s="16">
        <f>'[3]Facility Risk - Apple'!J9</f>
        <v>4.2493629362936289</v>
      </c>
    </row>
    <row r="5" spans="1:2" x14ac:dyDescent="0.25">
      <c r="A5" s="13" t="s">
        <v>50</v>
      </c>
      <c r="B5" s="17">
        <f>'[3]Facility Risk - ASML'!J9</f>
        <v>3.9969190000000001</v>
      </c>
    </row>
    <row r="6" spans="1:2" x14ac:dyDescent="0.25">
      <c r="A6" s="13" t="s">
        <v>52</v>
      </c>
      <c r="B6" s="16">
        <f>'[3]Facility Risk - BNP'!J9</f>
        <v>0</v>
      </c>
    </row>
    <row r="7" spans="1:2" x14ac:dyDescent="0.25">
      <c r="A7" s="13" t="s">
        <v>53</v>
      </c>
      <c r="B7" s="17">
        <f>'[3]Facility Risk - Eli Lilly'!J9</f>
        <v>3.9675000000000002</v>
      </c>
    </row>
    <row r="8" spans="1:2" x14ac:dyDescent="0.25">
      <c r="A8" s="13" t="s">
        <v>128</v>
      </c>
      <c r="B8" s="16">
        <f>'[3]Facility Risk - Eni'!J9</f>
        <v>0</v>
      </c>
    </row>
    <row r="9" spans="1:2" x14ac:dyDescent="0.25">
      <c r="A9" s="13" t="s">
        <v>25</v>
      </c>
      <c r="B9" s="17">
        <f>'[3]Facility Risk - Ford'!J9</f>
        <v>4.2394476591267756</v>
      </c>
    </row>
    <row r="10" spans="1:2" x14ac:dyDescent="0.25">
      <c r="A10" s="13" t="s">
        <v>49</v>
      </c>
      <c r="B10" s="16">
        <f>'[3]Facility Risk - JP Morgan'!J9</f>
        <v>0</v>
      </c>
    </row>
    <row r="11" spans="1:2" x14ac:dyDescent="0.25">
      <c r="A11" s="13" t="s">
        <v>33</v>
      </c>
      <c r="B11" s="17">
        <f>'[3]Facility Risk - L''Oreal'!J9</f>
        <v>4.110906637345062</v>
      </c>
    </row>
    <row r="12" spans="1:2" x14ac:dyDescent="0.25">
      <c r="A12" s="13" t="s">
        <v>35</v>
      </c>
      <c r="B12" s="16">
        <f>'[3]Facility Risk - LVMH'!J9</f>
        <v>3.7645546336099174</v>
      </c>
    </row>
    <row r="13" spans="1:2" x14ac:dyDescent="0.25">
      <c r="A13" s="13" t="s">
        <v>23</v>
      </c>
      <c r="B13" s="17">
        <f>'[3]Facility Risk - Meta'!J9</f>
        <v>3.32</v>
      </c>
    </row>
    <row r="14" spans="1:2" x14ac:dyDescent="0.25">
      <c r="A14" s="13" t="s">
        <v>24</v>
      </c>
      <c r="B14" s="16">
        <f>'[3]Facility Risk - Microsoft'!J9</f>
        <v>4.0500000000000016</v>
      </c>
    </row>
    <row r="15" spans="1:2" x14ac:dyDescent="0.25">
      <c r="A15" s="13" t="s">
        <v>36</v>
      </c>
      <c r="B15" s="17">
        <f>'[3]Facility Risk - Nordisk'!J9</f>
        <v>3.8971999999999998</v>
      </c>
    </row>
    <row r="16" spans="1:2" x14ac:dyDescent="0.25">
      <c r="A16" s="13" t="s">
        <v>30</v>
      </c>
      <c r="B16" s="17">
        <f>'[3]Facility Risk - NVIDIA'!J9</f>
        <v>4.4000000000000004</v>
      </c>
    </row>
    <row r="17" spans="1:2" x14ac:dyDescent="0.25">
      <c r="A17" s="13" t="s">
        <v>26</v>
      </c>
      <c r="B17" s="16">
        <f>'[3]Facility Risk - P&amp;G'!J9</f>
        <v>4.3110533044846564</v>
      </c>
    </row>
    <row r="18" spans="1:2" x14ac:dyDescent="0.25">
      <c r="A18" s="13" t="s">
        <v>38</v>
      </c>
      <c r="B18" s="16">
        <f>'[3]Facility Risk - Reliance'!J9</f>
        <v>5.07</v>
      </c>
    </row>
    <row r="19" spans="1:2" x14ac:dyDescent="0.25">
      <c r="A19" s="13" t="s">
        <v>27</v>
      </c>
      <c r="B19" s="17">
        <f>'[3]Facility Risk - Samsung'!J9</f>
        <v>4.0176366050454497</v>
      </c>
    </row>
    <row r="20" spans="1:2" x14ac:dyDescent="0.25">
      <c r="A20" s="13" t="s">
        <v>40</v>
      </c>
      <c r="B20" s="17">
        <f>'[3]Facility Risk - SAP'!J9</f>
        <v>0</v>
      </c>
    </row>
    <row r="21" spans="1:2" x14ac:dyDescent="0.25">
      <c r="A21" s="13" t="s">
        <v>41</v>
      </c>
      <c r="B21" s="16">
        <f>'[3]Facility Risk - Sony'!J9</f>
        <v>3.6262216221622157</v>
      </c>
    </row>
    <row r="22" spans="1:2" x14ac:dyDescent="0.25">
      <c r="A22" s="13" t="s">
        <v>43</v>
      </c>
      <c r="B22" s="17">
        <f>'[3]Facility Risk - Tencent'!J9</f>
        <v>0</v>
      </c>
    </row>
    <row r="23" spans="1:2" x14ac:dyDescent="0.25">
      <c r="A23" s="85" t="s">
        <v>139</v>
      </c>
      <c r="B23" s="16">
        <f>'[3]Facility Risk - Total en'!J9</f>
        <v>4.2137973408541525</v>
      </c>
    </row>
    <row r="24" spans="1:2" x14ac:dyDescent="0.25">
      <c r="A24" s="13" t="s">
        <v>45</v>
      </c>
      <c r="B24" s="17">
        <f>'[3]Facility Risk - Toyota'!J9</f>
        <v>4.0088225204318437</v>
      </c>
    </row>
    <row r="25" spans="1:2" x14ac:dyDescent="0.25">
      <c r="A25" s="13" t="s">
        <v>46</v>
      </c>
      <c r="B25" s="16">
        <f>'[3]Facility Risk - ASML'!J9</f>
        <v>3.9969190000000001</v>
      </c>
    </row>
    <row r="26" spans="1:2" x14ac:dyDescent="0.25">
      <c r="A26" s="13" t="s">
        <v>48</v>
      </c>
      <c r="B26" s="17">
        <f>'[3]Facility Risk - VW'!J9</f>
        <v>4.1877050810380814</v>
      </c>
    </row>
  </sheetData>
  <conditionalFormatting sqref="B2:B26">
    <cfRule type="colorScale" priority="1">
      <colorScale>
        <cfvo type="min"/>
        <cfvo type="percentile" val="50"/>
        <cfvo type="max"/>
        <color rgb="FF00B050"/>
        <color theme="0"/>
        <color rgb="FFFF7D7D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298E-A1B9-E446-88BF-7ECB955ACF94}">
  <dimension ref="A1:C26"/>
  <sheetViews>
    <sheetView workbookViewId="0">
      <selection activeCell="C2" sqref="C2"/>
    </sheetView>
  </sheetViews>
  <sheetFormatPr baseColWidth="10" defaultRowHeight="16" x14ac:dyDescent="0.2"/>
  <cols>
    <col min="1" max="1" width="19" bestFit="1" customWidth="1"/>
    <col min="2" max="2" width="25.33203125" bestFit="1" customWidth="1"/>
    <col min="3" max="3" width="22" bestFit="1" customWidth="1"/>
  </cols>
  <sheetData>
    <row r="1" spans="1:3" ht="19" x14ac:dyDescent="0.25">
      <c r="A1" s="6" t="s">
        <v>130</v>
      </c>
      <c r="B1" s="6" t="s">
        <v>131</v>
      </c>
      <c r="C1" s="6" t="s">
        <v>132</v>
      </c>
    </row>
    <row r="2" spans="1:3" ht="19" x14ac:dyDescent="0.25">
      <c r="A2" s="13" t="s">
        <v>31</v>
      </c>
      <c r="B2" s="15">
        <v>1.45</v>
      </c>
      <c r="C2" s="59">
        <f>IF(B2&lt;-1,2,
IF(B2&lt;0,3,
IF(B2&lt;1,4,
IF(B2&lt;2,5,
IF(B2&lt;3,6,
IF(B2&lt;4,7,
IF(B2&lt;5,8,
IF(B2&lt;6,9,
10))))))))</f>
        <v>5</v>
      </c>
    </row>
    <row r="3" spans="1:3" ht="19" x14ac:dyDescent="0.25">
      <c r="A3" s="13" t="s">
        <v>29</v>
      </c>
      <c r="B3" s="15">
        <v>0.35</v>
      </c>
      <c r="C3" s="59">
        <f t="shared" ref="C2:C26" si="0">IF(B3&lt;-1,2,
IF(B3&lt;0,3,
IF(B3&lt;1,4,
IF(B3&lt;2,5,
IF(B3&lt;3,6,
IF(B3&lt;4,7,
IF(B3&lt;5,8,
IF(B3&lt;6,9,
10))))))))</f>
        <v>4</v>
      </c>
    </row>
    <row r="4" spans="1:3" ht="19" x14ac:dyDescent="0.25">
      <c r="A4" s="13" t="s">
        <v>21</v>
      </c>
      <c r="B4" s="15">
        <v>-0.35</v>
      </c>
      <c r="C4" s="59">
        <f t="shared" si="0"/>
        <v>3</v>
      </c>
    </row>
    <row r="5" spans="1:3" ht="19" x14ac:dyDescent="0.25">
      <c r="A5" s="13" t="s">
        <v>50</v>
      </c>
      <c r="B5" s="15">
        <v>-0.72</v>
      </c>
      <c r="C5" s="59">
        <f t="shared" si="0"/>
        <v>3</v>
      </c>
    </row>
    <row r="6" spans="1:3" ht="19" x14ac:dyDescent="0.25">
      <c r="A6" s="13" t="s">
        <v>52</v>
      </c>
      <c r="B6" s="15">
        <v>5.0999999999999996</v>
      </c>
      <c r="C6" s="59">
        <f>IF(B6&lt;-1,2,
IF(B6&lt;0,3,
IF(B6&lt;1,4,
IF(B6&lt;2,5,
IF(B6&lt;3,6,
IF(B6&lt;4,7,
IF(B6&lt;5,8,
IF(B6&lt;6,9,
10))))))))</f>
        <v>9</v>
      </c>
    </row>
    <row r="7" spans="1:3" ht="19" x14ac:dyDescent="0.25">
      <c r="A7" s="13" t="s">
        <v>53</v>
      </c>
      <c r="B7" s="15">
        <v>2.15</v>
      </c>
      <c r="C7" s="59">
        <f t="shared" si="0"/>
        <v>6</v>
      </c>
    </row>
    <row r="8" spans="1:3" ht="19" x14ac:dyDescent="0.25">
      <c r="A8" s="13" t="s">
        <v>128</v>
      </c>
      <c r="B8" s="15">
        <v>1.69</v>
      </c>
      <c r="C8" s="59">
        <f t="shared" si="0"/>
        <v>5</v>
      </c>
    </row>
    <row r="9" spans="1:3" ht="19" x14ac:dyDescent="0.25">
      <c r="A9" s="13" t="s">
        <v>25</v>
      </c>
      <c r="B9" s="15">
        <v>-0.57999999999999996</v>
      </c>
      <c r="C9" s="59">
        <f t="shared" si="0"/>
        <v>3</v>
      </c>
    </row>
    <row r="10" spans="1:3" ht="19" x14ac:dyDescent="0.25">
      <c r="A10" s="13" t="s">
        <v>49</v>
      </c>
      <c r="B10" s="15">
        <v>-0.56999999999999995</v>
      </c>
      <c r="C10" s="59">
        <f t="shared" si="0"/>
        <v>3</v>
      </c>
    </row>
    <row r="11" spans="1:3" ht="19" x14ac:dyDescent="0.25">
      <c r="A11" s="13" t="s">
        <v>33</v>
      </c>
      <c r="B11" s="15">
        <v>0.44</v>
      </c>
      <c r="C11" s="59">
        <f t="shared" si="0"/>
        <v>4</v>
      </c>
    </row>
    <row r="12" spans="1:3" ht="19" x14ac:dyDescent="0.25">
      <c r="A12" s="13" t="s">
        <v>35</v>
      </c>
      <c r="B12" s="15">
        <v>1.02</v>
      </c>
      <c r="C12" s="59">
        <f t="shared" si="0"/>
        <v>5</v>
      </c>
    </row>
    <row r="13" spans="1:3" ht="19" x14ac:dyDescent="0.25">
      <c r="A13" s="13" t="s">
        <v>133</v>
      </c>
      <c r="B13" s="15">
        <v>-0.32</v>
      </c>
      <c r="C13" s="59">
        <f t="shared" si="0"/>
        <v>3</v>
      </c>
    </row>
    <row r="14" spans="1:3" ht="19" x14ac:dyDescent="0.25">
      <c r="A14" s="13" t="s">
        <v>24</v>
      </c>
      <c r="B14" s="15">
        <v>0.16</v>
      </c>
      <c r="C14" s="59">
        <f t="shared" si="0"/>
        <v>4</v>
      </c>
    </row>
    <row r="15" spans="1:3" ht="19" x14ac:dyDescent="0.25">
      <c r="A15" s="13" t="s">
        <v>36</v>
      </c>
      <c r="B15" s="15">
        <v>0.52</v>
      </c>
      <c r="C15" s="59">
        <f t="shared" si="0"/>
        <v>4</v>
      </c>
    </row>
    <row r="16" spans="1:3" ht="19" x14ac:dyDescent="0.25">
      <c r="A16" s="13" t="s">
        <v>30</v>
      </c>
      <c r="B16" s="15">
        <v>-0.39</v>
      </c>
      <c r="C16" s="59">
        <f t="shared" si="0"/>
        <v>3</v>
      </c>
    </row>
    <row r="17" spans="1:3" ht="19" x14ac:dyDescent="0.25">
      <c r="A17" s="13" t="s">
        <v>134</v>
      </c>
      <c r="B17" s="15">
        <v>1.1000000000000001</v>
      </c>
      <c r="C17" s="59">
        <f t="shared" si="0"/>
        <v>5</v>
      </c>
    </row>
    <row r="18" spans="1:3" ht="19" x14ac:dyDescent="0.25">
      <c r="A18" s="13" t="s">
        <v>38</v>
      </c>
      <c r="B18" s="15">
        <v>0.87</v>
      </c>
      <c r="C18" s="59">
        <f t="shared" si="0"/>
        <v>4</v>
      </c>
    </row>
    <row r="19" spans="1:3" ht="19" x14ac:dyDescent="0.25">
      <c r="A19" s="13" t="s">
        <v>27</v>
      </c>
      <c r="B19" s="15">
        <v>-1.24</v>
      </c>
      <c r="C19" s="59">
        <f t="shared" si="0"/>
        <v>2</v>
      </c>
    </row>
    <row r="20" spans="1:3" ht="19" x14ac:dyDescent="0.25">
      <c r="A20" s="13" t="s">
        <v>40</v>
      </c>
      <c r="B20" s="15">
        <v>-0.02</v>
      </c>
      <c r="C20" s="59">
        <f t="shared" si="0"/>
        <v>3</v>
      </c>
    </row>
    <row r="21" spans="1:3" ht="19" x14ac:dyDescent="0.25">
      <c r="A21" s="13" t="s">
        <v>41</v>
      </c>
      <c r="B21" s="15">
        <v>0.76</v>
      </c>
      <c r="C21" s="59">
        <f t="shared" si="0"/>
        <v>4</v>
      </c>
    </row>
    <row r="22" spans="1:3" ht="19" x14ac:dyDescent="0.25">
      <c r="A22" s="13" t="s">
        <v>43</v>
      </c>
      <c r="B22" s="15">
        <v>0.06</v>
      </c>
      <c r="C22" s="59">
        <f t="shared" si="0"/>
        <v>4</v>
      </c>
    </row>
    <row r="23" spans="1:3" ht="19" x14ac:dyDescent="0.25">
      <c r="A23" s="85" t="s">
        <v>139</v>
      </c>
      <c r="B23" s="15">
        <v>0.44</v>
      </c>
      <c r="C23" s="59">
        <f t="shared" si="0"/>
        <v>4</v>
      </c>
    </row>
    <row r="24" spans="1:3" ht="19" x14ac:dyDescent="0.25">
      <c r="A24" s="13" t="s">
        <v>45</v>
      </c>
      <c r="B24" s="15">
        <v>-1.17</v>
      </c>
      <c r="C24" s="59">
        <f t="shared" si="0"/>
        <v>2</v>
      </c>
    </row>
    <row r="25" spans="1:3" ht="19" x14ac:dyDescent="0.25">
      <c r="A25" s="13" t="s">
        <v>46</v>
      </c>
      <c r="B25" s="15">
        <v>-0.69</v>
      </c>
      <c r="C25" s="59">
        <f t="shared" si="0"/>
        <v>3</v>
      </c>
    </row>
    <row r="26" spans="1:3" ht="19" x14ac:dyDescent="0.25">
      <c r="A26" s="13" t="s">
        <v>48</v>
      </c>
      <c r="B26" s="15">
        <v>-1</v>
      </c>
      <c r="C26" s="59">
        <f t="shared" si="0"/>
        <v>3</v>
      </c>
    </row>
  </sheetData>
  <conditionalFormatting sqref="C2:C26">
    <cfRule type="colorScale" priority="1">
      <colorScale>
        <cfvo type="min"/>
        <cfvo type="percentile" val="50"/>
        <cfvo type="max"/>
        <color rgb="FF00B050"/>
        <color theme="0"/>
        <color rgb="FFFF8F95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538C-1221-8043-82C2-60DDD9CD4F63}">
  <dimension ref="A1:H57"/>
  <sheetViews>
    <sheetView tabSelected="1" topLeftCell="A13" workbookViewId="0">
      <selection activeCell="A5" sqref="A5:A57"/>
    </sheetView>
  </sheetViews>
  <sheetFormatPr baseColWidth="10" defaultColWidth="11" defaultRowHeight="19" x14ac:dyDescent="0.25"/>
  <cols>
    <col min="1" max="1" width="55.83203125" style="6" bestFit="1" customWidth="1"/>
    <col min="2" max="2" width="51.33203125" style="6" bestFit="1" customWidth="1"/>
    <col min="3" max="3" width="30.83203125" style="6" bestFit="1" customWidth="1"/>
    <col min="4" max="4" width="37" style="6" bestFit="1" customWidth="1"/>
    <col min="5" max="5" width="47.6640625" style="6" bestFit="1" customWidth="1"/>
    <col min="6" max="6" width="50.5" style="6" bestFit="1" customWidth="1"/>
    <col min="7" max="7" width="51.6640625" style="6" customWidth="1"/>
    <col min="8" max="8" width="26" style="6" bestFit="1" customWidth="1"/>
    <col min="9" max="9" width="13.5" style="6" customWidth="1"/>
    <col min="10" max="10" width="10.83203125" style="6"/>
    <col min="11" max="16384" width="11" style="6"/>
  </cols>
  <sheetData>
    <row r="1" spans="1:8" x14ac:dyDescent="0.25">
      <c r="A1" s="84" t="s">
        <v>135</v>
      </c>
      <c r="B1" s="84"/>
      <c r="C1" s="84"/>
      <c r="D1" s="84"/>
      <c r="G1" s="2"/>
      <c r="H1" s="2"/>
    </row>
    <row r="2" spans="1:8" x14ac:dyDescent="0.25">
      <c r="A2" s="84"/>
      <c r="B2" s="84"/>
      <c r="C2" s="84"/>
      <c r="D2" s="84"/>
    </row>
    <row r="4" spans="1:8" x14ac:dyDescent="0.25">
      <c r="A4" s="2" t="s">
        <v>57</v>
      </c>
      <c r="B4" s="7" t="s">
        <v>58</v>
      </c>
      <c r="D4" s="2" t="s">
        <v>10</v>
      </c>
      <c r="E4" s="2" t="s">
        <v>59</v>
      </c>
      <c r="F4" s="2" t="s">
        <v>60</v>
      </c>
      <c r="G4" s="2" t="s">
        <v>61</v>
      </c>
      <c r="H4" s="20" t="s">
        <v>62</v>
      </c>
    </row>
    <row r="5" spans="1:8" x14ac:dyDescent="0.25">
      <c r="A5" s="2" t="s">
        <v>63</v>
      </c>
      <c r="B5" s="6" t="s">
        <v>64</v>
      </c>
      <c r="D5" s="21" t="s">
        <v>31</v>
      </c>
      <c r="E5" s="22" t="s">
        <v>78</v>
      </c>
      <c r="F5" s="21" t="str">
        <f xml:space="preserve"> VLOOKUP(Tabella211[[#This Row],[Sector]],[4]!Tabella1[#Data],2)</f>
        <v>Moderately high risk</v>
      </c>
      <c r="G5" s="22">
        <f t="shared" ref="G5:G29" si="0">IF(F5="Very low risk",1,IF(F5="Low risk",2,IF(F5="Intermediate risk",3,IF(F5="Moderately high risk",4,IF(F5="High risk",5,IF(F5="Very high risk",6, ""))))))</f>
        <v>4</v>
      </c>
      <c r="H5" s="21">
        <f t="shared" ref="H5:H29" si="1">IF(F5="Very low risk",0.75,IF(F5="Low risk",0.85,IF(F5="Intermediate risk",1,IF(F5="Moderately high risk",1.1,IF(F5="High risk",1.15,IF(F5="Very high risk",1.25, ""))))))</f>
        <v>1.1000000000000001</v>
      </c>
    </row>
    <row r="6" spans="1:8" x14ac:dyDescent="0.25">
      <c r="A6" s="2" t="s">
        <v>66</v>
      </c>
      <c r="B6" s="6" t="s">
        <v>64</v>
      </c>
      <c r="D6" s="21" t="s">
        <v>29</v>
      </c>
      <c r="E6" s="22" t="s">
        <v>75</v>
      </c>
      <c r="F6" s="21" t="str">
        <f xml:space="preserve"> VLOOKUP(Tabella211[[#This Row],[Sector]],[4]!Tabella1[#Data],2)</f>
        <v>Intermediate risk</v>
      </c>
      <c r="G6" s="22">
        <f t="shared" si="0"/>
        <v>3</v>
      </c>
      <c r="H6" s="21">
        <f t="shared" si="1"/>
        <v>1</v>
      </c>
    </row>
    <row r="7" spans="1:8" x14ac:dyDescent="0.25">
      <c r="A7" s="2" t="s">
        <v>68</v>
      </c>
      <c r="B7" s="6" t="s">
        <v>64</v>
      </c>
      <c r="D7" s="21" t="s">
        <v>21</v>
      </c>
      <c r="E7" s="22" t="s">
        <v>65</v>
      </c>
      <c r="F7" s="21" t="str">
        <f xml:space="preserve"> VLOOKUP(Tabella211[[#This Row],[Sector]],[4]!Tabella1[#Data],2)</f>
        <v>Moderately high risk</v>
      </c>
      <c r="G7" s="22">
        <f t="shared" si="0"/>
        <v>4</v>
      </c>
      <c r="H7" s="21">
        <f t="shared" si="1"/>
        <v>1.1000000000000001</v>
      </c>
    </row>
    <row r="8" spans="1:8" x14ac:dyDescent="0.25">
      <c r="A8" s="2" t="s">
        <v>69</v>
      </c>
      <c r="B8" s="6" t="s">
        <v>70</v>
      </c>
      <c r="D8" s="21" t="s">
        <v>50</v>
      </c>
      <c r="E8" s="22" t="s">
        <v>65</v>
      </c>
      <c r="F8" s="21" t="str">
        <f xml:space="preserve"> VLOOKUP(Tabella211[[#This Row],[Sector]],[4]!Tabella1[#Data],2)</f>
        <v>Moderately high risk</v>
      </c>
      <c r="G8" s="22">
        <f t="shared" si="0"/>
        <v>4</v>
      </c>
      <c r="H8" s="21">
        <f t="shared" si="1"/>
        <v>1.1000000000000001</v>
      </c>
    </row>
    <row r="9" spans="1:8" x14ac:dyDescent="0.25">
      <c r="A9" s="2" t="s">
        <v>71</v>
      </c>
      <c r="B9" s="6" t="s">
        <v>70</v>
      </c>
      <c r="D9" s="21" t="s">
        <v>52</v>
      </c>
      <c r="E9" s="22" t="s">
        <v>89</v>
      </c>
      <c r="F9" s="21" t="str">
        <f xml:space="preserve"> VLOOKUP(Tabella211[[#This Row],[Sector]],[4]!Tabella1[#Data],2)</f>
        <v>Moderately high risk</v>
      </c>
      <c r="G9" s="22">
        <f t="shared" si="0"/>
        <v>4</v>
      </c>
      <c r="H9" s="21">
        <f t="shared" si="1"/>
        <v>1.1000000000000001</v>
      </c>
    </row>
    <row r="10" spans="1:8" x14ac:dyDescent="0.25">
      <c r="A10" s="2" t="s">
        <v>73</v>
      </c>
      <c r="B10" s="6" t="s">
        <v>64</v>
      </c>
      <c r="D10" s="21" t="s">
        <v>53</v>
      </c>
      <c r="E10" s="22" t="s">
        <v>82</v>
      </c>
      <c r="F10" s="21" t="str">
        <f xml:space="preserve"> VLOOKUP(Tabella211[[#This Row],[Sector]],[4]!Tabella1[#Data],2)</f>
        <v>Low risk</v>
      </c>
      <c r="G10" s="22">
        <f t="shared" si="0"/>
        <v>2</v>
      </c>
      <c r="H10" s="21">
        <f t="shared" si="1"/>
        <v>0.85</v>
      </c>
    </row>
    <row r="11" spans="1:8" x14ac:dyDescent="0.25">
      <c r="A11" s="2" t="s">
        <v>74</v>
      </c>
      <c r="B11" s="6" t="s">
        <v>64</v>
      </c>
      <c r="D11" s="21" t="s">
        <v>128</v>
      </c>
      <c r="E11" s="23" t="s">
        <v>84</v>
      </c>
      <c r="F11" s="21" t="str">
        <f xml:space="preserve"> VLOOKUP(Tabella211[[#This Row],[Sector]],[4]!Tabella1[#Data],2)</f>
        <v>Moderately high risk</v>
      </c>
      <c r="G11" s="22">
        <f t="shared" si="0"/>
        <v>4</v>
      </c>
      <c r="H11" s="21">
        <f t="shared" si="1"/>
        <v>1.1000000000000001</v>
      </c>
    </row>
    <row r="12" spans="1:8" x14ac:dyDescent="0.25">
      <c r="A12" s="2" t="s">
        <v>76</v>
      </c>
      <c r="B12" s="6" t="s">
        <v>64</v>
      </c>
      <c r="D12" s="21" t="s">
        <v>25</v>
      </c>
      <c r="E12" s="22" t="s">
        <v>69</v>
      </c>
      <c r="F12" s="21" t="str">
        <f xml:space="preserve"> VLOOKUP(Tabella211[[#This Row],[Sector]],[4]!Tabella1[#Data],2)</f>
        <v>Moderately high risk</v>
      </c>
      <c r="G12" s="22">
        <f t="shared" si="0"/>
        <v>4</v>
      </c>
      <c r="H12" s="21">
        <f t="shared" si="1"/>
        <v>1.1000000000000001</v>
      </c>
    </row>
    <row r="13" spans="1:8" x14ac:dyDescent="0.25">
      <c r="A13" s="2" t="s">
        <v>77</v>
      </c>
      <c r="B13" s="6" t="s">
        <v>70</v>
      </c>
      <c r="D13" s="21" t="s">
        <v>49</v>
      </c>
      <c r="E13" s="22" t="s">
        <v>89</v>
      </c>
      <c r="F13" s="21" t="str">
        <f xml:space="preserve"> VLOOKUP(Tabella211[[#This Row],[Sector]],[4]!Tabella1[#Data],2)</f>
        <v>Moderately high risk</v>
      </c>
      <c r="G13" s="22">
        <f t="shared" si="0"/>
        <v>4</v>
      </c>
      <c r="H13" s="21">
        <f t="shared" si="1"/>
        <v>1.1000000000000001</v>
      </c>
    </row>
    <row r="14" spans="1:8" x14ac:dyDescent="0.25">
      <c r="A14" s="2" t="s">
        <v>79</v>
      </c>
      <c r="B14" s="6" t="s">
        <v>70</v>
      </c>
      <c r="D14" s="21" t="s">
        <v>33</v>
      </c>
      <c r="E14" s="22" t="s">
        <v>72</v>
      </c>
      <c r="F14" s="21" t="str">
        <f xml:space="preserve"> VLOOKUP(Tabella211[[#This Row],[Sector]],[4]!Tabella1[#Data],2)</f>
        <v>Low risk</v>
      </c>
      <c r="G14" s="22">
        <f t="shared" si="0"/>
        <v>2</v>
      </c>
      <c r="H14" s="21">
        <f t="shared" si="1"/>
        <v>0.85</v>
      </c>
    </row>
    <row r="15" spans="1:8" x14ac:dyDescent="0.25">
      <c r="A15" s="2" t="s">
        <v>80</v>
      </c>
      <c r="B15" s="6" t="s">
        <v>64</v>
      </c>
      <c r="D15" s="21" t="s">
        <v>35</v>
      </c>
      <c r="E15" s="22" t="s">
        <v>80</v>
      </c>
      <c r="F15" s="21" t="str">
        <f xml:space="preserve"> VLOOKUP(Tabella211[[#This Row],[Sector]],[4]!Tabella1[#Data],2)</f>
        <v>Intermediate risk</v>
      </c>
      <c r="G15" s="22">
        <f t="shared" si="0"/>
        <v>3</v>
      </c>
      <c r="H15" s="21">
        <f t="shared" si="1"/>
        <v>1</v>
      </c>
    </row>
    <row r="16" spans="1:8" x14ac:dyDescent="0.25">
      <c r="A16" s="2" t="s">
        <v>72</v>
      </c>
      <c r="B16" s="6" t="s">
        <v>81</v>
      </c>
      <c r="D16" s="21" t="s">
        <v>23</v>
      </c>
      <c r="E16" s="22" t="s">
        <v>67</v>
      </c>
      <c r="F16" s="21" t="str">
        <f xml:space="preserve"> VLOOKUP(Tabella211[[#This Row],[Sector]],[4]!Tabella1[#Data],2)</f>
        <v>Intermediate risk</v>
      </c>
      <c r="G16" s="22">
        <f t="shared" si="0"/>
        <v>3</v>
      </c>
      <c r="H16" s="21">
        <f t="shared" si="1"/>
        <v>1</v>
      </c>
    </row>
    <row r="17" spans="1:8" x14ac:dyDescent="0.25">
      <c r="A17" s="2" t="s">
        <v>83</v>
      </c>
      <c r="B17" s="6" t="s">
        <v>64</v>
      </c>
      <c r="D17" s="21" t="s">
        <v>24</v>
      </c>
      <c r="E17" s="22" t="s">
        <v>67</v>
      </c>
      <c r="F17" s="21" t="str">
        <f xml:space="preserve"> VLOOKUP(Tabella211[[#This Row],[Sector]],[4]!Tabella1[#Data],2)</f>
        <v>Intermediate risk</v>
      </c>
      <c r="G17" s="22">
        <f t="shared" si="0"/>
        <v>3</v>
      </c>
      <c r="H17" s="21">
        <f t="shared" si="1"/>
        <v>1</v>
      </c>
    </row>
    <row r="18" spans="1:8" x14ac:dyDescent="0.25">
      <c r="A18" s="2" t="s">
        <v>85</v>
      </c>
      <c r="B18" s="6" t="s">
        <v>81</v>
      </c>
      <c r="D18" s="21" t="s">
        <v>36</v>
      </c>
      <c r="E18" s="22" t="s">
        <v>82</v>
      </c>
      <c r="F18" s="21" t="str">
        <f xml:space="preserve"> VLOOKUP(Tabella211[[#This Row],[Sector]],[4]!Tabella1[#Data],2)</f>
        <v>Low risk</v>
      </c>
      <c r="G18" s="22">
        <f t="shared" si="0"/>
        <v>2</v>
      </c>
      <c r="H18" s="21">
        <f t="shared" si="1"/>
        <v>0.85</v>
      </c>
    </row>
    <row r="19" spans="1:8" x14ac:dyDescent="0.25">
      <c r="A19" s="2" t="s">
        <v>86</v>
      </c>
      <c r="B19" s="6" t="s">
        <v>70</v>
      </c>
      <c r="D19" s="21" t="s">
        <v>30</v>
      </c>
      <c r="E19" s="22" t="s">
        <v>65</v>
      </c>
      <c r="F19" s="21" t="str">
        <f xml:space="preserve"> VLOOKUP(Tabella211[[#This Row],[Sector]],[4]!Tabella1[#Data],2)</f>
        <v>Moderately high risk</v>
      </c>
      <c r="G19" s="22">
        <f t="shared" si="0"/>
        <v>4</v>
      </c>
      <c r="H19" s="21">
        <f t="shared" si="1"/>
        <v>1.1000000000000001</v>
      </c>
    </row>
    <row r="20" spans="1:8" x14ac:dyDescent="0.25">
      <c r="A20" s="2" t="s">
        <v>87</v>
      </c>
      <c r="B20" s="6" t="s">
        <v>81</v>
      </c>
      <c r="D20" s="21" t="s">
        <v>26</v>
      </c>
      <c r="E20" s="22" t="s">
        <v>72</v>
      </c>
      <c r="F20" s="21" t="str">
        <f xml:space="preserve"> VLOOKUP(Tabella211[[#This Row],[Sector]],[4]!Tabella1[#Data],2)</f>
        <v>Low risk</v>
      </c>
      <c r="G20" s="22">
        <f t="shared" si="0"/>
        <v>2</v>
      </c>
      <c r="H20" s="21">
        <f t="shared" si="1"/>
        <v>0.85</v>
      </c>
    </row>
    <row r="21" spans="1:8" x14ac:dyDescent="0.25">
      <c r="A21" s="2" t="s">
        <v>88</v>
      </c>
      <c r="B21" s="6" t="s">
        <v>81</v>
      </c>
      <c r="D21" s="21" t="s">
        <v>38</v>
      </c>
      <c r="E21" s="22" t="s">
        <v>84</v>
      </c>
      <c r="F21" s="21" t="str">
        <f xml:space="preserve"> VLOOKUP(Tabella211[[#This Row],[Sector]],[4]!Tabella1[#Data],2)</f>
        <v>Moderately high risk</v>
      </c>
      <c r="G21" s="22">
        <f t="shared" si="0"/>
        <v>4</v>
      </c>
      <c r="H21" s="21">
        <f t="shared" si="1"/>
        <v>1.1000000000000001</v>
      </c>
    </row>
    <row r="22" spans="1:8" x14ac:dyDescent="0.25">
      <c r="A22" s="2" t="s">
        <v>89</v>
      </c>
      <c r="B22" s="6" t="s">
        <v>70</v>
      </c>
      <c r="D22" s="21" t="s">
        <v>27</v>
      </c>
      <c r="E22" s="22" t="s">
        <v>65</v>
      </c>
      <c r="F22" s="21" t="str">
        <f xml:space="preserve"> VLOOKUP(Tabella211[[#This Row],[Sector]],[4]!Tabella1[#Data],2)</f>
        <v>Moderately high risk</v>
      </c>
      <c r="G22" s="22">
        <f t="shared" si="0"/>
        <v>4</v>
      </c>
      <c r="H22" s="21">
        <f t="shared" si="1"/>
        <v>1.1000000000000001</v>
      </c>
    </row>
    <row r="23" spans="1:8" x14ac:dyDescent="0.25">
      <c r="A23" s="2" t="s">
        <v>90</v>
      </c>
      <c r="B23" s="6" t="s">
        <v>70</v>
      </c>
      <c r="D23" s="21" t="s">
        <v>40</v>
      </c>
      <c r="E23" s="22" t="s">
        <v>67</v>
      </c>
      <c r="F23" s="21" t="str">
        <f xml:space="preserve"> VLOOKUP(Tabella211[[#This Row],[Sector]],[4]!Tabella1[#Data],2)</f>
        <v>Intermediate risk</v>
      </c>
      <c r="G23" s="22">
        <f t="shared" si="0"/>
        <v>3</v>
      </c>
      <c r="H23" s="21">
        <f t="shared" si="1"/>
        <v>1</v>
      </c>
    </row>
    <row r="24" spans="1:8" x14ac:dyDescent="0.25">
      <c r="A24" s="2" t="s">
        <v>91</v>
      </c>
      <c r="B24" s="6" t="s">
        <v>81</v>
      </c>
      <c r="D24" s="21" t="s">
        <v>41</v>
      </c>
      <c r="E24" s="22" t="s">
        <v>80</v>
      </c>
      <c r="F24" s="21" t="str">
        <f xml:space="preserve"> VLOOKUP(Tabella211[[#This Row],[Sector]],[4]!Tabella1[#Data],2)</f>
        <v>Intermediate risk</v>
      </c>
      <c r="G24" s="22">
        <f t="shared" si="0"/>
        <v>3</v>
      </c>
      <c r="H24" s="21">
        <f t="shared" si="1"/>
        <v>1</v>
      </c>
    </row>
    <row r="25" spans="1:8" x14ac:dyDescent="0.25">
      <c r="A25" s="2" t="s">
        <v>92</v>
      </c>
      <c r="B25" s="6" t="s">
        <v>64</v>
      </c>
      <c r="D25" s="21" t="s">
        <v>43</v>
      </c>
      <c r="E25" s="22" t="s">
        <v>67</v>
      </c>
      <c r="F25" s="21" t="str">
        <f xml:space="preserve"> VLOOKUP(Tabella211[[#This Row],[Sector]],[4]!Tabella1[#Data],2)</f>
        <v>Intermediate risk</v>
      </c>
      <c r="G25" s="22">
        <f t="shared" si="0"/>
        <v>3</v>
      </c>
      <c r="H25" s="21">
        <f t="shared" si="1"/>
        <v>1</v>
      </c>
    </row>
    <row r="26" spans="1:8" x14ac:dyDescent="0.25">
      <c r="A26" s="2" t="s">
        <v>93</v>
      </c>
      <c r="B26" s="6" t="s">
        <v>70</v>
      </c>
      <c r="D26" s="86" t="s">
        <v>139</v>
      </c>
      <c r="E26" s="22" t="s">
        <v>84</v>
      </c>
      <c r="F26" s="21" t="str">
        <f xml:space="preserve"> VLOOKUP(Tabella211[[#This Row],[Sector]],[4]!Tabella1[#Data],2)</f>
        <v>Moderately high risk</v>
      </c>
      <c r="G26" s="22">
        <f t="shared" si="0"/>
        <v>4</v>
      </c>
      <c r="H26" s="21">
        <f t="shared" si="1"/>
        <v>1.1000000000000001</v>
      </c>
    </row>
    <row r="27" spans="1:8" x14ac:dyDescent="0.25">
      <c r="A27" s="2" t="s">
        <v>94</v>
      </c>
      <c r="B27" s="6" t="s">
        <v>64</v>
      </c>
      <c r="D27" s="21" t="s">
        <v>45</v>
      </c>
      <c r="E27" s="22" t="s">
        <v>69</v>
      </c>
      <c r="F27" s="21" t="str">
        <f xml:space="preserve"> VLOOKUP(Tabella211[[#This Row],[Sector]],[4]!Tabella1[#Data],2)</f>
        <v>Moderately high risk</v>
      </c>
      <c r="G27" s="22">
        <f t="shared" si="0"/>
        <v>4</v>
      </c>
      <c r="H27" s="21">
        <f t="shared" si="1"/>
        <v>1.1000000000000001</v>
      </c>
    </row>
    <row r="28" spans="1:8" x14ac:dyDescent="0.25">
      <c r="A28" s="2" t="s">
        <v>95</v>
      </c>
      <c r="B28" s="6" t="s">
        <v>81</v>
      </c>
      <c r="D28" s="21" t="s">
        <v>46</v>
      </c>
      <c r="E28" s="22" t="s">
        <v>65</v>
      </c>
      <c r="F28" s="21" t="str">
        <f xml:space="preserve"> VLOOKUP(Tabella211[[#This Row],[Sector]],[4]!Tabella1[#Data],2)</f>
        <v>Moderately high risk</v>
      </c>
      <c r="G28" s="22">
        <f t="shared" si="0"/>
        <v>4</v>
      </c>
      <c r="H28" s="21">
        <f t="shared" si="1"/>
        <v>1.1000000000000001</v>
      </c>
    </row>
    <row r="29" spans="1:8" x14ac:dyDescent="0.25">
      <c r="A29" s="2" t="s">
        <v>96</v>
      </c>
      <c r="B29" s="6" t="s">
        <v>64</v>
      </c>
      <c r="D29" s="21" t="s">
        <v>48</v>
      </c>
      <c r="E29" s="22" t="s">
        <v>69</v>
      </c>
      <c r="F29" s="21" t="str">
        <f xml:space="preserve"> VLOOKUP(Tabella211[[#This Row],[Sector]],[4]!Tabella1[#Data],2)</f>
        <v>Moderately high risk</v>
      </c>
      <c r="G29" s="22">
        <f t="shared" si="0"/>
        <v>4</v>
      </c>
      <c r="H29" s="21">
        <f t="shared" si="1"/>
        <v>1.1000000000000001</v>
      </c>
    </row>
    <row r="30" spans="1:8" x14ac:dyDescent="0.25">
      <c r="A30" s="2" t="s">
        <v>97</v>
      </c>
      <c r="B30" s="6" t="s">
        <v>70</v>
      </c>
    </row>
    <row r="31" spans="1:8" x14ac:dyDescent="0.25">
      <c r="A31" s="2" t="s">
        <v>98</v>
      </c>
      <c r="B31" s="6" t="s">
        <v>64</v>
      </c>
    </row>
    <row r="32" spans="1:8" x14ac:dyDescent="0.25">
      <c r="A32" s="2" t="s">
        <v>99</v>
      </c>
      <c r="B32" s="6" t="s">
        <v>70</v>
      </c>
    </row>
    <row r="33" spans="1:2" x14ac:dyDescent="0.25">
      <c r="A33" s="2" t="s">
        <v>100</v>
      </c>
      <c r="B33" s="6" t="s">
        <v>101</v>
      </c>
    </row>
    <row r="34" spans="1:2" x14ac:dyDescent="0.25">
      <c r="A34" s="2" t="s">
        <v>102</v>
      </c>
      <c r="B34" s="6" t="s">
        <v>101</v>
      </c>
    </row>
    <row r="35" spans="1:2" x14ac:dyDescent="0.25">
      <c r="A35" s="2" t="s">
        <v>103</v>
      </c>
      <c r="B35" s="6" t="s">
        <v>81</v>
      </c>
    </row>
    <row r="36" spans="1:2" x14ac:dyDescent="0.25">
      <c r="A36" s="2" t="s">
        <v>104</v>
      </c>
      <c r="B36" s="6" t="s">
        <v>101</v>
      </c>
    </row>
    <row r="37" spans="1:2" x14ac:dyDescent="0.25">
      <c r="A37" s="2" t="s">
        <v>105</v>
      </c>
      <c r="B37" s="6" t="s">
        <v>64</v>
      </c>
    </row>
    <row r="38" spans="1:2" x14ac:dyDescent="0.25">
      <c r="A38" s="2" t="s">
        <v>106</v>
      </c>
      <c r="B38" s="6" t="s">
        <v>81</v>
      </c>
    </row>
    <row r="39" spans="1:2" x14ac:dyDescent="0.25">
      <c r="A39" s="2" t="s">
        <v>107</v>
      </c>
      <c r="B39" s="6" t="s">
        <v>81</v>
      </c>
    </row>
    <row r="40" spans="1:2" x14ac:dyDescent="0.25">
      <c r="A40" s="2" t="s">
        <v>108</v>
      </c>
      <c r="B40" s="6" t="s">
        <v>81</v>
      </c>
    </row>
    <row r="41" spans="1:2" x14ac:dyDescent="0.25">
      <c r="A41" s="2" t="s">
        <v>84</v>
      </c>
      <c r="B41" s="6" t="s">
        <v>70</v>
      </c>
    </row>
    <row r="42" spans="1:2" x14ac:dyDescent="0.25">
      <c r="A42" s="2" t="s">
        <v>109</v>
      </c>
      <c r="B42" s="6" t="s">
        <v>70</v>
      </c>
    </row>
    <row r="43" spans="1:2" x14ac:dyDescent="0.25">
      <c r="A43" s="2" t="s">
        <v>82</v>
      </c>
      <c r="B43" s="6" t="s">
        <v>81</v>
      </c>
    </row>
    <row r="44" spans="1:2" x14ac:dyDescent="0.25">
      <c r="A44" s="2" t="s">
        <v>110</v>
      </c>
      <c r="B44" s="6" t="s">
        <v>81</v>
      </c>
    </row>
    <row r="45" spans="1:2" x14ac:dyDescent="0.25">
      <c r="A45" s="2" t="s">
        <v>111</v>
      </c>
      <c r="B45" s="6" t="s">
        <v>81</v>
      </c>
    </row>
    <row r="46" spans="1:2" x14ac:dyDescent="0.25">
      <c r="A46" s="2" t="s">
        <v>112</v>
      </c>
      <c r="B46" s="6" t="s">
        <v>81</v>
      </c>
    </row>
    <row r="47" spans="1:2" x14ac:dyDescent="0.25">
      <c r="A47" s="2" t="s">
        <v>113</v>
      </c>
      <c r="B47" s="6" t="s">
        <v>70</v>
      </c>
    </row>
    <row r="48" spans="1:2" x14ac:dyDescent="0.25">
      <c r="A48" s="2" t="s">
        <v>114</v>
      </c>
      <c r="B48" s="6" t="s">
        <v>101</v>
      </c>
    </row>
    <row r="49" spans="1:2" x14ac:dyDescent="0.25">
      <c r="A49" s="2" t="s">
        <v>75</v>
      </c>
      <c r="B49" s="6" t="s">
        <v>64</v>
      </c>
    </row>
    <row r="50" spans="1:2" x14ac:dyDescent="0.25">
      <c r="A50" s="2" t="s">
        <v>115</v>
      </c>
      <c r="B50" s="6" t="s">
        <v>81</v>
      </c>
    </row>
    <row r="51" spans="1:2" x14ac:dyDescent="0.25">
      <c r="A51" s="2" t="s">
        <v>65</v>
      </c>
      <c r="B51" s="6" t="s">
        <v>70</v>
      </c>
    </row>
    <row r="52" spans="1:2" x14ac:dyDescent="0.25">
      <c r="A52" s="2" t="s">
        <v>67</v>
      </c>
      <c r="B52" s="6" t="s">
        <v>64</v>
      </c>
    </row>
    <row r="53" spans="1:2" x14ac:dyDescent="0.25">
      <c r="A53" s="2" t="s">
        <v>116</v>
      </c>
      <c r="B53" s="6" t="s">
        <v>64</v>
      </c>
    </row>
    <row r="54" spans="1:2" x14ac:dyDescent="0.25">
      <c r="A54" s="2" t="s">
        <v>117</v>
      </c>
      <c r="B54" s="6" t="s">
        <v>118</v>
      </c>
    </row>
    <row r="55" spans="1:2" x14ac:dyDescent="0.25">
      <c r="A55" s="2" t="s">
        <v>119</v>
      </c>
      <c r="B55" s="6" t="s">
        <v>81</v>
      </c>
    </row>
    <row r="56" spans="1:2" x14ac:dyDescent="0.25">
      <c r="A56" s="2" t="s">
        <v>120</v>
      </c>
      <c r="B56" s="6" t="s">
        <v>64</v>
      </c>
    </row>
    <row r="57" spans="1:2" x14ac:dyDescent="0.25">
      <c r="A57" s="2" t="s">
        <v>121</v>
      </c>
      <c r="B57" s="6" t="s">
        <v>70</v>
      </c>
    </row>
  </sheetData>
  <mergeCells count="1">
    <mergeCell ref="A1:D2"/>
  </mergeCells>
  <conditionalFormatting sqref="H5:H29">
    <cfRule type="colorScale" priority="1">
      <colorScale>
        <cfvo type="min"/>
        <cfvo type="percentile" val="50"/>
        <cfvo type="max"/>
        <color rgb="FF00B050"/>
        <color rgb="FFFCFCFF"/>
        <color rgb="FFFF7D7D"/>
      </colorScale>
    </cfRule>
  </conditionalFormatting>
  <dataValidations count="1">
    <dataValidation type="list" allowBlank="1" showInputMessage="1" showErrorMessage="1" sqref="C25:C1048575 F5 D6:D24" xr:uid="{84056B71-6055-3A42-9206-111D920F6D34}">
      <formula1>"Very low risk, Low risk, Intermediate risk, Moderately high risk, High risk, Very high risk"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30E8-AF2B-FA42-A87D-40FAAFAB59EB}">
  <dimension ref="A1:K6526"/>
  <sheetViews>
    <sheetView topLeftCell="B1" zoomScale="107" workbookViewId="0">
      <selection activeCell="G7" sqref="G7"/>
    </sheetView>
  </sheetViews>
  <sheetFormatPr baseColWidth="10" defaultColWidth="8.83203125" defaultRowHeight="19" x14ac:dyDescent="0.25"/>
  <cols>
    <col min="1" max="1" width="55.83203125" style="6" bestFit="1" customWidth="1"/>
    <col min="2" max="2" width="51.33203125" style="9" bestFit="1" customWidth="1"/>
    <col min="3" max="3" width="30.83203125" style="6" bestFit="1" customWidth="1"/>
    <col min="4" max="4" width="37" style="6" bestFit="1" customWidth="1"/>
    <col min="5" max="5" width="15.83203125" style="6" bestFit="1" customWidth="1"/>
    <col min="6" max="6" width="20.6640625" style="6" customWidth="1"/>
    <col min="7" max="7" width="16.6640625" style="6" customWidth="1"/>
    <col min="8" max="8" width="46.33203125" style="6" bestFit="1" customWidth="1"/>
    <col min="9" max="9" width="11.5" style="6" bestFit="1" customWidth="1"/>
    <col min="10" max="10" width="12.83203125" style="6" bestFit="1" customWidth="1"/>
    <col min="11" max="16384" width="8.83203125" style="6"/>
  </cols>
  <sheetData>
    <row r="1" spans="1:11" ht="19" customHeight="1" x14ac:dyDescent="0.25">
      <c r="A1" s="84" t="s">
        <v>136</v>
      </c>
      <c r="B1" s="84"/>
      <c r="C1" s="84"/>
      <c r="D1" s="84"/>
      <c r="K1" s="7"/>
    </row>
    <row r="2" spans="1:11" ht="16" customHeight="1" x14ac:dyDescent="0.25">
      <c r="A2" s="84"/>
      <c r="B2" s="84"/>
      <c r="C2" s="84"/>
      <c r="D2" s="84"/>
    </row>
    <row r="4" spans="1:11" x14ac:dyDescent="0.25">
      <c r="A4" s="5" t="s">
        <v>122</v>
      </c>
      <c r="B4" s="5" t="s">
        <v>123</v>
      </c>
      <c r="D4" s="6" t="s">
        <v>124</v>
      </c>
      <c r="E4" s="6" t="s">
        <v>123</v>
      </c>
      <c r="F4" s="6" t="s">
        <v>125</v>
      </c>
      <c r="G4" s="6" t="s">
        <v>126</v>
      </c>
      <c r="H4" s="24" t="s">
        <v>127</v>
      </c>
    </row>
    <row r="5" spans="1:11" x14ac:dyDescent="0.25">
      <c r="A5" s="8">
        <v>36528</v>
      </c>
      <c r="B5" s="9">
        <v>24.21</v>
      </c>
      <c r="D5" s="2">
        <v>2000</v>
      </c>
      <c r="E5" s="9">
        <f t="shared" ref="E5:E29" si="0">AVERAGEIFS($B$5:$B$6526,$A$5:$A$6526,"&gt;="&amp;DATE(D5,1,1),$A$5:$A$6526,"&lt;="&amp;DATE(D5,12,31))</f>
        <v>23.315000000000005</v>
      </c>
      <c r="F5" s="9">
        <f>AVERAGE(Tabella3[VIX])</f>
        <v>19.866419979811504</v>
      </c>
      <c r="G5" s="25">
        <f>(Tabella3[[#This Row],[VIX]]-Tabella3[[#This Row],[VIX Average]])/Tabella3[[#This Row],[VIX Average]]</f>
        <v>0.17358839809552953</v>
      </c>
      <c r="H5" s="26">
        <f xml:space="preserve"> 1 +0.3*Tabella3[[#This Row],[Delta %]]</f>
        <v>1.0520765194286588</v>
      </c>
    </row>
    <row r="6" spans="1:11" x14ac:dyDescent="0.25">
      <c r="A6" s="8">
        <v>36529</v>
      </c>
      <c r="B6" s="9">
        <v>27.01</v>
      </c>
      <c r="D6" s="2">
        <v>2001</v>
      </c>
      <c r="E6" s="9">
        <f t="shared" si="0"/>
        <v>25.749677419354864</v>
      </c>
      <c r="F6" s="9">
        <f>AVERAGE(Tabella3[VIX])</f>
        <v>19.866419979811504</v>
      </c>
      <c r="G6" s="25">
        <f>(Tabella3[[#This Row],[VIX]]-Tabella3[[#This Row],[VIX Average]])/Tabella3[[#This Row],[VIX Average]]</f>
        <v>0.29614079665697179</v>
      </c>
      <c r="H6" s="26">
        <f xml:space="preserve"> 1 +0.3*Tabella3[[#This Row],[Delta %]]</f>
        <v>1.0888422389970915</v>
      </c>
    </row>
    <row r="7" spans="1:11" x14ac:dyDescent="0.25">
      <c r="A7" s="8">
        <v>36530</v>
      </c>
      <c r="B7" s="9">
        <v>26.41</v>
      </c>
      <c r="D7" s="2">
        <v>2002</v>
      </c>
      <c r="E7" s="9">
        <f t="shared" si="0"/>
        <v>27.292460317460321</v>
      </c>
      <c r="F7" s="9">
        <f>AVERAGE(Tabella3[VIX])</f>
        <v>19.866419979811504</v>
      </c>
      <c r="G7" s="25">
        <f>(Tabella3[[#This Row],[VIX]]-Tabella3[[#This Row],[VIX Average]])/Tabella3[[#This Row],[VIX Average]]</f>
        <v>0.37379861823092686</v>
      </c>
      <c r="H7" s="26">
        <f xml:space="preserve"> 1 +0.3*Tabella3[[#This Row],[Delta %]]</f>
        <v>1.1121395854692782</v>
      </c>
    </row>
    <row r="8" spans="1:11" x14ac:dyDescent="0.25">
      <c r="A8" s="8">
        <v>36531</v>
      </c>
      <c r="B8" s="9">
        <v>25.73</v>
      </c>
      <c r="D8" s="2">
        <v>2003</v>
      </c>
      <c r="E8" s="9">
        <f t="shared" si="0"/>
        <v>21.982857142857139</v>
      </c>
      <c r="F8" s="9">
        <f>AVERAGE(Tabella3[VIX])</f>
        <v>19.866419979811504</v>
      </c>
      <c r="G8" s="25">
        <f>(Tabella3[[#This Row],[VIX]]-Tabella3[[#This Row],[VIX Average]])/Tabella3[[#This Row],[VIX Average]]</f>
        <v>0.10653339480371321</v>
      </c>
      <c r="H8" s="26">
        <f xml:space="preserve"> 1 +0.3*Tabella3[[#This Row],[Delta %]]</f>
        <v>1.031960018441114</v>
      </c>
    </row>
    <row r="9" spans="1:11" x14ac:dyDescent="0.25">
      <c r="A9" s="8">
        <v>36532</v>
      </c>
      <c r="B9" s="9">
        <v>21.72</v>
      </c>
      <c r="D9" s="2">
        <v>2004</v>
      </c>
      <c r="E9" s="9">
        <f t="shared" si="0"/>
        <v>15.47865612648221</v>
      </c>
      <c r="F9" s="9">
        <f>AVERAGE(Tabella3[VIX])</f>
        <v>19.866419979811504</v>
      </c>
      <c r="G9" s="25">
        <f>(Tabella3[[#This Row],[VIX]]-Tabella3[[#This Row],[VIX Average]])/Tabella3[[#This Row],[VIX Average]]</f>
        <v>-0.22086333913146866</v>
      </c>
      <c r="H9" s="26">
        <f xml:space="preserve"> 1 +0.3*Tabella3[[#This Row],[Delta %]]</f>
        <v>0.93374099826055945</v>
      </c>
    </row>
    <row r="10" spans="1:11" x14ac:dyDescent="0.25">
      <c r="A10" s="8">
        <v>36535</v>
      </c>
      <c r="B10" s="9">
        <v>21.71</v>
      </c>
      <c r="D10" s="2">
        <v>2005</v>
      </c>
      <c r="E10" s="9">
        <f t="shared" si="0"/>
        <v>12.80706349206349</v>
      </c>
      <c r="F10" s="9">
        <f>AVERAGE(Tabella3[VIX])</f>
        <v>19.866419979811504</v>
      </c>
      <c r="G10" s="25">
        <f>(Tabella3[[#This Row],[VIX]]-Tabella3[[#This Row],[VIX Average]])/Tabella3[[#This Row],[VIX Average]]</f>
        <v>-0.3553411482754224</v>
      </c>
      <c r="H10" s="26">
        <f xml:space="preserve"> 1 +0.3*Tabella3[[#This Row],[Delta %]]</f>
        <v>0.89339765551737327</v>
      </c>
    </row>
    <row r="11" spans="1:11" x14ac:dyDescent="0.25">
      <c r="A11" s="8">
        <v>36536</v>
      </c>
      <c r="B11" s="9">
        <v>22.5</v>
      </c>
      <c r="D11" s="2">
        <v>2006</v>
      </c>
      <c r="E11" s="9">
        <f t="shared" si="0"/>
        <v>12.806533864541835</v>
      </c>
      <c r="F11" s="9">
        <f>AVERAGE(Tabella3[VIX])</f>
        <v>19.866419979811504</v>
      </c>
      <c r="G11" s="25">
        <f>(Tabella3[[#This Row],[VIX]]-Tabella3[[#This Row],[VIX Average]])/Tabella3[[#This Row],[VIX Average]]</f>
        <v>-0.3553678077098949</v>
      </c>
      <c r="H11" s="26">
        <f xml:space="preserve"> 1 +0.3*Tabella3[[#This Row],[Delta %]]</f>
        <v>0.89338965768703149</v>
      </c>
    </row>
    <row r="12" spans="1:11" x14ac:dyDescent="0.25">
      <c r="A12" s="8">
        <v>36537</v>
      </c>
      <c r="B12" s="9">
        <v>22.84</v>
      </c>
      <c r="D12" s="2">
        <v>2007</v>
      </c>
      <c r="E12" s="9">
        <f t="shared" si="0"/>
        <v>17.535936254980093</v>
      </c>
      <c r="F12" s="9">
        <f>AVERAGE(Tabella3[VIX])</f>
        <v>19.866419979811504</v>
      </c>
      <c r="G12" s="25">
        <f>(Tabella3[[#This Row],[VIX]]-Tabella3[[#This Row],[VIX Average]])/Tabella3[[#This Row],[VIX Average]]</f>
        <v>-0.11730768438398442</v>
      </c>
      <c r="H12" s="26">
        <f xml:space="preserve"> 1 +0.3*Tabella3[[#This Row],[Delta %]]</f>
        <v>0.96480769468480465</v>
      </c>
    </row>
    <row r="13" spans="1:11" x14ac:dyDescent="0.25">
      <c r="A13" s="8">
        <v>36538</v>
      </c>
      <c r="B13" s="9">
        <v>21.71</v>
      </c>
      <c r="D13" s="2">
        <v>2008</v>
      </c>
      <c r="E13" s="9">
        <f t="shared" si="0"/>
        <v>32.694861660079056</v>
      </c>
      <c r="F13" s="9">
        <f>AVERAGE(Tabella3[VIX])</f>
        <v>19.866419979811504</v>
      </c>
      <c r="G13" s="25">
        <f>(Tabella3[[#This Row],[VIX]]-Tabella3[[#This Row],[VIX Average]])/Tabella3[[#This Row],[VIX Average]]</f>
        <v>0.64573494838546497</v>
      </c>
      <c r="H13" s="26">
        <f xml:space="preserve"> 1 +0.3*Tabella3[[#This Row],[Delta %]]</f>
        <v>1.1937204845156395</v>
      </c>
    </row>
    <row r="14" spans="1:11" x14ac:dyDescent="0.25">
      <c r="A14" s="8">
        <v>36539</v>
      </c>
      <c r="B14" s="9">
        <v>19.66</v>
      </c>
      <c r="D14" s="2">
        <v>2009</v>
      </c>
      <c r="E14" s="9">
        <f t="shared" si="0"/>
        <v>31.479007936507955</v>
      </c>
      <c r="F14" s="9">
        <f>AVERAGE(Tabella3[VIX])</f>
        <v>19.866419979811504</v>
      </c>
      <c r="G14" s="25">
        <f>(Tabella3[[#This Row],[VIX]]-Tabella3[[#This Row],[VIX Average]])/Tabella3[[#This Row],[VIX Average]]</f>
        <v>0.58453349765570761</v>
      </c>
      <c r="H14" s="26">
        <f xml:space="preserve"> 1 +0.3*Tabella3[[#This Row],[Delta %]]</f>
        <v>1.1753600492967122</v>
      </c>
    </row>
    <row r="15" spans="1:11" x14ac:dyDescent="0.25">
      <c r="A15" s="8">
        <v>36542</v>
      </c>
      <c r="D15" s="2">
        <v>2010</v>
      </c>
      <c r="E15" s="9">
        <f t="shared" si="0"/>
        <v>22.5488888888889</v>
      </c>
      <c r="F15" s="9">
        <f>AVERAGE(Tabella3[VIX])</f>
        <v>19.866419979811504</v>
      </c>
      <c r="G15" s="25">
        <f>(Tabella3[[#This Row],[VIX]]-Tabella3[[#This Row],[VIX Average]])/Tabella3[[#This Row],[VIX Average]]</f>
        <v>0.13502527943149062</v>
      </c>
      <c r="H15" s="26">
        <f xml:space="preserve"> 1 +0.3*Tabella3[[#This Row],[Delta %]]</f>
        <v>1.0405075838294471</v>
      </c>
    </row>
    <row r="16" spans="1:11" x14ac:dyDescent="0.25">
      <c r="A16" s="8">
        <v>36543</v>
      </c>
      <c r="B16" s="9">
        <v>21.5</v>
      </c>
      <c r="D16" s="2">
        <v>2011</v>
      </c>
      <c r="E16" s="9">
        <f t="shared" si="0"/>
        <v>24.202579365079369</v>
      </c>
      <c r="F16" s="9">
        <f>AVERAGE(Tabella3[VIX])</f>
        <v>19.866419979811504</v>
      </c>
      <c r="G16" s="25">
        <f>(Tabella3[[#This Row],[VIX]]-Tabella3[[#This Row],[VIX Average]])/Tabella3[[#This Row],[VIX Average]]</f>
        <v>0.21826576653842633</v>
      </c>
      <c r="H16" s="26">
        <f xml:space="preserve"> 1 +0.3*Tabella3[[#This Row],[Delta %]]</f>
        <v>1.065479729961528</v>
      </c>
    </row>
    <row r="17" spans="1:8" x14ac:dyDescent="0.25">
      <c r="A17" s="8">
        <v>36544</v>
      </c>
      <c r="B17" s="9">
        <v>21.72</v>
      </c>
      <c r="D17" s="2">
        <v>2012</v>
      </c>
      <c r="E17" s="9">
        <f t="shared" si="0"/>
        <v>17.79887999999999</v>
      </c>
      <c r="F17" s="9">
        <f>AVERAGE(Tabella3[VIX])</f>
        <v>19.866419979811504</v>
      </c>
      <c r="G17" s="25">
        <f>(Tabella3[[#This Row],[VIX]]-Tabella3[[#This Row],[VIX Average]])/Tabella3[[#This Row],[VIX Average]]</f>
        <v>-0.10407209662901383</v>
      </c>
      <c r="H17" s="26">
        <f xml:space="preserve"> 1 +0.3*Tabella3[[#This Row],[Delta %]]</f>
        <v>0.96877837101129582</v>
      </c>
    </row>
    <row r="18" spans="1:8" x14ac:dyDescent="0.25">
      <c r="A18" s="8">
        <v>36545</v>
      </c>
      <c r="B18" s="9">
        <v>21.75</v>
      </c>
      <c r="D18" s="2">
        <v>2013</v>
      </c>
      <c r="E18" s="9">
        <f t="shared" si="0"/>
        <v>14.230119047619041</v>
      </c>
      <c r="F18" s="9">
        <f>AVERAGE(Tabella3[VIX])</f>
        <v>19.866419979811504</v>
      </c>
      <c r="G18" s="25">
        <f>(Tabella3[[#This Row],[VIX]]-Tabella3[[#This Row],[VIX Average]])/Tabella3[[#This Row],[VIX Average]]</f>
        <v>-0.28370994562282181</v>
      </c>
      <c r="H18" s="26">
        <f xml:space="preserve"> 1 +0.3*Tabella3[[#This Row],[Delta %]]</f>
        <v>0.9148870163131535</v>
      </c>
    </row>
    <row r="19" spans="1:8" x14ac:dyDescent="0.25">
      <c r="A19" s="8">
        <v>36546</v>
      </c>
      <c r="B19" s="9">
        <v>20.82</v>
      </c>
      <c r="D19" s="2">
        <v>2014</v>
      </c>
      <c r="E19" s="9">
        <f t="shared" si="0"/>
        <v>14.175992063492068</v>
      </c>
      <c r="F19" s="9">
        <f>AVERAGE(Tabella3[VIX])</f>
        <v>19.866419979811504</v>
      </c>
      <c r="G19" s="25">
        <f>(Tabella3[[#This Row],[VIX]]-Tabella3[[#This Row],[VIX Average]])/Tabella3[[#This Row],[VIX Average]]</f>
        <v>-0.28643449207769278</v>
      </c>
      <c r="H19" s="26">
        <f xml:space="preserve"> 1 +0.3*Tabella3[[#This Row],[Delta %]]</f>
        <v>0.91406965237669213</v>
      </c>
    </row>
    <row r="20" spans="1:8" x14ac:dyDescent="0.25">
      <c r="A20" s="8">
        <v>36549</v>
      </c>
      <c r="B20" s="9">
        <v>24.07</v>
      </c>
      <c r="D20" s="2">
        <v>2015</v>
      </c>
      <c r="E20" s="9">
        <f t="shared" si="0"/>
        <v>16.674126984126978</v>
      </c>
      <c r="F20" s="9">
        <f>AVERAGE(Tabella3[VIX])</f>
        <v>19.866419979811504</v>
      </c>
      <c r="G20" s="25">
        <f>(Tabella3[[#This Row],[VIX]]-Tabella3[[#This Row],[VIX Average]])/Tabella3[[#This Row],[VIX Average]]</f>
        <v>-0.16068788432584089</v>
      </c>
      <c r="H20" s="26">
        <f xml:space="preserve"> 1 +0.3*Tabella3[[#This Row],[Delta %]]</f>
        <v>0.95179363470224776</v>
      </c>
    </row>
    <row r="21" spans="1:8" x14ac:dyDescent="0.25">
      <c r="A21" s="8">
        <v>36550</v>
      </c>
      <c r="B21" s="9">
        <v>23.02</v>
      </c>
      <c r="D21" s="2">
        <v>2016</v>
      </c>
      <c r="E21" s="9">
        <f t="shared" si="0"/>
        <v>15.825634920634913</v>
      </c>
      <c r="F21" s="9">
        <f>AVERAGE(Tabella3[VIX])</f>
        <v>19.866419979811504</v>
      </c>
      <c r="G21" s="25">
        <f>(Tabella3[[#This Row],[VIX]]-Tabella3[[#This Row],[VIX Average]])/Tabella3[[#This Row],[VIX Average]]</f>
        <v>-0.20339774671445007</v>
      </c>
      <c r="H21" s="26">
        <f xml:space="preserve"> 1 +0.3*Tabella3[[#This Row],[Delta %]]</f>
        <v>0.93898067598566493</v>
      </c>
    </row>
    <row r="22" spans="1:8" x14ac:dyDescent="0.25">
      <c r="A22" s="8">
        <v>36551</v>
      </c>
      <c r="B22" s="9">
        <v>23.03</v>
      </c>
      <c r="D22" s="2">
        <v>2017</v>
      </c>
      <c r="E22" s="9">
        <f t="shared" si="0"/>
        <v>11.090239043824706</v>
      </c>
      <c r="F22" s="9">
        <f>AVERAGE(Tabella3[VIX])</f>
        <v>19.866419979811504</v>
      </c>
      <c r="G22" s="25">
        <f>(Tabella3[[#This Row],[VIX]]-Tabella3[[#This Row],[VIX Average]])/Tabella3[[#This Row],[VIX Average]]</f>
        <v>-0.44175955934210887</v>
      </c>
      <c r="H22" s="26">
        <f xml:space="preserve"> 1 +0.3*Tabella3[[#This Row],[Delta %]]</f>
        <v>0.8674721321973673</v>
      </c>
    </row>
    <row r="23" spans="1:8" x14ac:dyDescent="0.25">
      <c r="A23" s="8">
        <v>36552</v>
      </c>
      <c r="B23" s="9">
        <v>23.54</v>
      </c>
      <c r="D23" s="2">
        <v>2018</v>
      </c>
      <c r="E23" s="9">
        <f t="shared" si="0"/>
        <v>16.639840637450188</v>
      </c>
      <c r="F23" s="9">
        <f>AVERAGE(Tabella3[VIX])</f>
        <v>19.866419979811504</v>
      </c>
      <c r="G23" s="25">
        <f>(Tabella3[[#This Row],[VIX]]-Tabella3[[#This Row],[VIX Average]])/Tabella3[[#This Row],[VIX Average]]</f>
        <v>-0.16241372857516373</v>
      </c>
      <c r="H23" s="26">
        <f xml:space="preserve"> 1 +0.3*Tabella3[[#This Row],[Delta %]]</f>
        <v>0.9512758814274509</v>
      </c>
    </row>
    <row r="24" spans="1:8" x14ac:dyDescent="0.25">
      <c r="A24" s="8">
        <v>36553</v>
      </c>
      <c r="B24" s="9">
        <v>26.14</v>
      </c>
      <c r="D24" s="2">
        <v>2019</v>
      </c>
      <c r="E24" s="9">
        <f t="shared" si="0"/>
        <v>15.387857142857136</v>
      </c>
      <c r="F24" s="9">
        <f>AVERAGE(Tabella3[VIX])</f>
        <v>19.866419979811504</v>
      </c>
      <c r="G24" s="25">
        <f>(Tabella3[[#This Row],[VIX]]-Tabella3[[#This Row],[VIX Average]])/Tabella3[[#This Row],[VIX Average]]</f>
        <v>-0.22543381452247244</v>
      </c>
      <c r="H24" s="26">
        <f xml:space="preserve"> 1 +0.3*Tabella3[[#This Row],[Delta %]]</f>
        <v>0.93236985564325825</v>
      </c>
    </row>
    <row r="25" spans="1:8" x14ac:dyDescent="0.25">
      <c r="A25" s="8">
        <v>36556</v>
      </c>
      <c r="B25" s="9">
        <v>24.95</v>
      </c>
      <c r="D25" s="2">
        <v>2020</v>
      </c>
      <c r="E25" s="9">
        <f t="shared" si="0"/>
        <v>29.251304347826103</v>
      </c>
      <c r="F25" s="9">
        <f>AVERAGE(Tabella3[VIX])</f>
        <v>19.866419979811504</v>
      </c>
      <c r="G25" s="25">
        <f>(Tabella3[[#This Row],[VIX]]-Tabella3[[#This Row],[VIX Average]])/Tabella3[[#This Row],[VIX Average]]</f>
        <v>0.47239937429852147</v>
      </c>
      <c r="H25" s="26">
        <f xml:space="preserve"> 1 +0.3*Tabella3[[#This Row],[Delta %]]</f>
        <v>1.1417198122895564</v>
      </c>
    </row>
    <row r="26" spans="1:8" x14ac:dyDescent="0.25">
      <c r="A26" s="8">
        <v>36557</v>
      </c>
      <c r="B26" s="9">
        <v>23.45</v>
      </c>
      <c r="D26" s="2">
        <v>2021</v>
      </c>
      <c r="E26" s="9">
        <f t="shared" si="0"/>
        <v>19.656150793650781</v>
      </c>
      <c r="F26" s="9">
        <f>AVERAGE(Tabella3[VIX])</f>
        <v>19.866419979811504</v>
      </c>
      <c r="G26" s="25">
        <f>(Tabella3[[#This Row],[VIX]]-Tabella3[[#This Row],[VIX Average]])/Tabella3[[#This Row],[VIX Average]]</f>
        <v>-1.0584150862329536E-2</v>
      </c>
      <c r="H26" s="26">
        <f xml:space="preserve"> 1 +0.3*Tabella3[[#This Row],[Delta %]]</f>
        <v>0.99682475474130117</v>
      </c>
    </row>
    <row r="27" spans="1:8" x14ac:dyDescent="0.25">
      <c r="A27" s="8">
        <v>36558</v>
      </c>
      <c r="B27" s="9">
        <v>23.12</v>
      </c>
      <c r="D27" s="2">
        <v>2022</v>
      </c>
      <c r="E27" s="9">
        <f t="shared" si="0"/>
        <v>25.637148437500009</v>
      </c>
      <c r="F27" s="9">
        <f>AVERAGE(Tabella3[VIX])</f>
        <v>19.866419979811504</v>
      </c>
      <c r="G27" s="25">
        <f>(Tabella3[[#This Row],[VIX]]-Tabella3[[#This Row],[VIX Average]])/Tabella3[[#This Row],[VIX Average]]</f>
        <v>0.29047651582684703</v>
      </c>
      <c r="H27" s="26">
        <f xml:space="preserve"> 1 +0.3*Tabella3[[#This Row],[Delta %]]</f>
        <v>1.087142954748054</v>
      </c>
    </row>
    <row r="28" spans="1:8" x14ac:dyDescent="0.25">
      <c r="A28" s="8">
        <v>36559</v>
      </c>
      <c r="B28" s="9">
        <v>22.01</v>
      </c>
      <c r="D28" s="2">
        <v>2023</v>
      </c>
      <c r="E28" s="9">
        <f t="shared" si="0"/>
        <v>16.84902723735409</v>
      </c>
      <c r="F28" s="9">
        <f>AVERAGE(Tabella3[VIX])</f>
        <v>19.866419979811504</v>
      </c>
      <c r="G28" s="25">
        <f>(Tabella3[[#This Row],[VIX]]-Tabella3[[#This Row],[VIX Average]])/Tabella3[[#This Row],[VIX Average]]</f>
        <v>-0.15188407098630377</v>
      </c>
      <c r="H28" s="26">
        <f xml:space="preserve"> 1 +0.3*Tabella3[[#This Row],[Delta %]]</f>
        <v>0.95443477870410887</v>
      </c>
    </row>
    <row r="29" spans="1:8" x14ac:dyDescent="0.25">
      <c r="A29" s="8">
        <v>36560</v>
      </c>
      <c r="B29" s="9">
        <v>21.54</v>
      </c>
      <c r="D29" s="2">
        <v>2024</v>
      </c>
      <c r="E29" s="9">
        <f t="shared" si="0"/>
        <v>15.550656370656368</v>
      </c>
      <c r="F29" s="9">
        <f>AVERAGE(Tabella3[VIX])</f>
        <v>19.866419979811504</v>
      </c>
      <c r="G29" s="25">
        <f>(Tabella3[[#This Row],[VIX]]-Tabella3[[#This Row],[VIX Average]])/Tabella3[[#This Row],[VIX Average]]</f>
        <v>-0.21723912076463031</v>
      </c>
      <c r="H29" s="26">
        <f xml:space="preserve"> 1 +0.3*Tabella3[[#This Row],[Delta %]]</f>
        <v>0.9348282637706109</v>
      </c>
    </row>
    <row r="30" spans="1:8" x14ac:dyDescent="0.25">
      <c r="A30" s="8">
        <v>36563</v>
      </c>
      <c r="B30" s="9">
        <v>22.79</v>
      </c>
    </row>
    <row r="31" spans="1:8" x14ac:dyDescent="0.25">
      <c r="A31" s="8">
        <v>36564</v>
      </c>
      <c r="B31" s="9">
        <v>21.25</v>
      </c>
    </row>
    <row r="32" spans="1:8" x14ac:dyDescent="0.25">
      <c r="A32" s="8">
        <v>36565</v>
      </c>
      <c r="B32" s="9">
        <v>22.9</v>
      </c>
    </row>
    <row r="33" spans="1:2" x14ac:dyDescent="0.25">
      <c r="A33" s="8">
        <v>36566</v>
      </c>
      <c r="B33" s="9">
        <v>23.07</v>
      </c>
    </row>
    <row r="34" spans="1:2" x14ac:dyDescent="0.25">
      <c r="A34" s="8">
        <v>36567</v>
      </c>
      <c r="B34" s="9">
        <v>24.42</v>
      </c>
    </row>
    <row r="35" spans="1:2" x14ac:dyDescent="0.25">
      <c r="A35" s="8">
        <v>36570</v>
      </c>
      <c r="B35" s="9">
        <v>24.38</v>
      </c>
    </row>
    <row r="36" spans="1:2" x14ac:dyDescent="0.25">
      <c r="A36" s="8">
        <v>36571</v>
      </c>
      <c r="B36" s="9">
        <v>22.92</v>
      </c>
    </row>
    <row r="37" spans="1:2" x14ac:dyDescent="0.25">
      <c r="A37" s="8">
        <v>36572</v>
      </c>
      <c r="B37" s="9">
        <v>23.51</v>
      </c>
    </row>
    <row r="38" spans="1:2" x14ac:dyDescent="0.25">
      <c r="A38" s="8">
        <v>36573</v>
      </c>
      <c r="B38" s="9">
        <v>23.17</v>
      </c>
    </row>
    <row r="39" spans="1:2" x14ac:dyDescent="0.25">
      <c r="A39" s="8">
        <v>36574</v>
      </c>
      <c r="B39" s="9">
        <v>26</v>
      </c>
    </row>
    <row r="40" spans="1:2" x14ac:dyDescent="0.25">
      <c r="A40" s="8">
        <v>36577</v>
      </c>
    </row>
    <row r="41" spans="1:2" x14ac:dyDescent="0.25">
      <c r="A41" s="8">
        <v>36578</v>
      </c>
      <c r="B41" s="9">
        <v>25.86</v>
      </c>
    </row>
    <row r="42" spans="1:2" x14ac:dyDescent="0.25">
      <c r="A42" s="8">
        <v>36579</v>
      </c>
      <c r="B42" s="9">
        <v>23.89</v>
      </c>
    </row>
    <row r="43" spans="1:2" x14ac:dyDescent="0.25">
      <c r="A43" s="8">
        <v>36580</v>
      </c>
      <c r="B43" s="9">
        <v>24.38</v>
      </c>
    </row>
    <row r="44" spans="1:2" x14ac:dyDescent="0.25">
      <c r="A44" s="8">
        <v>36581</v>
      </c>
      <c r="B44" s="9">
        <v>25.2</v>
      </c>
    </row>
    <row r="45" spans="1:2" x14ac:dyDescent="0.25">
      <c r="A45" s="8">
        <v>36584</v>
      </c>
      <c r="B45" s="9">
        <v>24.68</v>
      </c>
    </row>
    <row r="46" spans="1:2" x14ac:dyDescent="0.25">
      <c r="A46" s="8">
        <v>36585</v>
      </c>
      <c r="B46" s="9">
        <v>23.37</v>
      </c>
    </row>
    <row r="47" spans="1:2" x14ac:dyDescent="0.25">
      <c r="A47" s="8">
        <v>36586</v>
      </c>
      <c r="B47" s="9">
        <v>21.64</v>
      </c>
    </row>
    <row r="48" spans="1:2" x14ac:dyDescent="0.25">
      <c r="A48" s="8">
        <v>36587</v>
      </c>
      <c r="B48" s="9">
        <v>21.06</v>
      </c>
    </row>
    <row r="49" spans="1:2" x14ac:dyDescent="0.25">
      <c r="A49" s="8">
        <v>36588</v>
      </c>
      <c r="B49" s="9">
        <v>19.21</v>
      </c>
    </row>
    <row r="50" spans="1:2" x14ac:dyDescent="0.25">
      <c r="A50" s="8">
        <v>36591</v>
      </c>
      <c r="B50" s="9">
        <v>21.5</v>
      </c>
    </row>
    <row r="51" spans="1:2" x14ac:dyDescent="0.25">
      <c r="A51" s="8">
        <v>36592</v>
      </c>
      <c r="B51" s="9">
        <v>24.31</v>
      </c>
    </row>
    <row r="52" spans="1:2" x14ac:dyDescent="0.25">
      <c r="A52" s="8">
        <v>36593</v>
      </c>
      <c r="B52" s="9">
        <v>23.82</v>
      </c>
    </row>
    <row r="53" spans="1:2" x14ac:dyDescent="0.25">
      <c r="A53" s="8">
        <v>36594</v>
      </c>
      <c r="B53" s="9">
        <v>22.21</v>
      </c>
    </row>
    <row r="54" spans="1:2" x14ac:dyDescent="0.25">
      <c r="A54" s="8">
        <v>36595</v>
      </c>
      <c r="B54" s="9">
        <v>21.24</v>
      </c>
    </row>
    <row r="55" spans="1:2" x14ac:dyDescent="0.25">
      <c r="A55" s="8">
        <v>36598</v>
      </c>
      <c r="B55" s="9">
        <v>22.85</v>
      </c>
    </row>
    <row r="56" spans="1:2" x14ac:dyDescent="0.25">
      <c r="A56" s="8">
        <v>36599</v>
      </c>
      <c r="B56" s="9">
        <v>24.41</v>
      </c>
    </row>
    <row r="57" spans="1:2" x14ac:dyDescent="0.25">
      <c r="A57" s="8">
        <v>36600</v>
      </c>
      <c r="B57" s="9">
        <v>22.34</v>
      </c>
    </row>
    <row r="58" spans="1:2" x14ac:dyDescent="0.25">
      <c r="A58" s="8">
        <v>36601</v>
      </c>
      <c r="B58" s="9">
        <v>20.77</v>
      </c>
    </row>
    <row r="59" spans="1:2" x14ac:dyDescent="0.25">
      <c r="A59" s="8">
        <v>36602</v>
      </c>
      <c r="B59" s="9">
        <v>22.37</v>
      </c>
    </row>
    <row r="60" spans="1:2" x14ac:dyDescent="0.25">
      <c r="A60" s="8">
        <v>36605</v>
      </c>
      <c r="B60" s="9">
        <v>22.96</v>
      </c>
    </row>
    <row r="61" spans="1:2" x14ac:dyDescent="0.25">
      <c r="A61" s="8">
        <v>36606</v>
      </c>
      <c r="B61" s="9">
        <v>21.7</v>
      </c>
    </row>
    <row r="62" spans="1:2" x14ac:dyDescent="0.25">
      <c r="A62" s="8">
        <v>36607</v>
      </c>
      <c r="B62" s="9">
        <v>21.49</v>
      </c>
    </row>
    <row r="63" spans="1:2" x14ac:dyDescent="0.25">
      <c r="A63" s="8">
        <v>36608</v>
      </c>
      <c r="B63" s="9">
        <v>22.26</v>
      </c>
    </row>
    <row r="64" spans="1:2" x14ac:dyDescent="0.25">
      <c r="A64" s="8">
        <v>36609</v>
      </c>
      <c r="B64" s="9">
        <v>23.31</v>
      </c>
    </row>
    <row r="65" spans="1:2" x14ac:dyDescent="0.25">
      <c r="A65" s="8">
        <v>36612</v>
      </c>
      <c r="B65" s="9">
        <v>24.53</v>
      </c>
    </row>
    <row r="66" spans="1:2" x14ac:dyDescent="0.25">
      <c r="A66" s="8">
        <v>36613</v>
      </c>
      <c r="B66" s="9">
        <v>24.86</v>
      </c>
    </row>
    <row r="67" spans="1:2" x14ac:dyDescent="0.25">
      <c r="A67" s="8">
        <v>36614</v>
      </c>
      <c r="B67" s="9">
        <v>24.1</v>
      </c>
    </row>
    <row r="68" spans="1:2" x14ac:dyDescent="0.25">
      <c r="A68" s="8">
        <v>36615</v>
      </c>
      <c r="B68" s="9">
        <v>25.47</v>
      </c>
    </row>
    <row r="69" spans="1:2" x14ac:dyDescent="0.25">
      <c r="A69" s="8">
        <v>36616</v>
      </c>
      <c r="B69" s="9">
        <v>24.11</v>
      </c>
    </row>
    <row r="70" spans="1:2" x14ac:dyDescent="0.25">
      <c r="A70" s="8">
        <v>36619</v>
      </c>
      <c r="B70" s="9">
        <v>24.03</v>
      </c>
    </row>
    <row r="71" spans="1:2" x14ac:dyDescent="0.25">
      <c r="A71" s="8">
        <v>36620</v>
      </c>
      <c r="B71" s="9">
        <v>27.12</v>
      </c>
    </row>
    <row r="72" spans="1:2" x14ac:dyDescent="0.25">
      <c r="A72" s="8">
        <v>36621</v>
      </c>
      <c r="B72" s="9">
        <v>28.41</v>
      </c>
    </row>
    <row r="73" spans="1:2" x14ac:dyDescent="0.25">
      <c r="A73" s="8">
        <v>36622</v>
      </c>
      <c r="B73" s="9">
        <v>27.15</v>
      </c>
    </row>
    <row r="74" spans="1:2" x14ac:dyDescent="0.25">
      <c r="A74" s="8">
        <v>36623</v>
      </c>
      <c r="B74" s="9">
        <v>24.39</v>
      </c>
    </row>
    <row r="75" spans="1:2" x14ac:dyDescent="0.25">
      <c r="A75" s="8">
        <v>36626</v>
      </c>
      <c r="B75" s="9">
        <v>25.99</v>
      </c>
    </row>
    <row r="76" spans="1:2" x14ac:dyDescent="0.25">
      <c r="A76" s="8">
        <v>36627</v>
      </c>
      <c r="B76" s="9">
        <v>27.25</v>
      </c>
    </row>
    <row r="77" spans="1:2" x14ac:dyDescent="0.25">
      <c r="A77" s="8">
        <v>36628</v>
      </c>
      <c r="B77" s="9">
        <v>28.98</v>
      </c>
    </row>
    <row r="78" spans="1:2" x14ac:dyDescent="0.25">
      <c r="A78" s="8">
        <v>36629</v>
      </c>
      <c r="B78" s="9">
        <v>29.4</v>
      </c>
    </row>
    <row r="79" spans="1:2" x14ac:dyDescent="0.25">
      <c r="A79" s="8">
        <v>36630</v>
      </c>
      <c r="B79" s="9">
        <v>33.49</v>
      </c>
    </row>
    <row r="80" spans="1:2" x14ac:dyDescent="0.25">
      <c r="A80" s="8">
        <v>36633</v>
      </c>
      <c r="B80" s="9">
        <v>28.95</v>
      </c>
    </row>
    <row r="81" spans="1:2" x14ac:dyDescent="0.25">
      <c r="A81" s="8">
        <v>36634</v>
      </c>
      <c r="B81" s="9">
        <v>26.12</v>
      </c>
    </row>
    <row r="82" spans="1:2" x14ac:dyDescent="0.25">
      <c r="A82" s="8">
        <v>36635</v>
      </c>
      <c r="B82" s="9">
        <v>27.02</v>
      </c>
    </row>
    <row r="83" spans="1:2" x14ac:dyDescent="0.25">
      <c r="A83" s="8">
        <v>36636</v>
      </c>
      <c r="B83" s="9">
        <v>25.85</v>
      </c>
    </row>
    <row r="84" spans="1:2" x14ac:dyDescent="0.25">
      <c r="A84" s="8">
        <v>36637</v>
      </c>
    </row>
    <row r="85" spans="1:2" x14ac:dyDescent="0.25">
      <c r="A85" s="8">
        <v>36640</v>
      </c>
      <c r="B85" s="9">
        <v>27.37</v>
      </c>
    </row>
    <row r="86" spans="1:2" x14ac:dyDescent="0.25">
      <c r="A86" s="8">
        <v>36641</v>
      </c>
      <c r="B86" s="9">
        <v>25.24</v>
      </c>
    </row>
    <row r="87" spans="1:2" x14ac:dyDescent="0.25">
      <c r="A87" s="8">
        <v>36642</v>
      </c>
      <c r="B87" s="9">
        <v>26.97</v>
      </c>
    </row>
    <row r="88" spans="1:2" x14ac:dyDescent="0.25">
      <c r="A88" s="8">
        <v>36643</v>
      </c>
      <c r="B88" s="9">
        <v>26.19</v>
      </c>
    </row>
    <row r="89" spans="1:2" x14ac:dyDescent="0.25">
      <c r="A89" s="8">
        <v>36644</v>
      </c>
      <c r="B89" s="9">
        <v>26.2</v>
      </c>
    </row>
    <row r="90" spans="1:2" x14ac:dyDescent="0.25">
      <c r="A90" s="8">
        <v>36647</v>
      </c>
      <c r="B90" s="9">
        <v>25.88</v>
      </c>
    </row>
    <row r="91" spans="1:2" x14ac:dyDescent="0.25">
      <c r="A91" s="8">
        <v>36648</v>
      </c>
      <c r="B91" s="9">
        <v>28.5</v>
      </c>
    </row>
    <row r="92" spans="1:2" x14ac:dyDescent="0.25">
      <c r="A92" s="8">
        <v>36649</v>
      </c>
      <c r="B92" s="9">
        <v>31.63</v>
      </c>
    </row>
    <row r="93" spans="1:2" x14ac:dyDescent="0.25">
      <c r="A93" s="8">
        <v>36650</v>
      </c>
      <c r="B93" s="9">
        <v>30.77</v>
      </c>
    </row>
    <row r="94" spans="1:2" x14ac:dyDescent="0.25">
      <c r="A94" s="8">
        <v>36651</v>
      </c>
      <c r="B94" s="9">
        <v>27.53</v>
      </c>
    </row>
    <row r="95" spans="1:2" x14ac:dyDescent="0.25">
      <c r="A95" s="8">
        <v>36654</v>
      </c>
      <c r="B95" s="9">
        <v>28.2</v>
      </c>
    </row>
    <row r="96" spans="1:2" x14ac:dyDescent="0.25">
      <c r="A96" s="8">
        <v>36655</v>
      </c>
      <c r="B96" s="9">
        <v>28.93</v>
      </c>
    </row>
    <row r="97" spans="1:2" x14ac:dyDescent="0.25">
      <c r="A97" s="8">
        <v>36656</v>
      </c>
      <c r="B97" s="9">
        <v>29.87</v>
      </c>
    </row>
    <row r="98" spans="1:2" x14ac:dyDescent="0.25">
      <c r="A98" s="8">
        <v>36657</v>
      </c>
      <c r="B98" s="9">
        <v>27.76</v>
      </c>
    </row>
    <row r="99" spans="1:2" x14ac:dyDescent="0.25">
      <c r="A99" s="8">
        <v>36658</v>
      </c>
      <c r="B99" s="9">
        <v>26.05</v>
      </c>
    </row>
    <row r="100" spans="1:2" x14ac:dyDescent="0.25">
      <c r="A100" s="8">
        <v>36661</v>
      </c>
      <c r="B100" s="9">
        <v>24.86</v>
      </c>
    </row>
    <row r="101" spans="1:2" x14ac:dyDescent="0.25">
      <c r="A101" s="8">
        <v>36662</v>
      </c>
      <c r="B101" s="9">
        <v>24.34</v>
      </c>
    </row>
    <row r="102" spans="1:2" x14ac:dyDescent="0.25">
      <c r="A102" s="8">
        <v>36663</v>
      </c>
      <c r="B102" s="9">
        <v>23.98</v>
      </c>
    </row>
    <row r="103" spans="1:2" x14ac:dyDescent="0.25">
      <c r="A103" s="8">
        <v>36664</v>
      </c>
      <c r="B103" s="9">
        <v>23.96</v>
      </c>
    </row>
    <row r="104" spans="1:2" x14ac:dyDescent="0.25">
      <c r="A104" s="8">
        <v>36665</v>
      </c>
      <c r="B104" s="9">
        <v>25.44</v>
      </c>
    </row>
    <row r="105" spans="1:2" x14ac:dyDescent="0.25">
      <c r="A105" s="8">
        <v>36668</v>
      </c>
      <c r="B105" s="9">
        <v>26</v>
      </c>
    </row>
    <row r="106" spans="1:2" x14ac:dyDescent="0.25">
      <c r="A106" s="8">
        <v>36669</v>
      </c>
      <c r="B106" s="9">
        <v>25.87</v>
      </c>
    </row>
    <row r="107" spans="1:2" x14ac:dyDescent="0.25">
      <c r="A107" s="8">
        <v>36670</v>
      </c>
      <c r="B107" s="9">
        <v>24.32</v>
      </c>
    </row>
    <row r="108" spans="1:2" x14ac:dyDescent="0.25">
      <c r="A108" s="8">
        <v>36671</v>
      </c>
      <c r="B108" s="9">
        <v>24.58</v>
      </c>
    </row>
    <row r="109" spans="1:2" x14ac:dyDescent="0.25">
      <c r="A109" s="8">
        <v>36672</v>
      </c>
      <c r="B109" s="9">
        <v>24.47</v>
      </c>
    </row>
    <row r="110" spans="1:2" x14ac:dyDescent="0.25">
      <c r="A110" s="8">
        <v>36675</v>
      </c>
    </row>
    <row r="111" spans="1:2" x14ac:dyDescent="0.25">
      <c r="A111" s="8">
        <v>36676</v>
      </c>
      <c r="B111" s="9">
        <v>23.62</v>
      </c>
    </row>
    <row r="112" spans="1:2" x14ac:dyDescent="0.25">
      <c r="A112" s="8">
        <v>36677</v>
      </c>
      <c r="B112" s="9">
        <v>23.65</v>
      </c>
    </row>
    <row r="113" spans="1:2" x14ac:dyDescent="0.25">
      <c r="A113" s="8">
        <v>36678</v>
      </c>
      <c r="B113" s="9">
        <v>22.36</v>
      </c>
    </row>
    <row r="114" spans="1:2" x14ac:dyDescent="0.25">
      <c r="A114" s="8">
        <v>36679</v>
      </c>
      <c r="B114" s="9">
        <v>21.48</v>
      </c>
    </row>
    <row r="115" spans="1:2" x14ac:dyDescent="0.25">
      <c r="A115" s="8">
        <v>36682</v>
      </c>
      <c r="B115" s="9">
        <v>22.71</v>
      </c>
    </row>
    <row r="116" spans="1:2" x14ac:dyDescent="0.25">
      <c r="A116" s="8">
        <v>36683</v>
      </c>
      <c r="B116" s="9">
        <v>23.05</v>
      </c>
    </row>
    <row r="117" spans="1:2" x14ac:dyDescent="0.25">
      <c r="A117" s="8">
        <v>36684</v>
      </c>
      <c r="B117" s="9">
        <v>22.48</v>
      </c>
    </row>
    <row r="118" spans="1:2" x14ac:dyDescent="0.25">
      <c r="A118" s="8">
        <v>36685</v>
      </c>
      <c r="B118" s="9">
        <v>22.77</v>
      </c>
    </row>
    <row r="119" spans="1:2" x14ac:dyDescent="0.25">
      <c r="A119" s="8">
        <v>36686</v>
      </c>
      <c r="B119" s="9">
        <v>22.14</v>
      </c>
    </row>
    <row r="120" spans="1:2" x14ac:dyDescent="0.25">
      <c r="A120" s="8">
        <v>36689</v>
      </c>
      <c r="B120" s="9">
        <v>22.32</v>
      </c>
    </row>
    <row r="121" spans="1:2" x14ac:dyDescent="0.25">
      <c r="A121" s="8">
        <v>36690</v>
      </c>
      <c r="B121" s="9">
        <v>21.67</v>
      </c>
    </row>
    <row r="122" spans="1:2" x14ac:dyDescent="0.25">
      <c r="A122" s="8">
        <v>36691</v>
      </c>
      <c r="B122" s="9">
        <v>21.48</v>
      </c>
    </row>
    <row r="123" spans="1:2" x14ac:dyDescent="0.25">
      <c r="A123" s="8">
        <v>36692</v>
      </c>
      <c r="B123" s="9">
        <v>20.68</v>
      </c>
    </row>
    <row r="124" spans="1:2" x14ac:dyDescent="0.25">
      <c r="A124" s="8">
        <v>36693</v>
      </c>
      <c r="B124" s="9">
        <v>20.5</v>
      </c>
    </row>
    <row r="125" spans="1:2" x14ac:dyDescent="0.25">
      <c r="A125" s="8">
        <v>36696</v>
      </c>
      <c r="B125" s="9">
        <v>20.63</v>
      </c>
    </row>
    <row r="126" spans="1:2" x14ac:dyDescent="0.25">
      <c r="A126" s="8">
        <v>36697</v>
      </c>
      <c r="B126" s="9">
        <v>20.88</v>
      </c>
    </row>
    <row r="127" spans="1:2" x14ac:dyDescent="0.25">
      <c r="A127" s="8">
        <v>36698</v>
      </c>
      <c r="B127" s="9">
        <v>20.61</v>
      </c>
    </row>
    <row r="128" spans="1:2" x14ac:dyDescent="0.25">
      <c r="A128" s="8">
        <v>36699</v>
      </c>
      <c r="B128" s="9">
        <v>22</v>
      </c>
    </row>
    <row r="129" spans="1:2" x14ac:dyDescent="0.25">
      <c r="A129" s="8">
        <v>36700</v>
      </c>
      <c r="B129" s="9">
        <v>22.34</v>
      </c>
    </row>
    <row r="130" spans="1:2" x14ac:dyDescent="0.25">
      <c r="A130" s="8">
        <v>36703</v>
      </c>
      <c r="B130" s="9">
        <v>22.45</v>
      </c>
    </row>
    <row r="131" spans="1:2" x14ac:dyDescent="0.25">
      <c r="A131" s="8">
        <v>36704</v>
      </c>
      <c r="B131" s="9">
        <v>21.8</v>
      </c>
    </row>
    <row r="132" spans="1:2" x14ac:dyDescent="0.25">
      <c r="A132" s="8">
        <v>36705</v>
      </c>
      <c r="B132" s="9">
        <v>20.29</v>
      </c>
    </row>
    <row r="133" spans="1:2" x14ac:dyDescent="0.25">
      <c r="A133" s="8">
        <v>36706</v>
      </c>
      <c r="B133" s="9">
        <v>19.7</v>
      </c>
    </row>
    <row r="134" spans="1:2" x14ac:dyDescent="0.25">
      <c r="A134" s="8">
        <v>36707</v>
      </c>
      <c r="B134" s="9">
        <v>19.54</v>
      </c>
    </row>
    <row r="135" spans="1:2" x14ac:dyDescent="0.25">
      <c r="A135" s="8">
        <v>36710</v>
      </c>
      <c r="B135" s="9">
        <v>19.829999999999998</v>
      </c>
    </row>
    <row r="136" spans="1:2" x14ac:dyDescent="0.25">
      <c r="A136" s="8">
        <v>36711</v>
      </c>
    </row>
    <row r="137" spans="1:2" x14ac:dyDescent="0.25">
      <c r="A137" s="8">
        <v>36712</v>
      </c>
      <c r="B137" s="9">
        <v>21.16</v>
      </c>
    </row>
    <row r="138" spans="1:2" x14ac:dyDescent="0.25">
      <c r="A138" s="8">
        <v>36713</v>
      </c>
      <c r="B138" s="9">
        <v>20.94</v>
      </c>
    </row>
    <row r="139" spans="1:2" x14ac:dyDescent="0.25">
      <c r="A139" s="8">
        <v>36714</v>
      </c>
      <c r="B139" s="9">
        <v>19.22</v>
      </c>
    </row>
    <row r="140" spans="1:2" x14ac:dyDescent="0.25">
      <c r="A140" s="8">
        <v>36717</v>
      </c>
      <c r="B140" s="9">
        <v>20.329999999999998</v>
      </c>
    </row>
    <row r="141" spans="1:2" x14ac:dyDescent="0.25">
      <c r="A141" s="8">
        <v>36718</v>
      </c>
      <c r="B141" s="9">
        <v>20.11</v>
      </c>
    </row>
    <row r="142" spans="1:2" x14ac:dyDescent="0.25">
      <c r="A142" s="8">
        <v>36719</v>
      </c>
      <c r="B142" s="9">
        <v>20.03</v>
      </c>
    </row>
    <row r="143" spans="1:2" x14ac:dyDescent="0.25">
      <c r="A143" s="8">
        <v>36720</v>
      </c>
      <c r="B143" s="9">
        <v>20.03</v>
      </c>
    </row>
    <row r="144" spans="1:2" x14ac:dyDescent="0.25">
      <c r="A144" s="8">
        <v>36721</v>
      </c>
      <c r="B144" s="9">
        <v>19.32</v>
      </c>
    </row>
    <row r="145" spans="1:2" x14ac:dyDescent="0.25">
      <c r="A145" s="8">
        <v>36724</v>
      </c>
      <c r="B145" s="9">
        <v>19.45</v>
      </c>
    </row>
    <row r="146" spans="1:2" x14ac:dyDescent="0.25">
      <c r="A146" s="8">
        <v>36725</v>
      </c>
      <c r="B146" s="9">
        <v>19.75</v>
      </c>
    </row>
    <row r="147" spans="1:2" x14ac:dyDescent="0.25">
      <c r="A147" s="8">
        <v>36726</v>
      </c>
      <c r="B147" s="9">
        <v>19.649999999999999</v>
      </c>
    </row>
    <row r="148" spans="1:2" x14ac:dyDescent="0.25">
      <c r="A148" s="8">
        <v>36727</v>
      </c>
      <c r="B148" s="9">
        <v>18.940000000000001</v>
      </c>
    </row>
    <row r="149" spans="1:2" x14ac:dyDescent="0.25">
      <c r="A149" s="8">
        <v>36728</v>
      </c>
      <c r="B149" s="9">
        <v>18.940000000000001</v>
      </c>
    </row>
    <row r="150" spans="1:2" x14ac:dyDescent="0.25">
      <c r="A150" s="8">
        <v>36731</v>
      </c>
      <c r="B150" s="9">
        <v>19.920000000000002</v>
      </c>
    </row>
    <row r="151" spans="1:2" x14ac:dyDescent="0.25">
      <c r="A151" s="8">
        <v>36732</v>
      </c>
      <c r="B151" s="9">
        <v>19.39</v>
      </c>
    </row>
    <row r="152" spans="1:2" x14ac:dyDescent="0.25">
      <c r="A152" s="8">
        <v>36733</v>
      </c>
      <c r="B152" s="9">
        <v>19.670000000000002</v>
      </c>
    </row>
    <row r="153" spans="1:2" x14ac:dyDescent="0.25">
      <c r="A153" s="8">
        <v>36734</v>
      </c>
      <c r="B153" s="9">
        <v>19.600000000000001</v>
      </c>
    </row>
    <row r="154" spans="1:2" x14ac:dyDescent="0.25">
      <c r="A154" s="8">
        <v>36735</v>
      </c>
      <c r="B154" s="9">
        <v>20.84</v>
      </c>
    </row>
    <row r="155" spans="1:2" x14ac:dyDescent="0.25">
      <c r="A155" s="8">
        <v>36738</v>
      </c>
      <c r="B155" s="9">
        <v>20.74</v>
      </c>
    </row>
    <row r="156" spans="1:2" x14ac:dyDescent="0.25">
      <c r="A156" s="8">
        <v>36739</v>
      </c>
      <c r="B156" s="9">
        <v>20.55</v>
      </c>
    </row>
    <row r="157" spans="1:2" x14ac:dyDescent="0.25">
      <c r="A157" s="8">
        <v>36740</v>
      </c>
      <c r="B157" s="9">
        <v>20</v>
      </c>
    </row>
    <row r="158" spans="1:2" x14ac:dyDescent="0.25">
      <c r="A158" s="8">
        <v>36741</v>
      </c>
      <c r="B158" s="9">
        <v>19.989999999999998</v>
      </c>
    </row>
    <row r="159" spans="1:2" x14ac:dyDescent="0.25">
      <c r="A159" s="8">
        <v>36742</v>
      </c>
      <c r="B159" s="9">
        <v>18.62</v>
      </c>
    </row>
    <row r="160" spans="1:2" x14ac:dyDescent="0.25">
      <c r="A160" s="8">
        <v>36745</v>
      </c>
      <c r="B160" s="9">
        <v>19.03</v>
      </c>
    </row>
    <row r="161" spans="1:2" x14ac:dyDescent="0.25">
      <c r="A161" s="8">
        <v>36746</v>
      </c>
      <c r="B161" s="9">
        <v>18.79</v>
      </c>
    </row>
    <row r="162" spans="1:2" x14ac:dyDescent="0.25">
      <c r="A162" s="8">
        <v>36747</v>
      </c>
      <c r="B162" s="9">
        <v>19.18</v>
      </c>
    </row>
    <row r="163" spans="1:2" x14ac:dyDescent="0.25">
      <c r="A163" s="8">
        <v>36748</v>
      </c>
      <c r="B163" s="9">
        <v>19.190000000000001</v>
      </c>
    </row>
    <row r="164" spans="1:2" x14ac:dyDescent="0.25">
      <c r="A164" s="8">
        <v>36749</v>
      </c>
      <c r="B164" s="9">
        <v>18.55</v>
      </c>
    </row>
    <row r="165" spans="1:2" x14ac:dyDescent="0.25">
      <c r="A165" s="8">
        <v>36752</v>
      </c>
      <c r="B165" s="9">
        <v>17.88</v>
      </c>
    </row>
    <row r="166" spans="1:2" x14ac:dyDescent="0.25">
      <c r="A166" s="8">
        <v>36753</v>
      </c>
      <c r="B166" s="9">
        <v>17.98</v>
      </c>
    </row>
    <row r="167" spans="1:2" x14ac:dyDescent="0.25">
      <c r="A167" s="8">
        <v>36754</v>
      </c>
      <c r="B167" s="9">
        <v>18.02</v>
      </c>
    </row>
    <row r="168" spans="1:2" x14ac:dyDescent="0.25">
      <c r="A168" s="8">
        <v>36755</v>
      </c>
      <c r="B168" s="9">
        <v>17.48</v>
      </c>
    </row>
    <row r="169" spans="1:2" x14ac:dyDescent="0.25">
      <c r="A169" s="8">
        <v>36756</v>
      </c>
      <c r="B169" s="9">
        <v>17.05</v>
      </c>
    </row>
    <row r="170" spans="1:2" x14ac:dyDescent="0.25">
      <c r="A170" s="8">
        <v>36759</v>
      </c>
      <c r="B170" s="9">
        <v>17.350000000000001</v>
      </c>
    </row>
    <row r="171" spans="1:2" x14ac:dyDescent="0.25">
      <c r="A171" s="8">
        <v>36760</v>
      </c>
      <c r="B171" s="9">
        <v>17.47</v>
      </c>
    </row>
    <row r="172" spans="1:2" x14ac:dyDescent="0.25">
      <c r="A172" s="8">
        <v>36761</v>
      </c>
      <c r="B172" s="9">
        <v>17.38</v>
      </c>
    </row>
    <row r="173" spans="1:2" x14ac:dyDescent="0.25">
      <c r="A173" s="8">
        <v>36762</v>
      </c>
      <c r="B173" s="9">
        <v>17.04</v>
      </c>
    </row>
    <row r="174" spans="1:2" x14ac:dyDescent="0.25">
      <c r="A174" s="8">
        <v>36763</v>
      </c>
      <c r="B174" s="9">
        <v>16.53</v>
      </c>
    </row>
    <row r="175" spans="1:2" x14ac:dyDescent="0.25">
      <c r="A175" s="8">
        <v>36766</v>
      </c>
      <c r="B175" s="9">
        <v>16.54</v>
      </c>
    </row>
    <row r="176" spans="1:2" x14ac:dyDescent="0.25">
      <c r="A176" s="8">
        <v>36767</v>
      </c>
      <c r="B176" s="9">
        <v>16.89</v>
      </c>
    </row>
    <row r="177" spans="1:2" x14ac:dyDescent="0.25">
      <c r="A177" s="8">
        <v>36768</v>
      </c>
      <c r="B177" s="9">
        <v>17.690000000000001</v>
      </c>
    </row>
    <row r="178" spans="1:2" x14ac:dyDescent="0.25">
      <c r="A178" s="8">
        <v>36769</v>
      </c>
      <c r="B178" s="9">
        <v>16.84</v>
      </c>
    </row>
    <row r="179" spans="1:2" x14ac:dyDescent="0.25">
      <c r="A179" s="8">
        <v>36770</v>
      </c>
      <c r="B179" s="9">
        <v>17.53</v>
      </c>
    </row>
    <row r="180" spans="1:2" x14ac:dyDescent="0.25">
      <c r="A180" s="8">
        <v>36773</v>
      </c>
    </row>
    <row r="181" spans="1:2" x14ac:dyDescent="0.25">
      <c r="A181" s="8">
        <v>36774</v>
      </c>
      <c r="B181" s="9">
        <v>19.82</v>
      </c>
    </row>
    <row r="182" spans="1:2" x14ac:dyDescent="0.25">
      <c r="A182" s="8">
        <v>36775</v>
      </c>
      <c r="B182" s="9">
        <v>20.79</v>
      </c>
    </row>
    <row r="183" spans="1:2" x14ac:dyDescent="0.25">
      <c r="A183" s="8">
        <v>36776</v>
      </c>
      <c r="B183" s="9">
        <v>19.420000000000002</v>
      </c>
    </row>
    <row r="184" spans="1:2" x14ac:dyDescent="0.25">
      <c r="A184" s="8">
        <v>36777</v>
      </c>
      <c r="B184" s="9">
        <v>18.46</v>
      </c>
    </row>
    <row r="185" spans="1:2" x14ac:dyDescent="0.25">
      <c r="A185" s="8">
        <v>36780</v>
      </c>
      <c r="B185" s="9">
        <v>18.399999999999999</v>
      </c>
    </row>
    <row r="186" spans="1:2" x14ac:dyDescent="0.25">
      <c r="A186" s="8">
        <v>36781</v>
      </c>
      <c r="B186" s="9">
        <v>18.59</v>
      </c>
    </row>
    <row r="187" spans="1:2" x14ac:dyDescent="0.25">
      <c r="A187" s="8">
        <v>36782</v>
      </c>
      <c r="B187" s="9">
        <v>18.32</v>
      </c>
    </row>
    <row r="188" spans="1:2" x14ac:dyDescent="0.25">
      <c r="A188" s="8">
        <v>36783</v>
      </c>
      <c r="B188" s="9">
        <v>18.260000000000002</v>
      </c>
    </row>
    <row r="189" spans="1:2" x14ac:dyDescent="0.25">
      <c r="A189" s="8">
        <v>36784</v>
      </c>
      <c r="B189" s="9">
        <v>18.52</v>
      </c>
    </row>
    <row r="190" spans="1:2" x14ac:dyDescent="0.25">
      <c r="A190" s="8">
        <v>36787</v>
      </c>
      <c r="B190" s="9">
        <v>20.25</v>
      </c>
    </row>
    <row r="191" spans="1:2" x14ac:dyDescent="0.25">
      <c r="A191" s="8">
        <v>36788</v>
      </c>
      <c r="B191" s="9">
        <v>19.54</v>
      </c>
    </row>
    <row r="192" spans="1:2" x14ac:dyDescent="0.25">
      <c r="A192" s="8">
        <v>36789</v>
      </c>
      <c r="B192" s="9">
        <v>19.93</v>
      </c>
    </row>
    <row r="193" spans="1:2" x14ac:dyDescent="0.25">
      <c r="A193" s="8">
        <v>36790</v>
      </c>
      <c r="B193" s="9">
        <v>20.18</v>
      </c>
    </row>
    <row r="194" spans="1:2" x14ac:dyDescent="0.25">
      <c r="A194" s="8">
        <v>36791</v>
      </c>
      <c r="B194" s="9">
        <v>20.74</v>
      </c>
    </row>
    <row r="195" spans="1:2" x14ac:dyDescent="0.25">
      <c r="A195" s="8">
        <v>36794</v>
      </c>
      <c r="B195" s="9">
        <v>21.41</v>
      </c>
    </row>
    <row r="196" spans="1:2" x14ac:dyDescent="0.25">
      <c r="A196" s="8">
        <v>36795</v>
      </c>
      <c r="B196" s="9">
        <v>21.88</v>
      </c>
    </row>
    <row r="197" spans="1:2" x14ac:dyDescent="0.25">
      <c r="A197" s="8">
        <v>36796</v>
      </c>
      <c r="B197" s="9">
        <v>21.67</v>
      </c>
    </row>
    <row r="198" spans="1:2" x14ac:dyDescent="0.25">
      <c r="A198" s="8">
        <v>36797</v>
      </c>
      <c r="B198" s="9">
        <v>19.47</v>
      </c>
    </row>
    <row r="199" spans="1:2" x14ac:dyDescent="0.25">
      <c r="A199" s="8">
        <v>36798</v>
      </c>
      <c r="B199" s="9">
        <v>20.57</v>
      </c>
    </row>
    <row r="200" spans="1:2" x14ac:dyDescent="0.25">
      <c r="A200" s="8">
        <v>36801</v>
      </c>
      <c r="B200" s="9">
        <v>21.23</v>
      </c>
    </row>
    <row r="201" spans="1:2" x14ac:dyDescent="0.25">
      <c r="A201" s="8">
        <v>36802</v>
      </c>
      <c r="B201" s="9">
        <v>21.85</v>
      </c>
    </row>
    <row r="202" spans="1:2" x14ac:dyDescent="0.25">
      <c r="A202" s="8">
        <v>36803</v>
      </c>
      <c r="B202" s="9">
        <v>21.54</v>
      </c>
    </row>
    <row r="203" spans="1:2" x14ac:dyDescent="0.25">
      <c r="A203" s="8">
        <v>36804</v>
      </c>
      <c r="B203" s="9">
        <v>21.03</v>
      </c>
    </row>
    <row r="204" spans="1:2" x14ac:dyDescent="0.25">
      <c r="A204" s="8">
        <v>36805</v>
      </c>
      <c r="B204" s="9">
        <v>22.71</v>
      </c>
    </row>
    <row r="205" spans="1:2" x14ac:dyDescent="0.25">
      <c r="A205" s="8">
        <v>36808</v>
      </c>
      <c r="B205" s="9">
        <v>24.02</v>
      </c>
    </row>
    <row r="206" spans="1:2" x14ac:dyDescent="0.25">
      <c r="A206" s="8">
        <v>36809</v>
      </c>
      <c r="B206" s="9">
        <v>24.86</v>
      </c>
    </row>
    <row r="207" spans="1:2" x14ac:dyDescent="0.25">
      <c r="A207" s="8">
        <v>36810</v>
      </c>
      <c r="B207" s="9">
        <v>26.57</v>
      </c>
    </row>
    <row r="208" spans="1:2" x14ac:dyDescent="0.25">
      <c r="A208" s="8">
        <v>36811</v>
      </c>
      <c r="B208" s="9">
        <v>30.51</v>
      </c>
    </row>
    <row r="209" spans="1:2" x14ac:dyDescent="0.25">
      <c r="A209" s="8">
        <v>36812</v>
      </c>
      <c r="B209" s="9">
        <v>27.6</v>
      </c>
    </row>
    <row r="210" spans="1:2" x14ac:dyDescent="0.25">
      <c r="A210" s="8">
        <v>36815</v>
      </c>
      <c r="B210" s="9">
        <v>26.79</v>
      </c>
    </row>
    <row r="211" spans="1:2" x14ac:dyDescent="0.25">
      <c r="A211" s="8">
        <v>36816</v>
      </c>
      <c r="B211" s="9">
        <v>27.84</v>
      </c>
    </row>
    <row r="212" spans="1:2" x14ac:dyDescent="0.25">
      <c r="A212" s="8">
        <v>36817</v>
      </c>
      <c r="B212" s="9">
        <v>28.72</v>
      </c>
    </row>
    <row r="213" spans="1:2" x14ac:dyDescent="0.25">
      <c r="A213" s="8">
        <v>36818</v>
      </c>
      <c r="B213" s="9">
        <v>25.09</v>
      </c>
    </row>
    <row r="214" spans="1:2" x14ac:dyDescent="0.25">
      <c r="A214" s="8">
        <v>36819</v>
      </c>
      <c r="B214" s="9">
        <v>24.24</v>
      </c>
    </row>
    <row r="215" spans="1:2" x14ac:dyDescent="0.25">
      <c r="A215" s="8">
        <v>36822</v>
      </c>
      <c r="B215" s="9">
        <v>24.69</v>
      </c>
    </row>
    <row r="216" spans="1:2" x14ac:dyDescent="0.25">
      <c r="A216" s="8">
        <v>36823</v>
      </c>
      <c r="B216" s="9">
        <v>24.28</v>
      </c>
    </row>
    <row r="217" spans="1:2" x14ac:dyDescent="0.25">
      <c r="A217" s="8">
        <v>36824</v>
      </c>
      <c r="B217" s="9">
        <v>26.65</v>
      </c>
    </row>
    <row r="218" spans="1:2" x14ac:dyDescent="0.25">
      <c r="A218" s="8">
        <v>36825</v>
      </c>
      <c r="B218" s="9">
        <v>28.62</v>
      </c>
    </row>
    <row r="219" spans="1:2" x14ac:dyDescent="0.25">
      <c r="A219" s="8">
        <v>36826</v>
      </c>
      <c r="B219" s="9">
        <v>26.47</v>
      </c>
    </row>
    <row r="220" spans="1:2" x14ac:dyDescent="0.25">
      <c r="A220" s="8">
        <v>36829</v>
      </c>
      <c r="B220" s="9">
        <v>25.46</v>
      </c>
    </row>
    <row r="221" spans="1:2" x14ac:dyDescent="0.25">
      <c r="A221" s="8">
        <v>36830</v>
      </c>
      <c r="B221" s="9">
        <v>23.63</v>
      </c>
    </row>
    <row r="222" spans="1:2" x14ac:dyDescent="0.25">
      <c r="A222" s="8">
        <v>36831</v>
      </c>
      <c r="B222" s="9">
        <v>24.28</v>
      </c>
    </row>
    <row r="223" spans="1:2" x14ac:dyDescent="0.25">
      <c r="A223" s="8">
        <v>36832</v>
      </c>
      <c r="B223" s="9">
        <v>23.92</v>
      </c>
    </row>
    <row r="224" spans="1:2" x14ac:dyDescent="0.25">
      <c r="A224" s="8">
        <v>36833</v>
      </c>
      <c r="B224" s="9">
        <v>23.67</v>
      </c>
    </row>
    <row r="225" spans="1:2" x14ac:dyDescent="0.25">
      <c r="A225" s="8">
        <v>36836</v>
      </c>
      <c r="B225" s="9">
        <v>24.52</v>
      </c>
    </row>
    <row r="226" spans="1:2" x14ac:dyDescent="0.25">
      <c r="A226" s="8">
        <v>36837</v>
      </c>
      <c r="B226" s="9">
        <v>24.91</v>
      </c>
    </row>
    <row r="227" spans="1:2" x14ac:dyDescent="0.25">
      <c r="A227" s="8">
        <v>36838</v>
      </c>
      <c r="B227" s="9">
        <v>25.66</v>
      </c>
    </row>
    <row r="228" spans="1:2" x14ac:dyDescent="0.25">
      <c r="A228" s="8">
        <v>36839</v>
      </c>
      <c r="B228" s="9">
        <v>27.2</v>
      </c>
    </row>
    <row r="229" spans="1:2" x14ac:dyDescent="0.25">
      <c r="A229" s="8">
        <v>36840</v>
      </c>
      <c r="B229" s="9">
        <v>28.53</v>
      </c>
    </row>
    <row r="230" spans="1:2" x14ac:dyDescent="0.25">
      <c r="A230" s="8">
        <v>36843</v>
      </c>
      <c r="B230" s="9">
        <v>29.06</v>
      </c>
    </row>
    <row r="231" spans="1:2" x14ac:dyDescent="0.25">
      <c r="A231" s="8">
        <v>36844</v>
      </c>
      <c r="B231" s="9">
        <v>26.81</v>
      </c>
    </row>
    <row r="232" spans="1:2" x14ac:dyDescent="0.25">
      <c r="A232" s="8">
        <v>36845</v>
      </c>
      <c r="B232" s="9">
        <v>26.15</v>
      </c>
    </row>
    <row r="233" spans="1:2" x14ac:dyDescent="0.25">
      <c r="A233" s="8">
        <v>36846</v>
      </c>
      <c r="B233" s="9">
        <v>25.05</v>
      </c>
    </row>
    <row r="234" spans="1:2" x14ac:dyDescent="0.25">
      <c r="A234" s="8">
        <v>36847</v>
      </c>
      <c r="B234" s="9">
        <v>24.81</v>
      </c>
    </row>
    <row r="235" spans="1:2" x14ac:dyDescent="0.25">
      <c r="A235" s="8">
        <v>36850</v>
      </c>
      <c r="B235" s="9">
        <v>27.43</v>
      </c>
    </row>
    <row r="236" spans="1:2" x14ac:dyDescent="0.25">
      <c r="A236" s="8">
        <v>36851</v>
      </c>
      <c r="B236" s="9">
        <v>26.62</v>
      </c>
    </row>
    <row r="237" spans="1:2" x14ac:dyDescent="0.25">
      <c r="A237" s="8">
        <v>36852</v>
      </c>
      <c r="B237" s="9">
        <v>27.71</v>
      </c>
    </row>
    <row r="238" spans="1:2" x14ac:dyDescent="0.25">
      <c r="A238" s="8">
        <v>36853</v>
      </c>
    </row>
    <row r="239" spans="1:2" x14ac:dyDescent="0.25">
      <c r="A239" s="8">
        <v>36854</v>
      </c>
      <c r="B239" s="9">
        <v>26</v>
      </c>
    </row>
    <row r="240" spans="1:2" x14ac:dyDescent="0.25">
      <c r="A240" s="8">
        <v>36857</v>
      </c>
      <c r="B240" s="9">
        <v>26.93</v>
      </c>
    </row>
    <row r="241" spans="1:2" x14ac:dyDescent="0.25">
      <c r="A241" s="8">
        <v>36858</v>
      </c>
      <c r="B241" s="9">
        <v>27.64</v>
      </c>
    </row>
    <row r="242" spans="1:2" x14ac:dyDescent="0.25">
      <c r="A242" s="8">
        <v>36859</v>
      </c>
      <c r="B242" s="9">
        <v>27.49</v>
      </c>
    </row>
    <row r="243" spans="1:2" x14ac:dyDescent="0.25">
      <c r="A243" s="8">
        <v>36860</v>
      </c>
      <c r="B243" s="9">
        <v>29.65</v>
      </c>
    </row>
    <row r="244" spans="1:2" x14ac:dyDescent="0.25">
      <c r="A244" s="8">
        <v>36861</v>
      </c>
      <c r="B244" s="9">
        <v>27.48</v>
      </c>
    </row>
    <row r="245" spans="1:2" x14ac:dyDescent="0.25">
      <c r="A245" s="8">
        <v>36864</v>
      </c>
      <c r="B245" s="9">
        <v>27.78</v>
      </c>
    </row>
    <row r="246" spans="1:2" x14ac:dyDescent="0.25">
      <c r="A246" s="8">
        <v>36865</v>
      </c>
      <c r="B246" s="9">
        <v>24.99</v>
      </c>
    </row>
    <row r="247" spans="1:2" x14ac:dyDescent="0.25">
      <c r="A247" s="8">
        <v>36866</v>
      </c>
      <c r="B247" s="9">
        <v>25.07</v>
      </c>
    </row>
    <row r="248" spans="1:2" x14ac:dyDescent="0.25">
      <c r="A248" s="8">
        <v>36867</v>
      </c>
      <c r="B248" s="9">
        <v>25.34</v>
      </c>
    </row>
    <row r="249" spans="1:2" x14ac:dyDescent="0.25">
      <c r="A249" s="8">
        <v>36868</v>
      </c>
      <c r="B249" s="9">
        <v>22.41</v>
      </c>
    </row>
    <row r="250" spans="1:2" x14ac:dyDescent="0.25">
      <c r="A250" s="8">
        <v>36871</v>
      </c>
      <c r="B250" s="9">
        <v>23.51</v>
      </c>
    </row>
    <row r="251" spans="1:2" x14ac:dyDescent="0.25">
      <c r="A251" s="8">
        <v>36872</v>
      </c>
      <c r="B251" s="9">
        <v>24.88</v>
      </c>
    </row>
    <row r="252" spans="1:2" x14ac:dyDescent="0.25">
      <c r="A252" s="8">
        <v>36873</v>
      </c>
      <c r="B252" s="9">
        <v>23.63</v>
      </c>
    </row>
    <row r="253" spans="1:2" x14ac:dyDescent="0.25">
      <c r="A253" s="8">
        <v>36874</v>
      </c>
      <c r="B253" s="9">
        <v>24.86</v>
      </c>
    </row>
    <row r="254" spans="1:2" x14ac:dyDescent="0.25">
      <c r="A254" s="8">
        <v>36875</v>
      </c>
      <c r="B254" s="9">
        <v>26.55</v>
      </c>
    </row>
    <row r="255" spans="1:2" x14ac:dyDescent="0.25">
      <c r="A255" s="8">
        <v>36878</v>
      </c>
      <c r="B255" s="9">
        <v>27.7</v>
      </c>
    </row>
    <row r="256" spans="1:2" x14ac:dyDescent="0.25">
      <c r="A256" s="8">
        <v>36879</v>
      </c>
      <c r="B256" s="9">
        <v>27.17</v>
      </c>
    </row>
    <row r="257" spans="1:2" x14ac:dyDescent="0.25">
      <c r="A257" s="8">
        <v>36880</v>
      </c>
      <c r="B257" s="9">
        <v>31.74</v>
      </c>
    </row>
    <row r="258" spans="1:2" x14ac:dyDescent="0.25">
      <c r="A258" s="8">
        <v>36881</v>
      </c>
      <c r="B258" s="9">
        <v>29.66</v>
      </c>
    </row>
    <row r="259" spans="1:2" x14ac:dyDescent="0.25">
      <c r="A259" s="8">
        <v>36882</v>
      </c>
      <c r="B259" s="9">
        <v>27.55</v>
      </c>
    </row>
    <row r="260" spans="1:2" x14ac:dyDescent="0.25">
      <c r="A260" s="8">
        <v>36885</v>
      </c>
    </row>
    <row r="261" spans="1:2" x14ac:dyDescent="0.25">
      <c r="A261" s="8">
        <v>36886</v>
      </c>
      <c r="B261" s="9">
        <v>28.73</v>
      </c>
    </row>
    <row r="262" spans="1:2" x14ac:dyDescent="0.25">
      <c r="A262" s="8">
        <v>36887</v>
      </c>
      <c r="B262" s="9">
        <v>28.14</v>
      </c>
    </row>
    <row r="263" spans="1:2" x14ac:dyDescent="0.25">
      <c r="A263" s="8">
        <v>36888</v>
      </c>
      <c r="B263" s="9">
        <v>26.57</v>
      </c>
    </row>
    <row r="264" spans="1:2" x14ac:dyDescent="0.25">
      <c r="A264" s="8">
        <v>36889</v>
      </c>
      <c r="B264" s="9">
        <v>26.85</v>
      </c>
    </row>
    <row r="265" spans="1:2" x14ac:dyDescent="0.25">
      <c r="A265" s="8">
        <v>36892</v>
      </c>
    </row>
    <row r="266" spans="1:2" x14ac:dyDescent="0.25">
      <c r="A266" s="8">
        <v>36893</v>
      </c>
      <c r="B266" s="9">
        <v>29.99</v>
      </c>
    </row>
    <row r="267" spans="1:2" x14ac:dyDescent="0.25">
      <c r="A267" s="8">
        <v>36894</v>
      </c>
      <c r="B267" s="9">
        <v>26.6</v>
      </c>
    </row>
    <row r="268" spans="1:2" x14ac:dyDescent="0.25">
      <c r="A268" s="8">
        <v>36895</v>
      </c>
      <c r="B268" s="9">
        <v>26.97</v>
      </c>
    </row>
    <row r="269" spans="1:2" x14ac:dyDescent="0.25">
      <c r="A269" s="8">
        <v>36896</v>
      </c>
      <c r="B269" s="9">
        <v>28.67</v>
      </c>
    </row>
    <row r="270" spans="1:2" x14ac:dyDescent="0.25">
      <c r="A270" s="8">
        <v>36899</v>
      </c>
      <c r="B270" s="9">
        <v>29.84</v>
      </c>
    </row>
    <row r="271" spans="1:2" x14ac:dyDescent="0.25">
      <c r="A271" s="8">
        <v>36900</v>
      </c>
      <c r="B271" s="9">
        <v>27.99</v>
      </c>
    </row>
    <row r="272" spans="1:2" x14ac:dyDescent="0.25">
      <c r="A272" s="8">
        <v>36901</v>
      </c>
      <c r="B272" s="9">
        <v>26.8</v>
      </c>
    </row>
    <row r="273" spans="1:2" x14ac:dyDescent="0.25">
      <c r="A273" s="8">
        <v>36902</v>
      </c>
      <c r="B273" s="9">
        <v>25.79</v>
      </c>
    </row>
    <row r="274" spans="1:2" x14ac:dyDescent="0.25">
      <c r="A274" s="8">
        <v>36903</v>
      </c>
      <c r="B274" s="9">
        <v>24.56</v>
      </c>
    </row>
    <row r="275" spans="1:2" x14ac:dyDescent="0.25">
      <c r="A275" s="8">
        <v>36906</v>
      </c>
    </row>
    <row r="276" spans="1:2" x14ac:dyDescent="0.25">
      <c r="A276" s="8">
        <v>36907</v>
      </c>
      <c r="B276" s="9">
        <v>25.28</v>
      </c>
    </row>
    <row r="277" spans="1:2" x14ac:dyDescent="0.25">
      <c r="A277" s="8">
        <v>36908</v>
      </c>
      <c r="B277" s="9">
        <v>24.93</v>
      </c>
    </row>
    <row r="278" spans="1:2" x14ac:dyDescent="0.25">
      <c r="A278" s="8">
        <v>36909</v>
      </c>
      <c r="B278" s="9">
        <v>23.37</v>
      </c>
    </row>
    <row r="279" spans="1:2" x14ac:dyDescent="0.25">
      <c r="A279" s="8">
        <v>36910</v>
      </c>
      <c r="B279" s="9">
        <v>23.24</v>
      </c>
    </row>
    <row r="280" spans="1:2" x14ac:dyDescent="0.25">
      <c r="A280" s="8">
        <v>36913</v>
      </c>
      <c r="B280" s="9">
        <v>23.25</v>
      </c>
    </row>
    <row r="281" spans="1:2" x14ac:dyDescent="0.25">
      <c r="A281" s="8">
        <v>36914</v>
      </c>
      <c r="B281" s="9">
        <v>21.57</v>
      </c>
    </row>
    <row r="282" spans="1:2" x14ac:dyDescent="0.25">
      <c r="A282" s="8">
        <v>36915</v>
      </c>
      <c r="B282" s="9">
        <v>22.03</v>
      </c>
    </row>
    <row r="283" spans="1:2" x14ac:dyDescent="0.25">
      <c r="A283" s="8">
        <v>36916</v>
      </c>
      <c r="B283" s="9">
        <v>22.64</v>
      </c>
    </row>
    <row r="284" spans="1:2" x14ac:dyDescent="0.25">
      <c r="A284" s="8">
        <v>36917</v>
      </c>
      <c r="B284" s="9">
        <v>22.57</v>
      </c>
    </row>
    <row r="285" spans="1:2" x14ac:dyDescent="0.25">
      <c r="A285" s="8">
        <v>36920</v>
      </c>
      <c r="B285" s="9">
        <v>22.61</v>
      </c>
    </row>
    <row r="286" spans="1:2" x14ac:dyDescent="0.25">
      <c r="A286" s="8">
        <v>36921</v>
      </c>
      <c r="B286" s="9">
        <v>22.57</v>
      </c>
    </row>
    <row r="287" spans="1:2" x14ac:dyDescent="0.25">
      <c r="A287" s="8">
        <v>36922</v>
      </c>
      <c r="B287" s="9">
        <v>22.02</v>
      </c>
    </row>
    <row r="288" spans="1:2" x14ac:dyDescent="0.25">
      <c r="A288" s="8">
        <v>36923</v>
      </c>
      <c r="B288" s="9">
        <v>21.66</v>
      </c>
    </row>
    <row r="289" spans="1:2" x14ac:dyDescent="0.25">
      <c r="A289" s="8">
        <v>36924</v>
      </c>
      <c r="B289" s="9">
        <v>21.95</v>
      </c>
    </row>
    <row r="290" spans="1:2" x14ac:dyDescent="0.25">
      <c r="A290" s="8">
        <v>36927</v>
      </c>
      <c r="B290" s="9">
        <v>22.19</v>
      </c>
    </row>
    <row r="291" spans="1:2" x14ac:dyDescent="0.25">
      <c r="A291" s="8">
        <v>36928</v>
      </c>
      <c r="B291" s="9">
        <v>21.98</v>
      </c>
    </row>
    <row r="292" spans="1:2" x14ac:dyDescent="0.25">
      <c r="A292" s="8">
        <v>36929</v>
      </c>
      <c r="B292" s="9">
        <v>21.67</v>
      </c>
    </row>
    <row r="293" spans="1:2" x14ac:dyDescent="0.25">
      <c r="A293" s="8">
        <v>36930</v>
      </c>
      <c r="B293" s="9">
        <v>21.46</v>
      </c>
    </row>
    <row r="294" spans="1:2" x14ac:dyDescent="0.25">
      <c r="A294" s="8">
        <v>36931</v>
      </c>
      <c r="B294" s="9">
        <v>22.03</v>
      </c>
    </row>
    <row r="295" spans="1:2" x14ac:dyDescent="0.25">
      <c r="A295" s="8">
        <v>36934</v>
      </c>
      <c r="B295" s="9">
        <v>21.92</v>
      </c>
    </row>
    <row r="296" spans="1:2" x14ac:dyDescent="0.25">
      <c r="A296" s="8">
        <v>36935</v>
      </c>
      <c r="B296" s="9">
        <v>21.37</v>
      </c>
    </row>
    <row r="297" spans="1:2" x14ac:dyDescent="0.25">
      <c r="A297" s="8">
        <v>36936</v>
      </c>
      <c r="B297" s="9">
        <v>21.52</v>
      </c>
    </row>
    <row r="298" spans="1:2" x14ac:dyDescent="0.25">
      <c r="A298" s="8">
        <v>36937</v>
      </c>
      <c r="B298" s="9">
        <v>20.27</v>
      </c>
    </row>
    <row r="299" spans="1:2" x14ac:dyDescent="0.25">
      <c r="A299" s="8">
        <v>36938</v>
      </c>
      <c r="B299" s="9">
        <v>22.12</v>
      </c>
    </row>
    <row r="300" spans="1:2" x14ac:dyDescent="0.25">
      <c r="A300" s="8">
        <v>36941</v>
      </c>
    </row>
    <row r="301" spans="1:2" x14ac:dyDescent="0.25">
      <c r="A301" s="8">
        <v>36942</v>
      </c>
      <c r="B301" s="9">
        <v>24.69</v>
      </c>
    </row>
    <row r="302" spans="1:2" x14ac:dyDescent="0.25">
      <c r="A302" s="8">
        <v>36943</v>
      </c>
      <c r="B302" s="9">
        <v>25.75</v>
      </c>
    </row>
    <row r="303" spans="1:2" x14ac:dyDescent="0.25">
      <c r="A303" s="8">
        <v>36944</v>
      </c>
      <c r="B303" s="9">
        <v>26.76</v>
      </c>
    </row>
    <row r="304" spans="1:2" x14ac:dyDescent="0.25">
      <c r="A304" s="8">
        <v>36945</v>
      </c>
      <c r="B304" s="9">
        <v>27.21</v>
      </c>
    </row>
    <row r="305" spans="1:2" x14ac:dyDescent="0.25">
      <c r="A305" s="8">
        <v>36948</v>
      </c>
      <c r="B305" s="9">
        <v>25.43</v>
      </c>
    </row>
    <row r="306" spans="1:2" x14ac:dyDescent="0.25">
      <c r="A306" s="8">
        <v>36949</v>
      </c>
      <c r="B306" s="9">
        <v>26.49</v>
      </c>
    </row>
    <row r="307" spans="1:2" x14ac:dyDescent="0.25">
      <c r="A307" s="8">
        <v>36950</v>
      </c>
      <c r="B307" s="9">
        <v>28.35</v>
      </c>
    </row>
    <row r="308" spans="1:2" x14ac:dyDescent="0.25">
      <c r="A308" s="8">
        <v>36951</v>
      </c>
      <c r="B308" s="9">
        <v>28.08</v>
      </c>
    </row>
    <row r="309" spans="1:2" x14ac:dyDescent="0.25">
      <c r="A309" s="8">
        <v>36952</v>
      </c>
      <c r="B309" s="9">
        <v>27.43</v>
      </c>
    </row>
    <row r="310" spans="1:2" x14ac:dyDescent="0.25">
      <c r="A310" s="8">
        <v>36955</v>
      </c>
      <c r="B310" s="9">
        <v>27.12</v>
      </c>
    </row>
    <row r="311" spans="1:2" x14ac:dyDescent="0.25">
      <c r="A311" s="8">
        <v>36956</v>
      </c>
      <c r="B311" s="9">
        <v>25.89</v>
      </c>
    </row>
    <row r="312" spans="1:2" x14ac:dyDescent="0.25">
      <c r="A312" s="8">
        <v>36957</v>
      </c>
      <c r="B312" s="9">
        <v>24.12</v>
      </c>
    </row>
    <row r="313" spans="1:2" x14ac:dyDescent="0.25">
      <c r="A313" s="8">
        <v>36958</v>
      </c>
      <c r="B313" s="9">
        <v>24.29</v>
      </c>
    </row>
    <row r="314" spans="1:2" x14ac:dyDescent="0.25">
      <c r="A314" s="8">
        <v>36959</v>
      </c>
      <c r="B314" s="9">
        <v>25.62</v>
      </c>
    </row>
    <row r="315" spans="1:2" x14ac:dyDescent="0.25">
      <c r="A315" s="8">
        <v>36962</v>
      </c>
      <c r="B315" s="9">
        <v>30.32</v>
      </c>
    </row>
    <row r="316" spans="1:2" x14ac:dyDescent="0.25">
      <c r="A316" s="8">
        <v>36963</v>
      </c>
      <c r="B316" s="9">
        <v>27.55</v>
      </c>
    </row>
    <row r="317" spans="1:2" x14ac:dyDescent="0.25">
      <c r="A317" s="8">
        <v>36964</v>
      </c>
      <c r="B317" s="9">
        <v>29.61</v>
      </c>
    </row>
    <row r="318" spans="1:2" x14ac:dyDescent="0.25">
      <c r="A318" s="8">
        <v>36965</v>
      </c>
      <c r="B318" s="9">
        <v>28.56</v>
      </c>
    </row>
    <row r="319" spans="1:2" x14ac:dyDescent="0.25">
      <c r="A319" s="8">
        <v>36966</v>
      </c>
      <c r="B319" s="9">
        <v>29.91</v>
      </c>
    </row>
    <row r="320" spans="1:2" x14ac:dyDescent="0.25">
      <c r="A320" s="8">
        <v>36969</v>
      </c>
      <c r="B320" s="9">
        <v>29.78</v>
      </c>
    </row>
    <row r="321" spans="1:2" x14ac:dyDescent="0.25">
      <c r="A321" s="8">
        <v>36970</v>
      </c>
      <c r="B321" s="9">
        <v>30.96</v>
      </c>
    </row>
    <row r="322" spans="1:2" x14ac:dyDescent="0.25">
      <c r="A322" s="8">
        <v>36971</v>
      </c>
      <c r="B322" s="9">
        <v>31.93</v>
      </c>
    </row>
    <row r="323" spans="1:2" x14ac:dyDescent="0.25">
      <c r="A323" s="8">
        <v>36972</v>
      </c>
      <c r="B323" s="9">
        <v>32.840000000000003</v>
      </c>
    </row>
    <row r="324" spans="1:2" x14ac:dyDescent="0.25">
      <c r="A324" s="8">
        <v>36973</v>
      </c>
      <c r="B324" s="9">
        <v>30.45</v>
      </c>
    </row>
    <row r="325" spans="1:2" x14ac:dyDescent="0.25">
      <c r="A325" s="8">
        <v>36976</v>
      </c>
      <c r="B325" s="9">
        <v>29.04</v>
      </c>
    </row>
    <row r="326" spans="1:2" x14ac:dyDescent="0.25">
      <c r="A326" s="8">
        <v>36977</v>
      </c>
      <c r="B326" s="9">
        <v>27.04</v>
      </c>
    </row>
    <row r="327" spans="1:2" x14ac:dyDescent="0.25">
      <c r="A327" s="8">
        <v>36978</v>
      </c>
      <c r="B327" s="9">
        <v>28.58</v>
      </c>
    </row>
    <row r="328" spans="1:2" x14ac:dyDescent="0.25">
      <c r="A328" s="8">
        <v>36979</v>
      </c>
      <c r="B328" s="9">
        <v>29.17</v>
      </c>
    </row>
    <row r="329" spans="1:2" x14ac:dyDescent="0.25">
      <c r="A329" s="8">
        <v>36980</v>
      </c>
      <c r="B329" s="9">
        <v>28.64</v>
      </c>
    </row>
    <row r="330" spans="1:2" x14ac:dyDescent="0.25">
      <c r="A330" s="8">
        <v>36983</v>
      </c>
      <c r="B330" s="9">
        <v>31.21</v>
      </c>
    </row>
    <row r="331" spans="1:2" x14ac:dyDescent="0.25">
      <c r="A331" s="8">
        <v>36984</v>
      </c>
      <c r="B331" s="9">
        <v>34.72</v>
      </c>
    </row>
    <row r="332" spans="1:2" x14ac:dyDescent="0.25">
      <c r="A332" s="8">
        <v>36985</v>
      </c>
      <c r="B332" s="9">
        <v>34.07</v>
      </c>
    </row>
    <row r="333" spans="1:2" x14ac:dyDescent="0.25">
      <c r="A333" s="8">
        <v>36986</v>
      </c>
      <c r="B333" s="9">
        <v>29.94</v>
      </c>
    </row>
    <row r="334" spans="1:2" x14ac:dyDescent="0.25">
      <c r="A334" s="8">
        <v>36987</v>
      </c>
      <c r="B334" s="9">
        <v>31.69</v>
      </c>
    </row>
    <row r="335" spans="1:2" x14ac:dyDescent="0.25">
      <c r="A335" s="8">
        <v>36990</v>
      </c>
      <c r="B335" s="9">
        <v>31.91</v>
      </c>
    </row>
    <row r="336" spans="1:2" x14ac:dyDescent="0.25">
      <c r="A336" s="8">
        <v>36991</v>
      </c>
      <c r="B336" s="9">
        <v>29.44</v>
      </c>
    </row>
    <row r="337" spans="1:2" x14ac:dyDescent="0.25">
      <c r="A337" s="8">
        <v>36992</v>
      </c>
      <c r="B337" s="9">
        <v>28.46</v>
      </c>
    </row>
    <row r="338" spans="1:2" x14ac:dyDescent="0.25">
      <c r="A338" s="8">
        <v>36993</v>
      </c>
      <c r="B338" s="9">
        <v>26.12</v>
      </c>
    </row>
    <row r="339" spans="1:2" x14ac:dyDescent="0.25">
      <c r="A339" s="8">
        <v>36994</v>
      </c>
    </row>
    <row r="340" spans="1:2" x14ac:dyDescent="0.25">
      <c r="A340" s="8">
        <v>36997</v>
      </c>
      <c r="B340" s="9">
        <v>26.33</v>
      </c>
    </row>
    <row r="341" spans="1:2" x14ac:dyDescent="0.25">
      <c r="A341" s="8">
        <v>36998</v>
      </c>
      <c r="B341" s="9">
        <v>25.61</v>
      </c>
    </row>
    <row r="342" spans="1:2" x14ac:dyDescent="0.25">
      <c r="A342" s="8">
        <v>36999</v>
      </c>
      <c r="B342" s="9">
        <v>24.13</v>
      </c>
    </row>
    <row r="343" spans="1:2" x14ac:dyDescent="0.25">
      <c r="A343" s="8">
        <v>37000</v>
      </c>
      <c r="B343" s="9">
        <v>24.16</v>
      </c>
    </row>
    <row r="344" spans="1:2" x14ac:dyDescent="0.25">
      <c r="A344" s="8">
        <v>37001</v>
      </c>
      <c r="B344" s="9">
        <v>25.38</v>
      </c>
    </row>
    <row r="345" spans="1:2" x14ac:dyDescent="0.25">
      <c r="A345" s="8">
        <v>37004</v>
      </c>
      <c r="B345" s="9">
        <v>28.16</v>
      </c>
    </row>
    <row r="346" spans="1:2" x14ac:dyDescent="0.25">
      <c r="A346" s="8">
        <v>37005</v>
      </c>
      <c r="B346" s="9">
        <v>28.49</v>
      </c>
    </row>
    <row r="347" spans="1:2" x14ac:dyDescent="0.25">
      <c r="A347" s="8">
        <v>37006</v>
      </c>
      <c r="B347" s="9">
        <v>27.4</v>
      </c>
    </row>
    <row r="348" spans="1:2" x14ac:dyDescent="0.25">
      <c r="A348" s="8">
        <v>37007</v>
      </c>
      <c r="B348" s="9">
        <v>25.96</v>
      </c>
    </row>
    <row r="349" spans="1:2" x14ac:dyDescent="0.25">
      <c r="A349" s="8">
        <v>37008</v>
      </c>
      <c r="B349" s="9">
        <v>24.02</v>
      </c>
    </row>
    <row r="350" spans="1:2" x14ac:dyDescent="0.25">
      <c r="A350" s="8">
        <v>37011</v>
      </c>
      <c r="B350" s="9">
        <v>25.48</v>
      </c>
    </row>
    <row r="351" spans="1:2" x14ac:dyDescent="0.25">
      <c r="A351" s="8">
        <v>37012</v>
      </c>
      <c r="B351" s="9">
        <v>24.2</v>
      </c>
    </row>
    <row r="352" spans="1:2" x14ac:dyDescent="0.25">
      <c r="A352" s="8">
        <v>37013</v>
      </c>
      <c r="B352" s="9">
        <v>24.23</v>
      </c>
    </row>
    <row r="353" spans="1:2" x14ac:dyDescent="0.25">
      <c r="A353" s="8">
        <v>37014</v>
      </c>
      <c r="B353" s="9">
        <v>25.78</v>
      </c>
    </row>
    <row r="354" spans="1:2" x14ac:dyDescent="0.25">
      <c r="A354" s="8">
        <v>37015</v>
      </c>
      <c r="B354" s="9">
        <v>23.91</v>
      </c>
    </row>
    <row r="355" spans="1:2" x14ac:dyDescent="0.25">
      <c r="A355" s="8">
        <v>37018</v>
      </c>
      <c r="B355" s="9">
        <v>24.86</v>
      </c>
    </row>
    <row r="356" spans="1:2" x14ac:dyDescent="0.25">
      <c r="A356" s="8">
        <v>37019</v>
      </c>
      <c r="B356" s="9">
        <v>24.44</v>
      </c>
    </row>
    <row r="357" spans="1:2" x14ac:dyDescent="0.25">
      <c r="A357" s="8">
        <v>37020</v>
      </c>
      <c r="B357" s="9">
        <v>24.35</v>
      </c>
    </row>
    <row r="358" spans="1:2" x14ac:dyDescent="0.25">
      <c r="A358" s="8">
        <v>37021</v>
      </c>
      <c r="B358" s="9">
        <v>24</v>
      </c>
    </row>
    <row r="359" spans="1:2" x14ac:dyDescent="0.25">
      <c r="A359" s="8">
        <v>37022</v>
      </c>
      <c r="B359" s="9">
        <v>23.54</v>
      </c>
    </row>
    <row r="360" spans="1:2" x14ac:dyDescent="0.25">
      <c r="A360" s="8">
        <v>37025</v>
      </c>
      <c r="B360" s="9">
        <v>24.26</v>
      </c>
    </row>
    <row r="361" spans="1:2" x14ac:dyDescent="0.25">
      <c r="A361" s="8">
        <v>37026</v>
      </c>
      <c r="B361" s="9">
        <v>23.71</v>
      </c>
    </row>
    <row r="362" spans="1:2" x14ac:dyDescent="0.25">
      <c r="A362" s="8">
        <v>37027</v>
      </c>
      <c r="B362" s="9">
        <v>21.89</v>
      </c>
    </row>
    <row r="363" spans="1:2" x14ac:dyDescent="0.25">
      <c r="A363" s="8">
        <v>37028</v>
      </c>
      <c r="B363" s="9">
        <v>21.47</v>
      </c>
    </row>
    <row r="364" spans="1:2" x14ac:dyDescent="0.25">
      <c r="A364" s="8">
        <v>37029</v>
      </c>
      <c r="B364" s="9">
        <v>21.23</v>
      </c>
    </row>
    <row r="365" spans="1:2" x14ac:dyDescent="0.25">
      <c r="A365" s="8">
        <v>37032</v>
      </c>
      <c r="B365" s="9">
        <v>20.76</v>
      </c>
    </row>
    <row r="366" spans="1:2" x14ac:dyDescent="0.25">
      <c r="A366" s="8">
        <v>37033</v>
      </c>
      <c r="B366" s="9">
        <v>21.35</v>
      </c>
    </row>
    <row r="367" spans="1:2" x14ac:dyDescent="0.25">
      <c r="A367" s="8">
        <v>37034</v>
      </c>
      <c r="B367" s="9">
        <v>22.08</v>
      </c>
    </row>
    <row r="368" spans="1:2" x14ac:dyDescent="0.25">
      <c r="A368" s="8">
        <v>37035</v>
      </c>
      <c r="B368" s="9">
        <v>20.57</v>
      </c>
    </row>
    <row r="369" spans="1:2" x14ac:dyDescent="0.25">
      <c r="A369" s="8">
        <v>37036</v>
      </c>
      <c r="B369" s="9">
        <v>20.6</v>
      </c>
    </row>
    <row r="370" spans="1:2" x14ac:dyDescent="0.25">
      <c r="A370" s="8">
        <v>37039</v>
      </c>
    </row>
    <row r="371" spans="1:2" x14ac:dyDescent="0.25">
      <c r="A371" s="8">
        <v>37040</v>
      </c>
      <c r="B371" s="9">
        <v>22.14</v>
      </c>
    </row>
    <row r="372" spans="1:2" x14ac:dyDescent="0.25">
      <c r="A372" s="8">
        <v>37041</v>
      </c>
      <c r="B372" s="9">
        <v>22.76</v>
      </c>
    </row>
    <row r="373" spans="1:2" x14ac:dyDescent="0.25">
      <c r="A373" s="8">
        <v>37042</v>
      </c>
      <c r="B373" s="9">
        <v>22.64</v>
      </c>
    </row>
    <row r="374" spans="1:2" x14ac:dyDescent="0.25">
      <c r="A374" s="8">
        <v>37043</v>
      </c>
      <c r="B374" s="9">
        <v>21.59</v>
      </c>
    </row>
    <row r="375" spans="1:2" x14ac:dyDescent="0.25">
      <c r="A375" s="8">
        <v>37046</v>
      </c>
      <c r="B375" s="9">
        <v>21.38</v>
      </c>
    </row>
    <row r="376" spans="1:2" x14ac:dyDescent="0.25">
      <c r="A376" s="8">
        <v>37047</v>
      </c>
      <c r="B376" s="9">
        <v>19.579999999999998</v>
      </c>
    </row>
    <row r="377" spans="1:2" x14ac:dyDescent="0.25">
      <c r="A377" s="8">
        <v>37048</v>
      </c>
      <c r="B377" s="9">
        <v>20.39</v>
      </c>
    </row>
    <row r="378" spans="1:2" x14ac:dyDescent="0.25">
      <c r="A378" s="8">
        <v>37049</v>
      </c>
      <c r="B378" s="9">
        <v>19.670000000000002</v>
      </c>
    </row>
    <row r="379" spans="1:2" x14ac:dyDescent="0.25">
      <c r="A379" s="8">
        <v>37050</v>
      </c>
      <c r="B379" s="9">
        <v>19.920000000000002</v>
      </c>
    </row>
    <row r="380" spans="1:2" x14ac:dyDescent="0.25">
      <c r="A380" s="8">
        <v>37053</v>
      </c>
      <c r="B380" s="9">
        <v>20.7</v>
      </c>
    </row>
    <row r="381" spans="1:2" x14ac:dyDescent="0.25">
      <c r="A381" s="8">
        <v>37054</v>
      </c>
      <c r="B381" s="9">
        <v>20.7</v>
      </c>
    </row>
    <row r="382" spans="1:2" x14ac:dyDescent="0.25">
      <c r="A382" s="8">
        <v>37055</v>
      </c>
      <c r="B382" s="9">
        <v>21.45</v>
      </c>
    </row>
    <row r="383" spans="1:2" x14ac:dyDescent="0.25">
      <c r="A383" s="8">
        <v>37056</v>
      </c>
      <c r="B383" s="9">
        <v>23.12</v>
      </c>
    </row>
    <row r="384" spans="1:2" x14ac:dyDescent="0.25">
      <c r="A384" s="8">
        <v>37057</v>
      </c>
      <c r="B384" s="9">
        <v>22.81</v>
      </c>
    </row>
    <row r="385" spans="1:2" x14ac:dyDescent="0.25">
      <c r="A385" s="8">
        <v>37060</v>
      </c>
      <c r="B385" s="9">
        <v>23.17</v>
      </c>
    </row>
    <row r="386" spans="1:2" x14ac:dyDescent="0.25">
      <c r="A386" s="8">
        <v>37061</v>
      </c>
      <c r="B386" s="9">
        <v>22.34</v>
      </c>
    </row>
    <row r="387" spans="1:2" x14ac:dyDescent="0.25">
      <c r="A387" s="8">
        <v>37062</v>
      </c>
      <c r="B387" s="9">
        <v>21.71</v>
      </c>
    </row>
    <row r="388" spans="1:2" x14ac:dyDescent="0.25">
      <c r="A388" s="8">
        <v>37063</v>
      </c>
      <c r="B388" s="9">
        <v>19.38</v>
      </c>
    </row>
    <row r="389" spans="1:2" x14ac:dyDescent="0.25">
      <c r="A389" s="8">
        <v>37064</v>
      </c>
      <c r="B389" s="9">
        <v>20.02</v>
      </c>
    </row>
    <row r="390" spans="1:2" x14ac:dyDescent="0.25">
      <c r="A390" s="8">
        <v>37067</v>
      </c>
      <c r="B390" s="9">
        <v>20.67</v>
      </c>
    </row>
    <row r="391" spans="1:2" x14ac:dyDescent="0.25">
      <c r="A391" s="8">
        <v>37068</v>
      </c>
      <c r="B391" s="9">
        <v>21.2</v>
      </c>
    </row>
    <row r="392" spans="1:2" x14ac:dyDescent="0.25">
      <c r="A392" s="8">
        <v>37069</v>
      </c>
      <c r="B392" s="9">
        <v>20.88</v>
      </c>
    </row>
    <row r="393" spans="1:2" x14ac:dyDescent="0.25">
      <c r="A393" s="8">
        <v>37070</v>
      </c>
      <c r="B393" s="9">
        <v>20.010000000000002</v>
      </c>
    </row>
    <row r="394" spans="1:2" x14ac:dyDescent="0.25">
      <c r="A394" s="8">
        <v>37071</v>
      </c>
      <c r="B394" s="9">
        <v>19.059999999999999</v>
      </c>
    </row>
    <row r="395" spans="1:2" x14ac:dyDescent="0.25">
      <c r="A395" s="8">
        <v>37074</v>
      </c>
      <c r="B395" s="9">
        <v>18.760000000000002</v>
      </c>
    </row>
    <row r="396" spans="1:2" x14ac:dyDescent="0.25">
      <c r="A396" s="8">
        <v>37075</v>
      </c>
      <c r="B396" s="9">
        <v>18.920000000000002</v>
      </c>
    </row>
    <row r="397" spans="1:2" x14ac:dyDescent="0.25">
      <c r="A397" s="8">
        <v>37076</v>
      </c>
    </row>
    <row r="398" spans="1:2" x14ac:dyDescent="0.25">
      <c r="A398" s="8">
        <v>37077</v>
      </c>
      <c r="B398" s="9">
        <v>20.09</v>
      </c>
    </row>
    <row r="399" spans="1:2" x14ac:dyDescent="0.25">
      <c r="A399" s="8">
        <v>37078</v>
      </c>
      <c r="B399" s="9">
        <v>21.63</v>
      </c>
    </row>
    <row r="400" spans="1:2" x14ac:dyDescent="0.25">
      <c r="A400" s="8">
        <v>37081</v>
      </c>
      <c r="B400" s="9">
        <v>22.48</v>
      </c>
    </row>
    <row r="401" spans="1:2" x14ac:dyDescent="0.25">
      <c r="A401" s="8">
        <v>37082</v>
      </c>
      <c r="B401" s="9">
        <v>23.25</v>
      </c>
    </row>
    <row r="402" spans="1:2" x14ac:dyDescent="0.25">
      <c r="A402" s="8">
        <v>37083</v>
      </c>
      <c r="B402" s="9">
        <v>24.01</v>
      </c>
    </row>
    <row r="403" spans="1:2" x14ac:dyDescent="0.25">
      <c r="A403" s="8">
        <v>37084</v>
      </c>
      <c r="B403" s="9">
        <v>22.09</v>
      </c>
    </row>
    <row r="404" spans="1:2" x14ac:dyDescent="0.25">
      <c r="A404" s="8">
        <v>37085</v>
      </c>
      <c r="B404" s="9">
        <v>21.14</v>
      </c>
    </row>
    <row r="405" spans="1:2" x14ac:dyDescent="0.25">
      <c r="A405" s="8">
        <v>37088</v>
      </c>
      <c r="B405" s="9">
        <v>22.91</v>
      </c>
    </row>
    <row r="406" spans="1:2" x14ac:dyDescent="0.25">
      <c r="A406" s="8">
        <v>37089</v>
      </c>
      <c r="B406" s="9">
        <v>22.61</v>
      </c>
    </row>
    <row r="407" spans="1:2" x14ac:dyDescent="0.25">
      <c r="A407" s="8">
        <v>37090</v>
      </c>
      <c r="B407" s="9">
        <v>23.6</v>
      </c>
    </row>
    <row r="408" spans="1:2" x14ac:dyDescent="0.25">
      <c r="A408" s="8">
        <v>37091</v>
      </c>
      <c r="B408" s="9">
        <v>22.51</v>
      </c>
    </row>
    <row r="409" spans="1:2" x14ac:dyDescent="0.25">
      <c r="A409" s="8">
        <v>37092</v>
      </c>
      <c r="B409" s="9">
        <v>22.34</v>
      </c>
    </row>
    <row r="410" spans="1:2" x14ac:dyDescent="0.25">
      <c r="A410" s="8">
        <v>37095</v>
      </c>
      <c r="B410" s="9">
        <v>23.74</v>
      </c>
    </row>
    <row r="411" spans="1:2" x14ac:dyDescent="0.25">
      <c r="A411" s="8">
        <v>37096</v>
      </c>
      <c r="B411" s="9">
        <v>25.24</v>
      </c>
    </row>
    <row r="412" spans="1:2" x14ac:dyDescent="0.25">
      <c r="A412" s="8">
        <v>37097</v>
      </c>
      <c r="B412" s="9">
        <v>24</v>
      </c>
    </row>
    <row r="413" spans="1:2" x14ac:dyDescent="0.25">
      <c r="A413" s="8">
        <v>37098</v>
      </c>
      <c r="B413" s="9">
        <v>23.01</v>
      </c>
    </row>
    <row r="414" spans="1:2" x14ac:dyDescent="0.25">
      <c r="A414" s="8">
        <v>37099</v>
      </c>
      <c r="B414" s="9">
        <v>22</v>
      </c>
    </row>
    <row r="415" spans="1:2" x14ac:dyDescent="0.25">
      <c r="A415" s="8">
        <v>37102</v>
      </c>
      <c r="B415" s="9">
        <v>22.69</v>
      </c>
    </row>
    <row r="416" spans="1:2" x14ac:dyDescent="0.25">
      <c r="A416" s="8">
        <v>37103</v>
      </c>
      <c r="B416" s="9">
        <v>21.62</v>
      </c>
    </row>
    <row r="417" spans="1:2" x14ac:dyDescent="0.25">
      <c r="A417" s="8">
        <v>37104</v>
      </c>
      <c r="B417" s="9">
        <v>20.56</v>
      </c>
    </row>
    <row r="418" spans="1:2" x14ac:dyDescent="0.25">
      <c r="A418" s="8">
        <v>37105</v>
      </c>
      <c r="B418" s="9">
        <v>20.09</v>
      </c>
    </row>
    <row r="419" spans="1:2" x14ac:dyDescent="0.25">
      <c r="A419" s="8">
        <v>37106</v>
      </c>
      <c r="B419" s="9">
        <v>19.89</v>
      </c>
    </row>
    <row r="420" spans="1:2" x14ac:dyDescent="0.25">
      <c r="A420" s="8">
        <v>37109</v>
      </c>
      <c r="B420" s="9">
        <v>21.89</v>
      </c>
    </row>
    <row r="421" spans="1:2" x14ac:dyDescent="0.25">
      <c r="A421" s="8">
        <v>37110</v>
      </c>
      <c r="B421" s="9">
        <v>21.01</v>
      </c>
    </row>
    <row r="422" spans="1:2" x14ac:dyDescent="0.25">
      <c r="A422" s="8">
        <v>37111</v>
      </c>
      <c r="B422" s="9">
        <v>22.32</v>
      </c>
    </row>
    <row r="423" spans="1:2" x14ac:dyDescent="0.25">
      <c r="A423" s="8">
        <v>37112</v>
      </c>
      <c r="B423" s="9">
        <v>21.75</v>
      </c>
    </row>
    <row r="424" spans="1:2" x14ac:dyDescent="0.25">
      <c r="A424" s="8">
        <v>37113</v>
      </c>
      <c r="B424" s="9">
        <v>20.55</v>
      </c>
    </row>
    <row r="425" spans="1:2" x14ac:dyDescent="0.25">
      <c r="A425" s="8">
        <v>37116</v>
      </c>
      <c r="B425" s="9">
        <v>20.420000000000002</v>
      </c>
    </row>
    <row r="426" spans="1:2" x14ac:dyDescent="0.25">
      <c r="A426" s="8">
        <v>37117</v>
      </c>
      <c r="B426" s="9">
        <v>20.48</v>
      </c>
    </row>
    <row r="427" spans="1:2" x14ac:dyDescent="0.25">
      <c r="A427" s="8">
        <v>37118</v>
      </c>
      <c r="B427" s="9">
        <v>20.91</v>
      </c>
    </row>
    <row r="428" spans="1:2" x14ac:dyDescent="0.25">
      <c r="A428" s="8">
        <v>37119</v>
      </c>
      <c r="B428" s="9">
        <v>21.54</v>
      </c>
    </row>
    <row r="429" spans="1:2" x14ac:dyDescent="0.25">
      <c r="A429" s="8">
        <v>37120</v>
      </c>
      <c r="B429" s="9">
        <v>23.84</v>
      </c>
    </row>
    <row r="430" spans="1:2" x14ac:dyDescent="0.25">
      <c r="A430" s="8">
        <v>37123</v>
      </c>
      <c r="B430" s="9">
        <v>22.87</v>
      </c>
    </row>
    <row r="431" spans="1:2" x14ac:dyDescent="0.25">
      <c r="A431" s="8">
        <v>37124</v>
      </c>
      <c r="B431" s="9">
        <v>24.4</v>
      </c>
    </row>
    <row r="432" spans="1:2" x14ac:dyDescent="0.25">
      <c r="A432" s="8">
        <v>37125</v>
      </c>
      <c r="B432" s="9">
        <v>22.44</v>
      </c>
    </row>
    <row r="433" spans="1:2" x14ac:dyDescent="0.25">
      <c r="A433" s="8">
        <v>37126</v>
      </c>
      <c r="B433" s="9">
        <v>22.23</v>
      </c>
    </row>
    <row r="434" spans="1:2" x14ac:dyDescent="0.25">
      <c r="A434" s="8">
        <v>37127</v>
      </c>
      <c r="B434" s="9">
        <v>19.71</v>
      </c>
    </row>
    <row r="435" spans="1:2" x14ac:dyDescent="0.25">
      <c r="A435" s="8">
        <v>37130</v>
      </c>
      <c r="B435" s="9">
        <v>20.56</v>
      </c>
    </row>
    <row r="436" spans="1:2" x14ac:dyDescent="0.25">
      <c r="A436" s="8">
        <v>37131</v>
      </c>
      <c r="B436" s="9">
        <v>22</v>
      </c>
    </row>
    <row r="437" spans="1:2" x14ac:dyDescent="0.25">
      <c r="A437" s="8">
        <v>37132</v>
      </c>
      <c r="B437" s="9">
        <v>23.03</v>
      </c>
    </row>
    <row r="438" spans="1:2" x14ac:dyDescent="0.25">
      <c r="A438" s="8">
        <v>37133</v>
      </c>
      <c r="B438" s="9">
        <v>25.41</v>
      </c>
    </row>
    <row r="439" spans="1:2" x14ac:dyDescent="0.25">
      <c r="A439" s="8">
        <v>37134</v>
      </c>
      <c r="B439" s="9">
        <v>24.92</v>
      </c>
    </row>
    <row r="440" spans="1:2" x14ac:dyDescent="0.25">
      <c r="A440" s="8">
        <v>37137</v>
      </c>
    </row>
    <row r="441" spans="1:2" x14ac:dyDescent="0.25">
      <c r="A441" s="8">
        <v>37138</v>
      </c>
      <c r="B441" s="9">
        <v>25.85</v>
      </c>
    </row>
    <row r="442" spans="1:2" x14ac:dyDescent="0.25">
      <c r="A442" s="8">
        <v>37139</v>
      </c>
      <c r="B442" s="9">
        <v>26.35</v>
      </c>
    </row>
    <row r="443" spans="1:2" x14ac:dyDescent="0.25">
      <c r="A443" s="8">
        <v>37140</v>
      </c>
      <c r="B443" s="9">
        <v>28.61</v>
      </c>
    </row>
    <row r="444" spans="1:2" x14ac:dyDescent="0.25">
      <c r="A444" s="8">
        <v>37141</v>
      </c>
      <c r="B444" s="9">
        <v>30.99</v>
      </c>
    </row>
    <row r="445" spans="1:2" x14ac:dyDescent="0.25">
      <c r="A445" s="8">
        <v>37144</v>
      </c>
      <c r="B445" s="9">
        <v>31.84</v>
      </c>
    </row>
    <row r="446" spans="1:2" x14ac:dyDescent="0.25">
      <c r="A446" s="8">
        <v>37145</v>
      </c>
    </row>
    <row r="447" spans="1:2" x14ac:dyDescent="0.25">
      <c r="A447" s="8">
        <v>37146</v>
      </c>
    </row>
    <row r="448" spans="1:2" x14ac:dyDescent="0.25">
      <c r="A448" s="8">
        <v>37147</v>
      </c>
    </row>
    <row r="449" spans="1:2" x14ac:dyDescent="0.25">
      <c r="A449" s="8">
        <v>37148</v>
      </c>
    </row>
    <row r="450" spans="1:2" x14ac:dyDescent="0.25">
      <c r="A450" s="8">
        <v>37151</v>
      </c>
      <c r="B450" s="9">
        <v>41.76</v>
      </c>
    </row>
    <row r="451" spans="1:2" x14ac:dyDescent="0.25">
      <c r="A451" s="8">
        <v>37152</v>
      </c>
      <c r="B451" s="9">
        <v>38.869999999999997</v>
      </c>
    </row>
    <row r="452" spans="1:2" x14ac:dyDescent="0.25">
      <c r="A452" s="8">
        <v>37153</v>
      </c>
      <c r="B452" s="9">
        <v>40.56</v>
      </c>
    </row>
    <row r="453" spans="1:2" x14ac:dyDescent="0.25">
      <c r="A453" s="8">
        <v>37154</v>
      </c>
      <c r="B453" s="9">
        <v>43.74</v>
      </c>
    </row>
    <row r="454" spans="1:2" x14ac:dyDescent="0.25">
      <c r="A454" s="8">
        <v>37155</v>
      </c>
      <c r="B454" s="9">
        <v>42.66</v>
      </c>
    </row>
    <row r="455" spans="1:2" x14ac:dyDescent="0.25">
      <c r="A455" s="8">
        <v>37158</v>
      </c>
      <c r="B455" s="9">
        <v>37.75</v>
      </c>
    </row>
    <row r="456" spans="1:2" x14ac:dyDescent="0.25">
      <c r="A456" s="8">
        <v>37159</v>
      </c>
      <c r="B456" s="9">
        <v>35.81</v>
      </c>
    </row>
    <row r="457" spans="1:2" x14ac:dyDescent="0.25">
      <c r="A457" s="8">
        <v>37160</v>
      </c>
      <c r="B457" s="9">
        <v>35.26</v>
      </c>
    </row>
    <row r="458" spans="1:2" x14ac:dyDescent="0.25">
      <c r="A458" s="8">
        <v>37161</v>
      </c>
      <c r="B458" s="9">
        <v>34</v>
      </c>
    </row>
    <row r="459" spans="1:2" x14ac:dyDescent="0.25">
      <c r="A459" s="8">
        <v>37162</v>
      </c>
      <c r="B459" s="9">
        <v>31.93</v>
      </c>
    </row>
    <row r="460" spans="1:2" x14ac:dyDescent="0.25">
      <c r="A460" s="8">
        <v>37165</v>
      </c>
      <c r="B460" s="9">
        <v>32.32</v>
      </c>
    </row>
    <row r="461" spans="1:2" x14ac:dyDescent="0.25">
      <c r="A461" s="8">
        <v>37166</v>
      </c>
      <c r="B461" s="9">
        <v>31.18</v>
      </c>
    </row>
    <row r="462" spans="1:2" x14ac:dyDescent="0.25">
      <c r="A462" s="8">
        <v>37167</v>
      </c>
      <c r="B462" s="9">
        <v>31.34</v>
      </c>
    </row>
    <row r="463" spans="1:2" x14ac:dyDescent="0.25">
      <c r="A463" s="8">
        <v>37168</v>
      </c>
      <c r="B463" s="9">
        <v>31.97</v>
      </c>
    </row>
    <row r="464" spans="1:2" x14ac:dyDescent="0.25">
      <c r="A464" s="8">
        <v>37169</v>
      </c>
      <c r="B464" s="9">
        <v>33.39</v>
      </c>
    </row>
    <row r="465" spans="1:2" x14ac:dyDescent="0.25">
      <c r="A465" s="8">
        <v>37172</v>
      </c>
      <c r="B465" s="9">
        <v>35.119999999999997</v>
      </c>
    </row>
    <row r="466" spans="1:2" x14ac:dyDescent="0.25">
      <c r="A466" s="8">
        <v>37173</v>
      </c>
      <c r="B466" s="9">
        <v>34.83</v>
      </c>
    </row>
    <row r="467" spans="1:2" x14ac:dyDescent="0.25">
      <c r="A467" s="8">
        <v>37174</v>
      </c>
      <c r="B467" s="9">
        <v>31.6</v>
      </c>
    </row>
    <row r="468" spans="1:2" x14ac:dyDescent="0.25">
      <c r="A468" s="8">
        <v>37175</v>
      </c>
      <c r="B468" s="9">
        <v>31.5</v>
      </c>
    </row>
    <row r="469" spans="1:2" x14ac:dyDescent="0.25">
      <c r="A469" s="8">
        <v>37176</v>
      </c>
      <c r="B469" s="9">
        <v>35.270000000000003</v>
      </c>
    </row>
    <row r="470" spans="1:2" x14ac:dyDescent="0.25">
      <c r="A470" s="8">
        <v>37179</v>
      </c>
      <c r="B470" s="9">
        <v>35.31</v>
      </c>
    </row>
    <row r="471" spans="1:2" x14ac:dyDescent="0.25">
      <c r="A471" s="8">
        <v>37180</v>
      </c>
      <c r="B471" s="9">
        <v>32.880000000000003</v>
      </c>
    </row>
    <row r="472" spans="1:2" x14ac:dyDescent="0.25">
      <c r="A472" s="8">
        <v>37181</v>
      </c>
      <c r="B472" s="9">
        <v>35.08</v>
      </c>
    </row>
    <row r="473" spans="1:2" x14ac:dyDescent="0.25">
      <c r="A473" s="8">
        <v>37182</v>
      </c>
      <c r="B473" s="9">
        <v>34.950000000000003</v>
      </c>
    </row>
    <row r="474" spans="1:2" x14ac:dyDescent="0.25">
      <c r="A474" s="8">
        <v>37183</v>
      </c>
      <c r="B474" s="9">
        <v>34.11</v>
      </c>
    </row>
    <row r="475" spans="1:2" x14ac:dyDescent="0.25">
      <c r="A475" s="8">
        <v>37186</v>
      </c>
      <c r="B475" s="9">
        <v>32.25</v>
      </c>
    </row>
    <row r="476" spans="1:2" x14ac:dyDescent="0.25">
      <c r="A476" s="8">
        <v>37187</v>
      </c>
      <c r="B476" s="9">
        <v>32</v>
      </c>
    </row>
    <row r="477" spans="1:2" x14ac:dyDescent="0.25">
      <c r="A477" s="8">
        <v>37188</v>
      </c>
      <c r="B477" s="9">
        <v>30.95</v>
      </c>
    </row>
    <row r="478" spans="1:2" x14ac:dyDescent="0.25">
      <c r="A478" s="8">
        <v>37189</v>
      </c>
      <c r="B478" s="9">
        <v>29.46</v>
      </c>
    </row>
    <row r="479" spans="1:2" x14ac:dyDescent="0.25">
      <c r="A479" s="8">
        <v>37190</v>
      </c>
      <c r="B479" s="9">
        <v>28.42</v>
      </c>
    </row>
    <row r="480" spans="1:2" x14ac:dyDescent="0.25">
      <c r="A480" s="8">
        <v>37193</v>
      </c>
      <c r="B480" s="9">
        <v>31.64</v>
      </c>
    </row>
    <row r="481" spans="1:2" x14ac:dyDescent="0.25">
      <c r="A481" s="8">
        <v>37194</v>
      </c>
      <c r="B481" s="9">
        <v>33.46</v>
      </c>
    </row>
    <row r="482" spans="1:2" x14ac:dyDescent="0.25">
      <c r="A482" s="8">
        <v>37195</v>
      </c>
      <c r="B482" s="9">
        <v>33.56</v>
      </c>
    </row>
    <row r="483" spans="1:2" x14ac:dyDescent="0.25">
      <c r="A483" s="8">
        <v>37196</v>
      </c>
      <c r="B483" s="9">
        <v>32.31</v>
      </c>
    </row>
    <row r="484" spans="1:2" x14ac:dyDescent="0.25">
      <c r="A484" s="8">
        <v>37197</v>
      </c>
      <c r="B484" s="9">
        <v>30.71</v>
      </c>
    </row>
    <row r="485" spans="1:2" x14ac:dyDescent="0.25">
      <c r="A485" s="8">
        <v>37200</v>
      </c>
      <c r="B485" s="9">
        <v>30.5</v>
      </c>
    </row>
    <row r="486" spans="1:2" x14ac:dyDescent="0.25">
      <c r="A486" s="8">
        <v>37201</v>
      </c>
      <c r="B486" s="9">
        <v>28.8</v>
      </c>
    </row>
    <row r="487" spans="1:2" x14ac:dyDescent="0.25">
      <c r="A487" s="8">
        <v>37202</v>
      </c>
      <c r="B487" s="9">
        <v>29.13</v>
      </c>
    </row>
    <row r="488" spans="1:2" x14ac:dyDescent="0.25">
      <c r="A488" s="8">
        <v>37203</v>
      </c>
      <c r="B488" s="9">
        <v>28.62</v>
      </c>
    </row>
    <row r="489" spans="1:2" x14ac:dyDescent="0.25">
      <c r="A489" s="8">
        <v>37204</v>
      </c>
      <c r="B489" s="9">
        <v>27.44</v>
      </c>
    </row>
    <row r="490" spans="1:2" x14ac:dyDescent="0.25">
      <c r="A490" s="8">
        <v>37207</v>
      </c>
      <c r="B490" s="9">
        <v>29.35</v>
      </c>
    </row>
    <row r="491" spans="1:2" x14ac:dyDescent="0.25">
      <c r="A491" s="8">
        <v>37208</v>
      </c>
      <c r="B491" s="9">
        <v>26.47</v>
      </c>
    </row>
    <row r="492" spans="1:2" x14ac:dyDescent="0.25">
      <c r="A492" s="8">
        <v>37209</v>
      </c>
      <c r="B492" s="9">
        <v>26.56</v>
      </c>
    </row>
    <row r="493" spans="1:2" x14ac:dyDescent="0.25">
      <c r="A493" s="8">
        <v>37210</v>
      </c>
      <c r="B493" s="9">
        <v>25.56</v>
      </c>
    </row>
    <row r="494" spans="1:2" x14ac:dyDescent="0.25">
      <c r="A494" s="8">
        <v>37211</v>
      </c>
      <c r="B494" s="9">
        <v>25.07</v>
      </c>
    </row>
    <row r="495" spans="1:2" x14ac:dyDescent="0.25">
      <c r="A495" s="8">
        <v>37214</v>
      </c>
      <c r="B495" s="9">
        <v>24.46</v>
      </c>
    </row>
    <row r="496" spans="1:2" x14ac:dyDescent="0.25">
      <c r="A496" s="8">
        <v>37215</v>
      </c>
      <c r="B496" s="9">
        <v>24.12</v>
      </c>
    </row>
    <row r="497" spans="1:2" x14ac:dyDescent="0.25">
      <c r="A497" s="8">
        <v>37216</v>
      </c>
      <c r="B497" s="9">
        <v>24.19</v>
      </c>
    </row>
    <row r="498" spans="1:2" x14ac:dyDescent="0.25">
      <c r="A498" s="8">
        <v>37217</v>
      </c>
    </row>
    <row r="499" spans="1:2" x14ac:dyDescent="0.25">
      <c r="A499" s="8">
        <v>37218</v>
      </c>
      <c r="B499" s="9">
        <v>23.25</v>
      </c>
    </row>
    <row r="500" spans="1:2" x14ac:dyDescent="0.25">
      <c r="A500" s="8">
        <v>37221</v>
      </c>
      <c r="B500" s="9">
        <v>23.79</v>
      </c>
    </row>
    <row r="501" spans="1:2" x14ac:dyDescent="0.25">
      <c r="A501" s="8">
        <v>37222</v>
      </c>
      <c r="B501" s="9">
        <v>24</v>
      </c>
    </row>
    <row r="502" spans="1:2" x14ac:dyDescent="0.25">
      <c r="A502" s="8">
        <v>37223</v>
      </c>
      <c r="B502" s="9">
        <v>25.9</v>
      </c>
    </row>
    <row r="503" spans="1:2" x14ac:dyDescent="0.25">
      <c r="A503" s="8">
        <v>37224</v>
      </c>
      <c r="B503" s="9">
        <v>25.18</v>
      </c>
    </row>
    <row r="504" spans="1:2" x14ac:dyDescent="0.25">
      <c r="A504" s="8">
        <v>37225</v>
      </c>
      <c r="B504" s="9">
        <v>23.84</v>
      </c>
    </row>
    <row r="505" spans="1:2" x14ac:dyDescent="0.25">
      <c r="A505" s="8">
        <v>37228</v>
      </c>
      <c r="B505" s="9">
        <v>25.77</v>
      </c>
    </row>
    <row r="506" spans="1:2" x14ac:dyDescent="0.25">
      <c r="A506" s="8">
        <v>37229</v>
      </c>
      <c r="B506" s="9">
        <v>24.08</v>
      </c>
    </row>
    <row r="507" spans="1:2" x14ac:dyDescent="0.25">
      <c r="A507" s="8">
        <v>37230</v>
      </c>
      <c r="B507" s="9">
        <v>23.02</v>
      </c>
    </row>
    <row r="508" spans="1:2" x14ac:dyDescent="0.25">
      <c r="A508" s="8">
        <v>37231</v>
      </c>
      <c r="B508" s="9">
        <v>23.71</v>
      </c>
    </row>
    <row r="509" spans="1:2" x14ac:dyDescent="0.25">
      <c r="A509" s="8">
        <v>37232</v>
      </c>
      <c r="B509" s="9">
        <v>23.49</v>
      </c>
    </row>
    <row r="510" spans="1:2" x14ac:dyDescent="0.25">
      <c r="A510" s="8">
        <v>37235</v>
      </c>
      <c r="B510" s="9">
        <v>25.62</v>
      </c>
    </row>
    <row r="511" spans="1:2" x14ac:dyDescent="0.25">
      <c r="A511" s="8">
        <v>37236</v>
      </c>
      <c r="B511" s="9">
        <v>25.3</v>
      </c>
    </row>
    <row r="512" spans="1:2" x14ac:dyDescent="0.25">
      <c r="A512" s="8">
        <v>37237</v>
      </c>
      <c r="B512" s="9">
        <v>24.87</v>
      </c>
    </row>
    <row r="513" spans="1:2" x14ac:dyDescent="0.25">
      <c r="A513" s="8">
        <v>37238</v>
      </c>
      <c r="B513" s="9">
        <v>25.91</v>
      </c>
    </row>
    <row r="514" spans="1:2" x14ac:dyDescent="0.25">
      <c r="A514" s="8">
        <v>37239</v>
      </c>
      <c r="B514" s="9">
        <v>24.63</v>
      </c>
    </row>
    <row r="515" spans="1:2" x14ac:dyDescent="0.25">
      <c r="A515" s="8">
        <v>37242</v>
      </c>
      <c r="B515" s="9">
        <v>24.26</v>
      </c>
    </row>
    <row r="516" spans="1:2" x14ac:dyDescent="0.25">
      <c r="A516" s="8">
        <v>37243</v>
      </c>
      <c r="B516" s="9">
        <v>23.29</v>
      </c>
    </row>
    <row r="517" spans="1:2" x14ac:dyDescent="0.25">
      <c r="A517" s="8">
        <v>37244</v>
      </c>
      <c r="B517" s="9">
        <v>22.58</v>
      </c>
    </row>
    <row r="518" spans="1:2" x14ac:dyDescent="0.25">
      <c r="A518" s="8">
        <v>37245</v>
      </c>
      <c r="B518" s="9">
        <v>23.67</v>
      </c>
    </row>
    <row r="519" spans="1:2" x14ac:dyDescent="0.25">
      <c r="A519" s="8">
        <v>37246</v>
      </c>
      <c r="B519" s="9">
        <v>22.5</v>
      </c>
    </row>
    <row r="520" spans="1:2" x14ac:dyDescent="0.25">
      <c r="A520" s="8">
        <v>37249</v>
      </c>
      <c r="B520" s="9">
        <v>22.62</v>
      </c>
    </row>
    <row r="521" spans="1:2" x14ac:dyDescent="0.25">
      <c r="A521" s="8">
        <v>37250</v>
      </c>
    </row>
    <row r="522" spans="1:2" x14ac:dyDescent="0.25">
      <c r="A522" s="8">
        <v>37251</v>
      </c>
      <c r="B522" s="9">
        <v>22.29</v>
      </c>
    </row>
    <row r="523" spans="1:2" x14ac:dyDescent="0.25">
      <c r="A523" s="8">
        <v>37252</v>
      </c>
      <c r="B523" s="9">
        <v>21.59</v>
      </c>
    </row>
    <row r="524" spans="1:2" x14ac:dyDescent="0.25">
      <c r="A524" s="8">
        <v>37253</v>
      </c>
      <c r="B524" s="9">
        <v>21.4</v>
      </c>
    </row>
    <row r="525" spans="1:2" x14ac:dyDescent="0.25">
      <c r="A525" s="8">
        <v>37256</v>
      </c>
      <c r="B525" s="9">
        <v>23.8</v>
      </c>
    </row>
    <row r="526" spans="1:2" x14ac:dyDescent="0.25">
      <c r="A526" s="8">
        <v>37257</v>
      </c>
    </row>
    <row r="527" spans="1:2" x14ac:dyDescent="0.25">
      <c r="A527" s="8">
        <v>37258</v>
      </c>
      <c r="B527" s="9">
        <v>22.71</v>
      </c>
    </row>
    <row r="528" spans="1:2" x14ac:dyDescent="0.25">
      <c r="A528" s="8">
        <v>37259</v>
      </c>
      <c r="B528" s="9">
        <v>21.34</v>
      </c>
    </row>
    <row r="529" spans="1:2" x14ac:dyDescent="0.25">
      <c r="A529" s="8">
        <v>37260</v>
      </c>
      <c r="B529" s="9">
        <v>20.45</v>
      </c>
    </row>
    <row r="530" spans="1:2" x14ac:dyDescent="0.25">
      <c r="A530" s="8">
        <v>37263</v>
      </c>
      <c r="B530" s="9">
        <v>21.94</v>
      </c>
    </row>
    <row r="531" spans="1:2" x14ac:dyDescent="0.25">
      <c r="A531" s="8">
        <v>37264</v>
      </c>
      <c r="B531" s="9">
        <v>21.83</v>
      </c>
    </row>
    <row r="532" spans="1:2" x14ac:dyDescent="0.25">
      <c r="A532" s="8">
        <v>37265</v>
      </c>
      <c r="B532" s="9">
        <v>22.13</v>
      </c>
    </row>
    <row r="533" spans="1:2" x14ac:dyDescent="0.25">
      <c r="A533" s="8">
        <v>37266</v>
      </c>
      <c r="B533" s="9">
        <v>22.36</v>
      </c>
    </row>
    <row r="534" spans="1:2" x14ac:dyDescent="0.25">
      <c r="A534" s="8">
        <v>37267</v>
      </c>
      <c r="B534" s="9">
        <v>22.6</v>
      </c>
    </row>
    <row r="535" spans="1:2" x14ac:dyDescent="0.25">
      <c r="A535" s="8">
        <v>37270</v>
      </c>
      <c r="B535" s="9">
        <v>23.58</v>
      </c>
    </row>
    <row r="536" spans="1:2" x14ac:dyDescent="0.25">
      <c r="A536" s="8">
        <v>37271</v>
      </c>
      <c r="B536" s="9">
        <v>22.7</v>
      </c>
    </row>
    <row r="537" spans="1:2" x14ac:dyDescent="0.25">
      <c r="A537" s="8">
        <v>37272</v>
      </c>
      <c r="B537" s="9">
        <v>23.45</v>
      </c>
    </row>
    <row r="538" spans="1:2" x14ac:dyDescent="0.25">
      <c r="A538" s="8">
        <v>37273</v>
      </c>
      <c r="B538" s="9">
        <v>22.25</v>
      </c>
    </row>
    <row r="539" spans="1:2" x14ac:dyDescent="0.25">
      <c r="A539" s="8">
        <v>37274</v>
      </c>
      <c r="B539" s="9">
        <v>22.52</v>
      </c>
    </row>
    <row r="540" spans="1:2" x14ac:dyDescent="0.25">
      <c r="A540" s="8">
        <v>37277</v>
      </c>
    </row>
    <row r="541" spans="1:2" x14ac:dyDescent="0.25">
      <c r="A541" s="8">
        <v>37278</v>
      </c>
      <c r="B541" s="9">
        <v>23.61</v>
      </c>
    </row>
    <row r="542" spans="1:2" x14ac:dyDescent="0.25">
      <c r="A542" s="8">
        <v>37279</v>
      </c>
      <c r="B542" s="9">
        <v>21.88</v>
      </c>
    </row>
    <row r="543" spans="1:2" x14ac:dyDescent="0.25">
      <c r="A543" s="8">
        <v>37280</v>
      </c>
      <c r="B543" s="9">
        <v>21.15</v>
      </c>
    </row>
    <row r="544" spans="1:2" x14ac:dyDescent="0.25">
      <c r="A544" s="8">
        <v>37281</v>
      </c>
      <c r="B544" s="9">
        <v>21.01</v>
      </c>
    </row>
    <row r="545" spans="1:2" x14ac:dyDescent="0.25">
      <c r="A545" s="8">
        <v>37284</v>
      </c>
      <c r="B545" s="9">
        <v>21.14</v>
      </c>
    </row>
    <row r="546" spans="1:2" x14ac:dyDescent="0.25">
      <c r="A546" s="8">
        <v>37285</v>
      </c>
      <c r="B546" s="9">
        <v>24.35</v>
      </c>
    </row>
    <row r="547" spans="1:2" x14ac:dyDescent="0.25">
      <c r="A547" s="8">
        <v>37286</v>
      </c>
      <c r="B547" s="9">
        <v>23.22</v>
      </c>
    </row>
    <row r="548" spans="1:2" x14ac:dyDescent="0.25">
      <c r="A548" s="8">
        <v>37287</v>
      </c>
      <c r="B548" s="9">
        <v>21.09</v>
      </c>
    </row>
    <row r="549" spans="1:2" x14ac:dyDescent="0.25">
      <c r="A549" s="8">
        <v>37288</v>
      </c>
      <c r="B549" s="9">
        <v>21.12</v>
      </c>
    </row>
    <row r="550" spans="1:2" x14ac:dyDescent="0.25">
      <c r="A550" s="8">
        <v>37291</v>
      </c>
      <c r="B550" s="9">
        <v>24.87</v>
      </c>
    </row>
    <row r="551" spans="1:2" x14ac:dyDescent="0.25">
      <c r="A551" s="8">
        <v>37292</v>
      </c>
      <c r="B551" s="9">
        <v>25.45</v>
      </c>
    </row>
    <row r="552" spans="1:2" x14ac:dyDescent="0.25">
      <c r="A552" s="8">
        <v>37293</v>
      </c>
      <c r="B552" s="9">
        <v>26.09</v>
      </c>
    </row>
    <row r="553" spans="1:2" x14ac:dyDescent="0.25">
      <c r="A553" s="8">
        <v>37294</v>
      </c>
      <c r="B553" s="9">
        <v>25.11</v>
      </c>
    </row>
    <row r="554" spans="1:2" x14ac:dyDescent="0.25">
      <c r="A554" s="8">
        <v>37295</v>
      </c>
      <c r="B554" s="9">
        <v>23.26</v>
      </c>
    </row>
    <row r="555" spans="1:2" x14ac:dyDescent="0.25">
      <c r="A555" s="8">
        <v>37298</v>
      </c>
      <c r="B555" s="9">
        <v>21.78</v>
      </c>
    </row>
    <row r="556" spans="1:2" x14ac:dyDescent="0.25">
      <c r="A556" s="8">
        <v>37299</v>
      </c>
      <c r="B556" s="9">
        <v>21.62</v>
      </c>
    </row>
    <row r="557" spans="1:2" x14ac:dyDescent="0.25">
      <c r="A557" s="8">
        <v>37300</v>
      </c>
      <c r="B557" s="9">
        <v>20.85</v>
      </c>
    </row>
    <row r="558" spans="1:2" x14ac:dyDescent="0.25">
      <c r="A558" s="8">
        <v>37301</v>
      </c>
      <c r="B558" s="9">
        <v>21.77</v>
      </c>
    </row>
    <row r="559" spans="1:2" x14ac:dyDescent="0.25">
      <c r="A559" s="8">
        <v>37302</v>
      </c>
      <c r="B559" s="9">
        <v>22.37</v>
      </c>
    </row>
    <row r="560" spans="1:2" x14ac:dyDescent="0.25">
      <c r="A560" s="8">
        <v>37305</v>
      </c>
    </row>
    <row r="561" spans="1:2" x14ac:dyDescent="0.25">
      <c r="A561" s="8">
        <v>37306</v>
      </c>
      <c r="B561" s="9">
        <v>24.43</v>
      </c>
    </row>
    <row r="562" spans="1:2" x14ac:dyDescent="0.25">
      <c r="A562" s="8">
        <v>37307</v>
      </c>
      <c r="B562" s="9">
        <v>22.66</v>
      </c>
    </row>
    <row r="563" spans="1:2" x14ac:dyDescent="0.25">
      <c r="A563" s="8">
        <v>37308</v>
      </c>
      <c r="B563" s="9">
        <v>23.8</v>
      </c>
    </row>
    <row r="564" spans="1:2" x14ac:dyDescent="0.25">
      <c r="A564" s="8">
        <v>37309</v>
      </c>
      <c r="B564" s="9">
        <v>22.86</v>
      </c>
    </row>
    <row r="565" spans="1:2" x14ac:dyDescent="0.25">
      <c r="A565" s="8">
        <v>37312</v>
      </c>
      <c r="B565" s="9">
        <v>21.84</v>
      </c>
    </row>
    <row r="566" spans="1:2" x14ac:dyDescent="0.25">
      <c r="A566" s="8">
        <v>37313</v>
      </c>
      <c r="B566" s="9">
        <v>21.68</v>
      </c>
    </row>
    <row r="567" spans="1:2" x14ac:dyDescent="0.25">
      <c r="A567" s="8">
        <v>37314</v>
      </c>
      <c r="B567" s="9">
        <v>21.49</v>
      </c>
    </row>
    <row r="568" spans="1:2" x14ac:dyDescent="0.25">
      <c r="A568" s="8">
        <v>37315</v>
      </c>
      <c r="B568" s="9">
        <v>21.59</v>
      </c>
    </row>
    <row r="569" spans="1:2" x14ac:dyDescent="0.25">
      <c r="A569" s="8">
        <v>37316</v>
      </c>
      <c r="B569" s="9">
        <v>19.96</v>
      </c>
    </row>
    <row r="570" spans="1:2" x14ac:dyDescent="0.25">
      <c r="A570" s="8">
        <v>37319</v>
      </c>
      <c r="B570" s="9">
        <v>20.5</v>
      </c>
    </row>
    <row r="571" spans="1:2" x14ac:dyDescent="0.25">
      <c r="A571" s="8">
        <v>37320</v>
      </c>
      <c r="B571" s="9">
        <v>20.3</v>
      </c>
    </row>
    <row r="572" spans="1:2" x14ac:dyDescent="0.25">
      <c r="A572" s="8">
        <v>37321</v>
      </c>
      <c r="B572" s="9">
        <v>19.940000000000001</v>
      </c>
    </row>
    <row r="573" spans="1:2" x14ac:dyDescent="0.25">
      <c r="A573" s="8">
        <v>37322</v>
      </c>
      <c r="B573" s="9">
        <v>20.04</v>
      </c>
    </row>
    <row r="574" spans="1:2" x14ac:dyDescent="0.25">
      <c r="A574" s="8">
        <v>37323</v>
      </c>
      <c r="B574" s="9">
        <v>19.27</v>
      </c>
    </row>
    <row r="575" spans="1:2" x14ac:dyDescent="0.25">
      <c r="A575" s="8">
        <v>37326</v>
      </c>
      <c r="B575" s="9">
        <v>19.84</v>
      </c>
    </row>
    <row r="576" spans="1:2" x14ac:dyDescent="0.25">
      <c r="A576" s="8">
        <v>37327</v>
      </c>
      <c r="B576" s="9">
        <v>19.59</v>
      </c>
    </row>
    <row r="577" spans="1:2" x14ac:dyDescent="0.25">
      <c r="A577" s="8">
        <v>37328</v>
      </c>
      <c r="B577" s="9">
        <v>19.46</v>
      </c>
    </row>
    <row r="578" spans="1:2" x14ac:dyDescent="0.25">
      <c r="A578" s="8">
        <v>37329</v>
      </c>
      <c r="B578" s="9">
        <v>19.2</v>
      </c>
    </row>
    <row r="579" spans="1:2" x14ac:dyDescent="0.25">
      <c r="A579" s="8">
        <v>37330</v>
      </c>
      <c r="B579" s="9">
        <v>18.420000000000002</v>
      </c>
    </row>
    <row r="580" spans="1:2" x14ac:dyDescent="0.25">
      <c r="A580" s="8">
        <v>37333</v>
      </c>
      <c r="B580" s="9">
        <v>18.93</v>
      </c>
    </row>
    <row r="581" spans="1:2" x14ac:dyDescent="0.25">
      <c r="A581" s="8">
        <v>37334</v>
      </c>
      <c r="B581" s="9">
        <v>18.16</v>
      </c>
    </row>
    <row r="582" spans="1:2" x14ac:dyDescent="0.25">
      <c r="A582" s="8">
        <v>37335</v>
      </c>
      <c r="B582" s="9">
        <v>18.46</v>
      </c>
    </row>
    <row r="583" spans="1:2" x14ac:dyDescent="0.25">
      <c r="A583" s="8">
        <v>37336</v>
      </c>
      <c r="B583" s="9">
        <v>18.149999999999999</v>
      </c>
    </row>
    <row r="584" spans="1:2" x14ac:dyDescent="0.25">
      <c r="A584" s="8">
        <v>37337</v>
      </c>
      <c r="B584" s="9">
        <v>17.77</v>
      </c>
    </row>
    <row r="585" spans="1:2" x14ac:dyDescent="0.25">
      <c r="A585" s="8">
        <v>37340</v>
      </c>
      <c r="B585" s="9">
        <v>18.48</v>
      </c>
    </row>
    <row r="586" spans="1:2" x14ac:dyDescent="0.25">
      <c r="A586" s="8">
        <v>37341</v>
      </c>
      <c r="B586" s="9">
        <v>18.13</v>
      </c>
    </row>
    <row r="587" spans="1:2" x14ac:dyDescent="0.25">
      <c r="A587" s="8">
        <v>37342</v>
      </c>
      <c r="B587" s="9">
        <v>17.7</v>
      </c>
    </row>
    <row r="588" spans="1:2" x14ac:dyDescent="0.25">
      <c r="A588" s="8">
        <v>37343</v>
      </c>
      <c r="B588" s="9">
        <v>17.399999999999999</v>
      </c>
    </row>
    <row r="589" spans="1:2" x14ac:dyDescent="0.25">
      <c r="A589" s="8">
        <v>37344</v>
      </c>
    </row>
    <row r="590" spans="1:2" x14ac:dyDescent="0.25">
      <c r="A590" s="8">
        <v>37347</v>
      </c>
      <c r="B590" s="9">
        <v>18.73</v>
      </c>
    </row>
    <row r="591" spans="1:2" x14ac:dyDescent="0.25">
      <c r="A591" s="8">
        <v>37348</v>
      </c>
      <c r="B591" s="9">
        <v>19.16</v>
      </c>
    </row>
    <row r="592" spans="1:2" x14ac:dyDescent="0.25">
      <c r="A592" s="8">
        <v>37349</v>
      </c>
      <c r="B592" s="9">
        <v>20.2</v>
      </c>
    </row>
    <row r="593" spans="1:2" x14ac:dyDescent="0.25">
      <c r="A593" s="8">
        <v>37350</v>
      </c>
      <c r="B593" s="9">
        <v>19.78</v>
      </c>
    </row>
    <row r="594" spans="1:2" x14ac:dyDescent="0.25">
      <c r="A594" s="8">
        <v>37351</v>
      </c>
      <c r="B594" s="9">
        <v>19.13</v>
      </c>
    </row>
    <row r="595" spans="1:2" x14ac:dyDescent="0.25">
      <c r="A595" s="8">
        <v>37354</v>
      </c>
      <c r="B595" s="9">
        <v>19.61</v>
      </c>
    </row>
    <row r="596" spans="1:2" x14ac:dyDescent="0.25">
      <c r="A596" s="8">
        <v>37355</v>
      </c>
      <c r="B596" s="9">
        <v>19.47</v>
      </c>
    </row>
    <row r="597" spans="1:2" x14ac:dyDescent="0.25">
      <c r="A597" s="8">
        <v>37356</v>
      </c>
      <c r="B597" s="9">
        <v>18.190000000000001</v>
      </c>
    </row>
    <row r="598" spans="1:2" x14ac:dyDescent="0.25">
      <c r="A598" s="8">
        <v>37357</v>
      </c>
      <c r="B598" s="9">
        <v>20.3</v>
      </c>
    </row>
    <row r="599" spans="1:2" x14ac:dyDescent="0.25">
      <c r="A599" s="8">
        <v>37358</v>
      </c>
      <c r="B599" s="9">
        <v>19.420000000000002</v>
      </c>
    </row>
    <row r="600" spans="1:2" x14ac:dyDescent="0.25">
      <c r="A600" s="8">
        <v>37361</v>
      </c>
      <c r="B600" s="9">
        <v>19.82</v>
      </c>
    </row>
    <row r="601" spans="1:2" x14ac:dyDescent="0.25">
      <c r="A601" s="8">
        <v>37362</v>
      </c>
      <c r="B601" s="9">
        <v>18.11</v>
      </c>
    </row>
    <row r="602" spans="1:2" x14ac:dyDescent="0.25">
      <c r="A602" s="8">
        <v>37363</v>
      </c>
      <c r="B602" s="9">
        <v>18.43</v>
      </c>
    </row>
    <row r="603" spans="1:2" x14ac:dyDescent="0.25">
      <c r="A603" s="8">
        <v>37364</v>
      </c>
      <c r="B603" s="9">
        <v>19.29</v>
      </c>
    </row>
    <row r="604" spans="1:2" x14ac:dyDescent="0.25">
      <c r="A604" s="8">
        <v>37365</v>
      </c>
      <c r="B604" s="9">
        <v>18.3</v>
      </c>
    </row>
    <row r="605" spans="1:2" x14ac:dyDescent="0.25">
      <c r="A605" s="8">
        <v>37368</v>
      </c>
      <c r="B605" s="9">
        <v>19.77</v>
      </c>
    </row>
    <row r="606" spans="1:2" x14ac:dyDescent="0.25">
      <c r="A606" s="8">
        <v>37369</v>
      </c>
      <c r="B606" s="9">
        <v>20.28</v>
      </c>
    </row>
    <row r="607" spans="1:2" x14ac:dyDescent="0.25">
      <c r="A607" s="8">
        <v>37370</v>
      </c>
      <c r="B607" s="9">
        <v>20.77</v>
      </c>
    </row>
    <row r="608" spans="1:2" x14ac:dyDescent="0.25">
      <c r="A608" s="8">
        <v>37371</v>
      </c>
      <c r="B608" s="9">
        <v>20.95</v>
      </c>
    </row>
    <row r="609" spans="1:2" x14ac:dyDescent="0.25">
      <c r="A609" s="8">
        <v>37372</v>
      </c>
      <c r="B609" s="9">
        <v>22.14</v>
      </c>
    </row>
    <row r="610" spans="1:2" x14ac:dyDescent="0.25">
      <c r="A610" s="8">
        <v>37375</v>
      </c>
      <c r="B610" s="9">
        <v>24.05</v>
      </c>
    </row>
    <row r="611" spans="1:2" x14ac:dyDescent="0.25">
      <c r="A611" s="8">
        <v>37376</v>
      </c>
      <c r="B611" s="9">
        <v>21.91</v>
      </c>
    </row>
    <row r="612" spans="1:2" x14ac:dyDescent="0.25">
      <c r="A612" s="8">
        <v>37377</v>
      </c>
      <c r="B612" s="9">
        <v>20.059999999999999</v>
      </c>
    </row>
    <row r="613" spans="1:2" x14ac:dyDescent="0.25">
      <c r="A613" s="8">
        <v>37378</v>
      </c>
      <c r="B613" s="9">
        <v>20.07</v>
      </c>
    </row>
    <row r="614" spans="1:2" x14ac:dyDescent="0.25">
      <c r="A614" s="8">
        <v>37379</v>
      </c>
      <c r="B614" s="9">
        <v>20.190000000000001</v>
      </c>
    </row>
    <row r="615" spans="1:2" x14ac:dyDescent="0.25">
      <c r="A615" s="8">
        <v>37382</v>
      </c>
      <c r="B615" s="9">
        <v>22.56</v>
      </c>
    </row>
    <row r="616" spans="1:2" x14ac:dyDescent="0.25">
      <c r="A616" s="8">
        <v>37383</v>
      </c>
      <c r="B616" s="9">
        <v>21.94</v>
      </c>
    </row>
    <row r="617" spans="1:2" x14ac:dyDescent="0.25">
      <c r="A617" s="8">
        <v>37384</v>
      </c>
      <c r="B617" s="9">
        <v>20.39</v>
      </c>
    </row>
    <row r="618" spans="1:2" x14ac:dyDescent="0.25">
      <c r="A618" s="8">
        <v>37385</v>
      </c>
      <c r="B618" s="9">
        <v>21.56</v>
      </c>
    </row>
    <row r="619" spans="1:2" x14ac:dyDescent="0.25">
      <c r="A619" s="8">
        <v>37386</v>
      </c>
      <c r="B619" s="9">
        <v>22.41</v>
      </c>
    </row>
    <row r="620" spans="1:2" x14ac:dyDescent="0.25">
      <c r="A620" s="8">
        <v>37389</v>
      </c>
      <c r="B620" s="9">
        <v>20.72</v>
      </c>
    </row>
    <row r="621" spans="1:2" x14ac:dyDescent="0.25">
      <c r="A621" s="8">
        <v>37390</v>
      </c>
      <c r="B621" s="9">
        <v>19.350000000000001</v>
      </c>
    </row>
    <row r="622" spans="1:2" x14ac:dyDescent="0.25">
      <c r="A622" s="8">
        <v>37391</v>
      </c>
      <c r="B622" s="9">
        <v>19.190000000000001</v>
      </c>
    </row>
    <row r="623" spans="1:2" x14ac:dyDescent="0.25">
      <c r="A623" s="8">
        <v>37392</v>
      </c>
      <c r="B623" s="9">
        <v>18.5</v>
      </c>
    </row>
    <row r="624" spans="1:2" x14ac:dyDescent="0.25">
      <c r="A624" s="8">
        <v>37393</v>
      </c>
      <c r="B624" s="9">
        <v>17.7</v>
      </c>
    </row>
    <row r="625" spans="1:2" x14ac:dyDescent="0.25">
      <c r="A625" s="8">
        <v>37396</v>
      </c>
      <c r="B625" s="9">
        <v>19.239999999999998</v>
      </c>
    </row>
    <row r="626" spans="1:2" x14ac:dyDescent="0.25">
      <c r="A626" s="8">
        <v>37397</v>
      </c>
      <c r="B626" s="9">
        <v>20.05</v>
      </c>
    </row>
    <row r="627" spans="1:2" x14ac:dyDescent="0.25">
      <c r="A627" s="8">
        <v>37398</v>
      </c>
      <c r="B627" s="9">
        <v>19.579999999999998</v>
      </c>
    </row>
    <row r="628" spans="1:2" x14ac:dyDescent="0.25">
      <c r="A628" s="8">
        <v>37399</v>
      </c>
      <c r="B628" s="9">
        <v>18.23</v>
      </c>
    </row>
    <row r="629" spans="1:2" x14ac:dyDescent="0.25">
      <c r="A629" s="8">
        <v>37400</v>
      </c>
      <c r="B629" s="9">
        <v>18.899999999999999</v>
      </c>
    </row>
    <row r="630" spans="1:2" x14ac:dyDescent="0.25">
      <c r="A630" s="8">
        <v>37403</v>
      </c>
    </row>
    <row r="631" spans="1:2" x14ac:dyDescent="0.25">
      <c r="A631" s="8">
        <v>37404</v>
      </c>
      <c r="B631" s="9">
        <v>20.309999999999999</v>
      </c>
    </row>
    <row r="632" spans="1:2" x14ac:dyDescent="0.25">
      <c r="A632" s="8">
        <v>37405</v>
      </c>
      <c r="B632" s="9">
        <v>20.39</v>
      </c>
    </row>
    <row r="633" spans="1:2" x14ac:dyDescent="0.25">
      <c r="A633" s="8">
        <v>37406</v>
      </c>
      <c r="B633" s="9">
        <v>20.61</v>
      </c>
    </row>
    <row r="634" spans="1:2" x14ac:dyDescent="0.25">
      <c r="A634" s="8">
        <v>37407</v>
      </c>
      <c r="B634" s="9">
        <v>19.98</v>
      </c>
    </row>
    <row r="635" spans="1:2" x14ac:dyDescent="0.25">
      <c r="A635" s="8">
        <v>37410</v>
      </c>
      <c r="B635" s="9">
        <v>23.37</v>
      </c>
    </row>
    <row r="636" spans="1:2" x14ac:dyDescent="0.25">
      <c r="A636" s="8">
        <v>37411</v>
      </c>
      <c r="B636" s="9">
        <v>23.89</v>
      </c>
    </row>
    <row r="637" spans="1:2" x14ac:dyDescent="0.25">
      <c r="A637" s="8">
        <v>37412</v>
      </c>
      <c r="B637" s="9">
        <v>22.61</v>
      </c>
    </row>
    <row r="638" spans="1:2" x14ac:dyDescent="0.25">
      <c r="A638" s="8">
        <v>37413</v>
      </c>
      <c r="B638" s="9">
        <v>24.16</v>
      </c>
    </row>
    <row r="639" spans="1:2" x14ac:dyDescent="0.25">
      <c r="A639" s="8">
        <v>37414</v>
      </c>
      <c r="B639" s="9">
        <v>23.51</v>
      </c>
    </row>
    <row r="640" spans="1:2" x14ac:dyDescent="0.25">
      <c r="A640" s="8">
        <v>37417</v>
      </c>
      <c r="B640" s="9">
        <v>23.72</v>
      </c>
    </row>
    <row r="641" spans="1:2" x14ac:dyDescent="0.25">
      <c r="A641" s="8">
        <v>37418</v>
      </c>
      <c r="B641" s="9">
        <v>24.45</v>
      </c>
    </row>
    <row r="642" spans="1:2" x14ac:dyDescent="0.25">
      <c r="A642" s="8">
        <v>37419</v>
      </c>
      <c r="B642" s="9">
        <v>24.15</v>
      </c>
    </row>
    <row r="643" spans="1:2" x14ac:dyDescent="0.25">
      <c r="A643" s="8">
        <v>37420</v>
      </c>
      <c r="B643" s="9">
        <v>25.02</v>
      </c>
    </row>
    <row r="644" spans="1:2" x14ac:dyDescent="0.25">
      <c r="A644" s="8">
        <v>37421</v>
      </c>
      <c r="B644" s="9">
        <v>25.96</v>
      </c>
    </row>
    <row r="645" spans="1:2" x14ac:dyDescent="0.25">
      <c r="A645" s="8">
        <v>37424</v>
      </c>
      <c r="B645" s="9">
        <v>24.64</v>
      </c>
    </row>
    <row r="646" spans="1:2" x14ac:dyDescent="0.25">
      <c r="A646" s="8">
        <v>37425</v>
      </c>
      <c r="B646" s="9">
        <v>24.24</v>
      </c>
    </row>
    <row r="647" spans="1:2" x14ac:dyDescent="0.25">
      <c r="A647" s="8">
        <v>37426</v>
      </c>
      <c r="B647" s="9">
        <v>26.06</v>
      </c>
    </row>
    <row r="648" spans="1:2" x14ac:dyDescent="0.25">
      <c r="A648" s="8">
        <v>37427</v>
      </c>
      <c r="B648" s="9">
        <v>27.48</v>
      </c>
    </row>
    <row r="649" spans="1:2" x14ac:dyDescent="0.25">
      <c r="A649" s="8">
        <v>37428</v>
      </c>
      <c r="B649" s="9">
        <v>27.23</v>
      </c>
    </row>
    <row r="650" spans="1:2" x14ac:dyDescent="0.25">
      <c r="A650" s="8">
        <v>37431</v>
      </c>
      <c r="B650" s="9">
        <v>26.98</v>
      </c>
    </row>
    <row r="651" spans="1:2" x14ac:dyDescent="0.25">
      <c r="A651" s="8">
        <v>37432</v>
      </c>
      <c r="B651" s="9">
        <v>27.84</v>
      </c>
    </row>
    <row r="652" spans="1:2" x14ac:dyDescent="0.25">
      <c r="A652" s="8">
        <v>37433</v>
      </c>
      <c r="B652" s="9">
        <v>28.42</v>
      </c>
    </row>
    <row r="653" spans="1:2" x14ac:dyDescent="0.25">
      <c r="A653" s="8">
        <v>37434</v>
      </c>
      <c r="B653" s="9">
        <v>26.29</v>
      </c>
    </row>
    <row r="654" spans="1:2" x14ac:dyDescent="0.25">
      <c r="A654" s="8">
        <v>37435</v>
      </c>
      <c r="B654" s="9">
        <v>25.4</v>
      </c>
    </row>
    <row r="655" spans="1:2" x14ac:dyDescent="0.25">
      <c r="A655" s="8">
        <v>37438</v>
      </c>
      <c r="B655" s="9">
        <v>27.11</v>
      </c>
    </row>
    <row r="656" spans="1:2" x14ac:dyDescent="0.25">
      <c r="A656" s="8">
        <v>37439</v>
      </c>
      <c r="B656" s="9">
        <v>28.96</v>
      </c>
    </row>
    <row r="657" spans="1:2" x14ac:dyDescent="0.25">
      <c r="A657" s="8">
        <v>37440</v>
      </c>
      <c r="B657" s="9">
        <v>29.42</v>
      </c>
    </row>
    <row r="658" spans="1:2" x14ac:dyDescent="0.25">
      <c r="A658" s="8">
        <v>37441</v>
      </c>
    </row>
    <row r="659" spans="1:2" x14ac:dyDescent="0.25">
      <c r="A659" s="8">
        <v>37442</v>
      </c>
      <c r="B659" s="9">
        <v>27.11</v>
      </c>
    </row>
    <row r="660" spans="1:2" x14ac:dyDescent="0.25">
      <c r="A660" s="8">
        <v>37445</v>
      </c>
      <c r="B660" s="9">
        <v>28.25</v>
      </c>
    </row>
    <row r="661" spans="1:2" x14ac:dyDescent="0.25">
      <c r="A661" s="8">
        <v>37446</v>
      </c>
      <c r="B661" s="9">
        <v>30.22</v>
      </c>
    </row>
    <row r="662" spans="1:2" x14ac:dyDescent="0.25">
      <c r="A662" s="8">
        <v>37447</v>
      </c>
      <c r="B662" s="9">
        <v>34.1</v>
      </c>
    </row>
    <row r="663" spans="1:2" x14ac:dyDescent="0.25">
      <c r="A663" s="8">
        <v>37448</v>
      </c>
      <c r="B663" s="9">
        <v>33.85</v>
      </c>
    </row>
    <row r="664" spans="1:2" x14ac:dyDescent="0.25">
      <c r="A664" s="8">
        <v>37449</v>
      </c>
      <c r="B664" s="9">
        <v>32.94</v>
      </c>
    </row>
    <row r="665" spans="1:2" x14ac:dyDescent="0.25">
      <c r="A665" s="8">
        <v>37452</v>
      </c>
      <c r="B665" s="9">
        <v>35.03</v>
      </c>
    </row>
    <row r="666" spans="1:2" x14ac:dyDescent="0.25">
      <c r="A666" s="8">
        <v>37453</v>
      </c>
      <c r="B666" s="9">
        <v>36.65</v>
      </c>
    </row>
    <row r="667" spans="1:2" x14ac:dyDescent="0.25">
      <c r="A667" s="8">
        <v>37454</v>
      </c>
      <c r="B667" s="9">
        <v>35.450000000000003</v>
      </c>
    </row>
    <row r="668" spans="1:2" x14ac:dyDescent="0.25">
      <c r="A668" s="8">
        <v>37455</v>
      </c>
      <c r="B668" s="9">
        <v>35.119999999999997</v>
      </c>
    </row>
    <row r="669" spans="1:2" x14ac:dyDescent="0.25">
      <c r="A669" s="8">
        <v>37456</v>
      </c>
      <c r="B669" s="9">
        <v>38.17</v>
      </c>
    </row>
    <row r="670" spans="1:2" x14ac:dyDescent="0.25">
      <c r="A670" s="8">
        <v>37459</v>
      </c>
      <c r="B670" s="9">
        <v>41.87</v>
      </c>
    </row>
    <row r="671" spans="1:2" x14ac:dyDescent="0.25">
      <c r="A671" s="8">
        <v>37460</v>
      </c>
      <c r="B671" s="9">
        <v>44.92</v>
      </c>
    </row>
    <row r="672" spans="1:2" x14ac:dyDescent="0.25">
      <c r="A672" s="8">
        <v>37461</v>
      </c>
      <c r="B672" s="9">
        <v>39.86</v>
      </c>
    </row>
    <row r="673" spans="1:2" x14ac:dyDescent="0.25">
      <c r="A673" s="8">
        <v>37462</v>
      </c>
      <c r="B673" s="9">
        <v>39.270000000000003</v>
      </c>
    </row>
    <row r="674" spans="1:2" x14ac:dyDescent="0.25">
      <c r="A674" s="8">
        <v>37463</v>
      </c>
      <c r="B674" s="9">
        <v>35.51</v>
      </c>
    </row>
    <row r="675" spans="1:2" x14ac:dyDescent="0.25">
      <c r="A675" s="8">
        <v>37466</v>
      </c>
      <c r="B675" s="9">
        <v>31.33</v>
      </c>
    </row>
    <row r="676" spans="1:2" x14ac:dyDescent="0.25">
      <c r="A676" s="8">
        <v>37467</v>
      </c>
      <c r="B676" s="9">
        <v>31.92</v>
      </c>
    </row>
    <row r="677" spans="1:2" x14ac:dyDescent="0.25">
      <c r="A677" s="8">
        <v>37468</v>
      </c>
      <c r="B677" s="9">
        <v>32.03</v>
      </c>
    </row>
    <row r="678" spans="1:2" x14ac:dyDescent="0.25">
      <c r="A678" s="8">
        <v>37469</v>
      </c>
      <c r="B678" s="9">
        <v>36.950000000000003</v>
      </c>
    </row>
    <row r="679" spans="1:2" x14ac:dyDescent="0.25">
      <c r="A679" s="8">
        <v>37470</v>
      </c>
      <c r="B679" s="9">
        <v>41.29</v>
      </c>
    </row>
    <row r="680" spans="1:2" x14ac:dyDescent="0.25">
      <c r="A680" s="8">
        <v>37473</v>
      </c>
      <c r="B680" s="9">
        <v>45.08</v>
      </c>
    </row>
    <row r="681" spans="1:2" x14ac:dyDescent="0.25">
      <c r="A681" s="8">
        <v>37474</v>
      </c>
      <c r="B681" s="9">
        <v>42.03</v>
      </c>
    </row>
    <row r="682" spans="1:2" x14ac:dyDescent="0.25">
      <c r="A682" s="8">
        <v>37475</v>
      </c>
      <c r="B682" s="9">
        <v>38.729999999999997</v>
      </c>
    </row>
    <row r="683" spans="1:2" x14ac:dyDescent="0.25">
      <c r="A683" s="8">
        <v>37476</v>
      </c>
      <c r="B683" s="9">
        <v>36.33</v>
      </c>
    </row>
    <row r="684" spans="1:2" x14ac:dyDescent="0.25">
      <c r="A684" s="8">
        <v>37477</v>
      </c>
      <c r="B684" s="9">
        <v>35.33</v>
      </c>
    </row>
    <row r="685" spans="1:2" x14ac:dyDescent="0.25">
      <c r="A685" s="8">
        <v>37480</v>
      </c>
      <c r="B685" s="9">
        <v>37.049999999999997</v>
      </c>
    </row>
    <row r="686" spans="1:2" x14ac:dyDescent="0.25">
      <c r="A686" s="8">
        <v>37481</v>
      </c>
      <c r="B686" s="9">
        <v>35.82</v>
      </c>
    </row>
    <row r="687" spans="1:2" x14ac:dyDescent="0.25">
      <c r="A687" s="8">
        <v>37482</v>
      </c>
      <c r="B687" s="9">
        <v>32.36</v>
      </c>
    </row>
    <row r="688" spans="1:2" x14ac:dyDescent="0.25">
      <c r="A688" s="8">
        <v>37483</v>
      </c>
      <c r="B688" s="9">
        <v>29.43</v>
      </c>
    </row>
    <row r="689" spans="1:2" x14ac:dyDescent="0.25">
      <c r="A689" s="8">
        <v>37484</v>
      </c>
      <c r="B689" s="9">
        <v>28.81</v>
      </c>
    </row>
    <row r="690" spans="1:2" x14ac:dyDescent="0.25">
      <c r="A690" s="8">
        <v>37487</v>
      </c>
      <c r="B690" s="9">
        <v>28.61</v>
      </c>
    </row>
    <row r="691" spans="1:2" x14ac:dyDescent="0.25">
      <c r="A691" s="8">
        <v>37488</v>
      </c>
      <c r="B691" s="9">
        <v>29.59</v>
      </c>
    </row>
    <row r="692" spans="1:2" x14ac:dyDescent="0.25">
      <c r="A692" s="8">
        <v>37489</v>
      </c>
      <c r="B692" s="9">
        <v>28.23</v>
      </c>
    </row>
    <row r="693" spans="1:2" x14ac:dyDescent="0.25">
      <c r="A693" s="8">
        <v>37490</v>
      </c>
      <c r="B693" s="9">
        <v>27.75</v>
      </c>
    </row>
    <row r="694" spans="1:2" x14ac:dyDescent="0.25">
      <c r="A694" s="8">
        <v>37491</v>
      </c>
      <c r="B694" s="9">
        <v>29.32</v>
      </c>
    </row>
    <row r="695" spans="1:2" x14ac:dyDescent="0.25">
      <c r="A695" s="8">
        <v>37494</v>
      </c>
      <c r="B695" s="9">
        <v>29.89</v>
      </c>
    </row>
    <row r="696" spans="1:2" x14ac:dyDescent="0.25">
      <c r="A696" s="8">
        <v>37495</v>
      </c>
      <c r="B696" s="9">
        <v>30.11</v>
      </c>
    </row>
    <row r="697" spans="1:2" x14ac:dyDescent="0.25">
      <c r="A697" s="8">
        <v>37496</v>
      </c>
      <c r="B697" s="9">
        <v>33.32</v>
      </c>
    </row>
    <row r="698" spans="1:2" x14ac:dyDescent="0.25">
      <c r="A698" s="8">
        <v>37497</v>
      </c>
      <c r="B698" s="9">
        <v>33.67</v>
      </c>
    </row>
    <row r="699" spans="1:2" x14ac:dyDescent="0.25">
      <c r="A699" s="8">
        <v>37498</v>
      </c>
      <c r="B699" s="9">
        <v>32.64</v>
      </c>
    </row>
    <row r="700" spans="1:2" x14ac:dyDescent="0.25">
      <c r="A700" s="8">
        <v>37501</v>
      </c>
    </row>
    <row r="701" spans="1:2" x14ac:dyDescent="0.25">
      <c r="A701" s="8">
        <v>37502</v>
      </c>
      <c r="B701" s="9">
        <v>39.97</v>
      </c>
    </row>
    <row r="702" spans="1:2" x14ac:dyDescent="0.25">
      <c r="A702" s="8">
        <v>37503</v>
      </c>
      <c r="B702" s="9">
        <v>37.44</v>
      </c>
    </row>
    <row r="703" spans="1:2" x14ac:dyDescent="0.25">
      <c r="A703" s="8">
        <v>37504</v>
      </c>
      <c r="B703" s="9">
        <v>38.86</v>
      </c>
    </row>
    <row r="704" spans="1:2" x14ac:dyDescent="0.25">
      <c r="A704" s="8">
        <v>37505</v>
      </c>
      <c r="B704" s="9">
        <v>36.33</v>
      </c>
    </row>
    <row r="705" spans="1:2" x14ac:dyDescent="0.25">
      <c r="A705" s="8">
        <v>37508</v>
      </c>
      <c r="B705" s="9">
        <v>36.450000000000003</v>
      </c>
    </row>
    <row r="706" spans="1:2" x14ac:dyDescent="0.25">
      <c r="A706" s="8">
        <v>37509</v>
      </c>
      <c r="B706" s="9">
        <v>35.08</v>
      </c>
    </row>
    <row r="707" spans="1:2" x14ac:dyDescent="0.25">
      <c r="A707" s="8">
        <v>37510</v>
      </c>
      <c r="B707" s="9">
        <v>34.81</v>
      </c>
    </row>
    <row r="708" spans="1:2" x14ac:dyDescent="0.25">
      <c r="A708" s="8">
        <v>37511</v>
      </c>
      <c r="B708" s="9">
        <v>37.5</v>
      </c>
    </row>
    <row r="709" spans="1:2" x14ac:dyDescent="0.25">
      <c r="A709" s="8">
        <v>37512</v>
      </c>
      <c r="B709" s="9">
        <v>35.82</v>
      </c>
    </row>
    <row r="710" spans="1:2" x14ac:dyDescent="0.25">
      <c r="A710" s="8">
        <v>37515</v>
      </c>
      <c r="B710" s="9">
        <v>36.74</v>
      </c>
    </row>
    <row r="711" spans="1:2" x14ac:dyDescent="0.25">
      <c r="A711" s="8">
        <v>37516</v>
      </c>
      <c r="B711" s="9">
        <v>38.01</v>
      </c>
    </row>
    <row r="712" spans="1:2" x14ac:dyDescent="0.25">
      <c r="A712" s="8">
        <v>37517</v>
      </c>
      <c r="B712" s="9">
        <v>37.520000000000003</v>
      </c>
    </row>
    <row r="713" spans="1:2" x14ac:dyDescent="0.25">
      <c r="A713" s="8">
        <v>37518</v>
      </c>
      <c r="B713" s="9">
        <v>40.65</v>
      </c>
    </row>
    <row r="714" spans="1:2" x14ac:dyDescent="0.25">
      <c r="A714" s="8">
        <v>37519</v>
      </c>
      <c r="B714" s="9">
        <v>38.979999999999997</v>
      </c>
    </row>
    <row r="715" spans="1:2" x14ac:dyDescent="0.25">
      <c r="A715" s="8">
        <v>37522</v>
      </c>
      <c r="B715" s="9">
        <v>39.68</v>
      </c>
    </row>
    <row r="716" spans="1:2" x14ac:dyDescent="0.25">
      <c r="A716" s="8">
        <v>37523</v>
      </c>
      <c r="B716" s="9">
        <v>40.520000000000003</v>
      </c>
    </row>
    <row r="717" spans="1:2" x14ac:dyDescent="0.25">
      <c r="A717" s="8">
        <v>37524</v>
      </c>
      <c r="B717" s="9">
        <v>37.33</v>
      </c>
    </row>
    <row r="718" spans="1:2" x14ac:dyDescent="0.25">
      <c r="A718" s="8">
        <v>37525</v>
      </c>
      <c r="B718" s="9">
        <v>34.6</v>
      </c>
    </row>
    <row r="719" spans="1:2" x14ac:dyDescent="0.25">
      <c r="A719" s="8">
        <v>37526</v>
      </c>
      <c r="B719" s="9">
        <v>36.97</v>
      </c>
    </row>
    <row r="720" spans="1:2" x14ac:dyDescent="0.25">
      <c r="A720" s="8">
        <v>37529</v>
      </c>
      <c r="B720" s="9">
        <v>39.69</v>
      </c>
    </row>
    <row r="721" spans="1:2" x14ac:dyDescent="0.25">
      <c r="A721" s="8">
        <v>37530</v>
      </c>
      <c r="B721" s="9">
        <v>34.119999999999997</v>
      </c>
    </row>
    <row r="722" spans="1:2" x14ac:dyDescent="0.25">
      <c r="A722" s="8">
        <v>37531</v>
      </c>
      <c r="B722" s="9">
        <v>36.83</v>
      </c>
    </row>
    <row r="723" spans="1:2" x14ac:dyDescent="0.25">
      <c r="A723" s="8">
        <v>37532</v>
      </c>
      <c r="B723" s="9">
        <v>37.31</v>
      </c>
    </row>
    <row r="724" spans="1:2" x14ac:dyDescent="0.25">
      <c r="A724" s="8">
        <v>37533</v>
      </c>
      <c r="B724" s="9">
        <v>39.46</v>
      </c>
    </row>
    <row r="725" spans="1:2" x14ac:dyDescent="0.25">
      <c r="A725" s="8">
        <v>37536</v>
      </c>
      <c r="B725" s="9">
        <v>42.64</v>
      </c>
    </row>
    <row r="726" spans="1:2" x14ac:dyDescent="0.25">
      <c r="A726" s="8">
        <v>37537</v>
      </c>
      <c r="B726" s="9">
        <v>41.02</v>
      </c>
    </row>
    <row r="727" spans="1:2" x14ac:dyDescent="0.25">
      <c r="A727" s="8">
        <v>37538</v>
      </c>
      <c r="B727" s="9">
        <v>42.13</v>
      </c>
    </row>
    <row r="728" spans="1:2" x14ac:dyDescent="0.25">
      <c r="A728" s="8">
        <v>37539</v>
      </c>
      <c r="B728" s="9">
        <v>37.549999999999997</v>
      </c>
    </row>
    <row r="729" spans="1:2" x14ac:dyDescent="0.25">
      <c r="A729" s="8">
        <v>37540</v>
      </c>
      <c r="B729" s="9">
        <v>35.700000000000003</v>
      </c>
    </row>
    <row r="730" spans="1:2" x14ac:dyDescent="0.25">
      <c r="A730" s="8">
        <v>37543</v>
      </c>
      <c r="B730" s="9">
        <v>36.04</v>
      </c>
    </row>
    <row r="731" spans="1:2" x14ac:dyDescent="0.25">
      <c r="A731" s="8">
        <v>37544</v>
      </c>
      <c r="B731" s="9">
        <v>34.020000000000003</v>
      </c>
    </row>
    <row r="732" spans="1:2" x14ac:dyDescent="0.25">
      <c r="A732" s="8">
        <v>37545</v>
      </c>
      <c r="B732" s="9">
        <v>36</v>
      </c>
    </row>
    <row r="733" spans="1:2" x14ac:dyDescent="0.25">
      <c r="A733" s="8">
        <v>37546</v>
      </c>
      <c r="B733" s="9">
        <v>34.1</v>
      </c>
    </row>
    <row r="734" spans="1:2" x14ac:dyDescent="0.25">
      <c r="A734" s="8">
        <v>37547</v>
      </c>
      <c r="B734" s="9">
        <v>33.53</v>
      </c>
    </row>
    <row r="735" spans="1:2" x14ac:dyDescent="0.25">
      <c r="A735" s="8">
        <v>37550</v>
      </c>
      <c r="B735" s="9">
        <v>33.11</v>
      </c>
    </row>
    <row r="736" spans="1:2" x14ac:dyDescent="0.25">
      <c r="A736" s="8">
        <v>37551</v>
      </c>
      <c r="B736" s="9">
        <v>34.090000000000003</v>
      </c>
    </row>
    <row r="737" spans="1:2" x14ac:dyDescent="0.25">
      <c r="A737" s="8">
        <v>37552</v>
      </c>
      <c r="B737" s="9">
        <v>33.200000000000003</v>
      </c>
    </row>
    <row r="738" spans="1:2" x14ac:dyDescent="0.25">
      <c r="A738" s="8">
        <v>37553</v>
      </c>
      <c r="B738" s="9">
        <v>34.03</v>
      </c>
    </row>
    <row r="739" spans="1:2" x14ac:dyDescent="0.25">
      <c r="A739" s="8">
        <v>37554</v>
      </c>
      <c r="B739" s="9">
        <v>30</v>
      </c>
    </row>
    <row r="740" spans="1:2" x14ac:dyDescent="0.25">
      <c r="A740" s="8">
        <v>37557</v>
      </c>
      <c r="B740" s="9">
        <v>31.07</v>
      </c>
    </row>
    <row r="741" spans="1:2" x14ac:dyDescent="0.25">
      <c r="A741" s="8">
        <v>37558</v>
      </c>
      <c r="B741" s="9">
        <v>32.270000000000003</v>
      </c>
    </row>
    <row r="742" spans="1:2" x14ac:dyDescent="0.25">
      <c r="A742" s="8">
        <v>37559</v>
      </c>
      <c r="B742" s="9">
        <v>31.23</v>
      </c>
    </row>
    <row r="743" spans="1:2" x14ac:dyDescent="0.25">
      <c r="A743" s="8">
        <v>37560</v>
      </c>
      <c r="B743" s="9">
        <v>31.14</v>
      </c>
    </row>
    <row r="744" spans="1:2" x14ac:dyDescent="0.25">
      <c r="A744" s="8">
        <v>37561</v>
      </c>
      <c r="B744" s="9">
        <v>29.3</v>
      </c>
    </row>
    <row r="745" spans="1:2" x14ac:dyDescent="0.25">
      <c r="A745" s="8">
        <v>37564</v>
      </c>
      <c r="B745" s="9">
        <v>30.82</v>
      </c>
    </row>
    <row r="746" spans="1:2" x14ac:dyDescent="0.25">
      <c r="A746" s="8">
        <v>37565</v>
      </c>
      <c r="B746" s="9">
        <v>31.23</v>
      </c>
    </row>
    <row r="747" spans="1:2" x14ac:dyDescent="0.25">
      <c r="A747" s="8">
        <v>37566</v>
      </c>
      <c r="B747" s="9">
        <v>30.73</v>
      </c>
    </row>
    <row r="748" spans="1:2" x14ac:dyDescent="0.25">
      <c r="A748" s="8">
        <v>37567</v>
      </c>
      <c r="B748" s="9">
        <v>31.42</v>
      </c>
    </row>
    <row r="749" spans="1:2" x14ac:dyDescent="0.25">
      <c r="A749" s="8">
        <v>37568</v>
      </c>
      <c r="B749" s="9">
        <v>29.41</v>
      </c>
    </row>
    <row r="750" spans="1:2" x14ac:dyDescent="0.25">
      <c r="A750" s="8">
        <v>37571</v>
      </c>
      <c r="B750" s="9">
        <v>31.3</v>
      </c>
    </row>
    <row r="751" spans="1:2" x14ac:dyDescent="0.25">
      <c r="A751" s="8">
        <v>37572</v>
      </c>
      <c r="B751" s="9">
        <v>30.58</v>
      </c>
    </row>
    <row r="752" spans="1:2" x14ac:dyDescent="0.25">
      <c r="A752" s="8">
        <v>37573</v>
      </c>
      <c r="B752" s="9">
        <v>31.24</v>
      </c>
    </row>
    <row r="753" spans="1:2" x14ac:dyDescent="0.25">
      <c r="A753" s="8">
        <v>37574</v>
      </c>
      <c r="B753" s="9">
        <v>28.67</v>
      </c>
    </row>
    <row r="754" spans="1:2" x14ac:dyDescent="0.25">
      <c r="A754" s="8">
        <v>37575</v>
      </c>
      <c r="B754" s="9">
        <v>26.65</v>
      </c>
    </row>
    <row r="755" spans="1:2" x14ac:dyDescent="0.25">
      <c r="A755" s="8">
        <v>37578</v>
      </c>
      <c r="B755" s="9">
        <v>27.66</v>
      </c>
    </row>
    <row r="756" spans="1:2" x14ac:dyDescent="0.25">
      <c r="A756" s="8">
        <v>37579</v>
      </c>
      <c r="B756" s="9">
        <v>27.41</v>
      </c>
    </row>
    <row r="757" spans="1:2" x14ac:dyDescent="0.25">
      <c r="A757" s="8">
        <v>37580</v>
      </c>
      <c r="B757" s="9">
        <v>25.32</v>
      </c>
    </row>
    <row r="758" spans="1:2" x14ac:dyDescent="0.25">
      <c r="A758" s="8">
        <v>37581</v>
      </c>
      <c r="B758" s="9">
        <v>23.81</v>
      </c>
    </row>
    <row r="759" spans="1:2" x14ac:dyDescent="0.25">
      <c r="A759" s="8">
        <v>37582</v>
      </c>
      <c r="B759" s="9">
        <v>23.16</v>
      </c>
    </row>
    <row r="760" spans="1:2" x14ac:dyDescent="0.25">
      <c r="A760" s="8">
        <v>37585</v>
      </c>
      <c r="B760" s="9">
        <v>24.07</v>
      </c>
    </row>
    <row r="761" spans="1:2" x14ac:dyDescent="0.25">
      <c r="A761" s="8">
        <v>37586</v>
      </c>
      <c r="B761" s="9">
        <v>25.97</v>
      </c>
    </row>
    <row r="762" spans="1:2" x14ac:dyDescent="0.25">
      <c r="A762" s="8">
        <v>37587</v>
      </c>
      <c r="B762" s="9">
        <v>27.25</v>
      </c>
    </row>
    <row r="763" spans="1:2" x14ac:dyDescent="0.25">
      <c r="A763" s="8">
        <v>37588</v>
      </c>
    </row>
    <row r="764" spans="1:2" x14ac:dyDescent="0.25">
      <c r="A764" s="8">
        <v>37589</v>
      </c>
      <c r="B764" s="9">
        <v>27.5</v>
      </c>
    </row>
    <row r="765" spans="1:2" x14ac:dyDescent="0.25">
      <c r="A765" s="8">
        <v>37592</v>
      </c>
      <c r="B765" s="9">
        <v>27.46</v>
      </c>
    </row>
    <row r="766" spans="1:2" x14ac:dyDescent="0.25">
      <c r="A766" s="8">
        <v>37593</v>
      </c>
      <c r="B766" s="9">
        <v>28.33</v>
      </c>
    </row>
    <row r="767" spans="1:2" x14ac:dyDescent="0.25">
      <c r="A767" s="8">
        <v>37594</v>
      </c>
      <c r="B767" s="9">
        <v>28.92</v>
      </c>
    </row>
    <row r="768" spans="1:2" x14ac:dyDescent="0.25">
      <c r="A768" s="8">
        <v>37595</v>
      </c>
      <c r="B768" s="9">
        <v>30.1</v>
      </c>
    </row>
    <row r="769" spans="1:2" x14ac:dyDescent="0.25">
      <c r="A769" s="8">
        <v>37596</v>
      </c>
      <c r="B769" s="9">
        <v>28.88</v>
      </c>
    </row>
    <row r="770" spans="1:2" x14ac:dyDescent="0.25">
      <c r="A770" s="8">
        <v>37599</v>
      </c>
      <c r="B770" s="9">
        <v>30.78</v>
      </c>
    </row>
    <row r="771" spans="1:2" x14ac:dyDescent="0.25">
      <c r="A771" s="8">
        <v>37600</v>
      </c>
      <c r="B771" s="9">
        <v>28.76</v>
      </c>
    </row>
    <row r="772" spans="1:2" x14ac:dyDescent="0.25">
      <c r="A772" s="8">
        <v>37601</v>
      </c>
      <c r="B772" s="9">
        <v>27.76</v>
      </c>
    </row>
    <row r="773" spans="1:2" x14ac:dyDescent="0.25">
      <c r="A773" s="8">
        <v>37602</v>
      </c>
      <c r="B773" s="9">
        <v>27.29</v>
      </c>
    </row>
    <row r="774" spans="1:2" x14ac:dyDescent="0.25">
      <c r="A774" s="8">
        <v>37603</v>
      </c>
      <c r="B774" s="9">
        <v>28.18</v>
      </c>
    </row>
    <row r="775" spans="1:2" x14ac:dyDescent="0.25">
      <c r="A775" s="8">
        <v>37606</v>
      </c>
      <c r="B775" s="9">
        <v>26.24</v>
      </c>
    </row>
    <row r="776" spans="1:2" x14ac:dyDescent="0.25">
      <c r="A776" s="8">
        <v>37607</v>
      </c>
      <c r="B776" s="9">
        <v>26.66</v>
      </c>
    </row>
    <row r="777" spans="1:2" x14ac:dyDescent="0.25">
      <c r="A777" s="8">
        <v>37608</v>
      </c>
      <c r="B777" s="9">
        <v>28.29</v>
      </c>
    </row>
    <row r="778" spans="1:2" x14ac:dyDescent="0.25">
      <c r="A778" s="8">
        <v>37609</v>
      </c>
      <c r="B778" s="9">
        <v>30.21</v>
      </c>
    </row>
    <row r="779" spans="1:2" x14ac:dyDescent="0.25">
      <c r="A779" s="8">
        <v>37610</v>
      </c>
      <c r="B779" s="9">
        <v>26.71</v>
      </c>
    </row>
    <row r="780" spans="1:2" x14ac:dyDescent="0.25">
      <c r="A780" s="8">
        <v>37613</v>
      </c>
      <c r="B780" s="9">
        <v>26.2</v>
      </c>
    </row>
    <row r="781" spans="1:2" x14ac:dyDescent="0.25">
      <c r="A781" s="8">
        <v>37614</v>
      </c>
      <c r="B781" s="9">
        <v>26.49</v>
      </c>
    </row>
    <row r="782" spans="1:2" x14ac:dyDescent="0.25">
      <c r="A782" s="8">
        <v>37615</v>
      </c>
    </row>
    <row r="783" spans="1:2" x14ac:dyDescent="0.25">
      <c r="A783" s="8">
        <v>37616</v>
      </c>
      <c r="B783" s="9">
        <v>27.37</v>
      </c>
    </row>
    <row r="784" spans="1:2" x14ac:dyDescent="0.25">
      <c r="A784" s="8">
        <v>37617</v>
      </c>
      <c r="B784" s="9">
        <v>29.55</v>
      </c>
    </row>
    <row r="785" spans="1:2" x14ac:dyDescent="0.25">
      <c r="A785" s="8">
        <v>37620</v>
      </c>
      <c r="B785" s="9">
        <v>29.62</v>
      </c>
    </row>
    <row r="786" spans="1:2" x14ac:dyDescent="0.25">
      <c r="A786" s="8">
        <v>37621</v>
      </c>
      <c r="B786" s="9">
        <v>28.62</v>
      </c>
    </row>
    <row r="787" spans="1:2" x14ac:dyDescent="0.25">
      <c r="A787" s="8">
        <v>37622</v>
      </c>
    </row>
    <row r="788" spans="1:2" x14ac:dyDescent="0.25">
      <c r="A788" s="8">
        <v>37623</v>
      </c>
      <c r="B788" s="9">
        <v>25.39</v>
      </c>
    </row>
    <row r="789" spans="1:2" x14ac:dyDescent="0.25">
      <c r="A789" s="8">
        <v>37624</v>
      </c>
      <c r="B789" s="9">
        <v>24.68</v>
      </c>
    </row>
    <row r="790" spans="1:2" x14ac:dyDescent="0.25">
      <c r="A790" s="8">
        <v>37627</v>
      </c>
      <c r="B790" s="9">
        <v>24.91</v>
      </c>
    </row>
    <row r="791" spans="1:2" x14ac:dyDescent="0.25">
      <c r="A791" s="8">
        <v>37628</v>
      </c>
      <c r="B791" s="9">
        <v>25.13</v>
      </c>
    </row>
    <row r="792" spans="1:2" x14ac:dyDescent="0.25">
      <c r="A792" s="8">
        <v>37629</v>
      </c>
      <c r="B792" s="9">
        <v>25.53</v>
      </c>
    </row>
    <row r="793" spans="1:2" x14ac:dyDescent="0.25">
      <c r="A793" s="8">
        <v>37630</v>
      </c>
      <c r="B793" s="9">
        <v>24.25</v>
      </c>
    </row>
    <row r="794" spans="1:2" x14ac:dyDescent="0.25">
      <c r="A794" s="8">
        <v>37631</v>
      </c>
      <c r="B794" s="9">
        <v>24.32</v>
      </c>
    </row>
    <row r="795" spans="1:2" x14ac:dyDescent="0.25">
      <c r="A795" s="8">
        <v>37634</v>
      </c>
      <c r="B795" s="9">
        <v>24.9</v>
      </c>
    </row>
    <row r="796" spans="1:2" x14ac:dyDescent="0.25">
      <c r="A796" s="8">
        <v>37635</v>
      </c>
      <c r="B796" s="9">
        <v>24.57</v>
      </c>
    </row>
    <row r="797" spans="1:2" x14ac:dyDescent="0.25">
      <c r="A797" s="8">
        <v>37636</v>
      </c>
      <c r="B797" s="9">
        <v>25.51</v>
      </c>
    </row>
    <row r="798" spans="1:2" x14ac:dyDescent="0.25">
      <c r="A798" s="8">
        <v>37637</v>
      </c>
      <c r="B798" s="9">
        <v>25.01</v>
      </c>
    </row>
    <row r="799" spans="1:2" x14ac:dyDescent="0.25">
      <c r="A799" s="8">
        <v>37638</v>
      </c>
      <c r="B799" s="9">
        <v>25.7</v>
      </c>
    </row>
    <row r="800" spans="1:2" x14ac:dyDescent="0.25">
      <c r="A800" s="8">
        <v>37641</v>
      </c>
    </row>
    <row r="801" spans="1:2" x14ac:dyDescent="0.25">
      <c r="A801" s="8">
        <v>37642</v>
      </c>
      <c r="B801" s="9">
        <v>27.59</v>
      </c>
    </row>
    <row r="802" spans="1:2" x14ac:dyDescent="0.25">
      <c r="A802" s="8">
        <v>37643</v>
      </c>
      <c r="B802" s="9">
        <v>29.01</v>
      </c>
    </row>
    <row r="803" spans="1:2" x14ac:dyDescent="0.25">
      <c r="A803" s="8">
        <v>37644</v>
      </c>
      <c r="B803" s="9">
        <v>27.53</v>
      </c>
    </row>
    <row r="804" spans="1:2" x14ac:dyDescent="0.25">
      <c r="A804" s="8">
        <v>37645</v>
      </c>
      <c r="B804" s="9">
        <v>31.51</v>
      </c>
    </row>
    <row r="805" spans="1:2" x14ac:dyDescent="0.25">
      <c r="A805" s="8">
        <v>37648</v>
      </c>
      <c r="B805" s="9">
        <v>34.69</v>
      </c>
    </row>
    <row r="806" spans="1:2" x14ac:dyDescent="0.25">
      <c r="A806" s="8">
        <v>37649</v>
      </c>
      <c r="B806" s="9">
        <v>31.93</v>
      </c>
    </row>
    <row r="807" spans="1:2" x14ac:dyDescent="0.25">
      <c r="A807" s="8">
        <v>37650</v>
      </c>
      <c r="B807" s="9">
        <v>31.26</v>
      </c>
    </row>
    <row r="808" spans="1:2" x14ac:dyDescent="0.25">
      <c r="A808" s="8">
        <v>37651</v>
      </c>
      <c r="B808" s="9">
        <v>31.32</v>
      </c>
    </row>
    <row r="809" spans="1:2" x14ac:dyDescent="0.25">
      <c r="A809" s="8">
        <v>37652</v>
      </c>
      <c r="B809" s="9">
        <v>31.17</v>
      </c>
    </row>
    <row r="810" spans="1:2" x14ac:dyDescent="0.25">
      <c r="A810" s="8">
        <v>37655</v>
      </c>
      <c r="B810" s="9">
        <v>31.02</v>
      </c>
    </row>
    <row r="811" spans="1:2" x14ac:dyDescent="0.25">
      <c r="A811" s="8">
        <v>37656</v>
      </c>
      <c r="B811" s="9">
        <v>32.76</v>
      </c>
    </row>
    <row r="812" spans="1:2" x14ac:dyDescent="0.25">
      <c r="A812" s="8">
        <v>37657</v>
      </c>
      <c r="B812" s="9">
        <v>33.04</v>
      </c>
    </row>
    <row r="813" spans="1:2" x14ac:dyDescent="0.25">
      <c r="A813" s="8">
        <v>37658</v>
      </c>
      <c r="B813" s="9">
        <v>33.35</v>
      </c>
    </row>
    <row r="814" spans="1:2" x14ac:dyDescent="0.25">
      <c r="A814" s="8">
        <v>37659</v>
      </c>
      <c r="B814" s="9">
        <v>34.01</v>
      </c>
    </row>
    <row r="815" spans="1:2" x14ac:dyDescent="0.25">
      <c r="A815" s="8">
        <v>37662</v>
      </c>
      <c r="B815" s="9">
        <v>33.99</v>
      </c>
    </row>
    <row r="816" spans="1:2" x14ac:dyDescent="0.25">
      <c r="A816" s="8">
        <v>37663</v>
      </c>
      <c r="B816" s="9">
        <v>33.68</v>
      </c>
    </row>
    <row r="817" spans="1:2" x14ac:dyDescent="0.25">
      <c r="A817" s="8">
        <v>37664</v>
      </c>
      <c r="B817" s="9">
        <v>34.33</v>
      </c>
    </row>
    <row r="818" spans="1:2" x14ac:dyDescent="0.25">
      <c r="A818" s="8">
        <v>37665</v>
      </c>
      <c r="B818" s="9">
        <v>33.700000000000003</v>
      </c>
    </row>
    <row r="819" spans="1:2" x14ac:dyDescent="0.25">
      <c r="A819" s="8">
        <v>37666</v>
      </c>
      <c r="B819" s="9">
        <v>32.619999999999997</v>
      </c>
    </row>
    <row r="820" spans="1:2" x14ac:dyDescent="0.25">
      <c r="A820" s="8">
        <v>37669</v>
      </c>
    </row>
    <row r="821" spans="1:2" x14ac:dyDescent="0.25">
      <c r="A821" s="8">
        <v>37670</v>
      </c>
      <c r="B821" s="9">
        <v>31.11</v>
      </c>
    </row>
    <row r="822" spans="1:2" x14ac:dyDescent="0.25">
      <c r="A822" s="8">
        <v>37671</v>
      </c>
      <c r="B822" s="9">
        <v>31.31</v>
      </c>
    </row>
    <row r="823" spans="1:2" x14ac:dyDescent="0.25">
      <c r="A823" s="8">
        <v>37672</v>
      </c>
      <c r="B823" s="9">
        <v>31.16</v>
      </c>
    </row>
    <row r="824" spans="1:2" x14ac:dyDescent="0.25">
      <c r="A824" s="8">
        <v>37673</v>
      </c>
      <c r="B824" s="9">
        <v>30.25</v>
      </c>
    </row>
    <row r="825" spans="1:2" x14ac:dyDescent="0.25">
      <c r="A825" s="8">
        <v>37676</v>
      </c>
      <c r="B825" s="9">
        <v>31.98</v>
      </c>
    </row>
    <row r="826" spans="1:2" x14ac:dyDescent="0.25">
      <c r="A826" s="8">
        <v>37677</v>
      </c>
      <c r="B826" s="9">
        <v>31.74</v>
      </c>
    </row>
    <row r="827" spans="1:2" x14ac:dyDescent="0.25">
      <c r="A827" s="8">
        <v>37678</v>
      </c>
      <c r="B827" s="9">
        <v>31.94</v>
      </c>
    </row>
    <row r="828" spans="1:2" x14ac:dyDescent="0.25">
      <c r="A828" s="8">
        <v>37679</v>
      </c>
      <c r="B828" s="9">
        <v>30.53</v>
      </c>
    </row>
    <row r="829" spans="1:2" x14ac:dyDescent="0.25">
      <c r="A829" s="8">
        <v>37680</v>
      </c>
      <c r="B829" s="9">
        <v>29.63</v>
      </c>
    </row>
    <row r="830" spans="1:2" x14ac:dyDescent="0.25">
      <c r="A830" s="8">
        <v>37683</v>
      </c>
      <c r="B830" s="9">
        <v>30.43</v>
      </c>
    </row>
    <row r="831" spans="1:2" x14ac:dyDescent="0.25">
      <c r="A831" s="8">
        <v>37684</v>
      </c>
      <c r="B831" s="9">
        <v>31.83</v>
      </c>
    </row>
    <row r="832" spans="1:2" x14ac:dyDescent="0.25">
      <c r="A832" s="8">
        <v>37685</v>
      </c>
      <c r="B832" s="9">
        <v>30.38</v>
      </c>
    </row>
    <row r="833" spans="1:2" x14ac:dyDescent="0.25">
      <c r="A833" s="8">
        <v>37686</v>
      </c>
      <c r="B833" s="9">
        <v>31.37</v>
      </c>
    </row>
    <row r="834" spans="1:2" x14ac:dyDescent="0.25">
      <c r="A834" s="8">
        <v>37687</v>
      </c>
      <c r="B834" s="9">
        <v>31.08</v>
      </c>
    </row>
    <row r="835" spans="1:2" x14ac:dyDescent="0.25">
      <c r="A835" s="8">
        <v>37690</v>
      </c>
      <c r="B835" s="9">
        <v>33.31</v>
      </c>
    </row>
    <row r="836" spans="1:2" x14ac:dyDescent="0.25">
      <c r="A836" s="8">
        <v>37691</v>
      </c>
      <c r="B836" s="9">
        <v>33.61</v>
      </c>
    </row>
    <row r="837" spans="1:2" x14ac:dyDescent="0.25">
      <c r="A837" s="8">
        <v>37692</v>
      </c>
      <c r="B837" s="9">
        <v>33.51</v>
      </c>
    </row>
    <row r="838" spans="1:2" x14ac:dyDescent="0.25">
      <c r="A838" s="8">
        <v>37693</v>
      </c>
      <c r="B838" s="9">
        <v>31.76</v>
      </c>
    </row>
    <row r="839" spans="1:2" x14ac:dyDescent="0.25">
      <c r="A839" s="8">
        <v>37694</v>
      </c>
      <c r="B839" s="9">
        <v>30.98</v>
      </c>
    </row>
    <row r="840" spans="1:2" x14ac:dyDescent="0.25">
      <c r="A840" s="8">
        <v>37697</v>
      </c>
      <c r="B840" s="9">
        <v>31.75</v>
      </c>
    </row>
    <row r="841" spans="1:2" x14ac:dyDescent="0.25">
      <c r="A841" s="8">
        <v>37698</v>
      </c>
      <c r="B841" s="9">
        <v>30.43</v>
      </c>
    </row>
    <row r="842" spans="1:2" x14ac:dyDescent="0.25">
      <c r="A842" s="8">
        <v>37699</v>
      </c>
      <c r="B842" s="9">
        <v>31.54</v>
      </c>
    </row>
    <row r="843" spans="1:2" x14ac:dyDescent="0.25">
      <c r="A843" s="8">
        <v>37700</v>
      </c>
      <c r="B843" s="9">
        <v>30.44</v>
      </c>
    </row>
    <row r="844" spans="1:2" x14ac:dyDescent="0.25">
      <c r="A844" s="8">
        <v>37701</v>
      </c>
      <c r="B844" s="9">
        <v>28.67</v>
      </c>
    </row>
    <row r="845" spans="1:2" x14ac:dyDescent="0.25">
      <c r="A845" s="8">
        <v>37704</v>
      </c>
      <c r="B845" s="9">
        <v>30.39</v>
      </c>
    </row>
    <row r="846" spans="1:2" x14ac:dyDescent="0.25">
      <c r="A846" s="8">
        <v>37705</v>
      </c>
      <c r="B846" s="9">
        <v>28.75</v>
      </c>
    </row>
    <row r="847" spans="1:2" x14ac:dyDescent="0.25">
      <c r="A847" s="8">
        <v>37706</v>
      </c>
      <c r="B847" s="9">
        <v>28.23</v>
      </c>
    </row>
    <row r="848" spans="1:2" x14ac:dyDescent="0.25">
      <c r="A848" s="8">
        <v>37707</v>
      </c>
      <c r="B848" s="9">
        <v>27.96</v>
      </c>
    </row>
    <row r="849" spans="1:2" x14ac:dyDescent="0.25">
      <c r="A849" s="8">
        <v>37708</v>
      </c>
      <c r="B849" s="9">
        <v>27.75</v>
      </c>
    </row>
    <row r="850" spans="1:2" x14ac:dyDescent="0.25">
      <c r="A850" s="8">
        <v>37711</v>
      </c>
      <c r="B850" s="9">
        <v>29.15</v>
      </c>
    </row>
    <row r="851" spans="1:2" x14ac:dyDescent="0.25">
      <c r="A851" s="8">
        <v>37712</v>
      </c>
      <c r="B851" s="9">
        <v>28.36</v>
      </c>
    </row>
    <row r="852" spans="1:2" x14ac:dyDescent="0.25">
      <c r="A852" s="8">
        <v>37713</v>
      </c>
      <c r="B852" s="9">
        <v>28.02</v>
      </c>
    </row>
    <row r="853" spans="1:2" x14ac:dyDescent="0.25">
      <c r="A853" s="8">
        <v>37714</v>
      </c>
      <c r="B853" s="9">
        <v>28.21</v>
      </c>
    </row>
    <row r="854" spans="1:2" x14ac:dyDescent="0.25">
      <c r="A854" s="8">
        <v>37715</v>
      </c>
      <c r="B854" s="9">
        <v>29.13</v>
      </c>
    </row>
    <row r="855" spans="1:2" x14ac:dyDescent="0.25">
      <c r="A855" s="8">
        <v>37718</v>
      </c>
      <c r="B855" s="9">
        <v>28.45</v>
      </c>
    </row>
    <row r="856" spans="1:2" x14ac:dyDescent="0.25">
      <c r="A856" s="8">
        <v>37719</v>
      </c>
      <c r="B856" s="9">
        <v>27.13</v>
      </c>
    </row>
    <row r="857" spans="1:2" x14ac:dyDescent="0.25">
      <c r="A857" s="8">
        <v>37720</v>
      </c>
      <c r="B857" s="9">
        <v>27.11</v>
      </c>
    </row>
    <row r="858" spans="1:2" x14ac:dyDescent="0.25">
      <c r="A858" s="8">
        <v>37721</v>
      </c>
      <c r="B858" s="9">
        <v>25.6</v>
      </c>
    </row>
    <row r="859" spans="1:2" x14ac:dyDescent="0.25">
      <c r="A859" s="8">
        <v>37722</v>
      </c>
      <c r="B859" s="9">
        <v>24.44</v>
      </c>
    </row>
    <row r="860" spans="1:2" x14ac:dyDescent="0.25">
      <c r="A860" s="8">
        <v>37725</v>
      </c>
      <c r="B860" s="9">
        <v>23.41</v>
      </c>
    </row>
    <row r="861" spans="1:2" x14ac:dyDescent="0.25">
      <c r="A861" s="8">
        <v>37726</v>
      </c>
      <c r="B861" s="9">
        <v>22.56</v>
      </c>
    </row>
    <row r="862" spans="1:2" x14ac:dyDescent="0.25">
      <c r="A862" s="8">
        <v>37727</v>
      </c>
      <c r="B862" s="9">
        <v>22.52</v>
      </c>
    </row>
    <row r="863" spans="1:2" x14ac:dyDescent="0.25">
      <c r="A863" s="8">
        <v>37728</v>
      </c>
      <c r="B863" s="9">
        <v>21.5</v>
      </c>
    </row>
    <row r="864" spans="1:2" x14ac:dyDescent="0.25">
      <c r="A864" s="8">
        <v>37729</v>
      </c>
    </row>
    <row r="865" spans="1:2" x14ac:dyDescent="0.25">
      <c r="A865" s="8">
        <v>37732</v>
      </c>
      <c r="B865" s="9">
        <v>21.95</v>
      </c>
    </row>
    <row r="866" spans="1:2" x14ac:dyDescent="0.25">
      <c r="A866" s="8">
        <v>37733</v>
      </c>
      <c r="B866" s="9">
        <v>20.7</v>
      </c>
    </row>
    <row r="867" spans="1:2" x14ac:dyDescent="0.25">
      <c r="A867" s="8">
        <v>37734</v>
      </c>
      <c r="B867" s="9">
        <v>20.8</v>
      </c>
    </row>
    <row r="868" spans="1:2" x14ac:dyDescent="0.25">
      <c r="A868" s="8">
        <v>37735</v>
      </c>
      <c r="B868" s="9">
        <v>20.329999999999998</v>
      </c>
    </row>
    <row r="869" spans="1:2" x14ac:dyDescent="0.25">
      <c r="A869" s="8">
        <v>37736</v>
      </c>
      <c r="B869" s="9">
        <v>20.8</v>
      </c>
    </row>
    <row r="870" spans="1:2" x14ac:dyDescent="0.25">
      <c r="A870" s="8">
        <v>37739</v>
      </c>
      <c r="B870" s="9">
        <v>20.84</v>
      </c>
    </row>
    <row r="871" spans="1:2" x14ac:dyDescent="0.25">
      <c r="A871" s="8">
        <v>37740</v>
      </c>
      <c r="B871" s="9">
        <v>20.76</v>
      </c>
    </row>
    <row r="872" spans="1:2" x14ac:dyDescent="0.25">
      <c r="A872" s="8">
        <v>37741</v>
      </c>
      <c r="B872" s="9">
        <v>21.21</v>
      </c>
    </row>
    <row r="873" spans="1:2" x14ac:dyDescent="0.25">
      <c r="A873" s="8">
        <v>37742</v>
      </c>
      <c r="B873" s="9">
        <v>21.59</v>
      </c>
    </row>
    <row r="874" spans="1:2" x14ac:dyDescent="0.25">
      <c r="A874" s="8">
        <v>37743</v>
      </c>
      <c r="B874" s="9">
        <v>20.63</v>
      </c>
    </row>
    <row r="875" spans="1:2" x14ac:dyDescent="0.25">
      <c r="A875" s="8">
        <v>37746</v>
      </c>
      <c r="B875" s="9">
        <v>21.13</v>
      </c>
    </row>
    <row r="876" spans="1:2" x14ac:dyDescent="0.25">
      <c r="A876" s="8">
        <v>37747</v>
      </c>
      <c r="B876" s="9">
        <v>20.8</v>
      </c>
    </row>
    <row r="877" spans="1:2" x14ac:dyDescent="0.25">
      <c r="A877" s="8">
        <v>37748</v>
      </c>
      <c r="B877" s="9">
        <v>21</v>
      </c>
    </row>
    <row r="878" spans="1:2" x14ac:dyDescent="0.25">
      <c r="A878" s="8">
        <v>37749</v>
      </c>
      <c r="B878" s="9">
        <v>21.24</v>
      </c>
    </row>
    <row r="879" spans="1:2" x14ac:dyDescent="0.25">
      <c r="A879" s="8">
        <v>37750</v>
      </c>
      <c r="B879" s="9">
        <v>19.690000000000001</v>
      </c>
    </row>
    <row r="880" spans="1:2" x14ac:dyDescent="0.25">
      <c r="A880" s="8">
        <v>37753</v>
      </c>
      <c r="B880" s="9">
        <v>19.52</v>
      </c>
    </row>
    <row r="881" spans="1:2" x14ac:dyDescent="0.25">
      <c r="A881" s="8">
        <v>37754</v>
      </c>
      <c r="B881" s="9">
        <v>19.91</v>
      </c>
    </row>
    <row r="882" spans="1:2" x14ac:dyDescent="0.25">
      <c r="A882" s="8">
        <v>37755</v>
      </c>
      <c r="B882" s="9">
        <v>20</v>
      </c>
    </row>
    <row r="883" spans="1:2" x14ac:dyDescent="0.25">
      <c r="A883" s="8">
        <v>37756</v>
      </c>
      <c r="B883" s="9">
        <v>19.239999999999998</v>
      </c>
    </row>
    <row r="884" spans="1:2" x14ac:dyDescent="0.25">
      <c r="A884" s="8">
        <v>37757</v>
      </c>
      <c r="B884" s="9">
        <v>18.399999999999999</v>
      </c>
    </row>
    <row r="885" spans="1:2" x14ac:dyDescent="0.25">
      <c r="A885" s="8">
        <v>37760</v>
      </c>
      <c r="B885" s="9">
        <v>20.51</v>
      </c>
    </row>
    <row r="886" spans="1:2" x14ac:dyDescent="0.25">
      <c r="A886" s="8">
        <v>37761</v>
      </c>
      <c r="B886" s="9">
        <v>21.29</v>
      </c>
    </row>
    <row r="887" spans="1:2" x14ac:dyDescent="0.25">
      <c r="A887" s="8">
        <v>37762</v>
      </c>
      <c r="B887" s="9">
        <v>21.21</v>
      </c>
    </row>
    <row r="888" spans="1:2" x14ac:dyDescent="0.25">
      <c r="A888" s="8">
        <v>37763</v>
      </c>
      <c r="B888" s="9">
        <v>19.78</v>
      </c>
    </row>
    <row r="889" spans="1:2" x14ac:dyDescent="0.25">
      <c r="A889" s="8">
        <v>37764</v>
      </c>
      <c r="B889" s="9">
        <v>19.170000000000002</v>
      </c>
    </row>
    <row r="890" spans="1:2" x14ac:dyDescent="0.25">
      <c r="A890" s="8">
        <v>37767</v>
      </c>
    </row>
    <row r="891" spans="1:2" x14ac:dyDescent="0.25">
      <c r="A891" s="8">
        <v>37768</v>
      </c>
      <c r="B891" s="9">
        <v>19.989999999999998</v>
      </c>
    </row>
    <row r="892" spans="1:2" x14ac:dyDescent="0.25">
      <c r="A892" s="8">
        <v>37769</v>
      </c>
      <c r="B892" s="9">
        <v>20.03</v>
      </c>
    </row>
    <row r="893" spans="1:2" x14ac:dyDescent="0.25">
      <c r="A893" s="8">
        <v>37770</v>
      </c>
      <c r="B893" s="9">
        <v>20.43</v>
      </c>
    </row>
    <row r="894" spans="1:2" x14ac:dyDescent="0.25">
      <c r="A894" s="8">
        <v>37771</v>
      </c>
      <c r="B894" s="9">
        <v>19.47</v>
      </c>
    </row>
    <row r="895" spans="1:2" x14ac:dyDescent="0.25">
      <c r="A895" s="8">
        <v>37774</v>
      </c>
      <c r="B895" s="9">
        <v>20.85</v>
      </c>
    </row>
    <row r="896" spans="1:2" x14ac:dyDescent="0.25">
      <c r="A896" s="8">
        <v>37775</v>
      </c>
      <c r="B896" s="9">
        <v>20.84</v>
      </c>
    </row>
    <row r="897" spans="1:2" x14ac:dyDescent="0.25">
      <c r="A897" s="8">
        <v>37776</v>
      </c>
      <c r="B897" s="9">
        <v>20.62</v>
      </c>
    </row>
    <row r="898" spans="1:2" x14ac:dyDescent="0.25">
      <c r="A898" s="8">
        <v>37777</v>
      </c>
      <c r="B898" s="9">
        <v>20.83</v>
      </c>
    </row>
    <row r="899" spans="1:2" x14ac:dyDescent="0.25">
      <c r="A899" s="8">
        <v>37778</v>
      </c>
      <c r="B899" s="9">
        <v>21.25</v>
      </c>
    </row>
    <row r="900" spans="1:2" x14ac:dyDescent="0.25">
      <c r="A900" s="8">
        <v>37781</v>
      </c>
      <c r="B900" s="9">
        <v>22.15</v>
      </c>
    </row>
    <row r="901" spans="1:2" x14ac:dyDescent="0.25">
      <c r="A901" s="8">
        <v>37782</v>
      </c>
      <c r="B901" s="9">
        <v>20.64</v>
      </c>
    </row>
    <row r="902" spans="1:2" x14ac:dyDescent="0.25">
      <c r="A902" s="8">
        <v>37783</v>
      </c>
      <c r="B902" s="9">
        <v>20.21</v>
      </c>
    </row>
    <row r="903" spans="1:2" x14ac:dyDescent="0.25">
      <c r="A903" s="8">
        <v>37784</v>
      </c>
      <c r="B903" s="9">
        <v>20.41</v>
      </c>
    </row>
    <row r="904" spans="1:2" x14ac:dyDescent="0.25">
      <c r="A904" s="8">
        <v>37785</v>
      </c>
      <c r="B904" s="9">
        <v>20.66</v>
      </c>
    </row>
    <row r="905" spans="1:2" x14ac:dyDescent="0.25">
      <c r="A905" s="8">
        <v>37788</v>
      </c>
      <c r="B905" s="9">
        <v>20.22</v>
      </c>
    </row>
    <row r="906" spans="1:2" x14ac:dyDescent="0.25">
      <c r="A906" s="8">
        <v>37789</v>
      </c>
      <c r="B906" s="9">
        <v>20.010000000000002</v>
      </c>
    </row>
    <row r="907" spans="1:2" x14ac:dyDescent="0.25">
      <c r="A907" s="8">
        <v>37790</v>
      </c>
      <c r="B907" s="9">
        <v>19.760000000000002</v>
      </c>
    </row>
    <row r="908" spans="1:2" x14ac:dyDescent="0.25">
      <c r="A908" s="8">
        <v>37791</v>
      </c>
      <c r="B908" s="9">
        <v>19.8</v>
      </c>
    </row>
    <row r="909" spans="1:2" x14ac:dyDescent="0.25">
      <c r="A909" s="8">
        <v>37792</v>
      </c>
      <c r="B909" s="9">
        <v>19.14</v>
      </c>
    </row>
    <row r="910" spans="1:2" x14ac:dyDescent="0.25">
      <c r="A910" s="8">
        <v>37795</v>
      </c>
      <c r="B910" s="9">
        <v>20.58</v>
      </c>
    </row>
    <row r="911" spans="1:2" x14ac:dyDescent="0.25">
      <c r="A911" s="8">
        <v>37796</v>
      </c>
      <c r="B911" s="9">
        <v>20.75</v>
      </c>
    </row>
    <row r="912" spans="1:2" x14ac:dyDescent="0.25">
      <c r="A912" s="8">
        <v>37797</v>
      </c>
      <c r="B912" s="9">
        <v>20.81</v>
      </c>
    </row>
    <row r="913" spans="1:2" x14ac:dyDescent="0.25">
      <c r="A913" s="8">
        <v>37798</v>
      </c>
      <c r="B913" s="9">
        <v>19.399999999999999</v>
      </c>
    </row>
    <row r="914" spans="1:2" x14ac:dyDescent="0.25">
      <c r="A914" s="8">
        <v>37799</v>
      </c>
      <c r="B914" s="9">
        <v>19.16</v>
      </c>
    </row>
    <row r="915" spans="1:2" x14ac:dyDescent="0.25">
      <c r="A915" s="8">
        <v>37802</v>
      </c>
      <c r="B915" s="9">
        <v>19.52</v>
      </c>
    </row>
    <row r="916" spans="1:2" x14ac:dyDescent="0.25">
      <c r="A916" s="8">
        <v>37803</v>
      </c>
      <c r="B916" s="9">
        <v>19.46</v>
      </c>
    </row>
    <row r="917" spans="1:2" x14ac:dyDescent="0.25">
      <c r="A917" s="8">
        <v>37804</v>
      </c>
      <c r="B917" s="9">
        <v>19.03</v>
      </c>
    </row>
    <row r="918" spans="1:2" x14ac:dyDescent="0.25">
      <c r="A918" s="8">
        <v>37805</v>
      </c>
      <c r="B918" s="9">
        <v>19.39</v>
      </c>
    </row>
    <row r="919" spans="1:2" x14ac:dyDescent="0.25">
      <c r="A919" s="8">
        <v>37806</v>
      </c>
    </row>
    <row r="920" spans="1:2" x14ac:dyDescent="0.25">
      <c r="A920" s="8">
        <v>37809</v>
      </c>
      <c r="B920" s="9">
        <v>20.059999999999999</v>
      </c>
    </row>
    <row r="921" spans="1:2" x14ac:dyDescent="0.25">
      <c r="A921" s="8">
        <v>37810</v>
      </c>
      <c r="B921" s="9">
        <v>19.48</v>
      </c>
    </row>
    <row r="922" spans="1:2" x14ac:dyDescent="0.25">
      <c r="A922" s="8">
        <v>37811</v>
      </c>
      <c r="B922" s="9">
        <v>18.93</v>
      </c>
    </row>
    <row r="923" spans="1:2" x14ac:dyDescent="0.25">
      <c r="A923" s="8">
        <v>37812</v>
      </c>
      <c r="B923" s="9">
        <v>19.190000000000001</v>
      </c>
    </row>
    <row r="924" spans="1:2" x14ac:dyDescent="0.25">
      <c r="A924" s="8">
        <v>37813</v>
      </c>
      <c r="B924" s="9">
        <v>18.47</v>
      </c>
    </row>
    <row r="925" spans="1:2" x14ac:dyDescent="0.25">
      <c r="A925" s="8">
        <v>37816</v>
      </c>
      <c r="B925" s="9">
        <v>19.59</v>
      </c>
    </row>
    <row r="926" spans="1:2" x14ac:dyDescent="0.25">
      <c r="A926" s="8">
        <v>37817</v>
      </c>
      <c r="B926" s="9">
        <v>19.55</v>
      </c>
    </row>
    <row r="927" spans="1:2" x14ac:dyDescent="0.25">
      <c r="A927" s="8">
        <v>37818</v>
      </c>
      <c r="B927" s="9">
        <v>19.760000000000002</v>
      </c>
    </row>
    <row r="928" spans="1:2" x14ac:dyDescent="0.25">
      <c r="A928" s="8">
        <v>37819</v>
      </c>
      <c r="B928" s="9">
        <v>20.22</v>
      </c>
    </row>
    <row r="929" spans="1:2" x14ac:dyDescent="0.25">
      <c r="A929" s="8">
        <v>37820</v>
      </c>
      <c r="B929" s="9">
        <v>19.11</v>
      </c>
    </row>
    <row r="930" spans="1:2" x14ac:dyDescent="0.25">
      <c r="A930" s="8">
        <v>37823</v>
      </c>
      <c r="B930" s="9">
        <v>19.78</v>
      </c>
    </row>
    <row r="931" spans="1:2" x14ac:dyDescent="0.25">
      <c r="A931" s="8">
        <v>37824</v>
      </c>
      <c r="B931" s="9">
        <v>19.170000000000002</v>
      </c>
    </row>
    <row r="932" spans="1:2" x14ac:dyDescent="0.25">
      <c r="A932" s="8">
        <v>37825</v>
      </c>
      <c r="B932" s="9">
        <v>18.64</v>
      </c>
    </row>
    <row r="933" spans="1:2" x14ac:dyDescent="0.25">
      <c r="A933" s="8">
        <v>37826</v>
      </c>
      <c r="B933" s="9">
        <v>18.600000000000001</v>
      </c>
    </row>
    <row r="934" spans="1:2" x14ac:dyDescent="0.25">
      <c r="A934" s="8">
        <v>37827</v>
      </c>
      <c r="B934" s="9">
        <v>17.75</v>
      </c>
    </row>
    <row r="935" spans="1:2" x14ac:dyDescent="0.25">
      <c r="A935" s="8">
        <v>37830</v>
      </c>
      <c r="B935" s="9">
        <v>18.36</v>
      </c>
    </row>
    <row r="936" spans="1:2" x14ac:dyDescent="0.25">
      <c r="A936" s="8">
        <v>37831</v>
      </c>
      <c r="B936" s="9">
        <v>18.670000000000002</v>
      </c>
    </row>
    <row r="937" spans="1:2" x14ac:dyDescent="0.25">
      <c r="A937" s="8">
        <v>37832</v>
      </c>
      <c r="B937" s="9">
        <v>18.850000000000001</v>
      </c>
    </row>
    <row r="938" spans="1:2" x14ac:dyDescent="0.25">
      <c r="A938" s="8">
        <v>37833</v>
      </c>
      <c r="B938" s="9">
        <v>19.489999999999998</v>
      </c>
    </row>
    <row r="939" spans="1:2" x14ac:dyDescent="0.25">
      <c r="A939" s="8">
        <v>37834</v>
      </c>
      <c r="B939" s="9">
        <v>20.75</v>
      </c>
    </row>
    <row r="940" spans="1:2" x14ac:dyDescent="0.25">
      <c r="A940" s="8">
        <v>37837</v>
      </c>
      <c r="B940" s="9">
        <v>21.27</v>
      </c>
    </row>
    <row r="941" spans="1:2" x14ac:dyDescent="0.25">
      <c r="A941" s="8">
        <v>37838</v>
      </c>
      <c r="B941" s="9">
        <v>22.68</v>
      </c>
    </row>
    <row r="942" spans="1:2" x14ac:dyDescent="0.25">
      <c r="A942" s="8">
        <v>37839</v>
      </c>
      <c r="B942" s="9">
        <v>21.5</v>
      </c>
    </row>
    <row r="943" spans="1:2" x14ac:dyDescent="0.25">
      <c r="A943" s="8">
        <v>37840</v>
      </c>
      <c r="B943" s="9">
        <v>20.260000000000002</v>
      </c>
    </row>
    <row r="944" spans="1:2" x14ac:dyDescent="0.25">
      <c r="A944" s="8">
        <v>37841</v>
      </c>
      <c r="B944" s="9">
        <v>19.59</v>
      </c>
    </row>
    <row r="945" spans="1:2" x14ac:dyDescent="0.25">
      <c r="A945" s="8">
        <v>37844</v>
      </c>
      <c r="B945" s="9">
        <v>19.75</v>
      </c>
    </row>
    <row r="946" spans="1:2" x14ac:dyDescent="0.25">
      <c r="A946" s="8">
        <v>37845</v>
      </c>
      <c r="B946" s="9">
        <v>17.940000000000001</v>
      </c>
    </row>
    <row r="947" spans="1:2" x14ac:dyDescent="0.25">
      <c r="A947" s="8">
        <v>37846</v>
      </c>
      <c r="B947" s="9">
        <v>18.77</v>
      </c>
    </row>
    <row r="948" spans="1:2" x14ac:dyDescent="0.25">
      <c r="A948" s="8">
        <v>37847</v>
      </c>
      <c r="B948" s="9">
        <v>18.47</v>
      </c>
    </row>
    <row r="949" spans="1:2" x14ac:dyDescent="0.25">
      <c r="A949" s="8">
        <v>37848</v>
      </c>
      <c r="B949" s="9">
        <v>18.27</v>
      </c>
    </row>
    <row r="950" spans="1:2" x14ac:dyDescent="0.25">
      <c r="A950" s="8">
        <v>37851</v>
      </c>
      <c r="B950" s="9">
        <v>18.18</v>
      </c>
    </row>
    <row r="951" spans="1:2" x14ac:dyDescent="0.25">
      <c r="A951" s="8">
        <v>37852</v>
      </c>
      <c r="B951" s="9">
        <v>17.86</v>
      </c>
    </row>
    <row r="952" spans="1:2" x14ac:dyDescent="0.25">
      <c r="A952" s="8">
        <v>37853</v>
      </c>
      <c r="B952" s="9">
        <v>17.82</v>
      </c>
    </row>
    <row r="953" spans="1:2" x14ac:dyDescent="0.25">
      <c r="A953" s="8">
        <v>37854</v>
      </c>
      <c r="B953" s="9">
        <v>17.84</v>
      </c>
    </row>
    <row r="954" spans="1:2" x14ac:dyDescent="0.25">
      <c r="A954" s="8">
        <v>37855</v>
      </c>
      <c r="B954" s="9">
        <v>18.55</v>
      </c>
    </row>
    <row r="955" spans="1:2" x14ac:dyDescent="0.25">
      <c r="A955" s="8">
        <v>37858</v>
      </c>
      <c r="B955" s="9">
        <v>19.53</v>
      </c>
    </row>
    <row r="956" spans="1:2" x14ac:dyDescent="0.25">
      <c r="A956" s="8">
        <v>37859</v>
      </c>
      <c r="B956" s="9">
        <v>19.489999999999998</v>
      </c>
    </row>
    <row r="957" spans="1:2" x14ac:dyDescent="0.25">
      <c r="A957" s="8">
        <v>37860</v>
      </c>
      <c r="B957" s="9">
        <v>19.13</v>
      </c>
    </row>
    <row r="958" spans="1:2" x14ac:dyDescent="0.25">
      <c r="A958" s="8">
        <v>37861</v>
      </c>
      <c r="B958" s="9">
        <v>18.48</v>
      </c>
    </row>
    <row r="959" spans="1:2" x14ac:dyDescent="0.25">
      <c r="A959" s="8">
        <v>37862</v>
      </c>
      <c r="B959" s="9">
        <v>18.63</v>
      </c>
    </row>
    <row r="960" spans="1:2" x14ac:dyDescent="0.25">
      <c r="A960" s="8">
        <v>37865</v>
      </c>
    </row>
    <row r="961" spans="1:2" x14ac:dyDescent="0.25">
      <c r="A961" s="8">
        <v>37866</v>
      </c>
      <c r="B961" s="9">
        <v>19.02</v>
      </c>
    </row>
    <row r="962" spans="1:2" x14ac:dyDescent="0.25">
      <c r="A962" s="8">
        <v>37867</v>
      </c>
      <c r="B962" s="9">
        <v>19.440000000000001</v>
      </c>
    </row>
    <row r="963" spans="1:2" x14ac:dyDescent="0.25">
      <c r="A963" s="8">
        <v>37868</v>
      </c>
      <c r="B963" s="9">
        <v>18.71</v>
      </c>
    </row>
    <row r="964" spans="1:2" x14ac:dyDescent="0.25">
      <c r="A964" s="8">
        <v>37869</v>
      </c>
      <c r="B964" s="9">
        <v>18.170000000000002</v>
      </c>
    </row>
    <row r="965" spans="1:2" x14ac:dyDescent="0.25">
      <c r="A965" s="8">
        <v>37872</v>
      </c>
      <c r="B965" s="9">
        <v>18.260000000000002</v>
      </c>
    </row>
    <row r="966" spans="1:2" x14ac:dyDescent="0.25">
      <c r="A966" s="8">
        <v>37873</v>
      </c>
      <c r="B966" s="9">
        <v>18.850000000000001</v>
      </c>
    </row>
    <row r="967" spans="1:2" x14ac:dyDescent="0.25">
      <c r="A967" s="8">
        <v>37874</v>
      </c>
      <c r="B967" s="9">
        <v>20.010000000000002</v>
      </c>
    </row>
    <row r="968" spans="1:2" x14ac:dyDescent="0.25">
      <c r="A968" s="8">
        <v>37875</v>
      </c>
      <c r="B968" s="9">
        <v>19.25</v>
      </c>
    </row>
    <row r="969" spans="1:2" x14ac:dyDescent="0.25">
      <c r="A969" s="8">
        <v>37876</v>
      </c>
      <c r="B969" s="9">
        <v>18.68</v>
      </c>
    </row>
    <row r="970" spans="1:2" x14ac:dyDescent="0.25">
      <c r="A970" s="8">
        <v>37879</v>
      </c>
      <c r="B970" s="9">
        <v>19.28</v>
      </c>
    </row>
    <row r="971" spans="1:2" x14ac:dyDescent="0.25">
      <c r="A971" s="8">
        <v>37880</v>
      </c>
      <c r="B971" s="9">
        <v>18.03</v>
      </c>
    </row>
    <row r="972" spans="1:2" x14ac:dyDescent="0.25">
      <c r="A972" s="8">
        <v>37881</v>
      </c>
      <c r="B972" s="9">
        <v>18.149999999999999</v>
      </c>
    </row>
    <row r="973" spans="1:2" x14ac:dyDescent="0.25">
      <c r="A973" s="8">
        <v>37882</v>
      </c>
      <c r="B973" s="9">
        <v>17.57</v>
      </c>
    </row>
    <row r="974" spans="1:2" x14ac:dyDescent="0.25">
      <c r="A974" s="8">
        <v>37883</v>
      </c>
      <c r="B974" s="9">
        <v>17.54</v>
      </c>
    </row>
    <row r="975" spans="1:2" x14ac:dyDescent="0.25">
      <c r="A975" s="8">
        <v>37886</v>
      </c>
      <c r="B975" s="9">
        <v>19.649999999999999</v>
      </c>
    </row>
    <row r="976" spans="1:2" x14ac:dyDescent="0.25">
      <c r="A976" s="8">
        <v>37887</v>
      </c>
      <c r="B976" s="9">
        <v>19.47</v>
      </c>
    </row>
    <row r="977" spans="1:2" x14ac:dyDescent="0.25">
      <c r="A977" s="8">
        <v>37888</v>
      </c>
      <c r="B977" s="9">
        <v>21.22</v>
      </c>
    </row>
    <row r="978" spans="1:2" x14ac:dyDescent="0.25">
      <c r="A978" s="8">
        <v>37889</v>
      </c>
      <c r="B978" s="9">
        <v>22.26</v>
      </c>
    </row>
    <row r="979" spans="1:2" x14ac:dyDescent="0.25">
      <c r="A979" s="8">
        <v>37890</v>
      </c>
      <c r="B979" s="9">
        <v>22.23</v>
      </c>
    </row>
    <row r="980" spans="1:2" x14ac:dyDescent="0.25">
      <c r="A980" s="8">
        <v>37893</v>
      </c>
      <c r="B980" s="9">
        <v>21.67</v>
      </c>
    </row>
    <row r="981" spans="1:2" x14ac:dyDescent="0.25">
      <c r="A981" s="8">
        <v>37894</v>
      </c>
      <c r="B981" s="9">
        <v>22.72</v>
      </c>
    </row>
    <row r="982" spans="1:2" x14ac:dyDescent="0.25">
      <c r="A982" s="8">
        <v>37895</v>
      </c>
      <c r="B982" s="9">
        <v>21.07</v>
      </c>
    </row>
    <row r="983" spans="1:2" x14ac:dyDescent="0.25">
      <c r="A983" s="8">
        <v>37896</v>
      </c>
      <c r="B983" s="9">
        <v>20.8</v>
      </c>
    </row>
    <row r="984" spans="1:2" x14ac:dyDescent="0.25">
      <c r="A984" s="8">
        <v>37897</v>
      </c>
      <c r="B984" s="9">
        <v>19.5</v>
      </c>
    </row>
    <row r="985" spans="1:2" x14ac:dyDescent="0.25">
      <c r="A985" s="8">
        <v>37900</v>
      </c>
      <c r="B985" s="9">
        <v>19.510000000000002</v>
      </c>
    </row>
    <row r="986" spans="1:2" x14ac:dyDescent="0.25">
      <c r="A986" s="8">
        <v>37901</v>
      </c>
      <c r="B986" s="9">
        <v>19.41</v>
      </c>
    </row>
    <row r="987" spans="1:2" x14ac:dyDescent="0.25">
      <c r="A987" s="8">
        <v>37902</v>
      </c>
      <c r="B987" s="9">
        <v>19.18</v>
      </c>
    </row>
    <row r="988" spans="1:2" x14ac:dyDescent="0.25">
      <c r="A988" s="8">
        <v>37903</v>
      </c>
      <c r="B988" s="9">
        <v>18.82</v>
      </c>
    </row>
    <row r="989" spans="1:2" x14ac:dyDescent="0.25">
      <c r="A989" s="8">
        <v>37904</v>
      </c>
      <c r="B989" s="9">
        <v>18.45</v>
      </c>
    </row>
    <row r="990" spans="1:2" x14ac:dyDescent="0.25">
      <c r="A990" s="8">
        <v>37907</v>
      </c>
      <c r="B990" s="9">
        <v>17.55</v>
      </c>
    </row>
    <row r="991" spans="1:2" x14ac:dyDescent="0.25">
      <c r="A991" s="8">
        <v>37908</v>
      </c>
      <c r="B991" s="9">
        <v>17.37</v>
      </c>
    </row>
    <row r="992" spans="1:2" x14ac:dyDescent="0.25">
      <c r="A992" s="8">
        <v>37909</v>
      </c>
      <c r="B992" s="9">
        <v>17.690000000000001</v>
      </c>
    </row>
    <row r="993" spans="1:2" x14ac:dyDescent="0.25">
      <c r="A993" s="8">
        <v>37910</v>
      </c>
      <c r="B993" s="9">
        <v>17.190000000000001</v>
      </c>
    </row>
    <row r="994" spans="1:2" x14ac:dyDescent="0.25">
      <c r="A994" s="8">
        <v>37911</v>
      </c>
      <c r="B994" s="9">
        <v>17.62</v>
      </c>
    </row>
    <row r="995" spans="1:2" x14ac:dyDescent="0.25">
      <c r="A995" s="8">
        <v>37914</v>
      </c>
      <c r="B995" s="9">
        <v>17.04</v>
      </c>
    </row>
    <row r="996" spans="1:2" x14ac:dyDescent="0.25">
      <c r="A996" s="8">
        <v>37915</v>
      </c>
      <c r="B996" s="9">
        <v>16.55</v>
      </c>
    </row>
    <row r="997" spans="1:2" x14ac:dyDescent="0.25">
      <c r="A997" s="8">
        <v>37916</v>
      </c>
      <c r="B997" s="9">
        <v>17.670000000000002</v>
      </c>
    </row>
    <row r="998" spans="1:2" x14ac:dyDescent="0.25">
      <c r="A998" s="8">
        <v>37917</v>
      </c>
      <c r="B998" s="9">
        <v>17.68</v>
      </c>
    </row>
    <row r="999" spans="1:2" x14ac:dyDescent="0.25">
      <c r="A999" s="8">
        <v>37918</v>
      </c>
      <c r="B999" s="9">
        <v>17.71</v>
      </c>
    </row>
    <row r="1000" spans="1:2" x14ac:dyDescent="0.25">
      <c r="A1000" s="8">
        <v>37921</v>
      </c>
      <c r="B1000" s="9">
        <v>18.05</v>
      </c>
    </row>
    <row r="1001" spans="1:2" x14ac:dyDescent="0.25">
      <c r="A1001" s="8">
        <v>37922</v>
      </c>
      <c r="B1001" s="9">
        <v>16.82</v>
      </c>
    </row>
    <row r="1002" spans="1:2" x14ac:dyDescent="0.25">
      <c r="A1002" s="8">
        <v>37923</v>
      </c>
      <c r="B1002" s="9">
        <v>16.43</v>
      </c>
    </row>
    <row r="1003" spans="1:2" x14ac:dyDescent="0.25">
      <c r="A1003" s="8">
        <v>37924</v>
      </c>
      <c r="B1003" s="9">
        <v>16.329999999999998</v>
      </c>
    </row>
    <row r="1004" spans="1:2" x14ac:dyDescent="0.25">
      <c r="A1004" s="8">
        <v>37925</v>
      </c>
      <c r="B1004" s="9">
        <v>16.100000000000001</v>
      </c>
    </row>
    <row r="1005" spans="1:2" x14ac:dyDescent="0.25">
      <c r="A1005" s="8">
        <v>37928</v>
      </c>
      <c r="B1005" s="9">
        <v>16.55</v>
      </c>
    </row>
    <row r="1006" spans="1:2" x14ac:dyDescent="0.25">
      <c r="A1006" s="8">
        <v>37929</v>
      </c>
      <c r="B1006" s="9">
        <v>16.55</v>
      </c>
    </row>
    <row r="1007" spans="1:2" x14ac:dyDescent="0.25">
      <c r="A1007" s="8">
        <v>37930</v>
      </c>
      <c r="B1007" s="9">
        <v>16.86</v>
      </c>
    </row>
    <row r="1008" spans="1:2" x14ac:dyDescent="0.25">
      <c r="A1008" s="8">
        <v>37931</v>
      </c>
      <c r="B1008" s="9">
        <v>16.739999999999998</v>
      </c>
    </row>
    <row r="1009" spans="1:2" x14ac:dyDescent="0.25">
      <c r="A1009" s="8">
        <v>37932</v>
      </c>
      <c r="B1009" s="9">
        <v>16.93</v>
      </c>
    </row>
    <row r="1010" spans="1:2" x14ac:dyDescent="0.25">
      <c r="A1010" s="8">
        <v>37935</v>
      </c>
      <c r="B1010" s="9">
        <v>17.62</v>
      </c>
    </row>
    <row r="1011" spans="1:2" x14ac:dyDescent="0.25">
      <c r="A1011" s="8">
        <v>37936</v>
      </c>
      <c r="B1011" s="9">
        <v>17.54</v>
      </c>
    </row>
    <row r="1012" spans="1:2" x14ac:dyDescent="0.25">
      <c r="A1012" s="8">
        <v>37937</v>
      </c>
      <c r="B1012" s="9">
        <v>16.75</v>
      </c>
    </row>
    <row r="1013" spans="1:2" x14ac:dyDescent="0.25">
      <c r="A1013" s="8">
        <v>37938</v>
      </c>
      <c r="B1013" s="9">
        <v>16.47</v>
      </c>
    </row>
    <row r="1014" spans="1:2" x14ac:dyDescent="0.25">
      <c r="A1014" s="8">
        <v>37939</v>
      </c>
      <c r="B1014" s="9">
        <v>16.940000000000001</v>
      </c>
    </row>
    <row r="1015" spans="1:2" x14ac:dyDescent="0.25">
      <c r="A1015" s="8">
        <v>37942</v>
      </c>
      <c r="B1015" s="9">
        <v>18.600000000000001</v>
      </c>
    </row>
    <row r="1016" spans="1:2" x14ac:dyDescent="0.25">
      <c r="A1016" s="8">
        <v>37943</v>
      </c>
      <c r="B1016" s="9">
        <v>19.11</v>
      </c>
    </row>
    <row r="1017" spans="1:2" x14ac:dyDescent="0.25">
      <c r="A1017" s="8">
        <v>37944</v>
      </c>
      <c r="B1017" s="9">
        <v>18.8</v>
      </c>
    </row>
    <row r="1018" spans="1:2" x14ac:dyDescent="0.25">
      <c r="A1018" s="8">
        <v>37945</v>
      </c>
      <c r="B1018" s="9">
        <v>19.48</v>
      </c>
    </row>
    <row r="1019" spans="1:2" x14ac:dyDescent="0.25">
      <c r="A1019" s="8">
        <v>37946</v>
      </c>
      <c r="B1019" s="9">
        <v>18.98</v>
      </c>
    </row>
    <row r="1020" spans="1:2" x14ac:dyDescent="0.25">
      <c r="A1020" s="8">
        <v>37949</v>
      </c>
      <c r="B1020" s="9">
        <v>17.440000000000001</v>
      </c>
    </row>
    <row r="1021" spans="1:2" x14ac:dyDescent="0.25">
      <c r="A1021" s="8">
        <v>37950</v>
      </c>
      <c r="B1021" s="9">
        <v>16.71</v>
      </c>
    </row>
    <row r="1022" spans="1:2" x14ac:dyDescent="0.25">
      <c r="A1022" s="8">
        <v>37951</v>
      </c>
      <c r="B1022" s="9">
        <v>16.23</v>
      </c>
    </row>
    <row r="1023" spans="1:2" x14ac:dyDescent="0.25">
      <c r="A1023" s="8">
        <v>37952</v>
      </c>
    </row>
    <row r="1024" spans="1:2" x14ac:dyDescent="0.25">
      <c r="A1024" s="8">
        <v>37953</v>
      </c>
      <c r="B1024" s="9">
        <v>16.32</v>
      </c>
    </row>
    <row r="1025" spans="1:2" x14ac:dyDescent="0.25">
      <c r="A1025" s="8">
        <v>37956</v>
      </c>
      <c r="B1025" s="9">
        <v>16.77</v>
      </c>
    </row>
    <row r="1026" spans="1:2" x14ac:dyDescent="0.25">
      <c r="A1026" s="8">
        <v>37957</v>
      </c>
      <c r="B1026" s="9">
        <v>16.27</v>
      </c>
    </row>
    <row r="1027" spans="1:2" x14ac:dyDescent="0.25">
      <c r="A1027" s="8">
        <v>37958</v>
      </c>
      <c r="B1027" s="9">
        <v>16.63</v>
      </c>
    </row>
    <row r="1028" spans="1:2" x14ac:dyDescent="0.25">
      <c r="A1028" s="8">
        <v>37959</v>
      </c>
      <c r="B1028" s="9">
        <v>16.3</v>
      </c>
    </row>
    <row r="1029" spans="1:2" x14ac:dyDescent="0.25">
      <c r="A1029" s="8">
        <v>37960</v>
      </c>
      <c r="B1029" s="9">
        <v>17.09</v>
      </c>
    </row>
    <row r="1030" spans="1:2" x14ac:dyDescent="0.25">
      <c r="A1030" s="8">
        <v>37963</v>
      </c>
      <c r="B1030" s="9">
        <v>16.54</v>
      </c>
    </row>
    <row r="1031" spans="1:2" x14ac:dyDescent="0.25">
      <c r="A1031" s="8">
        <v>37964</v>
      </c>
      <c r="B1031" s="9">
        <v>17.63</v>
      </c>
    </row>
    <row r="1032" spans="1:2" x14ac:dyDescent="0.25">
      <c r="A1032" s="8">
        <v>37965</v>
      </c>
      <c r="B1032" s="9">
        <v>17.87</v>
      </c>
    </row>
    <row r="1033" spans="1:2" x14ac:dyDescent="0.25">
      <c r="A1033" s="8">
        <v>37966</v>
      </c>
      <c r="B1033" s="9">
        <v>16.73</v>
      </c>
    </row>
    <row r="1034" spans="1:2" x14ac:dyDescent="0.25">
      <c r="A1034" s="8">
        <v>37967</v>
      </c>
      <c r="B1034" s="9">
        <v>16.41</v>
      </c>
    </row>
    <row r="1035" spans="1:2" x14ac:dyDescent="0.25">
      <c r="A1035" s="8">
        <v>37970</v>
      </c>
      <c r="B1035" s="9">
        <v>17.23</v>
      </c>
    </row>
    <row r="1036" spans="1:2" x14ac:dyDescent="0.25">
      <c r="A1036" s="8">
        <v>37971</v>
      </c>
      <c r="B1036" s="9">
        <v>15.93</v>
      </c>
    </row>
    <row r="1037" spans="1:2" x14ac:dyDescent="0.25">
      <c r="A1037" s="8">
        <v>37972</v>
      </c>
      <c r="B1037" s="9">
        <v>15.58</v>
      </c>
    </row>
    <row r="1038" spans="1:2" x14ac:dyDescent="0.25">
      <c r="A1038" s="8">
        <v>37973</v>
      </c>
      <c r="B1038" s="9">
        <v>16.16</v>
      </c>
    </row>
    <row r="1039" spans="1:2" x14ac:dyDescent="0.25">
      <c r="A1039" s="8">
        <v>37974</v>
      </c>
      <c r="B1039" s="9">
        <v>16.420000000000002</v>
      </c>
    </row>
    <row r="1040" spans="1:2" x14ac:dyDescent="0.25">
      <c r="A1040" s="8">
        <v>37977</v>
      </c>
      <c r="B1040" s="9">
        <v>16.940000000000001</v>
      </c>
    </row>
    <row r="1041" spans="1:2" x14ac:dyDescent="0.25">
      <c r="A1041" s="8">
        <v>37978</v>
      </c>
      <c r="B1041" s="9">
        <v>16.489999999999998</v>
      </c>
    </row>
    <row r="1042" spans="1:2" x14ac:dyDescent="0.25">
      <c r="A1042" s="8">
        <v>37979</v>
      </c>
      <c r="B1042" s="9">
        <v>16.66</v>
      </c>
    </row>
    <row r="1043" spans="1:2" x14ac:dyDescent="0.25">
      <c r="A1043" s="8">
        <v>37980</v>
      </c>
    </row>
    <row r="1044" spans="1:2" x14ac:dyDescent="0.25">
      <c r="A1044" s="8">
        <v>37981</v>
      </c>
      <c r="B1044" s="9">
        <v>17.45</v>
      </c>
    </row>
    <row r="1045" spans="1:2" x14ac:dyDescent="0.25">
      <c r="A1045" s="8">
        <v>37984</v>
      </c>
      <c r="B1045" s="9">
        <v>17.09</v>
      </c>
    </row>
    <row r="1046" spans="1:2" x14ac:dyDescent="0.25">
      <c r="A1046" s="8">
        <v>37985</v>
      </c>
      <c r="B1046" s="9">
        <v>17.68</v>
      </c>
    </row>
    <row r="1047" spans="1:2" x14ac:dyDescent="0.25">
      <c r="A1047" s="8">
        <v>37986</v>
      </c>
      <c r="B1047" s="9">
        <v>18.309999999999999</v>
      </c>
    </row>
    <row r="1048" spans="1:2" x14ac:dyDescent="0.25">
      <c r="A1048" s="8">
        <v>37987</v>
      </c>
    </row>
    <row r="1049" spans="1:2" x14ac:dyDescent="0.25">
      <c r="A1049" s="8">
        <v>37988</v>
      </c>
      <c r="B1049" s="9">
        <v>18.22</v>
      </c>
    </row>
    <row r="1050" spans="1:2" x14ac:dyDescent="0.25">
      <c r="A1050" s="8">
        <v>37991</v>
      </c>
      <c r="B1050" s="9">
        <v>17.489999999999998</v>
      </c>
    </row>
    <row r="1051" spans="1:2" x14ac:dyDescent="0.25">
      <c r="A1051" s="8">
        <v>37992</v>
      </c>
      <c r="B1051" s="9">
        <v>16.73</v>
      </c>
    </row>
    <row r="1052" spans="1:2" x14ac:dyDescent="0.25">
      <c r="A1052" s="8">
        <v>37993</v>
      </c>
      <c r="B1052" s="9">
        <v>15.5</v>
      </c>
    </row>
    <row r="1053" spans="1:2" x14ac:dyDescent="0.25">
      <c r="A1053" s="8">
        <v>37994</v>
      </c>
      <c r="B1053" s="9">
        <v>15.61</v>
      </c>
    </row>
    <row r="1054" spans="1:2" x14ac:dyDescent="0.25">
      <c r="A1054" s="8">
        <v>37995</v>
      </c>
      <c r="B1054" s="9">
        <v>16.75</v>
      </c>
    </row>
    <row r="1055" spans="1:2" x14ac:dyDescent="0.25">
      <c r="A1055" s="8">
        <v>37998</v>
      </c>
      <c r="B1055" s="9">
        <v>16.82</v>
      </c>
    </row>
    <row r="1056" spans="1:2" x14ac:dyDescent="0.25">
      <c r="A1056" s="8">
        <v>37999</v>
      </c>
      <c r="B1056" s="9">
        <v>18.04</v>
      </c>
    </row>
    <row r="1057" spans="1:2" x14ac:dyDescent="0.25">
      <c r="A1057" s="8">
        <v>38000</v>
      </c>
      <c r="B1057" s="9">
        <v>16.75</v>
      </c>
    </row>
    <row r="1058" spans="1:2" x14ac:dyDescent="0.25">
      <c r="A1058" s="8">
        <v>38001</v>
      </c>
      <c r="B1058" s="9">
        <v>15.56</v>
      </c>
    </row>
    <row r="1059" spans="1:2" x14ac:dyDescent="0.25">
      <c r="A1059" s="8">
        <v>38002</v>
      </c>
      <c r="B1059" s="9">
        <v>15</v>
      </c>
    </row>
    <row r="1060" spans="1:2" x14ac:dyDescent="0.25">
      <c r="A1060" s="8">
        <v>38005</v>
      </c>
    </row>
    <row r="1061" spans="1:2" x14ac:dyDescent="0.25">
      <c r="A1061" s="8">
        <v>38006</v>
      </c>
      <c r="B1061" s="9">
        <v>15.21</v>
      </c>
    </row>
    <row r="1062" spans="1:2" x14ac:dyDescent="0.25">
      <c r="A1062" s="8">
        <v>38007</v>
      </c>
      <c r="B1062" s="9">
        <v>14.34</v>
      </c>
    </row>
    <row r="1063" spans="1:2" x14ac:dyDescent="0.25">
      <c r="A1063" s="8">
        <v>38008</v>
      </c>
      <c r="B1063" s="9">
        <v>14.71</v>
      </c>
    </row>
    <row r="1064" spans="1:2" x14ac:dyDescent="0.25">
      <c r="A1064" s="8">
        <v>38009</v>
      </c>
      <c r="B1064" s="9">
        <v>14.84</v>
      </c>
    </row>
    <row r="1065" spans="1:2" x14ac:dyDescent="0.25">
      <c r="A1065" s="8">
        <v>38012</v>
      </c>
      <c r="B1065" s="9">
        <v>14.55</v>
      </c>
    </row>
    <row r="1066" spans="1:2" x14ac:dyDescent="0.25">
      <c r="A1066" s="8">
        <v>38013</v>
      </c>
      <c r="B1066" s="9">
        <v>15.35</v>
      </c>
    </row>
    <row r="1067" spans="1:2" x14ac:dyDescent="0.25">
      <c r="A1067" s="8">
        <v>38014</v>
      </c>
      <c r="B1067" s="9">
        <v>16.78</v>
      </c>
    </row>
    <row r="1068" spans="1:2" x14ac:dyDescent="0.25">
      <c r="A1068" s="8">
        <v>38015</v>
      </c>
      <c r="B1068" s="9">
        <v>17.14</v>
      </c>
    </row>
    <row r="1069" spans="1:2" x14ac:dyDescent="0.25">
      <c r="A1069" s="8">
        <v>38016</v>
      </c>
      <c r="B1069" s="9">
        <v>16.63</v>
      </c>
    </row>
    <row r="1070" spans="1:2" x14ac:dyDescent="0.25">
      <c r="A1070" s="8">
        <v>38019</v>
      </c>
      <c r="B1070" s="9">
        <v>17.11</v>
      </c>
    </row>
    <row r="1071" spans="1:2" x14ac:dyDescent="0.25">
      <c r="A1071" s="8">
        <v>38020</v>
      </c>
      <c r="B1071" s="9">
        <v>17.34</v>
      </c>
    </row>
    <row r="1072" spans="1:2" x14ac:dyDescent="0.25">
      <c r="A1072" s="8">
        <v>38021</v>
      </c>
      <c r="B1072" s="9">
        <v>17.87</v>
      </c>
    </row>
    <row r="1073" spans="1:2" x14ac:dyDescent="0.25">
      <c r="A1073" s="8">
        <v>38022</v>
      </c>
      <c r="B1073" s="9">
        <v>17.71</v>
      </c>
    </row>
    <row r="1074" spans="1:2" x14ac:dyDescent="0.25">
      <c r="A1074" s="8">
        <v>38023</v>
      </c>
      <c r="B1074" s="9">
        <v>16</v>
      </c>
    </row>
    <row r="1075" spans="1:2" x14ac:dyDescent="0.25">
      <c r="A1075" s="8">
        <v>38026</v>
      </c>
      <c r="B1075" s="9">
        <v>16.39</v>
      </c>
    </row>
    <row r="1076" spans="1:2" x14ac:dyDescent="0.25">
      <c r="A1076" s="8">
        <v>38027</v>
      </c>
      <c r="B1076" s="9">
        <v>15.94</v>
      </c>
    </row>
    <row r="1077" spans="1:2" x14ac:dyDescent="0.25">
      <c r="A1077" s="8">
        <v>38028</v>
      </c>
      <c r="B1077" s="9">
        <v>15.39</v>
      </c>
    </row>
    <row r="1078" spans="1:2" x14ac:dyDescent="0.25">
      <c r="A1078" s="8">
        <v>38029</v>
      </c>
      <c r="B1078" s="9">
        <v>15.31</v>
      </c>
    </row>
    <row r="1079" spans="1:2" x14ac:dyDescent="0.25">
      <c r="A1079" s="8">
        <v>38030</v>
      </c>
      <c r="B1079" s="9">
        <v>15.58</v>
      </c>
    </row>
    <row r="1080" spans="1:2" x14ac:dyDescent="0.25">
      <c r="A1080" s="8">
        <v>38033</v>
      </c>
    </row>
    <row r="1081" spans="1:2" x14ac:dyDescent="0.25">
      <c r="A1081" s="8">
        <v>38034</v>
      </c>
      <c r="B1081" s="9">
        <v>15.4</v>
      </c>
    </row>
    <row r="1082" spans="1:2" x14ac:dyDescent="0.25">
      <c r="A1082" s="8">
        <v>38035</v>
      </c>
      <c r="B1082" s="9">
        <v>15.59</v>
      </c>
    </row>
    <row r="1083" spans="1:2" x14ac:dyDescent="0.25">
      <c r="A1083" s="8">
        <v>38036</v>
      </c>
      <c r="B1083" s="9">
        <v>15.8</v>
      </c>
    </row>
    <row r="1084" spans="1:2" x14ac:dyDescent="0.25">
      <c r="A1084" s="8">
        <v>38037</v>
      </c>
      <c r="B1084" s="9">
        <v>16.04</v>
      </c>
    </row>
    <row r="1085" spans="1:2" x14ac:dyDescent="0.25">
      <c r="A1085" s="8">
        <v>38040</v>
      </c>
      <c r="B1085" s="9">
        <v>16.29</v>
      </c>
    </row>
    <row r="1086" spans="1:2" x14ac:dyDescent="0.25">
      <c r="A1086" s="8">
        <v>38041</v>
      </c>
      <c r="B1086" s="9">
        <v>15.9</v>
      </c>
    </row>
    <row r="1087" spans="1:2" x14ac:dyDescent="0.25">
      <c r="A1087" s="8">
        <v>38042</v>
      </c>
      <c r="B1087" s="9">
        <v>14.93</v>
      </c>
    </row>
    <row r="1088" spans="1:2" x14ac:dyDescent="0.25">
      <c r="A1088" s="8">
        <v>38043</v>
      </c>
      <c r="B1088" s="9">
        <v>14.83</v>
      </c>
    </row>
    <row r="1089" spans="1:2" x14ac:dyDescent="0.25">
      <c r="A1089" s="8">
        <v>38044</v>
      </c>
      <c r="B1089" s="9">
        <v>14.55</v>
      </c>
    </row>
    <row r="1090" spans="1:2" x14ac:dyDescent="0.25">
      <c r="A1090" s="8">
        <v>38047</v>
      </c>
      <c r="B1090" s="9">
        <v>14.44</v>
      </c>
    </row>
    <row r="1091" spans="1:2" x14ac:dyDescent="0.25">
      <c r="A1091" s="8">
        <v>38048</v>
      </c>
      <c r="B1091" s="9">
        <v>14.86</v>
      </c>
    </row>
    <row r="1092" spans="1:2" x14ac:dyDescent="0.25">
      <c r="A1092" s="8">
        <v>38049</v>
      </c>
      <c r="B1092" s="9">
        <v>14.55</v>
      </c>
    </row>
    <row r="1093" spans="1:2" x14ac:dyDescent="0.25">
      <c r="A1093" s="8">
        <v>38050</v>
      </c>
      <c r="B1093" s="9">
        <v>14.4</v>
      </c>
    </row>
    <row r="1094" spans="1:2" x14ac:dyDescent="0.25">
      <c r="A1094" s="8">
        <v>38051</v>
      </c>
      <c r="B1094" s="9">
        <v>14.48</v>
      </c>
    </row>
    <row r="1095" spans="1:2" x14ac:dyDescent="0.25">
      <c r="A1095" s="8">
        <v>38054</v>
      </c>
      <c r="B1095" s="9">
        <v>15.79</v>
      </c>
    </row>
    <row r="1096" spans="1:2" x14ac:dyDescent="0.25">
      <c r="A1096" s="8">
        <v>38055</v>
      </c>
      <c r="B1096" s="9">
        <v>16.600000000000001</v>
      </c>
    </row>
    <row r="1097" spans="1:2" x14ac:dyDescent="0.25">
      <c r="A1097" s="8">
        <v>38056</v>
      </c>
      <c r="B1097" s="9">
        <v>18.670000000000002</v>
      </c>
    </row>
    <row r="1098" spans="1:2" x14ac:dyDescent="0.25">
      <c r="A1098" s="8">
        <v>38057</v>
      </c>
      <c r="B1098" s="9">
        <v>20.67</v>
      </c>
    </row>
    <row r="1099" spans="1:2" x14ac:dyDescent="0.25">
      <c r="A1099" s="8">
        <v>38058</v>
      </c>
      <c r="B1099" s="9">
        <v>18.3</v>
      </c>
    </row>
    <row r="1100" spans="1:2" x14ac:dyDescent="0.25">
      <c r="A1100" s="8">
        <v>38061</v>
      </c>
      <c r="B1100" s="9">
        <v>21.13</v>
      </c>
    </row>
    <row r="1101" spans="1:2" x14ac:dyDescent="0.25">
      <c r="A1101" s="8">
        <v>38062</v>
      </c>
      <c r="B1101" s="9">
        <v>20.34</v>
      </c>
    </row>
    <row r="1102" spans="1:2" x14ac:dyDescent="0.25">
      <c r="A1102" s="8">
        <v>38063</v>
      </c>
      <c r="B1102" s="9">
        <v>18.11</v>
      </c>
    </row>
    <row r="1103" spans="1:2" x14ac:dyDescent="0.25">
      <c r="A1103" s="8">
        <v>38064</v>
      </c>
      <c r="B1103" s="9">
        <v>18.53</v>
      </c>
    </row>
    <row r="1104" spans="1:2" x14ac:dyDescent="0.25">
      <c r="A1104" s="8">
        <v>38065</v>
      </c>
      <c r="B1104" s="9">
        <v>19.149999999999999</v>
      </c>
    </row>
    <row r="1105" spans="1:2" x14ac:dyDescent="0.25">
      <c r="A1105" s="8">
        <v>38068</v>
      </c>
      <c r="B1105" s="9">
        <v>21.58</v>
      </c>
    </row>
    <row r="1106" spans="1:2" x14ac:dyDescent="0.25">
      <c r="A1106" s="8">
        <v>38069</v>
      </c>
      <c r="B1106" s="9">
        <v>20.67</v>
      </c>
    </row>
    <row r="1107" spans="1:2" x14ac:dyDescent="0.25">
      <c r="A1107" s="8">
        <v>38070</v>
      </c>
      <c r="B1107" s="9">
        <v>19.809999999999999</v>
      </c>
    </row>
    <row r="1108" spans="1:2" x14ac:dyDescent="0.25">
      <c r="A1108" s="8">
        <v>38071</v>
      </c>
      <c r="B1108" s="9">
        <v>17.88</v>
      </c>
    </row>
    <row r="1109" spans="1:2" x14ac:dyDescent="0.25">
      <c r="A1109" s="8">
        <v>38072</v>
      </c>
      <c r="B1109" s="9">
        <v>17.329999999999998</v>
      </c>
    </row>
    <row r="1110" spans="1:2" x14ac:dyDescent="0.25">
      <c r="A1110" s="8">
        <v>38075</v>
      </c>
      <c r="B1110" s="9">
        <v>16.5</v>
      </c>
    </row>
    <row r="1111" spans="1:2" x14ac:dyDescent="0.25">
      <c r="A1111" s="8">
        <v>38076</v>
      </c>
      <c r="B1111" s="9">
        <v>16.28</v>
      </c>
    </row>
    <row r="1112" spans="1:2" x14ac:dyDescent="0.25">
      <c r="A1112" s="8">
        <v>38077</v>
      </c>
      <c r="B1112" s="9">
        <v>16.739999999999998</v>
      </c>
    </row>
    <row r="1113" spans="1:2" x14ac:dyDescent="0.25">
      <c r="A1113" s="8">
        <v>38078</v>
      </c>
      <c r="B1113" s="9">
        <v>16.649999999999999</v>
      </c>
    </row>
    <row r="1114" spans="1:2" x14ac:dyDescent="0.25">
      <c r="A1114" s="8">
        <v>38079</v>
      </c>
      <c r="B1114" s="9">
        <v>15.64</v>
      </c>
    </row>
    <row r="1115" spans="1:2" x14ac:dyDescent="0.25">
      <c r="A1115" s="8">
        <v>38082</v>
      </c>
      <c r="B1115" s="9">
        <v>14.97</v>
      </c>
    </row>
    <row r="1116" spans="1:2" x14ac:dyDescent="0.25">
      <c r="A1116" s="8">
        <v>38083</v>
      </c>
      <c r="B1116" s="9">
        <v>15.32</v>
      </c>
    </row>
    <row r="1117" spans="1:2" x14ac:dyDescent="0.25">
      <c r="A1117" s="8">
        <v>38084</v>
      </c>
      <c r="B1117" s="9">
        <v>15.76</v>
      </c>
    </row>
    <row r="1118" spans="1:2" x14ac:dyDescent="0.25">
      <c r="A1118" s="8">
        <v>38085</v>
      </c>
      <c r="B1118" s="9">
        <v>16.260000000000002</v>
      </c>
    </row>
    <row r="1119" spans="1:2" x14ac:dyDescent="0.25">
      <c r="A1119" s="8">
        <v>38086</v>
      </c>
    </row>
    <row r="1120" spans="1:2" x14ac:dyDescent="0.25">
      <c r="A1120" s="8">
        <v>38089</v>
      </c>
      <c r="B1120" s="9">
        <v>15.28</v>
      </c>
    </row>
    <row r="1121" spans="1:2" x14ac:dyDescent="0.25">
      <c r="A1121" s="8">
        <v>38090</v>
      </c>
      <c r="B1121" s="9">
        <v>17.260000000000002</v>
      </c>
    </row>
    <row r="1122" spans="1:2" x14ac:dyDescent="0.25">
      <c r="A1122" s="8">
        <v>38091</v>
      </c>
      <c r="B1122" s="9">
        <v>15.62</v>
      </c>
    </row>
    <row r="1123" spans="1:2" x14ac:dyDescent="0.25">
      <c r="A1123" s="8">
        <v>38092</v>
      </c>
      <c r="B1123" s="9">
        <v>15.74</v>
      </c>
    </row>
    <row r="1124" spans="1:2" x14ac:dyDescent="0.25">
      <c r="A1124" s="8">
        <v>38093</v>
      </c>
      <c r="B1124" s="9">
        <v>14.94</v>
      </c>
    </row>
    <row r="1125" spans="1:2" x14ac:dyDescent="0.25">
      <c r="A1125" s="8">
        <v>38096</v>
      </c>
      <c r="B1125" s="9">
        <v>15.42</v>
      </c>
    </row>
    <row r="1126" spans="1:2" x14ac:dyDescent="0.25">
      <c r="A1126" s="8">
        <v>38097</v>
      </c>
      <c r="B1126" s="9">
        <v>16.670000000000002</v>
      </c>
    </row>
    <row r="1127" spans="1:2" x14ac:dyDescent="0.25">
      <c r="A1127" s="8">
        <v>38098</v>
      </c>
      <c r="B1127" s="9">
        <v>15.6</v>
      </c>
    </row>
    <row r="1128" spans="1:2" x14ac:dyDescent="0.25">
      <c r="A1128" s="8">
        <v>38099</v>
      </c>
      <c r="B1128" s="9">
        <v>14.61</v>
      </c>
    </row>
    <row r="1129" spans="1:2" x14ac:dyDescent="0.25">
      <c r="A1129" s="8">
        <v>38100</v>
      </c>
      <c r="B1129" s="9">
        <v>14.01</v>
      </c>
    </row>
    <row r="1130" spans="1:2" x14ac:dyDescent="0.25">
      <c r="A1130" s="8">
        <v>38103</v>
      </c>
      <c r="B1130" s="9">
        <v>14.77</v>
      </c>
    </row>
    <row r="1131" spans="1:2" x14ac:dyDescent="0.25">
      <c r="A1131" s="8">
        <v>38104</v>
      </c>
      <c r="B1131" s="9">
        <v>15.07</v>
      </c>
    </row>
    <row r="1132" spans="1:2" x14ac:dyDescent="0.25">
      <c r="A1132" s="8">
        <v>38105</v>
      </c>
      <c r="B1132" s="9">
        <v>16.29</v>
      </c>
    </row>
    <row r="1133" spans="1:2" x14ac:dyDescent="0.25">
      <c r="A1133" s="8">
        <v>38106</v>
      </c>
      <c r="B1133" s="9">
        <v>16.600000000000001</v>
      </c>
    </row>
    <row r="1134" spans="1:2" x14ac:dyDescent="0.25">
      <c r="A1134" s="8">
        <v>38107</v>
      </c>
      <c r="B1134" s="9">
        <v>17.190000000000001</v>
      </c>
    </row>
    <row r="1135" spans="1:2" x14ac:dyDescent="0.25">
      <c r="A1135" s="8">
        <v>38110</v>
      </c>
      <c r="B1135" s="9">
        <v>16.62</v>
      </c>
    </row>
    <row r="1136" spans="1:2" x14ac:dyDescent="0.25">
      <c r="A1136" s="8">
        <v>38111</v>
      </c>
      <c r="B1136" s="9">
        <v>16.55</v>
      </c>
    </row>
    <row r="1137" spans="1:2" x14ac:dyDescent="0.25">
      <c r="A1137" s="8">
        <v>38112</v>
      </c>
      <c r="B1137" s="9">
        <v>15.77</v>
      </c>
    </row>
    <row r="1138" spans="1:2" x14ac:dyDescent="0.25">
      <c r="A1138" s="8">
        <v>38113</v>
      </c>
      <c r="B1138" s="9">
        <v>17.05</v>
      </c>
    </row>
    <row r="1139" spans="1:2" x14ac:dyDescent="0.25">
      <c r="A1139" s="8">
        <v>38114</v>
      </c>
      <c r="B1139" s="9">
        <v>18.13</v>
      </c>
    </row>
    <row r="1140" spans="1:2" x14ac:dyDescent="0.25">
      <c r="A1140" s="8">
        <v>38117</v>
      </c>
      <c r="B1140" s="9">
        <v>19.77</v>
      </c>
    </row>
    <row r="1141" spans="1:2" x14ac:dyDescent="0.25">
      <c r="A1141" s="8">
        <v>38118</v>
      </c>
      <c r="B1141" s="9">
        <v>18.57</v>
      </c>
    </row>
    <row r="1142" spans="1:2" x14ac:dyDescent="0.25">
      <c r="A1142" s="8">
        <v>38119</v>
      </c>
      <c r="B1142" s="9">
        <v>18.14</v>
      </c>
    </row>
    <row r="1143" spans="1:2" x14ac:dyDescent="0.25">
      <c r="A1143" s="8">
        <v>38120</v>
      </c>
      <c r="B1143" s="9">
        <v>18.86</v>
      </c>
    </row>
    <row r="1144" spans="1:2" x14ac:dyDescent="0.25">
      <c r="A1144" s="8">
        <v>38121</v>
      </c>
      <c r="B1144" s="9">
        <v>18.47</v>
      </c>
    </row>
    <row r="1145" spans="1:2" x14ac:dyDescent="0.25">
      <c r="A1145" s="8">
        <v>38124</v>
      </c>
      <c r="B1145" s="9">
        <v>19.96</v>
      </c>
    </row>
    <row r="1146" spans="1:2" x14ac:dyDescent="0.25">
      <c r="A1146" s="8">
        <v>38125</v>
      </c>
      <c r="B1146" s="9">
        <v>19.329999999999998</v>
      </c>
    </row>
    <row r="1147" spans="1:2" x14ac:dyDescent="0.25">
      <c r="A1147" s="8">
        <v>38126</v>
      </c>
      <c r="B1147" s="9">
        <v>18.93</v>
      </c>
    </row>
    <row r="1148" spans="1:2" x14ac:dyDescent="0.25">
      <c r="A1148" s="8">
        <v>38127</v>
      </c>
      <c r="B1148" s="9">
        <v>18.670000000000002</v>
      </c>
    </row>
    <row r="1149" spans="1:2" x14ac:dyDescent="0.25">
      <c r="A1149" s="8">
        <v>38128</v>
      </c>
      <c r="B1149" s="9">
        <v>18.489999999999998</v>
      </c>
    </row>
    <row r="1150" spans="1:2" x14ac:dyDescent="0.25">
      <c r="A1150" s="8">
        <v>38131</v>
      </c>
      <c r="B1150" s="9">
        <v>18.079999999999998</v>
      </c>
    </row>
    <row r="1151" spans="1:2" x14ac:dyDescent="0.25">
      <c r="A1151" s="8">
        <v>38132</v>
      </c>
      <c r="B1151" s="9">
        <v>15.96</v>
      </c>
    </row>
    <row r="1152" spans="1:2" x14ac:dyDescent="0.25">
      <c r="A1152" s="8">
        <v>38133</v>
      </c>
      <c r="B1152" s="9">
        <v>15.97</v>
      </c>
    </row>
    <row r="1153" spans="1:2" x14ac:dyDescent="0.25">
      <c r="A1153" s="8">
        <v>38134</v>
      </c>
      <c r="B1153" s="9">
        <v>15.28</v>
      </c>
    </row>
    <row r="1154" spans="1:2" x14ac:dyDescent="0.25">
      <c r="A1154" s="8">
        <v>38135</v>
      </c>
      <c r="B1154" s="9">
        <v>15.5</v>
      </c>
    </row>
    <row r="1155" spans="1:2" x14ac:dyDescent="0.25">
      <c r="A1155" s="8">
        <v>38138</v>
      </c>
    </row>
    <row r="1156" spans="1:2" x14ac:dyDescent="0.25">
      <c r="A1156" s="8">
        <v>38139</v>
      </c>
      <c r="B1156" s="9">
        <v>16.3</v>
      </c>
    </row>
    <row r="1157" spans="1:2" x14ac:dyDescent="0.25">
      <c r="A1157" s="8">
        <v>38140</v>
      </c>
      <c r="B1157" s="9">
        <v>16.079999999999998</v>
      </c>
    </row>
    <row r="1158" spans="1:2" x14ac:dyDescent="0.25">
      <c r="A1158" s="8">
        <v>38141</v>
      </c>
      <c r="B1158" s="9">
        <v>17.03</v>
      </c>
    </row>
    <row r="1159" spans="1:2" x14ac:dyDescent="0.25">
      <c r="A1159" s="8">
        <v>38142</v>
      </c>
      <c r="B1159" s="9">
        <v>16.78</v>
      </c>
    </row>
    <row r="1160" spans="1:2" x14ac:dyDescent="0.25">
      <c r="A1160" s="8">
        <v>38145</v>
      </c>
      <c r="B1160" s="9">
        <v>15.39</v>
      </c>
    </row>
    <row r="1161" spans="1:2" x14ac:dyDescent="0.25">
      <c r="A1161" s="8">
        <v>38146</v>
      </c>
      <c r="B1161" s="9">
        <v>15.01</v>
      </c>
    </row>
    <row r="1162" spans="1:2" x14ac:dyDescent="0.25">
      <c r="A1162" s="8">
        <v>38147</v>
      </c>
      <c r="B1162" s="9">
        <v>15.39</v>
      </c>
    </row>
    <row r="1163" spans="1:2" x14ac:dyDescent="0.25">
      <c r="A1163" s="8">
        <v>38148</v>
      </c>
      <c r="B1163" s="9">
        <v>15.04</v>
      </c>
    </row>
    <row r="1164" spans="1:2" x14ac:dyDescent="0.25">
      <c r="A1164" s="8">
        <v>38149</v>
      </c>
      <c r="B1164" s="9">
        <v>15.04</v>
      </c>
    </row>
    <row r="1165" spans="1:2" x14ac:dyDescent="0.25">
      <c r="A1165" s="8">
        <v>38152</v>
      </c>
      <c r="B1165" s="9">
        <v>16.07</v>
      </c>
    </row>
    <row r="1166" spans="1:2" x14ac:dyDescent="0.25">
      <c r="A1166" s="8">
        <v>38153</v>
      </c>
      <c r="B1166" s="9">
        <v>15.05</v>
      </c>
    </row>
    <row r="1167" spans="1:2" x14ac:dyDescent="0.25">
      <c r="A1167" s="8">
        <v>38154</v>
      </c>
      <c r="B1167" s="9">
        <v>14.79</v>
      </c>
    </row>
    <row r="1168" spans="1:2" x14ac:dyDescent="0.25">
      <c r="A1168" s="8">
        <v>38155</v>
      </c>
      <c r="B1168" s="9">
        <v>15.15</v>
      </c>
    </row>
    <row r="1169" spans="1:2" x14ac:dyDescent="0.25">
      <c r="A1169" s="8">
        <v>38156</v>
      </c>
      <c r="B1169" s="9">
        <v>14.99</v>
      </c>
    </row>
    <row r="1170" spans="1:2" x14ac:dyDescent="0.25">
      <c r="A1170" s="8">
        <v>38159</v>
      </c>
      <c r="B1170" s="9">
        <v>15.26</v>
      </c>
    </row>
    <row r="1171" spans="1:2" x14ac:dyDescent="0.25">
      <c r="A1171" s="8">
        <v>38160</v>
      </c>
      <c r="B1171" s="9">
        <v>14.31</v>
      </c>
    </row>
    <row r="1172" spans="1:2" x14ac:dyDescent="0.25">
      <c r="A1172" s="8">
        <v>38161</v>
      </c>
      <c r="B1172" s="9">
        <v>13.98</v>
      </c>
    </row>
    <row r="1173" spans="1:2" x14ac:dyDescent="0.25">
      <c r="A1173" s="8">
        <v>38162</v>
      </c>
      <c r="B1173" s="9">
        <v>14.81</v>
      </c>
    </row>
    <row r="1174" spans="1:2" x14ac:dyDescent="0.25">
      <c r="A1174" s="8">
        <v>38163</v>
      </c>
      <c r="B1174" s="9">
        <v>15.19</v>
      </c>
    </row>
    <row r="1175" spans="1:2" x14ac:dyDescent="0.25">
      <c r="A1175" s="8">
        <v>38166</v>
      </c>
      <c r="B1175" s="9">
        <v>16.07</v>
      </c>
    </row>
    <row r="1176" spans="1:2" x14ac:dyDescent="0.25">
      <c r="A1176" s="8">
        <v>38167</v>
      </c>
      <c r="B1176" s="9">
        <v>15.47</v>
      </c>
    </row>
    <row r="1177" spans="1:2" x14ac:dyDescent="0.25">
      <c r="A1177" s="8">
        <v>38168</v>
      </c>
      <c r="B1177" s="9">
        <v>14.34</v>
      </c>
    </row>
    <row r="1178" spans="1:2" x14ac:dyDescent="0.25">
      <c r="A1178" s="8">
        <v>38169</v>
      </c>
      <c r="B1178" s="9">
        <v>15.2</v>
      </c>
    </row>
    <row r="1179" spans="1:2" x14ac:dyDescent="0.25">
      <c r="A1179" s="8">
        <v>38170</v>
      </c>
      <c r="B1179" s="9">
        <v>15.08</v>
      </c>
    </row>
    <row r="1180" spans="1:2" x14ac:dyDescent="0.25">
      <c r="A1180" s="8">
        <v>38173</v>
      </c>
    </row>
    <row r="1181" spans="1:2" x14ac:dyDescent="0.25">
      <c r="A1181" s="8">
        <v>38174</v>
      </c>
      <c r="B1181" s="9">
        <v>16.25</v>
      </c>
    </row>
    <row r="1182" spans="1:2" x14ac:dyDescent="0.25">
      <c r="A1182" s="8">
        <v>38175</v>
      </c>
      <c r="B1182" s="9">
        <v>15.81</v>
      </c>
    </row>
    <row r="1183" spans="1:2" x14ac:dyDescent="0.25">
      <c r="A1183" s="8">
        <v>38176</v>
      </c>
      <c r="B1183" s="9">
        <v>16.2</v>
      </c>
    </row>
    <row r="1184" spans="1:2" x14ac:dyDescent="0.25">
      <c r="A1184" s="8">
        <v>38177</v>
      </c>
      <c r="B1184" s="9">
        <v>15.78</v>
      </c>
    </row>
    <row r="1185" spans="1:2" x14ac:dyDescent="0.25">
      <c r="A1185" s="8">
        <v>38180</v>
      </c>
      <c r="B1185" s="9">
        <v>14.96</v>
      </c>
    </row>
    <row r="1186" spans="1:2" x14ac:dyDescent="0.25">
      <c r="A1186" s="8">
        <v>38181</v>
      </c>
      <c r="B1186" s="9">
        <v>14.46</v>
      </c>
    </row>
    <row r="1187" spans="1:2" x14ac:dyDescent="0.25">
      <c r="A1187" s="8">
        <v>38182</v>
      </c>
      <c r="B1187" s="9">
        <v>13.76</v>
      </c>
    </row>
    <row r="1188" spans="1:2" x14ac:dyDescent="0.25">
      <c r="A1188" s="8">
        <v>38183</v>
      </c>
      <c r="B1188" s="9">
        <v>14.71</v>
      </c>
    </row>
    <row r="1189" spans="1:2" x14ac:dyDescent="0.25">
      <c r="A1189" s="8">
        <v>38184</v>
      </c>
      <c r="B1189" s="9">
        <v>14.34</v>
      </c>
    </row>
    <row r="1190" spans="1:2" x14ac:dyDescent="0.25">
      <c r="A1190" s="8">
        <v>38187</v>
      </c>
      <c r="B1190" s="9">
        <v>15.17</v>
      </c>
    </row>
    <row r="1191" spans="1:2" x14ac:dyDescent="0.25">
      <c r="A1191" s="8">
        <v>38188</v>
      </c>
      <c r="B1191" s="9">
        <v>14.17</v>
      </c>
    </row>
    <row r="1192" spans="1:2" x14ac:dyDescent="0.25">
      <c r="A1192" s="8">
        <v>38189</v>
      </c>
      <c r="B1192" s="9">
        <v>16.41</v>
      </c>
    </row>
    <row r="1193" spans="1:2" x14ac:dyDescent="0.25">
      <c r="A1193" s="8">
        <v>38190</v>
      </c>
      <c r="B1193" s="9">
        <v>15.75</v>
      </c>
    </row>
    <row r="1194" spans="1:2" x14ac:dyDescent="0.25">
      <c r="A1194" s="8">
        <v>38191</v>
      </c>
      <c r="B1194" s="9">
        <v>16.5</v>
      </c>
    </row>
    <row r="1195" spans="1:2" x14ac:dyDescent="0.25">
      <c r="A1195" s="8">
        <v>38194</v>
      </c>
      <c r="B1195" s="9">
        <v>17.3</v>
      </c>
    </row>
    <row r="1196" spans="1:2" x14ac:dyDescent="0.25">
      <c r="A1196" s="8">
        <v>38195</v>
      </c>
      <c r="B1196" s="9">
        <v>16.55</v>
      </c>
    </row>
    <row r="1197" spans="1:2" x14ac:dyDescent="0.25">
      <c r="A1197" s="8">
        <v>38196</v>
      </c>
      <c r="B1197" s="9">
        <v>16.149999999999999</v>
      </c>
    </row>
    <row r="1198" spans="1:2" x14ac:dyDescent="0.25">
      <c r="A1198" s="8">
        <v>38197</v>
      </c>
      <c r="B1198" s="9">
        <v>15.68</v>
      </c>
    </row>
    <row r="1199" spans="1:2" x14ac:dyDescent="0.25">
      <c r="A1199" s="8">
        <v>38198</v>
      </c>
      <c r="B1199" s="9">
        <v>15.32</v>
      </c>
    </row>
    <row r="1200" spans="1:2" x14ac:dyDescent="0.25">
      <c r="A1200" s="8">
        <v>38201</v>
      </c>
      <c r="B1200" s="9">
        <v>15.37</v>
      </c>
    </row>
    <row r="1201" spans="1:2" x14ac:dyDescent="0.25">
      <c r="A1201" s="8">
        <v>38202</v>
      </c>
      <c r="B1201" s="9">
        <v>16.03</v>
      </c>
    </row>
    <row r="1202" spans="1:2" x14ac:dyDescent="0.25">
      <c r="A1202" s="8">
        <v>38203</v>
      </c>
      <c r="B1202" s="9">
        <v>16.21</v>
      </c>
    </row>
    <row r="1203" spans="1:2" x14ac:dyDescent="0.25">
      <c r="A1203" s="8">
        <v>38204</v>
      </c>
      <c r="B1203" s="9">
        <v>18.32</v>
      </c>
    </row>
    <row r="1204" spans="1:2" x14ac:dyDescent="0.25">
      <c r="A1204" s="8">
        <v>38205</v>
      </c>
      <c r="B1204" s="9">
        <v>19.34</v>
      </c>
    </row>
    <row r="1205" spans="1:2" x14ac:dyDescent="0.25">
      <c r="A1205" s="8">
        <v>38208</v>
      </c>
      <c r="B1205" s="9">
        <v>18.89</v>
      </c>
    </row>
    <row r="1206" spans="1:2" x14ac:dyDescent="0.25">
      <c r="A1206" s="8">
        <v>38209</v>
      </c>
      <c r="B1206" s="9">
        <v>17.47</v>
      </c>
    </row>
    <row r="1207" spans="1:2" x14ac:dyDescent="0.25">
      <c r="A1207" s="8">
        <v>38210</v>
      </c>
      <c r="B1207" s="9">
        <v>18.04</v>
      </c>
    </row>
    <row r="1208" spans="1:2" x14ac:dyDescent="0.25">
      <c r="A1208" s="8">
        <v>38211</v>
      </c>
      <c r="B1208" s="9">
        <v>19.079999999999998</v>
      </c>
    </row>
    <row r="1209" spans="1:2" x14ac:dyDescent="0.25">
      <c r="A1209" s="8">
        <v>38212</v>
      </c>
      <c r="B1209" s="9">
        <v>17.98</v>
      </c>
    </row>
    <row r="1210" spans="1:2" x14ac:dyDescent="0.25">
      <c r="A1210" s="8">
        <v>38215</v>
      </c>
      <c r="B1210" s="9">
        <v>17.57</v>
      </c>
    </row>
    <row r="1211" spans="1:2" x14ac:dyDescent="0.25">
      <c r="A1211" s="8">
        <v>38216</v>
      </c>
      <c r="B1211" s="9">
        <v>17.02</v>
      </c>
    </row>
    <row r="1212" spans="1:2" x14ac:dyDescent="0.25">
      <c r="A1212" s="8">
        <v>38217</v>
      </c>
      <c r="B1212" s="9">
        <v>16.23</v>
      </c>
    </row>
    <row r="1213" spans="1:2" x14ac:dyDescent="0.25">
      <c r="A1213" s="8">
        <v>38218</v>
      </c>
      <c r="B1213" s="9">
        <v>16.96</v>
      </c>
    </row>
    <row r="1214" spans="1:2" x14ac:dyDescent="0.25">
      <c r="A1214" s="8">
        <v>38219</v>
      </c>
      <c r="B1214" s="9">
        <v>16</v>
      </c>
    </row>
    <row r="1215" spans="1:2" x14ac:dyDescent="0.25">
      <c r="A1215" s="8">
        <v>38222</v>
      </c>
      <c r="B1215" s="9">
        <v>15.88</v>
      </c>
    </row>
    <row r="1216" spans="1:2" x14ac:dyDescent="0.25">
      <c r="A1216" s="8">
        <v>38223</v>
      </c>
      <c r="B1216" s="9">
        <v>15.33</v>
      </c>
    </row>
    <row r="1217" spans="1:2" x14ac:dyDescent="0.25">
      <c r="A1217" s="8">
        <v>38224</v>
      </c>
      <c r="B1217" s="9">
        <v>14.98</v>
      </c>
    </row>
    <row r="1218" spans="1:2" x14ac:dyDescent="0.25">
      <c r="A1218" s="8">
        <v>38225</v>
      </c>
      <c r="B1218" s="9">
        <v>14.91</v>
      </c>
    </row>
    <row r="1219" spans="1:2" x14ac:dyDescent="0.25">
      <c r="A1219" s="8">
        <v>38226</v>
      </c>
      <c r="B1219" s="9">
        <v>14.71</v>
      </c>
    </row>
    <row r="1220" spans="1:2" x14ac:dyDescent="0.25">
      <c r="A1220" s="8">
        <v>38229</v>
      </c>
      <c r="B1220" s="9">
        <v>15.44</v>
      </c>
    </row>
    <row r="1221" spans="1:2" x14ac:dyDescent="0.25">
      <c r="A1221" s="8">
        <v>38230</v>
      </c>
      <c r="B1221" s="9">
        <v>15.29</v>
      </c>
    </row>
    <row r="1222" spans="1:2" x14ac:dyDescent="0.25">
      <c r="A1222" s="8">
        <v>38231</v>
      </c>
      <c r="B1222" s="9">
        <v>14.91</v>
      </c>
    </row>
    <row r="1223" spans="1:2" x14ac:dyDescent="0.25">
      <c r="A1223" s="8">
        <v>38232</v>
      </c>
      <c r="B1223" s="9">
        <v>14.28</v>
      </c>
    </row>
    <row r="1224" spans="1:2" x14ac:dyDescent="0.25">
      <c r="A1224" s="8">
        <v>38233</v>
      </c>
      <c r="B1224" s="9">
        <v>13.91</v>
      </c>
    </row>
    <row r="1225" spans="1:2" x14ac:dyDescent="0.25">
      <c r="A1225" s="8">
        <v>38236</v>
      </c>
    </row>
    <row r="1226" spans="1:2" x14ac:dyDescent="0.25">
      <c r="A1226" s="8">
        <v>38237</v>
      </c>
      <c r="B1226" s="9">
        <v>14.07</v>
      </c>
    </row>
    <row r="1227" spans="1:2" x14ac:dyDescent="0.25">
      <c r="A1227" s="8">
        <v>38238</v>
      </c>
      <c r="B1227" s="9">
        <v>14.06</v>
      </c>
    </row>
    <row r="1228" spans="1:2" x14ac:dyDescent="0.25">
      <c r="A1228" s="8">
        <v>38239</v>
      </c>
      <c r="B1228" s="9">
        <v>14.01</v>
      </c>
    </row>
    <row r="1229" spans="1:2" x14ac:dyDescent="0.25">
      <c r="A1229" s="8">
        <v>38240</v>
      </c>
      <c r="B1229" s="9">
        <v>13.76</v>
      </c>
    </row>
    <row r="1230" spans="1:2" x14ac:dyDescent="0.25">
      <c r="A1230" s="8">
        <v>38243</v>
      </c>
      <c r="B1230" s="9">
        <v>13.17</v>
      </c>
    </row>
    <row r="1231" spans="1:2" x14ac:dyDescent="0.25">
      <c r="A1231" s="8">
        <v>38244</v>
      </c>
      <c r="B1231" s="9">
        <v>13.56</v>
      </c>
    </row>
    <row r="1232" spans="1:2" x14ac:dyDescent="0.25">
      <c r="A1232" s="8">
        <v>38245</v>
      </c>
      <c r="B1232" s="9">
        <v>14.64</v>
      </c>
    </row>
    <row r="1233" spans="1:2" x14ac:dyDescent="0.25">
      <c r="A1233" s="8">
        <v>38246</v>
      </c>
      <c r="B1233" s="9">
        <v>14.39</v>
      </c>
    </row>
    <row r="1234" spans="1:2" x14ac:dyDescent="0.25">
      <c r="A1234" s="8">
        <v>38247</v>
      </c>
      <c r="B1234" s="9">
        <v>14.03</v>
      </c>
    </row>
    <row r="1235" spans="1:2" x14ac:dyDescent="0.25">
      <c r="A1235" s="8">
        <v>38250</v>
      </c>
      <c r="B1235" s="9">
        <v>14.43</v>
      </c>
    </row>
    <row r="1236" spans="1:2" x14ac:dyDescent="0.25">
      <c r="A1236" s="8">
        <v>38251</v>
      </c>
      <c r="B1236" s="9">
        <v>13.66</v>
      </c>
    </row>
    <row r="1237" spans="1:2" x14ac:dyDescent="0.25">
      <c r="A1237" s="8">
        <v>38252</v>
      </c>
      <c r="B1237" s="9">
        <v>14.74</v>
      </c>
    </row>
    <row r="1238" spans="1:2" x14ac:dyDescent="0.25">
      <c r="A1238" s="8">
        <v>38253</v>
      </c>
      <c r="B1238" s="9">
        <v>14.8</v>
      </c>
    </row>
    <row r="1239" spans="1:2" x14ac:dyDescent="0.25">
      <c r="A1239" s="8">
        <v>38254</v>
      </c>
      <c r="B1239" s="9">
        <v>14.28</v>
      </c>
    </row>
    <row r="1240" spans="1:2" x14ac:dyDescent="0.25">
      <c r="A1240" s="8">
        <v>38257</v>
      </c>
      <c r="B1240" s="9">
        <v>14.62</v>
      </c>
    </row>
    <row r="1241" spans="1:2" x14ac:dyDescent="0.25">
      <c r="A1241" s="8">
        <v>38258</v>
      </c>
      <c r="B1241" s="9">
        <v>13.83</v>
      </c>
    </row>
    <row r="1242" spans="1:2" x14ac:dyDescent="0.25">
      <c r="A1242" s="8">
        <v>38259</v>
      </c>
      <c r="B1242" s="9">
        <v>13.21</v>
      </c>
    </row>
    <row r="1243" spans="1:2" x14ac:dyDescent="0.25">
      <c r="A1243" s="8">
        <v>38260</v>
      </c>
      <c r="B1243" s="9">
        <v>13.34</v>
      </c>
    </row>
    <row r="1244" spans="1:2" x14ac:dyDescent="0.25">
      <c r="A1244" s="8">
        <v>38261</v>
      </c>
      <c r="B1244" s="9">
        <v>12.75</v>
      </c>
    </row>
    <row r="1245" spans="1:2" x14ac:dyDescent="0.25">
      <c r="A1245" s="8">
        <v>38264</v>
      </c>
      <c r="B1245" s="9">
        <v>13.41</v>
      </c>
    </row>
    <row r="1246" spans="1:2" x14ac:dyDescent="0.25">
      <c r="A1246" s="8">
        <v>38265</v>
      </c>
      <c r="B1246" s="9">
        <v>13.95</v>
      </c>
    </row>
    <row r="1247" spans="1:2" x14ac:dyDescent="0.25">
      <c r="A1247" s="8">
        <v>38266</v>
      </c>
      <c r="B1247" s="9">
        <v>13.28</v>
      </c>
    </row>
    <row r="1248" spans="1:2" x14ac:dyDescent="0.25">
      <c r="A1248" s="8">
        <v>38267</v>
      </c>
      <c r="B1248" s="9">
        <v>14.5</v>
      </c>
    </row>
    <row r="1249" spans="1:2" x14ac:dyDescent="0.25">
      <c r="A1249" s="8">
        <v>38268</v>
      </c>
      <c r="B1249" s="9">
        <v>15.05</v>
      </c>
    </row>
    <row r="1250" spans="1:2" x14ac:dyDescent="0.25">
      <c r="A1250" s="8">
        <v>38271</v>
      </c>
      <c r="B1250" s="9">
        <v>14.71</v>
      </c>
    </row>
    <row r="1251" spans="1:2" x14ac:dyDescent="0.25">
      <c r="A1251" s="8">
        <v>38272</v>
      </c>
      <c r="B1251" s="9">
        <v>15.05</v>
      </c>
    </row>
    <row r="1252" spans="1:2" x14ac:dyDescent="0.25">
      <c r="A1252" s="8">
        <v>38273</v>
      </c>
      <c r="B1252" s="9">
        <v>15.42</v>
      </c>
    </row>
    <row r="1253" spans="1:2" x14ac:dyDescent="0.25">
      <c r="A1253" s="8">
        <v>38274</v>
      </c>
      <c r="B1253" s="9">
        <v>16.43</v>
      </c>
    </row>
    <row r="1254" spans="1:2" x14ac:dyDescent="0.25">
      <c r="A1254" s="8">
        <v>38275</v>
      </c>
      <c r="B1254" s="9">
        <v>15.04</v>
      </c>
    </row>
    <row r="1255" spans="1:2" x14ac:dyDescent="0.25">
      <c r="A1255" s="8">
        <v>38278</v>
      </c>
      <c r="B1255" s="9">
        <v>14.71</v>
      </c>
    </row>
    <row r="1256" spans="1:2" x14ac:dyDescent="0.25">
      <c r="A1256" s="8">
        <v>38279</v>
      </c>
      <c r="B1256" s="9">
        <v>15.13</v>
      </c>
    </row>
    <row r="1257" spans="1:2" x14ac:dyDescent="0.25">
      <c r="A1257" s="8">
        <v>38280</v>
      </c>
      <c r="B1257" s="9">
        <v>14.85</v>
      </c>
    </row>
    <row r="1258" spans="1:2" x14ac:dyDescent="0.25">
      <c r="A1258" s="8">
        <v>38281</v>
      </c>
      <c r="B1258" s="9">
        <v>14.54</v>
      </c>
    </row>
    <row r="1259" spans="1:2" x14ac:dyDescent="0.25">
      <c r="A1259" s="8">
        <v>38282</v>
      </c>
      <c r="B1259" s="9">
        <v>15.28</v>
      </c>
    </row>
    <row r="1260" spans="1:2" x14ac:dyDescent="0.25">
      <c r="A1260" s="8">
        <v>38285</v>
      </c>
      <c r="B1260" s="9">
        <v>16.579999999999998</v>
      </c>
    </row>
    <row r="1261" spans="1:2" x14ac:dyDescent="0.25">
      <c r="A1261" s="8">
        <v>38286</v>
      </c>
      <c r="B1261" s="9">
        <v>16.39</v>
      </c>
    </row>
    <row r="1262" spans="1:2" x14ac:dyDescent="0.25">
      <c r="A1262" s="8">
        <v>38287</v>
      </c>
      <c r="B1262" s="9">
        <v>15.72</v>
      </c>
    </row>
    <row r="1263" spans="1:2" x14ac:dyDescent="0.25">
      <c r="A1263" s="8">
        <v>38288</v>
      </c>
      <c r="B1263" s="9">
        <v>15.39</v>
      </c>
    </row>
    <row r="1264" spans="1:2" x14ac:dyDescent="0.25">
      <c r="A1264" s="8">
        <v>38289</v>
      </c>
      <c r="B1264" s="9">
        <v>16.27</v>
      </c>
    </row>
    <row r="1265" spans="1:2" x14ac:dyDescent="0.25">
      <c r="A1265" s="8">
        <v>38292</v>
      </c>
      <c r="B1265" s="9">
        <v>16.27</v>
      </c>
    </row>
    <row r="1266" spans="1:2" x14ac:dyDescent="0.25">
      <c r="A1266" s="8">
        <v>38293</v>
      </c>
      <c r="B1266" s="9">
        <v>16.18</v>
      </c>
    </row>
    <row r="1267" spans="1:2" x14ac:dyDescent="0.25">
      <c r="A1267" s="8">
        <v>38294</v>
      </c>
      <c r="B1267" s="9">
        <v>14.04</v>
      </c>
    </row>
    <row r="1268" spans="1:2" x14ac:dyDescent="0.25">
      <c r="A1268" s="8">
        <v>38295</v>
      </c>
      <c r="B1268" s="9">
        <v>13.97</v>
      </c>
    </row>
    <row r="1269" spans="1:2" x14ac:dyDescent="0.25">
      <c r="A1269" s="8">
        <v>38296</v>
      </c>
      <c r="B1269" s="9">
        <v>13.84</v>
      </c>
    </row>
    <row r="1270" spans="1:2" x14ac:dyDescent="0.25">
      <c r="A1270" s="8">
        <v>38299</v>
      </c>
      <c r="B1270" s="9">
        <v>13.8</v>
      </c>
    </row>
    <row r="1271" spans="1:2" x14ac:dyDescent="0.25">
      <c r="A1271" s="8">
        <v>38300</v>
      </c>
      <c r="B1271" s="9">
        <v>13.61</v>
      </c>
    </row>
    <row r="1272" spans="1:2" x14ac:dyDescent="0.25">
      <c r="A1272" s="8">
        <v>38301</v>
      </c>
      <c r="B1272" s="9">
        <v>13.08</v>
      </c>
    </row>
    <row r="1273" spans="1:2" x14ac:dyDescent="0.25">
      <c r="A1273" s="8">
        <v>38302</v>
      </c>
      <c r="B1273" s="9">
        <v>13.04</v>
      </c>
    </row>
    <row r="1274" spans="1:2" x14ac:dyDescent="0.25">
      <c r="A1274" s="8">
        <v>38303</v>
      </c>
      <c r="B1274" s="9">
        <v>13.33</v>
      </c>
    </row>
    <row r="1275" spans="1:2" x14ac:dyDescent="0.25">
      <c r="A1275" s="8">
        <v>38306</v>
      </c>
      <c r="B1275" s="9">
        <v>13.38</v>
      </c>
    </row>
    <row r="1276" spans="1:2" x14ac:dyDescent="0.25">
      <c r="A1276" s="8">
        <v>38307</v>
      </c>
      <c r="B1276" s="9">
        <v>13.21</v>
      </c>
    </row>
    <row r="1277" spans="1:2" x14ac:dyDescent="0.25">
      <c r="A1277" s="8">
        <v>38308</v>
      </c>
      <c r="B1277" s="9">
        <v>13.21</v>
      </c>
    </row>
    <row r="1278" spans="1:2" x14ac:dyDescent="0.25">
      <c r="A1278" s="8">
        <v>38309</v>
      </c>
      <c r="B1278" s="9">
        <v>12.98</v>
      </c>
    </row>
    <row r="1279" spans="1:2" x14ac:dyDescent="0.25">
      <c r="A1279" s="8">
        <v>38310</v>
      </c>
      <c r="B1279" s="9">
        <v>13.5</v>
      </c>
    </row>
    <row r="1280" spans="1:2" x14ac:dyDescent="0.25">
      <c r="A1280" s="8">
        <v>38313</v>
      </c>
      <c r="B1280" s="9">
        <v>12.97</v>
      </c>
    </row>
    <row r="1281" spans="1:2" x14ac:dyDescent="0.25">
      <c r="A1281" s="8">
        <v>38314</v>
      </c>
      <c r="B1281" s="9">
        <v>12.67</v>
      </c>
    </row>
    <row r="1282" spans="1:2" x14ac:dyDescent="0.25">
      <c r="A1282" s="8">
        <v>38315</v>
      </c>
      <c r="B1282" s="9">
        <v>12.72</v>
      </c>
    </row>
    <row r="1283" spans="1:2" x14ac:dyDescent="0.25">
      <c r="A1283" s="8">
        <v>38316</v>
      </c>
    </row>
    <row r="1284" spans="1:2" x14ac:dyDescent="0.25">
      <c r="A1284" s="8">
        <v>38317</v>
      </c>
      <c r="B1284" s="9">
        <v>12.79</v>
      </c>
    </row>
    <row r="1285" spans="1:2" x14ac:dyDescent="0.25">
      <c r="A1285" s="8">
        <v>38320</v>
      </c>
      <c r="B1285" s="9">
        <v>13.3</v>
      </c>
    </row>
    <row r="1286" spans="1:2" x14ac:dyDescent="0.25">
      <c r="A1286" s="8">
        <v>38321</v>
      </c>
      <c r="B1286" s="9">
        <v>13.24</v>
      </c>
    </row>
    <row r="1287" spans="1:2" x14ac:dyDescent="0.25">
      <c r="A1287" s="8">
        <v>38322</v>
      </c>
      <c r="B1287" s="9">
        <v>12.97</v>
      </c>
    </row>
    <row r="1288" spans="1:2" x14ac:dyDescent="0.25">
      <c r="A1288" s="8">
        <v>38323</v>
      </c>
      <c r="B1288" s="9">
        <v>12.98</v>
      </c>
    </row>
    <row r="1289" spans="1:2" x14ac:dyDescent="0.25">
      <c r="A1289" s="8">
        <v>38324</v>
      </c>
      <c r="B1289" s="9">
        <v>12.96</v>
      </c>
    </row>
    <row r="1290" spans="1:2" x14ac:dyDescent="0.25">
      <c r="A1290" s="8">
        <v>38327</v>
      </c>
      <c r="B1290" s="9">
        <v>13.19</v>
      </c>
    </row>
    <row r="1291" spans="1:2" x14ac:dyDescent="0.25">
      <c r="A1291" s="8">
        <v>38328</v>
      </c>
      <c r="B1291" s="9">
        <v>13.67</v>
      </c>
    </row>
    <row r="1292" spans="1:2" x14ac:dyDescent="0.25">
      <c r="A1292" s="8">
        <v>38329</v>
      </c>
      <c r="B1292" s="9">
        <v>13.19</v>
      </c>
    </row>
    <row r="1293" spans="1:2" x14ac:dyDescent="0.25">
      <c r="A1293" s="8">
        <v>38330</v>
      </c>
      <c r="B1293" s="9">
        <v>12.88</v>
      </c>
    </row>
    <row r="1294" spans="1:2" x14ac:dyDescent="0.25">
      <c r="A1294" s="8">
        <v>38331</v>
      </c>
      <c r="B1294" s="9">
        <v>12.76</v>
      </c>
    </row>
    <row r="1295" spans="1:2" x14ac:dyDescent="0.25">
      <c r="A1295" s="8">
        <v>38334</v>
      </c>
      <c r="B1295" s="9">
        <v>12.54</v>
      </c>
    </row>
    <row r="1296" spans="1:2" x14ac:dyDescent="0.25">
      <c r="A1296" s="8">
        <v>38335</v>
      </c>
      <c r="B1296" s="9">
        <v>12.73</v>
      </c>
    </row>
    <row r="1297" spans="1:2" x14ac:dyDescent="0.25">
      <c r="A1297" s="8">
        <v>38336</v>
      </c>
      <c r="B1297" s="9">
        <v>12.35</v>
      </c>
    </row>
    <row r="1298" spans="1:2" x14ac:dyDescent="0.25">
      <c r="A1298" s="8">
        <v>38337</v>
      </c>
      <c r="B1298" s="9">
        <v>12.27</v>
      </c>
    </row>
    <row r="1299" spans="1:2" x14ac:dyDescent="0.25">
      <c r="A1299" s="8">
        <v>38338</v>
      </c>
      <c r="B1299" s="9">
        <v>11.95</v>
      </c>
    </row>
    <row r="1300" spans="1:2" x14ac:dyDescent="0.25">
      <c r="A1300" s="8">
        <v>38341</v>
      </c>
      <c r="B1300" s="9">
        <v>11.83</v>
      </c>
    </row>
    <row r="1301" spans="1:2" x14ac:dyDescent="0.25">
      <c r="A1301" s="8">
        <v>38342</v>
      </c>
      <c r="B1301" s="9">
        <v>11.55</v>
      </c>
    </row>
    <row r="1302" spans="1:2" x14ac:dyDescent="0.25">
      <c r="A1302" s="8">
        <v>38343</v>
      </c>
      <c r="B1302" s="9">
        <v>11.45</v>
      </c>
    </row>
    <row r="1303" spans="1:2" x14ac:dyDescent="0.25">
      <c r="A1303" s="8">
        <v>38344</v>
      </c>
      <c r="B1303" s="9">
        <v>11.23</v>
      </c>
    </row>
    <row r="1304" spans="1:2" x14ac:dyDescent="0.25">
      <c r="A1304" s="8">
        <v>38345</v>
      </c>
    </row>
    <row r="1305" spans="1:2" x14ac:dyDescent="0.25">
      <c r="A1305" s="8">
        <v>38348</v>
      </c>
      <c r="B1305" s="9">
        <v>12.14</v>
      </c>
    </row>
    <row r="1306" spans="1:2" x14ac:dyDescent="0.25">
      <c r="A1306" s="8">
        <v>38349</v>
      </c>
      <c r="B1306" s="9">
        <v>12</v>
      </c>
    </row>
    <row r="1307" spans="1:2" x14ac:dyDescent="0.25">
      <c r="A1307" s="8">
        <v>38350</v>
      </c>
      <c r="B1307" s="9">
        <v>11.62</v>
      </c>
    </row>
    <row r="1308" spans="1:2" x14ac:dyDescent="0.25">
      <c r="A1308" s="8">
        <v>38351</v>
      </c>
      <c r="B1308" s="9">
        <v>12.56</v>
      </c>
    </row>
    <row r="1309" spans="1:2" x14ac:dyDescent="0.25">
      <c r="A1309" s="8">
        <v>38352</v>
      </c>
      <c r="B1309" s="9">
        <v>13.29</v>
      </c>
    </row>
    <row r="1310" spans="1:2" x14ac:dyDescent="0.25">
      <c r="A1310" s="8">
        <v>38355</v>
      </c>
      <c r="B1310" s="9">
        <v>14.08</v>
      </c>
    </row>
    <row r="1311" spans="1:2" x14ac:dyDescent="0.25">
      <c r="A1311" s="8">
        <v>38356</v>
      </c>
      <c r="B1311" s="9">
        <v>13.98</v>
      </c>
    </row>
    <row r="1312" spans="1:2" x14ac:dyDescent="0.25">
      <c r="A1312" s="8">
        <v>38357</v>
      </c>
      <c r="B1312" s="9">
        <v>14.09</v>
      </c>
    </row>
    <row r="1313" spans="1:2" x14ac:dyDescent="0.25">
      <c r="A1313" s="8">
        <v>38358</v>
      </c>
      <c r="B1313" s="9">
        <v>13.58</v>
      </c>
    </row>
    <row r="1314" spans="1:2" x14ac:dyDescent="0.25">
      <c r="A1314" s="8">
        <v>38359</v>
      </c>
      <c r="B1314" s="9">
        <v>13.49</v>
      </c>
    </row>
    <row r="1315" spans="1:2" x14ac:dyDescent="0.25">
      <c r="A1315" s="8">
        <v>38362</v>
      </c>
      <c r="B1315" s="9">
        <v>13.23</v>
      </c>
    </row>
    <row r="1316" spans="1:2" x14ac:dyDescent="0.25">
      <c r="A1316" s="8">
        <v>38363</v>
      </c>
      <c r="B1316" s="9">
        <v>13.19</v>
      </c>
    </row>
    <row r="1317" spans="1:2" x14ac:dyDescent="0.25">
      <c r="A1317" s="8">
        <v>38364</v>
      </c>
      <c r="B1317" s="9">
        <v>12.56</v>
      </c>
    </row>
    <row r="1318" spans="1:2" x14ac:dyDescent="0.25">
      <c r="A1318" s="8">
        <v>38365</v>
      </c>
      <c r="B1318" s="9">
        <v>12.84</v>
      </c>
    </row>
    <row r="1319" spans="1:2" x14ac:dyDescent="0.25">
      <c r="A1319" s="8">
        <v>38366</v>
      </c>
      <c r="B1319" s="9">
        <v>12.43</v>
      </c>
    </row>
    <row r="1320" spans="1:2" x14ac:dyDescent="0.25">
      <c r="A1320" s="8">
        <v>38369</v>
      </c>
    </row>
    <row r="1321" spans="1:2" x14ac:dyDescent="0.25">
      <c r="A1321" s="8">
        <v>38370</v>
      </c>
      <c r="B1321" s="9">
        <v>12.47</v>
      </c>
    </row>
    <row r="1322" spans="1:2" x14ac:dyDescent="0.25">
      <c r="A1322" s="8">
        <v>38371</v>
      </c>
      <c r="B1322" s="9">
        <v>13.18</v>
      </c>
    </row>
    <row r="1323" spans="1:2" x14ac:dyDescent="0.25">
      <c r="A1323" s="8">
        <v>38372</v>
      </c>
      <c r="B1323" s="9">
        <v>13.83</v>
      </c>
    </row>
    <row r="1324" spans="1:2" x14ac:dyDescent="0.25">
      <c r="A1324" s="8">
        <v>38373</v>
      </c>
      <c r="B1324" s="9">
        <v>14.36</v>
      </c>
    </row>
    <row r="1325" spans="1:2" x14ac:dyDescent="0.25">
      <c r="A1325" s="8">
        <v>38376</v>
      </c>
      <c r="B1325" s="9">
        <v>14.65</v>
      </c>
    </row>
    <row r="1326" spans="1:2" x14ac:dyDescent="0.25">
      <c r="A1326" s="8">
        <v>38377</v>
      </c>
      <c r="B1326" s="9">
        <v>14.06</v>
      </c>
    </row>
    <row r="1327" spans="1:2" x14ac:dyDescent="0.25">
      <c r="A1327" s="8">
        <v>38378</v>
      </c>
      <c r="B1327" s="9">
        <v>13.44</v>
      </c>
    </row>
    <row r="1328" spans="1:2" x14ac:dyDescent="0.25">
      <c r="A1328" s="8">
        <v>38379</v>
      </c>
      <c r="B1328" s="9">
        <v>13.24</v>
      </c>
    </row>
    <row r="1329" spans="1:2" x14ac:dyDescent="0.25">
      <c r="A1329" s="8">
        <v>38380</v>
      </c>
      <c r="B1329" s="9">
        <v>13.24</v>
      </c>
    </row>
    <row r="1330" spans="1:2" x14ac:dyDescent="0.25">
      <c r="A1330" s="8">
        <v>38383</v>
      </c>
      <c r="B1330" s="9">
        <v>12.82</v>
      </c>
    </row>
    <row r="1331" spans="1:2" x14ac:dyDescent="0.25">
      <c r="A1331" s="8">
        <v>38384</v>
      </c>
      <c r="B1331" s="9">
        <v>12.03</v>
      </c>
    </row>
    <row r="1332" spans="1:2" x14ac:dyDescent="0.25">
      <c r="A1332" s="8">
        <v>38385</v>
      </c>
      <c r="B1332" s="9">
        <v>11.66</v>
      </c>
    </row>
    <row r="1333" spans="1:2" x14ac:dyDescent="0.25">
      <c r="A1333" s="8">
        <v>38386</v>
      </c>
      <c r="B1333" s="9">
        <v>11.79</v>
      </c>
    </row>
    <row r="1334" spans="1:2" x14ac:dyDescent="0.25">
      <c r="A1334" s="8">
        <v>38387</v>
      </c>
      <c r="B1334" s="9">
        <v>11.21</v>
      </c>
    </row>
    <row r="1335" spans="1:2" x14ac:dyDescent="0.25">
      <c r="A1335" s="8">
        <v>38390</v>
      </c>
      <c r="B1335" s="9">
        <v>11.73</v>
      </c>
    </row>
    <row r="1336" spans="1:2" x14ac:dyDescent="0.25">
      <c r="A1336" s="8">
        <v>38391</v>
      </c>
      <c r="B1336" s="9">
        <v>11.6</v>
      </c>
    </row>
    <row r="1337" spans="1:2" x14ac:dyDescent="0.25">
      <c r="A1337" s="8">
        <v>38392</v>
      </c>
      <c r="B1337" s="9">
        <v>12</v>
      </c>
    </row>
    <row r="1338" spans="1:2" x14ac:dyDescent="0.25">
      <c r="A1338" s="8">
        <v>38393</v>
      </c>
      <c r="B1338" s="9">
        <v>11.51</v>
      </c>
    </row>
    <row r="1339" spans="1:2" x14ac:dyDescent="0.25">
      <c r="A1339" s="8">
        <v>38394</v>
      </c>
      <c r="B1339" s="9">
        <v>11.43</v>
      </c>
    </row>
    <row r="1340" spans="1:2" x14ac:dyDescent="0.25">
      <c r="A1340" s="8">
        <v>38397</v>
      </c>
      <c r="B1340" s="9">
        <v>11.52</v>
      </c>
    </row>
    <row r="1341" spans="1:2" x14ac:dyDescent="0.25">
      <c r="A1341" s="8">
        <v>38398</v>
      </c>
      <c r="B1341" s="9">
        <v>11.27</v>
      </c>
    </row>
    <row r="1342" spans="1:2" x14ac:dyDescent="0.25">
      <c r="A1342" s="8">
        <v>38399</v>
      </c>
      <c r="B1342" s="9">
        <v>11.1</v>
      </c>
    </row>
    <row r="1343" spans="1:2" x14ac:dyDescent="0.25">
      <c r="A1343" s="8">
        <v>38400</v>
      </c>
      <c r="B1343" s="9">
        <v>11.77</v>
      </c>
    </row>
    <row r="1344" spans="1:2" x14ac:dyDescent="0.25">
      <c r="A1344" s="8">
        <v>38401</v>
      </c>
      <c r="B1344" s="9">
        <v>11.18</v>
      </c>
    </row>
    <row r="1345" spans="1:2" x14ac:dyDescent="0.25">
      <c r="A1345" s="8">
        <v>38404</v>
      </c>
    </row>
    <row r="1346" spans="1:2" x14ac:dyDescent="0.25">
      <c r="A1346" s="8">
        <v>38405</v>
      </c>
      <c r="B1346" s="9">
        <v>13.14</v>
      </c>
    </row>
    <row r="1347" spans="1:2" x14ac:dyDescent="0.25">
      <c r="A1347" s="8">
        <v>38406</v>
      </c>
      <c r="B1347" s="9">
        <v>12.39</v>
      </c>
    </row>
    <row r="1348" spans="1:2" x14ac:dyDescent="0.25">
      <c r="A1348" s="8">
        <v>38407</v>
      </c>
      <c r="B1348" s="9">
        <v>11.57</v>
      </c>
    </row>
    <row r="1349" spans="1:2" x14ac:dyDescent="0.25">
      <c r="A1349" s="8">
        <v>38408</v>
      </c>
      <c r="B1349" s="9">
        <v>11.49</v>
      </c>
    </row>
    <row r="1350" spans="1:2" x14ac:dyDescent="0.25">
      <c r="A1350" s="8">
        <v>38411</v>
      </c>
      <c r="B1350" s="9">
        <v>12.08</v>
      </c>
    </row>
    <row r="1351" spans="1:2" x14ac:dyDescent="0.25">
      <c r="A1351" s="8">
        <v>38412</v>
      </c>
      <c r="B1351" s="9">
        <v>12.04</v>
      </c>
    </row>
    <row r="1352" spans="1:2" x14ac:dyDescent="0.25">
      <c r="A1352" s="8">
        <v>38413</v>
      </c>
      <c r="B1352" s="9">
        <v>12.5</v>
      </c>
    </row>
    <row r="1353" spans="1:2" x14ac:dyDescent="0.25">
      <c r="A1353" s="8">
        <v>38414</v>
      </c>
      <c r="B1353" s="9">
        <v>12.93</v>
      </c>
    </row>
    <row r="1354" spans="1:2" x14ac:dyDescent="0.25">
      <c r="A1354" s="8">
        <v>38415</v>
      </c>
      <c r="B1354" s="9">
        <v>11.94</v>
      </c>
    </row>
    <row r="1355" spans="1:2" x14ac:dyDescent="0.25">
      <c r="A1355" s="8">
        <v>38418</v>
      </c>
      <c r="B1355" s="9">
        <v>12.26</v>
      </c>
    </row>
    <row r="1356" spans="1:2" x14ac:dyDescent="0.25">
      <c r="A1356" s="8">
        <v>38419</v>
      </c>
      <c r="B1356" s="9">
        <v>12.4</v>
      </c>
    </row>
    <row r="1357" spans="1:2" x14ac:dyDescent="0.25">
      <c r="A1357" s="8">
        <v>38420</v>
      </c>
      <c r="B1357" s="9">
        <v>12.7</v>
      </c>
    </row>
    <row r="1358" spans="1:2" x14ac:dyDescent="0.25">
      <c r="A1358" s="8">
        <v>38421</v>
      </c>
      <c r="B1358" s="9">
        <v>12.49</v>
      </c>
    </row>
    <row r="1359" spans="1:2" x14ac:dyDescent="0.25">
      <c r="A1359" s="8">
        <v>38422</v>
      </c>
      <c r="B1359" s="9">
        <v>12.8</v>
      </c>
    </row>
    <row r="1360" spans="1:2" x14ac:dyDescent="0.25">
      <c r="A1360" s="8">
        <v>38425</v>
      </c>
      <c r="B1360" s="9">
        <v>12.39</v>
      </c>
    </row>
    <row r="1361" spans="1:2" x14ac:dyDescent="0.25">
      <c r="A1361" s="8">
        <v>38426</v>
      </c>
      <c r="B1361" s="9">
        <v>13.15</v>
      </c>
    </row>
    <row r="1362" spans="1:2" x14ac:dyDescent="0.25">
      <c r="A1362" s="8">
        <v>38427</v>
      </c>
      <c r="B1362" s="9">
        <v>13.49</v>
      </c>
    </row>
    <row r="1363" spans="1:2" x14ac:dyDescent="0.25">
      <c r="A1363" s="8">
        <v>38428</v>
      </c>
      <c r="B1363" s="9">
        <v>13.29</v>
      </c>
    </row>
    <row r="1364" spans="1:2" x14ac:dyDescent="0.25">
      <c r="A1364" s="8">
        <v>38429</v>
      </c>
      <c r="B1364" s="9">
        <v>13.14</v>
      </c>
    </row>
    <row r="1365" spans="1:2" x14ac:dyDescent="0.25">
      <c r="A1365" s="8">
        <v>38432</v>
      </c>
      <c r="B1365" s="9">
        <v>13.61</v>
      </c>
    </row>
    <row r="1366" spans="1:2" x14ac:dyDescent="0.25">
      <c r="A1366" s="8">
        <v>38433</v>
      </c>
      <c r="B1366" s="9">
        <v>14.27</v>
      </c>
    </row>
    <row r="1367" spans="1:2" x14ac:dyDescent="0.25">
      <c r="A1367" s="8">
        <v>38434</v>
      </c>
      <c r="B1367" s="9">
        <v>14.06</v>
      </c>
    </row>
    <row r="1368" spans="1:2" x14ac:dyDescent="0.25">
      <c r="A1368" s="8">
        <v>38435</v>
      </c>
      <c r="B1368" s="9">
        <v>13.42</v>
      </c>
    </row>
    <row r="1369" spans="1:2" x14ac:dyDescent="0.25">
      <c r="A1369" s="8">
        <v>38436</v>
      </c>
    </row>
    <row r="1370" spans="1:2" x14ac:dyDescent="0.25">
      <c r="A1370" s="8">
        <v>38439</v>
      </c>
      <c r="B1370" s="9">
        <v>13.75</v>
      </c>
    </row>
    <row r="1371" spans="1:2" x14ac:dyDescent="0.25">
      <c r="A1371" s="8">
        <v>38440</v>
      </c>
      <c r="B1371" s="9">
        <v>14.49</v>
      </c>
    </row>
    <row r="1372" spans="1:2" x14ac:dyDescent="0.25">
      <c r="A1372" s="8">
        <v>38441</v>
      </c>
      <c r="B1372" s="9">
        <v>13.64</v>
      </c>
    </row>
    <row r="1373" spans="1:2" x14ac:dyDescent="0.25">
      <c r="A1373" s="8">
        <v>38442</v>
      </c>
      <c r="B1373" s="9">
        <v>14.02</v>
      </c>
    </row>
    <row r="1374" spans="1:2" x14ac:dyDescent="0.25">
      <c r="A1374" s="8">
        <v>38443</v>
      </c>
      <c r="B1374" s="9">
        <v>14.09</v>
      </c>
    </row>
    <row r="1375" spans="1:2" x14ac:dyDescent="0.25">
      <c r="A1375" s="8">
        <v>38446</v>
      </c>
      <c r="B1375" s="9">
        <v>14.11</v>
      </c>
    </row>
    <row r="1376" spans="1:2" x14ac:dyDescent="0.25">
      <c r="A1376" s="8">
        <v>38447</v>
      </c>
      <c r="B1376" s="9">
        <v>13.68</v>
      </c>
    </row>
    <row r="1377" spans="1:2" x14ac:dyDescent="0.25">
      <c r="A1377" s="8">
        <v>38448</v>
      </c>
      <c r="B1377" s="9">
        <v>13.15</v>
      </c>
    </row>
    <row r="1378" spans="1:2" x14ac:dyDescent="0.25">
      <c r="A1378" s="8">
        <v>38449</v>
      </c>
      <c r="B1378" s="9">
        <v>12.33</v>
      </c>
    </row>
    <row r="1379" spans="1:2" x14ac:dyDescent="0.25">
      <c r="A1379" s="8">
        <v>38450</v>
      </c>
      <c r="B1379" s="9">
        <v>12.62</v>
      </c>
    </row>
    <row r="1380" spans="1:2" x14ac:dyDescent="0.25">
      <c r="A1380" s="8">
        <v>38453</v>
      </c>
      <c r="B1380" s="9">
        <v>11.98</v>
      </c>
    </row>
    <row r="1381" spans="1:2" x14ac:dyDescent="0.25">
      <c r="A1381" s="8">
        <v>38454</v>
      </c>
      <c r="B1381" s="9">
        <v>11.3</v>
      </c>
    </row>
    <row r="1382" spans="1:2" x14ac:dyDescent="0.25">
      <c r="A1382" s="8">
        <v>38455</v>
      </c>
      <c r="B1382" s="9">
        <v>13.31</v>
      </c>
    </row>
    <row r="1383" spans="1:2" x14ac:dyDescent="0.25">
      <c r="A1383" s="8">
        <v>38456</v>
      </c>
      <c r="B1383" s="9">
        <v>14.53</v>
      </c>
    </row>
    <row r="1384" spans="1:2" x14ac:dyDescent="0.25">
      <c r="A1384" s="8">
        <v>38457</v>
      </c>
      <c r="B1384" s="9">
        <v>17.739999999999998</v>
      </c>
    </row>
    <row r="1385" spans="1:2" x14ac:dyDescent="0.25">
      <c r="A1385" s="8">
        <v>38460</v>
      </c>
      <c r="B1385" s="9">
        <v>16.559999999999999</v>
      </c>
    </row>
    <row r="1386" spans="1:2" x14ac:dyDescent="0.25">
      <c r="A1386" s="8">
        <v>38461</v>
      </c>
      <c r="B1386" s="9">
        <v>14.96</v>
      </c>
    </row>
    <row r="1387" spans="1:2" x14ac:dyDescent="0.25">
      <c r="A1387" s="8">
        <v>38462</v>
      </c>
      <c r="B1387" s="9">
        <v>16.920000000000002</v>
      </c>
    </row>
    <row r="1388" spans="1:2" x14ac:dyDescent="0.25">
      <c r="A1388" s="8">
        <v>38463</v>
      </c>
      <c r="B1388" s="9">
        <v>14.41</v>
      </c>
    </row>
    <row r="1389" spans="1:2" x14ac:dyDescent="0.25">
      <c r="A1389" s="8">
        <v>38464</v>
      </c>
      <c r="B1389" s="9">
        <v>15.38</v>
      </c>
    </row>
    <row r="1390" spans="1:2" x14ac:dyDescent="0.25">
      <c r="A1390" s="8">
        <v>38467</v>
      </c>
      <c r="B1390" s="9">
        <v>14.62</v>
      </c>
    </row>
    <row r="1391" spans="1:2" x14ac:dyDescent="0.25">
      <c r="A1391" s="8">
        <v>38468</v>
      </c>
      <c r="B1391" s="9">
        <v>14.91</v>
      </c>
    </row>
    <row r="1392" spans="1:2" x14ac:dyDescent="0.25">
      <c r="A1392" s="8">
        <v>38469</v>
      </c>
      <c r="B1392" s="9">
        <v>14.87</v>
      </c>
    </row>
    <row r="1393" spans="1:2" x14ac:dyDescent="0.25">
      <c r="A1393" s="8">
        <v>38470</v>
      </c>
      <c r="B1393" s="9">
        <v>16.86</v>
      </c>
    </row>
    <row r="1394" spans="1:2" x14ac:dyDescent="0.25">
      <c r="A1394" s="8">
        <v>38471</v>
      </c>
      <c r="B1394" s="9">
        <v>15.31</v>
      </c>
    </row>
    <row r="1395" spans="1:2" x14ac:dyDescent="0.25">
      <c r="A1395" s="8">
        <v>38474</v>
      </c>
      <c r="B1395" s="9">
        <v>15.12</v>
      </c>
    </row>
    <row r="1396" spans="1:2" x14ac:dyDescent="0.25">
      <c r="A1396" s="8">
        <v>38475</v>
      </c>
      <c r="B1396" s="9">
        <v>14.53</v>
      </c>
    </row>
    <row r="1397" spans="1:2" x14ac:dyDescent="0.25">
      <c r="A1397" s="8">
        <v>38476</v>
      </c>
      <c r="B1397" s="9">
        <v>13.85</v>
      </c>
    </row>
    <row r="1398" spans="1:2" x14ac:dyDescent="0.25">
      <c r="A1398" s="8">
        <v>38477</v>
      </c>
      <c r="B1398" s="9">
        <v>13.98</v>
      </c>
    </row>
    <row r="1399" spans="1:2" x14ac:dyDescent="0.25">
      <c r="A1399" s="8">
        <v>38478</v>
      </c>
      <c r="B1399" s="9">
        <v>14.05</v>
      </c>
    </row>
    <row r="1400" spans="1:2" x14ac:dyDescent="0.25">
      <c r="A1400" s="8">
        <v>38481</v>
      </c>
      <c r="B1400" s="9">
        <v>13.75</v>
      </c>
    </row>
    <row r="1401" spans="1:2" x14ac:dyDescent="0.25">
      <c r="A1401" s="8">
        <v>38482</v>
      </c>
      <c r="B1401" s="9">
        <v>14.91</v>
      </c>
    </row>
    <row r="1402" spans="1:2" x14ac:dyDescent="0.25">
      <c r="A1402" s="8">
        <v>38483</v>
      </c>
      <c r="B1402" s="9">
        <v>14.45</v>
      </c>
    </row>
    <row r="1403" spans="1:2" x14ac:dyDescent="0.25">
      <c r="A1403" s="8">
        <v>38484</v>
      </c>
      <c r="B1403" s="9">
        <v>16.12</v>
      </c>
    </row>
    <row r="1404" spans="1:2" x14ac:dyDescent="0.25">
      <c r="A1404" s="8">
        <v>38485</v>
      </c>
      <c r="B1404" s="9">
        <v>16.32</v>
      </c>
    </row>
    <row r="1405" spans="1:2" x14ac:dyDescent="0.25">
      <c r="A1405" s="8">
        <v>38488</v>
      </c>
      <c r="B1405" s="9">
        <v>15.68</v>
      </c>
    </row>
    <row r="1406" spans="1:2" x14ac:dyDescent="0.25">
      <c r="A1406" s="8">
        <v>38489</v>
      </c>
      <c r="B1406" s="9">
        <v>14.57</v>
      </c>
    </row>
    <row r="1407" spans="1:2" x14ac:dyDescent="0.25">
      <c r="A1407" s="8">
        <v>38490</v>
      </c>
      <c r="B1407" s="9">
        <v>13.63</v>
      </c>
    </row>
    <row r="1408" spans="1:2" x14ac:dyDescent="0.25">
      <c r="A1408" s="8">
        <v>38491</v>
      </c>
      <c r="B1408" s="9">
        <v>13.32</v>
      </c>
    </row>
    <row r="1409" spans="1:2" x14ac:dyDescent="0.25">
      <c r="A1409" s="8">
        <v>38492</v>
      </c>
      <c r="B1409" s="9">
        <v>13.14</v>
      </c>
    </row>
    <row r="1410" spans="1:2" x14ac:dyDescent="0.25">
      <c r="A1410" s="8">
        <v>38495</v>
      </c>
      <c r="B1410" s="9">
        <v>12.95</v>
      </c>
    </row>
    <row r="1411" spans="1:2" x14ac:dyDescent="0.25">
      <c r="A1411" s="8">
        <v>38496</v>
      </c>
      <c r="B1411" s="9">
        <v>12.69</v>
      </c>
    </row>
    <row r="1412" spans="1:2" x14ac:dyDescent="0.25">
      <c r="A1412" s="8">
        <v>38497</v>
      </c>
      <c r="B1412" s="9">
        <v>12.58</v>
      </c>
    </row>
    <row r="1413" spans="1:2" x14ac:dyDescent="0.25">
      <c r="A1413" s="8">
        <v>38498</v>
      </c>
      <c r="B1413" s="9">
        <v>12.24</v>
      </c>
    </row>
    <row r="1414" spans="1:2" x14ac:dyDescent="0.25">
      <c r="A1414" s="8">
        <v>38499</v>
      </c>
      <c r="B1414" s="9">
        <v>12.15</v>
      </c>
    </row>
    <row r="1415" spans="1:2" x14ac:dyDescent="0.25">
      <c r="A1415" s="8">
        <v>38502</v>
      </c>
    </row>
    <row r="1416" spans="1:2" x14ac:dyDescent="0.25">
      <c r="A1416" s="8">
        <v>38503</v>
      </c>
      <c r="B1416" s="9">
        <v>13.29</v>
      </c>
    </row>
    <row r="1417" spans="1:2" x14ac:dyDescent="0.25">
      <c r="A1417" s="8">
        <v>38504</v>
      </c>
      <c r="B1417" s="9">
        <v>12.36</v>
      </c>
    </row>
    <row r="1418" spans="1:2" x14ac:dyDescent="0.25">
      <c r="A1418" s="8">
        <v>38505</v>
      </c>
      <c r="B1418" s="9">
        <v>11.84</v>
      </c>
    </row>
    <row r="1419" spans="1:2" x14ac:dyDescent="0.25">
      <c r="A1419" s="8">
        <v>38506</v>
      </c>
      <c r="B1419" s="9">
        <v>12.15</v>
      </c>
    </row>
    <row r="1420" spans="1:2" x14ac:dyDescent="0.25">
      <c r="A1420" s="8">
        <v>38509</v>
      </c>
      <c r="B1420" s="9">
        <v>12.28</v>
      </c>
    </row>
    <row r="1421" spans="1:2" x14ac:dyDescent="0.25">
      <c r="A1421" s="8">
        <v>38510</v>
      </c>
      <c r="B1421" s="9">
        <v>12.39</v>
      </c>
    </row>
    <row r="1422" spans="1:2" x14ac:dyDescent="0.25">
      <c r="A1422" s="8">
        <v>38511</v>
      </c>
      <c r="B1422" s="9">
        <v>12.7</v>
      </c>
    </row>
    <row r="1423" spans="1:2" x14ac:dyDescent="0.25">
      <c r="A1423" s="8">
        <v>38512</v>
      </c>
      <c r="B1423" s="9">
        <v>12.08</v>
      </c>
    </row>
    <row r="1424" spans="1:2" x14ac:dyDescent="0.25">
      <c r="A1424" s="8">
        <v>38513</v>
      </c>
      <c r="B1424" s="9">
        <v>11.96</v>
      </c>
    </row>
    <row r="1425" spans="1:2" x14ac:dyDescent="0.25">
      <c r="A1425" s="8">
        <v>38516</v>
      </c>
      <c r="B1425" s="9">
        <v>11.65</v>
      </c>
    </row>
    <row r="1426" spans="1:2" x14ac:dyDescent="0.25">
      <c r="A1426" s="8">
        <v>38517</v>
      </c>
      <c r="B1426" s="9">
        <v>11.79</v>
      </c>
    </row>
    <row r="1427" spans="1:2" x14ac:dyDescent="0.25">
      <c r="A1427" s="8">
        <v>38518</v>
      </c>
      <c r="B1427" s="9">
        <v>11.46</v>
      </c>
    </row>
    <row r="1428" spans="1:2" x14ac:dyDescent="0.25">
      <c r="A1428" s="8">
        <v>38519</v>
      </c>
      <c r="B1428" s="9">
        <v>11.15</v>
      </c>
    </row>
    <row r="1429" spans="1:2" x14ac:dyDescent="0.25">
      <c r="A1429" s="8">
        <v>38520</v>
      </c>
      <c r="B1429" s="9">
        <v>11.48</v>
      </c>
    </row>
    <row r="1430" spans="1:2" x14ac:dyDescent="0.25">
      <c r="A1430" s="8">
        <v>38523</v>
      </c>
      <c r="B1430" s="9">
        <v>11.47</v>
      </c>
    </row>
    <row r="1431" spans="1:2" x14ac:dyDescent="0.25">
      <c r="A1431" s="8">
        <v>38524</v>
      </c>
      <c r="B1431" s="9">
        <v>11.08</v>
      </c>
    </row>
    <row r="1432" spans="1:2" x14ac:dyDescent="0.25">
      <c r="A1432" s="8">
        <v>38525</v>
      </c>
      <c r="B1432" s="9">
        <v>11.05</v>
      </c>
    </row>
    <row r="1433" spans="1:2" x14ac:dyDescent="0.25">
      <c r="A1433" s="8">
        <v>38526</v>
      </c>
      <c r="B1433" s="9">
        <v>12.13</v>
      </c>
    </row>
    <row r="1434" spans="1:2" x14ac:dyDescent="0.25">
      <c r="A1434" s="8">
        <v>38527</v>
      </c>
      <c r="B1434" s="9">
        <v>12.18</v>
      </c>
    </row>
    <row r="1435" spans="1:2" x14ac:dyDescent="0.25">
      <c r="A1435" s="8">
        <v>38530</v>
      </c>
      <c r="B1435" s="9">
        <v>12.52</v>
      </c>
    </row>
    <row r="1436" spans="1:2" x14ac:dyDescent="0.25">
      <c r="A1436" s="8">
        <v>38531</v>
      </c>
      <c r="B1436" s="9">
        <v>11.58</v>
      </c>
    </row>
    <row r="1437" spans="1:2" x14ac:dyDescent="0.25">
      <c r="A1437" s="8">
        <v>38532</v>
      </c>
      <c r="B1437" s="9">
        <v>11.77</v>
      </c>
    </row>
    <row r="1438" spans="1:2" x14ac:dyDescent="0.25">
      <c r="A1438" s="8">
        <v>38533</v>
      </c>
      <c r="B1438" s="9">
        <v>12.04</v>
      </c>
    </row>
    <row r="1439" spans="1:2" x14ac:dyDescent="0.25">
      <c r="A1439" s="8">
        <v>38534</v>
      </c>
      <c r="B1439" s="9">
        <v>11.4</v>
      </c>
    </row>
    <row r="1440" spans="1:2" x14ac:dyDescent="0.25">
      <c r="A1440" s="8">
        <v>38537</v>
      </c>
    </row>
    <row r="1441" spans="1:2" x14ac:dyDescent="0.25">
      <c r="A1441" s="8">
        <v>38538</v>
      </c>
      <c r="B1441" s="9">
        <v>11.68</v>
      </c>
    </row>
    <row r="1442" spans="1:2" x14ac:dyDescent="0.25">
      <c r="A1442" s="8">
        <v>38539</v>
      </c>
      <c r="B1442" s="9">
        <v>12.27</v>
      </c>
    </row>
    <row r="1443" spans="1:2" x14ac:dyDescent="0.25">
      <c r="A1443" s="8">
        <v>38540</v>
      </c>
      <c r="B1443" s="9">
        <v>12.49</v>
      </c>
    </row>
    <row r="1444" spans="1:2" x14ac:dyDescent="0.25">
      <c r="A1444" s="8">
        <v>38541</v>
      </c>
      <c r="B1444" s="9">
        <v>11.45</v>
      </c>
    </row>
    <row r="1445" spans="1:2" x14ac:dyDescent="0.25">
      <c r="A1445" s="8">
        <v>38544</v>
      </c>
      <c r="B1445" s="9">
        <v>11.28</v>
      </c>
    </row>
    <row r="1446" spans="1:2" x14ac:dyDescent="0.25">
      <c r="A1446" s="8">
        <v>38545</v>
      </c>
      <c r="B1446" s="9">
        <v>10.95</v>
      </c>
    </row>
    <row r="1447" spans="1:2" x14ac:dyDescent="0.25">
      <c r="A1447" s="8">
        <v>38546</v>
      </c>
      <c r="B1447" s="9">
        <v>10.84</v>
      </c>
    </row>
    <row r="1448" spans="1:2" x14ac:dyDescent="0.25">
      <c r="A1448" s="8">
        <v>38547</v>
      </c>
      <c r="B1448" s="9">
        <v>10.81</v>
      </c>
    </row>
    <row r="1449" spans="1:2" x14ac:dyDescent="0.25">
      <c r="A1449" s="8">
        <v>38548</v>
      </c>
      <c r="B1449" s="9">
        <v>10.33</v>
      </c>
    </row>
    <row r="1450" spans="1:2" x14ac:dyDescent="0.25">
      <c r="A1450" s="8">
        <v>38551</v>
      </c>
      <c r="B1450" s="9">
        <v>10.77</v>
      </c>
    </row>
    <row r="1451" spans="1:2" x14ac:dyDescent="0.25">
      <c r="A1451" s="8">
        <v>38552</v>
      </c>
      <c r="B1451" s="9">
        <v>10.45</v>
      </c>
    </row>
    <row r="1452" spans="1:2" x14ac:dyDescent="0.25">
      <c r="A1452" s="8">
        <v>38553</v>
      </c>
      <c r="B1452" s="9">
        <v>10.23</v>
      </c>
    </row>
    <row r="1453" spans="1:2" x14ac:dyDescent="0.25">
      <c r="A1453" s="8">
        <v>38554</v>
      </c>
      <c r="B1453" s="9">
        <v>10.97</v>
      </c>
    </row>
    <row r="1454" spans="1:2" x14ac:dyDescent="0.25">
      <c r="A1454" s="8">
        <v>38555</v>
      </c>
      <c r="B1454" s="9">
        <v>10.52</v>
      </c>
    </row>
    <row r="1455" spans="1:2" x14ac:dyDescent="0.25">
      <c r="A1455" s="8">
        <v>38558</v>
      </c>
      <c r="B1455" s="9">
        <v>11.1</v>
      </c>
    </row>
    <row r="1456" spans="1:2" x14ac:dyDescent="0.25">
      <c r="A1456" s="8">
        <v>38559</v>
      </c>
      <c r="B1456" s="9">
        <v>10.99</v>
      </c>
    </row>
    <row r="1457" spans="1:2" x14ac:dyDescent="0.25">
      <c r="A1457" s="8">
        <v>38560</v>
      </c>
      <c r="B1457" s="9">
        <v>10.36</v>
      </c>
    </row>
    <row r="1458" spans="1:2" x14ac:dyDescent="0.25">
      <c r="A1458" s="8">
        <v>38561</v>
      </c>
      <c r="B1458" s="9">
        <v>10.52</v>
      </c>
    </row>
    <row r="1459" spans="1:2" x14ac:dyDescent="0.25">
      <c r="A1459" s="8">
        <v>38562</v>
      </c>
      <c r="B1459" s="9">
        <v>11.57</v>
      </c>
    </row>
    <row r="1460" spans="1:2" x14ac:dyDescent="0.25">
      <c r="A1460" s="8">
        <v>38565</v>
      </c>
      <c r="B1460" s="9">
        <v>12.08</v>
      </c>
    </row>
    <row r="1461" spans="1:2" x14ac:dyDescent="0.25">
      <c r="A1461" s="8">
        <v>38566</v>
      </c>
      <c r="B1461" s="9">
        <v>11.75</v>
      </c>
    </row>
    <row r="1462" spans="1:2" x14ac:dyDescent="0.25">
      <c r="A1462" s="8">
        <v>38567</v>
      </c>
      <c r="B1462" s="9">
        <v>11.83</v>
      </c>
    </row>
    <row r="1463" spans="1:2" x14ac:dyDescent="0.25">
      <c r="A1463" s="8">
        <v>38568</v>
      </c>
      <c r="B1463" s="9">
        <v>12.52</v>
      </c>
    </row>
    <row r="1464" spans="1:2" x14ac:dyDescent="0.25">
      <c r="A1464" s="8">
        <v>38569</v>
      </c>
      <c r="B1464" s="9">
        <v>12.48</v>
      </c>
    </row>
    <row r="1465" spans="1:2" x14ac:dyDescent="0.25">
      <c r="A1465" s="8">
        <v>38572</v>
      </c>
      <c r="B1465" s="9">
        <v>13.21</v>
      </c>
    </row>
    <row r="1466" spans="1:2" x14ac:dyDescent="0.25">
      <c r="A1466" s="8">
        <v>38573</v>
      </c>
      <c r="B1466" s="9">
        <v>12.4</v>
      </c>
    </row>
    <row r="1467" spans="1:2" x14ac:dyDescent="0.25">
      <c r="A1467" s="8">
        <v>38574</v>
      </c>
      <c r="B1467" s="9">
        <v>12.38</v>
      </c>
    </row>
    <row r="1468" spans="1:2" x14ac:dyDescent="0.25">
      <c r="A1468" s="8">
        <v>38575</v>
      </c>
      <c r="B1468" s="9">
        <v>12.42</v>
      </c>
    </row>
    <row r="1469" spans="1:2" x14ac:dyDescent="0.25">
      <c r="A1469" s="8">
        <v>38576</v>
      </c>
      <c r="B1469" s="9">
        <v>12.74</v>
      </c>
    </row>
    <row r="1470" spans="1:2" x14ac:dyDescent="0.25">
      <c r="A1470" s="8">
        <v>38579</v>
      </c>
      <c r="B1470" s="9">
        <v>12.26</v>
      </c>
    </row>
    <row r="1471" spans="1:2" x14ac:dyDescent="0.25">
      <c r="A1471" s="8">
        <v>38580</v>
      </c>
      <c r="B1471" s="9">
        <v>13.52</v>
      </c>
    </row>
    <row r="1472" spans="1:2" x14ac:dyDescent="0.25">
      <c r="A1472" s="8">
        <v>38581</v>
      </c>
      <c r="B1472" s="9">
        <v>13.3</v>
      </c>
    </row>
    <row r="1473" spans="1:2" x14ac:dyDescent="0.25">
      <c r="A1473" s="8">
        <v>38582</v>
      </c>
      <c r="B1473" s="9">
        <v>13.42</v>
      </c>
    </row>
    <row r="1474" spans="1:2" x14ac:dyDescent="0.25">
      <c r="A1474" s="8">
        <v>38583</v>
      </c>
      <c r="B1474" s="9">
        <v>13.42</v>
      </c>
    </row>
    <row r="1475" spans="1:2" x14ac:dyDescent="0.25">
      <c r="A1475" s="8">
        <v>38586</v>
      </c>
      <c r="B1475" s="9">
        <v>13.42</v>
      </c>
    </row>
    <row r="1476" spans="1:2" x14ac:dyDescent="0.25">
      <c r="A1476" s="8">
        <v>38587</v>
      </c>
      <c r="B1476" s="9">
        <v>13.34</v>
      </c>
    </row>
    <row r="1477" spans="1:2" x14ac:dyDescent="0.25">
      <c r="A1477" s="8">
        <v>38588</v>
      </c>
      <c r="B1477" s="9">
        <v>14.17</v>
      </c>
    </row>
    <row r="1478" spans="1:2" x14ac:dyDescent="0.25">
      <c r="A1478" s="8">
        <v>38589</v>
      </c>
      <c r="B1478" s="9">
        <v>13.73</v>
      </c>
    </row>
    <row r="1479" spans="1:2" x14ac:dyDescent="0.25">
      <c r="A1479" s="8">
        <v>38590</v>
      </c>
      <c r="B1479" s="9">
        <v>13.72</v>
      </c>
    </row>
    <row r="1480" spans="1:2" x14ac:dyDescent="0.25">
      <c r="A1480" s="8">
        <v>38593</v>
      </c>
      <c r="B1480" s="9">
        <v>13.52</v>
      </c>
    </row>
    <row r="1481" spans="1:2" x14ac:dyDescent="0.25">
      <c r="A1481" s="8">
        <v>38594</v>
      </c>
      <c r="B1481" s="9">
        <v>13.65</v>
      </c>
    </row>
    <row r="1482" spans="1:2" x14ac:dyDescent="0.25">
      <c r="A1482" s="8">
        <v>38595</v>
      </c>
      <c r="B1482" s="9">
        <v>12.6</v>
      </c>
    </row>
    <row r="1483" spans="1:2" x14ac:dyDescent="0.25">
      <c r="A1483" s="8">
        <v>38596</v>
      </c>
      <c r="B1483" s="9">
        <v>13.15</v>
      </c>
    </row>
    <row r="1484" spans="1:2" x14ac:dyDescent="0.25">
      <c r="A1484" s="8">
        <v>38597</v>
      </c>
      <c r="B1484" s="9">
        <v>13.57</v>
      </c>
    </row>
    <row r="1485" spans="1:2" x14ac:dyDescent="0.25">
      <c r="A1485" s="8">
        <v>38600</v>
      </c>
    </row>
    <row r="1486" spans="1:2" x14ac:dyDescent="0.25">
      <c r="A1486" s="8">
        <v>38601</v>
      </c>
      <c r="B1486" s="9">
        <v>12.93</v>
      </c>
    </row>
    <row r="1487" spans="1:2" x14ac:dyDescent="0.25">
      <c r="A1487" s="8">
        <v>38602</v>
      </c>
      <c r="B1487" s="9">
        <v>12.52</v>
      </c>
    </row>
    <row r="1488" spans="1:2" x14ac:dyDescent="0.25">
      <c r="A1488" s="8">
        <v>38603</v>
      </c>
      <c r="B1488" s="9">
        <v>12.93</v>
      </c>
    </row>
    <row r="1489" spans="1:2" x14ac:dyDescent="0.25">
      <c r="A1489" s="8">
        <v>38604</v>
      </c>
      <c r="B1489" s="9">
        <v>11.98</v>
      </c>
    </row>
    <row r="1490" spans="1:2" x14ac:dyDescent="0.25">
      <c r="A1490" s="8">
        <v>38607</v>
      </c>
      <c r="B1490" s="9">
        <v>11.65</v>
      </c>
    </row>
    <row r="1491" spans="1:2" x14ac:dyDescent="0.25">
      <c r="A1491" s="8">
        <v>38608</v>
      </c>
      <c r="B1491" s="9">
        <v>12.39</v>
      </c>
    </row>
    <row r="1492" spans="1:2" x14ac:dyDescent="0.25">
      <c r="A1492" s="8">
        <v>38609</v>
      </c>
      <c r="B1492" s="9">
        <v>12.91</v>
      </c>
    </row>
    <row r="1493" spans="1:2" x14ac:dyDescent="0.25">
      <c r="A1493" s="8">
        <v>38610</v>
      </c>
      <c r="B1493" s="9">
        <v>12.49</v>
      </c>
    </row>
    <row r="1494" spans="1:2" x14ac:dyDescent="0.25">
      <c r="A1494" s="8">
        <v>38611</v>
      </c>
      <c r="B1494" s="9">
        <v>11.22</v>
      </c>
    </row>
    <row r="1495" spans="1:2" x14ac:dyDescent="0.25">
      <c r="A1495" s="8">
        <v>38614</v>
      </c>
      <c r="B1495" s="9">
        <v>12.14</v>
      </c>
    </row>
    <row r="1496" spans="1:2" x14ac:dyDescent="0.25">
      <c r="A1496" s="8">
        <v>38615</v>
      </c>
      <c r="B1496" s="9">
        <v>12.64</v>
      </c>
    </row>
    <row r="1497" spans="1:2" x14ac:dyDescent="0.25">
      <c r="A1497" s="8">
        <v>38616</v>
      </c>
      <c r="B1497" s="9">
        <v>13.79</v>
      </c>
    </row>
    <row r="1498" spans="1:2" x14ac:dyDescent="0.25">
      <c r="A1498" s="8">
        <v>38617</v>
      </c>
      <c r="B1498" s="9">
        <v>13.33</v>
      </c>
    </row>
    <row r="1499" spans="1:2" x14ac:dyDescent="0.25">
      <c r="A1499" s="8">
        <v>38618</v>
      </c>
      <c r="B1499" s="9">
        <v>12.96</v>
      </c>
    </row>
    <row r="1500" spans="1:2" x14ac:dyDescent="0.25">
      <c r="A1500" s="8">
        <v>38621</v>
      </c>
      <c r="B1500" s="9">
        <v>13.04</v>
      </c>
    </row>
    <row r="1501" spans="1:2" x14ac:dyDescent="0.25">
      <c r="A1501" s="8">
        <v>38622</v>
      </c>
      <c r="B1501" s="9">
        <v>12.76</v>
      </c>
    </row>
    <row r="1502" spans="1:2" x14ac:dyDescent="0.25">
      <c r="A1502" s="8">
        <v>38623</v>
      </c>
      <c r="B1502" s="9">
        <v>12.63</v>
      </c>
    </row>
    <row r="1503" spans="1:2" x14ac:dyDescent="0.25">
      <c r="A1503" s="8">
        <v>38624</v>
      </c>
      <c r="B1503" s="9">
        <v>12.24</v>
      </c>
    </row>
    <row r="1504" spans="1:2" x14ac:dyDescent="0.25">
      <c r="A1504" s="8">
        <v>38625</v>
      </c>
      <c r="B1504" s="9">
        <v>11.92</v>
      </c>
    </row>
    <row r="1505" spans="1:2" x14ac:dyDescent="0.25">
      <c r="A1505" s="8">
        <v>38628</v>
      </c>
      <c r="B1505" s="9">
        <v>12.46</v>
      </c>
    </row>
    <row r="1506" spans="1:2" x14ac:dyDescent="0.25">
      <c r="A1506" s="8">
        <v>38629</v>
      </c>
      <c r="B1506" s="9">
        <v>13.2</v>
      </c>
    </row>
    <row r="1507" spans="1:2" x14ac:dyDescent="0.25">
      <c r="A1507" s="8">
        <v>38630</v>
      </c>
      <c r="B1507" s="9">
        <v>14.55</v>
      </c>
    </row>
    <row r="1508" spans="1:2" x14ac:dyDescent="0.25">
      <c r="A1508" s="8">
        <v>38631</v>
      </c>
      <c r="B1508" s="9">
        <v>14.96</v>
      </c>
    </row>
    <row r="1509" spans="1:2" x14ac:dyDescent="0.25">
      <c r="A1509" s="8">
        <v>38632</v>
      </c>
      <c r="B1509" s="9">
        <v>14.59</v>
      </c>
    </row>
    <row r="1510" spans="1:2" x14ac:dyDescent="0.25">
      <c r="A1510" s="8">
        <v>38635</v>
      </c>
      <c r="B1510" s="9">
        <v>15.55</v>
      </c>
    </row>
    <row r="1511" spans="1:2" x14ac:dyDescent="0.25">
      <c r="A1511" s="8">
        <v>38636</v>
      </c>
      <c r="B1511" s="9">
        <v>15.63</v>
      </c>
    </row>
    <row r="1512" spans="1:2" x14ac:dyDescent="0.25">
      <c r="A1512" s="8">
        <v>38637</v>
      </c>
      <c r="B1512" s="9">
        <v>16.22</v>
      </c>
    </row>
    <row r="1513" spans="1:2" x14ac:dyDescent="0.25">
      <c r="A1513" s="8">
        <v>38638</v>
      </c>
      <c r="B1513" s="9">
        <v>16.47</v>
      </c>
    </row>
    <row r="1514" spans="1:2" x14ac:dyDescent="0.25">
      <c r="A1514" s="8">
        <v>38639</v>
      </c>
      <c r="B1514" s="9">
        <v>14.87</v>
      </c>
    </row>
    <row r="1515" spans="1:2" x14ac:dyDescent="0.25">
      <c r="A1515" s="8">
        <v>38642</v>
      </c>
      <c r="B1515" s="9">
        <v>14.67</v>
      </c>
    </row>
    <row r="1516" spans="1:2" x14ac:dyDescent="0.25">
      <c r="A1516" s="8">
        <v>38643</v>
      </c>
      <c r="B1516" s="9">
        <v>15.33</v>
      </c>
    </row>
    <row r="1517" spans="1:2" x14ac:dyDescent="0.25">
      <c r="A1517" s="8">
        <v>38644</v>
      </c>
      <c r="B1517" s="9">
        <v>13.5</v>
      </c>
    </row>
    <row r="1518" spans="1:2" x14ac:dyDescent="0.25">
      <c r="A1518" s="8">
        <v>38645</v>
      </c>
      <c r="B1518" s="9">
        <v>16.11</v>
      </c>
    </row>
    <row r="1519" spans="1:2" x14ac:dyDescent="0.25">
      <c r="A1519" s="8">
        <v>38646</v>
      </c>
      <c r="B1519" s="9">
        <v>16.13</v>
      </c>
    </row>
    <row r="1520" spans="1:2" x14ac:dyDescent="0.25">
      <c r="A1520" s="8">
        <v>38649</v>
      </c>
      <c r="B1520" s="9">
        <v>14.74</v>
      </c>
    </row>
    <row r="1521" spans="1:2" x14ac:dyDescent="0.25">
      <c r="A1521" s="8">
        <v>38650</v>
      </c>
      <c r="B1521" s="9">
        <v>14.53</v>
      </c>
    </row>
    <row r="1522" spans="1:2" x14ac:dyDescent="0.25">
      <c r="A1522" s="8">
        <v>38651</v>
      </c>
      <c r="B1522" s="9">
        <v>14.59</v>
      </c>
    </row>
    <row r="1523" spans="1:2" x14ac:dyDescent="0.25">
      <c r="A1523" s="8">
        <v>38652</v>
      </c>
      <c r="B1523" s="9">
        <v>16.02</v>
      </c>
    </row>
    <row r="1524" spans="1:2" x14ac:dyDescent="0.25">
      <c r="A1524" s="8">
        <v>38653</v>
      </c>
      <c r="B1524" s="9">
        <v>14.25</v>
      </c>
    </row>
    <row r="1525" spans="1:2" x14ac:dyDescent="0.25">
      <c r="A1525" s="8">
        <v>38656</v>
      </c>
      <c r="B1525" s="9">
        <v>15.32</v>
      </c>
    </row>
    <row r="1526" spans="1:2" x14ac:dyDescent="0.25">
      <c r="A1526" s="8">
        <v>38657</v>
      </c>
      <c r="B1526" s="9">
        <v>14.85</v>
      </c>
    </row>
    <row r="1527" spans="1:2" x14ac:dyDescent="0.25">
      <c r="A1527" s="8">
        <v>38658</v>
      </c>
      <c r="B1527" s="9">
        <v>13.48</v>
      </c>
    </row>
    <row r="1528" spans="1:2" x14ac:dyDescent="0.25">
      <c r="A1528" s="8">
        <v>38659</v>
      </c>
      <c r="B1528" s="9">
        <v>13</v>
      </c>
    </row>
    <row r="1529" spans="1:2" x14ac:dyDescent="0.25">
      <c r="A1529" s="8">
        <v>38660</v>
      </c>
      <c r="B1529" s="9">
        <v>13.17</v>
      </c>
    </row>
    <row r="1530" spans="1:2" x14ac:dyDescent="0.25">
      <c r="A1530" s="8">
        <v>38663</v>
      </c>
      <c r="B1530" s="9">
        <v>13.1</v>
      </c>
    </row>
    <row r="1531" spans="1:2" x14ac:dyDescent="0.25">
      <c r="A1531" s="8">
        <v>38664</v>
      </c>
      <c r="B1531" s="9">
        <v>13.08</v>
      </c>
    </row>
    <row r="1532" spans="1:2" x14ac:dyDescent="0.25">
      <c r="A1532" s="8">
        <v>38665</v>
      </c>
      <c r="B1532" s="9">
        <v>12.8</v>
      </c>
    </row>
    <row r="1533" spans="1:2" x14ac:dyDescent="0.25">
      <c r="A1533" s="8">
        <v>38666</v>
      </c>
      <c r="B1533" s="9">
        <v>11.9</v>
      </c>
    </row>
    <row r="1534" spans="1:2" x14ac:dyDescent="0.25">
      <c r="A1534" s="8">
        <v>38667</v>
      </c>
      <c r="B1534" s="9">
        <v>11.63</v>
      </c>
    </row>
    <row r="1535" spans="1:2" x14ac:dyDescent="0.25">
      <c r="A1535" s="8">
        <v>38670</v>
      </c>
      <c r="B1535" s="9">
        <v>12.18</v>
      </c>
    </row>
    <row r="1536" spans="1:2" x14ac:dyDescent="0.25">
      <c r="A1536" s="8">
        <v>38671</v>
      </c>
      <c r="B1536" s="9">
        <v>12.23</v>
      </c>
    </row>
    <row r="1537" spans="1:2" x14ac:dyDescent="0.25">
      <c r="A1537" s="8">
        <v>38672</v>
      </c>
      <c r="B1537" s="9">
        <v>12.26</v>
      </c>
    </row>
    <row r="1538" spans="1:2" x14ac:dyDescent="0.25">
      <c r="A1538" s="8">
        <v>38673</v>
      </c>
      <c r="B1538" s="9">
        <v>11.25</v>
      </c>
    </row>
    <row r="1539" spans="1:2" x14ac:dyDescent="0.25">
      <c r="A1539" s="8">
        <v>38674</v>
      </c>
      <c r="B1539" s="9">
        <v>11.12</v>
      </c>
    </row>
    <row r="1540" spans="1:2" x14ac:dyDescent="0.25">
      <c r="A1540" s="8">
        <v>38677</v>
      </c>
      <c r="B1540" s="9">
        <v>10.82</v>
      </c>
    </row>
    <row r="1541" spans="1:2" x14ac:dyDescent="0.25">
      <c r="A1541" s="8">
        <v>38678</v>
      </c>
      <c r="B1541" s="9">
        <v>10.6</v>
      </c>
    </row>
    <row r="1542" spans="1:2" x14ac:dyDescent="0.25">
      <c r="A1542" s="8">
        <v>38679</v>
      </c>
      <c r="B1542" s="9">
        <v>10.96</v>
      </c>
    </row>
    <row r="1543" spans="1:2" x14ac:dyDescent="0.25">
      <c r="A1543" s="8">
        <v>38680</v>
      </c>
    </row>
    <row r="1544" spans="1:2" x14ac:dyDescent="0.25">
      <c r="A1544" s="8">
        <v>38681</v>
      </c>
      <c r="B1544" s="9">
        <v>10.88</v>
      </c>
    </row>
    <row r="1545" spans="1:2" x14ac:dyDescent="0.25">
      <c r="A1545" s="8">
        <v>38684</v>
      </c>
      <c r="B1545" s="9">
        <v>11.84</v>
      </c>
    </row>
    <row r="1546" spans="1:2" x14ac:dyDescent="0.25">
      <c r="A1546" s="8">
        <v>38685</v>
      </c>
      <c r="B1546" s="9">
        <v>11.89</v>
      </c>
    </row>
    <row r="1547" spans="1:2" x14ac:dyDescent="0.25">
      <c r="A1547" s="8">
        <v>38686</v>
      </c>
      <c r="B1547" s="9">
        <v>12.06</v>
      </c>
    </row>
    <row r="1548" spans="1:2" x14ac:dyDescent="0.25">
      <c r="A1548" s="8">
        <v>38687</v>
      </c>
      <c r="B1548" s="9">
        <v>11.24</v>
      </c>
    </row>
    <row r="1549" spans="1:2" x14ac:dyDescent="0.25">
      <c r="A1549" s="8">
        <v>38688</v>
      </c>
      <c r="B1549" s="9">
        <v>11.01</v>
      </c>
    </row>
    <row r="1550" spans="1:2" x14ac:dyDescent="0.25">
      <c r="A1550" s="8">
        <v>38691</v>
      </c>
      <c r="B1550" s="9">
        <v>11.6</v>
      </c>
    </row>
    <row r="1551" spans="1:2" x14ac:dyDescent="0.25">
      <c r="A1551" s="8">
        <v>38692</v>
      </c>
      <c r="B1551" s="9">
        <v>11.52</v>
      </c>
    </row>
    <row r="1552" spans="1:2" x14ac:dyDescent="0.25">
      <c r="A1552" s="8">
        <v>38693</v>
      </c>
      <c r="B1552" s="9">
        <v>12.18</v>
      </c>
    </row>
    <row r="1553" spans="1:2" x14ac:dyDescent="0.25">
      <c r="A1553" s="8">
        <v>38694</v>
      </c>
      <c r="B1553" s="9">
        <v>12.21</v>
      </c>
    </row>
    <row r="1554" spans="1:2" x14ac:dyDescent="0.25">
      <c r="A1554" s="8">
        <v>38695</v>
      </c>
      <c r="B1554" s="9">
        <v>11.69</v>
      </c>
    </row>
    <row r="1555" spans="1:2" x14ac:dyDescent="0.25">
      <c r="A1555" s="8">
        <v>38698</v>
      </c>
      <c r="B1555" s="9">
        <v>11.47</v>
      </c>
    </row>
    <row r="1556" spans="1:2" x14ac:dyDescent="0.25">
      <c r="A1556" s="8">
        <v>38699</v>
      </c>
      <c r="B1556" s="9">
        <v>11.11</v>
      </c>
    </row>
    <row r="1557" spans="1:2" x14ac:dyDescent="0.25">
      <c r="A1557" s="8">
        <v>38700</v>
      </c>
      <c r="B1557" s="9">
        <v>10.48</v>
      </c>
    </row>
    <row r="1558" spans="1:2" x14ac:dyDescent="0.25">
      <c r="A1558" s="8">
        <v>38701</v>
      </c>
      <c r="B1558" s="9">
        <v>10.73</v>
      </c>
    </row>
    <row r="1559" spans="1:2" x14ac:dyDescent="0.25">
      <c r="A1559" s="8">
        <v>38702</v>
      </c>
      <c r="B1559" s="9">
        <v>10.68</v>
      </c>
    </row>
    <row r="1560" spans="1:2" x14ac:dyDescent="0.25">
      <c r="A1560" s="8">
        <v>38705</v>
      </c>
      <c r="B1560" s="9">
        <v>11.38</v>
      </c>
    </row>
    <row r="1561" spans="1:2" x14ac:dyDescent="0.25">
      <c r="A1561" s="8">
        <v>38706</v>
      </c>
      <c r="B1561" s="9">
        <v>11.19</v>
      </c>
    </row>
    <row r="1562" spans="1:2" x14ac:dyDescent="0.25">
      <c r="A1562" s="8">
        <v>38707</v>
      </c>
      <c r="B1562" s="9">
        <v>10.81</v>
      </c>
    </row>
    <row r="1563" spans="1:2" x14ac:dyDescent="0.25">
      <c r="A1563" s="8">
        <v>38708</v>
      </c>
      <c r="B1563" s="9">
        <v>10.29</v>
      </c>
    </row>
    <row r="1564" spans="1:2" x14ac:dyDescent="0.25">
      <c r="A1564" s="8">
        <v>38709</v>
      </c>
      <c r="B1564" s="9">
        <v>10.27</v>
      </c>
    </row>
    <row r="1565" spans="1:2" x14ac:dyDescent="0.25">
      <c r="A1565" s="8">
        <v>38712</v>
      </c>
    </row>
    <row r="1566" spans="1:2" x14ac:dyDescent="0.25">
      <c r="A1566" s="8">
        <v>38713</v>
      </c>
      <c r="B1566" s="9">
        <v>11.57</v>
      </c>
    </row>
    <row r="1567" spans="1:2" x14ac:dyDescent="0.25">
      <c r="A1567" s="8">
        <v>38714</v>
      </c>
      <c r="B1567" s="9">
        <v>11.35</v>
      </c>
    </row>
    <row r="1568" spans="1:2" x14ac:dyDescent="0.25">
      <c r="A1568" s="8">
        <v>38715</v>
      </c>
      <c r="B1568" s="9">
        <v>11.61</v>
      </c>
    </row>
    <row r="1569" spans="1:2" x14ac:dyDescent="0.25">
      <c r="A1569" s="8">
        <v>38716</v>
      </c>
      <c r="B1569" s="9">
        <v>12.07</v>
      </c>
    </row>
    <row r="1570" spans="1:2" x14ac:dyDescent="0.25">
      <c r="A1570" s="8">
        <v>38719</v>
      </c>
    </row>
    <row r="1571" spans="1:2" x14ac:dyDescent="0.25">
      <c r="A1571" s="8">
        <v>38720</v>
      </c>
      <c r="B1571" s="9">
        <v>11.14</v>
      </c>
    </row>
    <row r="1572" spans="1:2" x14ac:dyDescent="0.25">
      <c r="A1572" s="8">
        <v>38721</v>
      </c>
      <c r="B1572" s="9">
        <v>11.37</v>
      </c>
    </row>
    <row r="1573" spans="1:2" x14ac:dyDescent="0.25">
      <c r="A1573" s="8">
        <v>38722</v>
      </c>
      <c r="B1573" s="9">
        <v>11.31</v>
      </c>
    </row>
    <row r="1574" spans="1:2" x14ac:dyDescent="0.25">
      <c r="A1574" s="8">
        <v>38723</v>
      </c>
      <c r="B1574" s="9">
        <v>11</v>
      </c>
    </row>
    <row r="1575" spans="1:2" x14ac:dyDescent="0.25">
      <c r="A1575" s="8">
        <v>38726</v>
      </c>
      <c r="B1575" s="9">
        <v>11.13</v>
      </c>
    </row>
    <row r="1576" spans="1:2" x14ac:dyDescent="0.25">
      <c r="A1576" s="8">
        <v>38727</v>
      </c>
      <c r="B1576" s="9">
        <v>10.86</v>
      </c>
    </row>
    <row r="1577" spans="1:2" x14ac:dyDescent="0.25">
      <c r="A1577" s="8">
        <v>38728</v>
      </c>
      <c r="B1577" s="9">
        <v>10.94</v>
      </c>
    </row>
    <row r="1578" spans="1:2" x14ac:dyDescent="0.25">
      <c r="A1578" s="8">
        <v>38729</v>
      </c>
      <c r="B1578" s="9">
        <v>11.2</v>
      </c>
    </row>
    <row r="1579" spans="1:2" x14ac:dyDescent="0.25">
      <c r="A1579" s="8">
        <v>38730</v>
      </c>
      <c r="B1579" s="9">
        <v>11.23</v>
      </c>
    </row>
    <row r="1580" spans="1:2" x14ac:dyDescent="0.25">
      <c r="A1580" s="8">
        <v>38733</v>
      </c>
    </row>
    <row r="1581" spans="1:2" x14ac:dyDescent="0.25">
      <c r="A1581" s="8">
        <v>38734</v>
      </c>
      <c r="B1581" s="9">
        <v>11.91</v>
      </c>
    </row>
    <row r="1582" spans="1:2" x14ac:dyDescent="0.25">
      <c r="A1582" s="8">
        <v>38735</v>
      </c>
      <c r="B1582" s="9">
        <v>12.25</v>
      </c>
    </row>
    <row r="1583" spans="1:2" x14ac:dyDescent="0.25">
      <c r="A1583" s="8">
        <v>38736</v>
      </c>
      <c r="B1583" s="9">
        <v>11.98</v>
      </c>
    </row>
    <row r="1584" spans="1:2" x14ac:dyDescent="0.25">
      <c r="A1584" s="8">
        <v>38737</v>
      </c>
      <c r="B1584" s="9">
        <v>14.56</v>
      </c>
    </row>
    <row r="1585" spans="1:2" x14ac:dyDescent="0.25">
      <c r="A1585" s="8">
        <v>38740</v>
      </c>
      <c r="B1585" s="9">
        <v>13.93</v>
      </c>
    </row>
    <row r="1586" spans="1:2" x14ac:dyDescent="0.25">
      <c r="A1586" s="8">
        <v>38741</v>
      </c>
      <c r="B1586" s="9">
        <v>13.31</v>
      </c>
    </row>
    <row r="1587" spans="1:2" x14ac:dyDescent="0.25">
      <c r="A1587" s="8">
        <v>38742</v>
      </c>
      <c r="B1587" s="9">
        <v>12.87</v>
      </c>
    </row>
    <row r="1588" spans="1:2" x14ac:dyDescent="0.25">
      <c r="A1588" s="8">
        <v>38743</v>
      </c>
      <c r="B1588" s="9">
        <v>12.42</v>
      </c>
    </row>
    <row r="1589" spans="1:2" x14ac:dyDescent="0.25">
      <c r="A1589" s="8">
        <v>38744</v>
      </c>
      <c r="B1589" s="9">
        <v>11.97</v>
      </c>
    </row>
    <row r="1590" spans="1:2" x14ac:dyDescent="0.25">
      <c r="A1590" s="8">
        <v>38747</v>
      </c>
      <c r="B1590" s="9">
        <v>12.39</v>
      </c>
    </row>
    <row r="1591" spans="1:2" x14ac:dyDescent="0.25">
      <c r="A1591" s="8">
        <v>38748</v>
      </c>
      <c r="B1591" s="9">
        <v>12.95</v>
      </c>
    </row>
    <row r="1592" spans="1:2" x14ac:dyDescent="0.25">
      <c r="A1592" s="8">
        <v>38749</v>
      </c>
      <c r="B1592" s="9">
        <v>12.36</v>
      </c>
    </row>
    <row r="1593" spans="1:2" x14ac:dyDescent="0.25">
      <c r="A1593" s="8">
        <v>38750</v>
      </c>
      <c r="B1593" s="9">
        <v>13.23</v>
      </c>
    </row>
    <row r="1594" spans="1:2" x14ac:dyDescent="0.25">
      <c r="A1594" s="8">
        <v>38751</v>
      </c>
      <c r="B1594" s="9">
        <v>12.96</v>
      </c>
    </row>
    <row r="1595" spans="1:2" x14ac:dyDescent="0.25">
      <c r="A1595" s="8">
        <v>38754</v>
      </c>
      <c r="B1595" s="9">
        <v>13.04</v>
      </c>
    </row>
    <row r="1596" spans="1:2" x14ac:dyDescent="0.25">
      <c r="A1596" s="8">
        <v>38755</v>
      </c>
      <c r="B1596" s="9">
        <v>13.59</v>
      </c>
    </row>
    <row r="1597" spans="1:2" x14ac:dyDescent="0.25">
      <c r="A1597" s="8">
        <v>38756</v>
      </c>
      <c r="B1597" s="9">
        <v>12.83</v>
      </c>
    </row>
    <row r="1598" spans="1:2" x14ac:dyDescent="0.25">
      <c r="A1598" s="8">
        <v>38757</v>
      </c>
      <c r="B1598" s="9">
        <v>13.12</v>
      </c>
    </row>
    <row r="1599" spans="1:2" x14ac:dyDescent="0.25">
      <c r="A1599" s="8">
        <v>38758</v>
      </c>
      <c r="B1599" s="9">
        <v>12.87</v>
      </c>
    </row>
    <row r="1600" spans="1:2" x14ac:dyDescent="0.25">
      <c r="A1600" s="8">
        <v>38761</v>
      </c>
      <c r="B1600" s="9">
        <v>13.35</v>
      </c>
    </row>
    <row r="1601" spans="1:2" x14ac:dyDescent="0.25">
      <c r="A1601" s="8">
        <v>38762</v>
      </c>
      <c r="B1601" s="9">
        <v>12.25</v>
      </c>
    </row>
    <row r="1602" spans="1:2" x14ac:dyDescent="0.25">
      <c r="A1602" s="8">
        <v>38763</v>
      </c>
      <c r="B1602" s="9">
        <v>12.31</v>
      </c>
    </row>
    <row r="1603" spans="1:2" x14ac:dyDescent="0.25">
      <c r="A1603" s="8">
        <v>38764</v>
      </c>
      <c r="B1603" s="9">
        <v>11.48</v>
      </c>
    </row>
    <row r="1604" spans="1:2" x14ac:dyDescent="0.25">
      <c r="A1604" s="8">
        <v>38765</v>
      </c>
      <c r="B1604" s="9">
        <v>12.01</v>
      </c>
    </row>
    <row r="1605" spans="1:2" x14ac:dyDescent="0.25">
      <c r="A1605" s="8">
        <v>38768</v>
      </c>
    </row>
    <row r="1606" spans="1:2" x14ac:dyDescent="0.25">
      <c r="A1606" s="8">
        <v>38769</v>
      </c>
      <c r="B1606" s="9">
        <v>12.41</v>
      </c>
    </row>
    <row r="1607" spans="1:2" x14ac:dyDescent="0.25">
      <c r="A1607" s="8">
        <v>38770</v>
      </c>
      <c r="B1607" s="9">
        <v>11.88</v>
      </c>
    </row>
    <row r="1608" spans="1:2" x14ac:dyDescent="0.25">
      <c r="A1608" s="8">
        <v>38771</v>
      </c>
      <c r="B1608" s="9">
        <v>11.87</v>
      </c>
    </row>
    <row r="1609" spans="1:2" x14ac:dyDescent="0.25">
      <c r="A1609" s="8">
        <v>38772</v>
      </c>
      <c r="B1609" s="9">
        <v>11.46</v>
      </c>
    </row>
    <row r="1610" spans="1:2" x14ac:dyDescent="0.25">
      <c r="A1610" s="8">
        <v>38775</v>
      </c>
      <c r="B1610" s="9">
        <v>11.59</v>
      </c>
    </row>
    <row r="1611" spans="1:2" x14ac:dyDescent="0.25">
      <c r="A1611" s="8">
        <v>38776</v>
      </c>
      <c r="B1611" s="9">
        <v>12.34</v>
      </c>
    </row>
    <row r="1612" spans="1:2" x14ac:dyDescent="0.25">
      <c r="A1612" s="8">
        <v>38777</v>
      </c>
      <c r="B1612" s="9">
        <v>11.54</v>
      </c>
    </row>
    <row r="1613" spans="1:2" x14ac:dyDescent="0.25">
      <c r="A1613" s="8">
        <v>38778</v>
      </c>
      <c r="B1613" s="9">
        <v>11.72</v>
      </c>
    </row>
    <row r="1614" spans="1:2" x14ac:dyDescent="0.25">
      <c r="A1614" s="8">
        <v>38779</v>
      </c>
      <c r="B1614" s="9">
        <v>11.96</v>
      </c>
    </row>
    <row r="1615" spans="1:2" x14ac:dyDescent="0.25">
      <c r="A1615" s="8">
        <v>38782</v>
      </c>
      <c r="B1615" s="9">
        <v>12.74</v>
      </c>
    </row>
    <row r="1616" spans="1:2" x14ac:dyDescent="0.25">
      <c r="A1616" s="8">
        <v>38783</v>
      </c>
      <c r="B1616" s="9">
        <v>12.66</v>
      </c>
    </row>
    <row r="1617" spans="1:2" x14ac:dyDescent="0.25">
      <c r="A1617" s="8">
        <v>38784</v>
      </c>
      <c r="B1617" s="9">
        <v>12.32</v>
      </c>
    </row>
    <row r="1618" spans="1:2" x14ac:dyDescent="0.25">
      <c r="A1618" s="8">
        <v>38785</v>
      </c>
      <c r="B1618" s="9">
        <v>12.68</v>
      </c>
    </row>
    <row r="1619" spans="1:2" x14ac:dyDescent="0.25">
      <c r="A1619" s="8">
        <v>38786</v>
      </c>
      <c r="B1619" s="9">
        <v>11.85</v>
      </c>
    </row>
    <row r="1620" spans="1:2" x14ac:dyDescent="0.25">
      <c r="A1620" s="8">
        <v>38789</v>
      </c>
      <c r="B1620" s="9">
        <v>11.37</v>
      </c>
    </row>
    <row r="1621" spans="1:2" x14ac:dyDescent="0.25">
      <c r="A1621" s="8">
        <v>38790</v>
      </c>
      <c r="B1621" s="9">
        <v>10.74</v>
      </c>
    </row>
    <row r="1622" spans="1:2" x14ac:dyDescent="0.25">
      <c r="A1622" s="8">
        <v>38791</v>
      </c>
      <c r="B1622" s="9">
        <v>11.35</v>
      </c>
    </row>
    <row r="1623" spans="1:2" x14ac:dyDescent="0.25">
      <c r="A1623" s="8">
        <v>38792</v>
      </c>
      <c r="B1623" s="9">
        <v>11.98</v>
      </c>
    </row>
    <row r="1624" spans="1:2" x14ac:dyDescent="0.25">
      <c r="A1624" s="8">
        <v>38793</v>
      </c>
      <c r="B1624" s="9">
        <v>12.12</v>
      </c>
    </row>
    <row r="1625" spans="1:2" x14ac:dyDescent="0.25">
      <c r="A1625" s="8">
        <v>38796</v>
      </c>
      <c r="B1625" s="9">
        <v>11.79</v>
      </c>
    </row>
    <row r="1626" spans="1:2" x14ac:dyDescent="0.25">
      <c r="A1626" s="8">
        <v>38797</v>
      </c>
      <c r="B1626" s="9">
        <v>11.62</v>
      </c>
    </row>
    <row r="1627" spans="1:2" x14ac:dyDescent="0.25">
      <c r="A1627" s="8">
        <v>38798</v>
      </c>
      <c r="B1627" s="9">
        <v>11.21</v>
      </c>
    </row>
    <row r="1628" spans="1:2" x14ac:dyDescent="0.25">
      <c r="A1628" s="8">
        <v>38799</v>
      </c>
      <c r="B1628" s="9">
        <v>11.17</v>
      </c>
    </row>
    <row r="1629" spans="1:2" x14ac:dyDescent="0.25">
      <c r="A1629" s="8">
        <v>38800</v>
      </c>
      <c r="B1629" s="9">
        <v>11.19</v>
      </c>
    </row>
    <row r="1630" spans="1:2" x14ac:dyDescent="0.25">
      <c r="A1630" s="8">
        <v>38803</v>
      </c>
      <c r="B1630" s="9">
        <v>11.46</v>
      </c>
    </row>
    <row r="1631" spans="1:2" x14ac:dyDescent="0.25">
      <c r="A1631" s="8">
        <v>38804</v>
      </c>
      <c r="B1631" s="9">
        <v>11.58</v>
      </c>
    </row>
    <row r="1632" spans="1:2" x14ac:dyDescent="0.25">
      <c r="A1632" s="8">
        <v>38805</v>
      </c>
      <c r="B1632" s="9">
        <v>10.95</v>
      </c>
    </row>
    <row r="1633" spans="1:2" x14ac:dyDescent="0.25">
      <c r="A1633" s="8">
        <v>38806</v>
      </c>
      <c r="B1633" s="9">
        <v>11.57</v>
      </c>
    </row>
    <row r="1634" spans="1:2" x14ac:dyDescent="0.25">
      <c r="A1634" s="8">
        <v>38807</v>
      </c>
      <c r="B1634" s="9">
        <v>11.39</v>
      </c>
    </row>
    <row r="1635" spans="1:2" x14ac:dyDescent="0.25">
      <c r="A1635" s="8">
        <v>38810</v>
      </c>
      <c r="B1635" s="9">
        <v>11.57</v>
      </c>
    </row>
    <row r="1636" spans="1:2" x14ac:dyDescent="0.25">
      <c r="A1636" s="8">
        <v>38811</v>
      </c>
      <c r="B1636" s="9">
        <v>11.14</v>
      </c>
    </row>
    <row r="1637" spans="1:2" x14ac:dyDescent="0.25">
      <c r="A1637" s="8">
        <v>38812</v>
      </c>
      <c r="B1637" s="9">
        <v>11.13</v>
      </c>
    </row>
    <row r="1638" spans="1:2" x14ac:dyDescent="0.25">
      <c r="A1638" s="8">
        <v>38813</v>
      </c>
      <c r="B1638" s="9">
        <v>11.45</v>
      </c>
    </row>
    <row r="1639" spans="1:2" x14ac:dyDescent="0.25">
      <c r="A1639" s="8">
        <v>38814</v>
      </c>
      <c r="B1639" s="9">
        <v>12.26</v>
      </c>
    </row>
    <row r="1640" spans="1:2" x14ac:dyDescent="0.25">
      <c r="A1640" s="8">
        <v>38817</v>
      </c>
      <c r="B1640" s="9">
        <v>12.19</v>
      </c>
    </row>
    <row r="1641" spans="1:2" x14ac:dyDescent="0.25">
      <c r="A1641" s="8">
        <v>38818</v>
      </c>
      <c r="B1641" s="9">
        <v>13</v>
      </c>
    </row>
    <row r="1642" spans="1:2" x14ac:dyDescent="0.25">
      <c r="A1642" s="8">
        <v>38819</v>
      </c>
      <c r="B1642" s="9">
        <v>12.76</v>
      </c>
    </row>
    <row r="1643" spans="1:2" x14ac:dyDescent="0.25">
      <c r="A1643" s="8">
        <v>38820</v>
      </c>
      <c r="B1643" s="9">
        <v>12.38</v>
      </c>
    </row>
    <row r="1644" spans="1:2" x14ac:dyDescent="0.25">
      <c r="A1644" s="8">
        <v>38821</v>
      </c>
    </row>
    <row r="1645" spans="1:2" x14ac:dyDescent="0.25">
      <c r="A1645" s="8">
        <v>38824</v>
      </c>
      <c r="B1645" s="9">
        <v>12.58</v>
      </c>
    </row>
    <row r="1646" spans="1:2" x14ac:dyDescent="0.25">
      <c r="A1646" s="8">
        <v>38825</v>
      </c>
      <c r="B1646" s="9">
        <v>11.4</v>
      </c>
    </row>
    <row r="1647" spans="1:2" x14ac:dyDescent="0.25">
      <c r="A1647" s="8">
        <v>38826</v>
      </c>
      <c r="B1647" s="9">
        <v>11.32</v>
      </c>
    </row>
    <row r="1648" spans="1:2" x14ac:dyDescent="0.25">
      <c r="A1648" s="8">
        <v>38827</v>
      </c>
      <c r="B1648" s="9">
        <v>11.64</v>
      </c>
    </row>
    <row r="1649" spans="1:2" x14ac:dyDescent="0.25">
      <c r="A1649" s="8">
        <v>38828</v>
      </c>
      <c r="B1649" s="9">
        <v>11.59</v>
      </c>
    </row>
    <row r="1650" spans="1:2" x14ac:dyDescent="0.25">
      <c r="A1650" s="8">
        <v>38831</v>
      </c>
      <c r="B1650" s="9">
        <v>11.75</v>
      </c>
    </row>
    <row r="1651" spans="1:2" x14ac:dyDescent="0.25">
      <c r="A1651" s="8">
        <v>38832</v>
      </c>
      <c r="B1651" s="9">
        <v>11.75</v>
      </c>
    </row>
    <row r="1652" spans="1:2" x14ac:dyDescent="0.25">
      <c r="A1652" s="8">
        <v>38833</v>
      </c>
      <c r="B1652" s="9">
        <v>11.76</v>
      </c>
    </row>
    <row r="1653" spans="1:2" x14ac:dyDescent="0.25">
      <c r="A1653" s="8">
        <v>38834</v>
      </c>
      <c r="B1653" s="9">
        <v>11.84</v>
      </c>
    </row>
    <row r="1654" spans="1:2" x14ac:dyDescent="0.25">
      <c r="A1654" s="8">
        <v>38835</v>
      </c>
      <c r="B1654" s="9">
        <v>11.59</v>
      </c>
    </row>
    <row r="1655" spans="1:2" x14ac:dyDescent="0.25">
      <c r="A1655" s="8">
        <v>38838</v>
      </c>
      <c r="B1655" s="9">
        <v>12.54</v>
      </c>
    </row>
    <row r="1656" spans="1:2" x14ac:dyDescent="0.25">
      <c r="A1656" s="8">
        <v>38839</v>
      </c>
      <c r="B1656" s="9">
        <v>11.99</v>
      </c>
    </row>
    <row r="1657" spans="1:2" x14ac:dyDescent="0.25">
      <c r="A1657" s="8">
        <v>38840</v>
      </c>
      <c r="B1657" s="9">
        <v>11.99</v>
      </c>
    </row>
    <row r="1658" spans="1:2" x14ac:dyDescent="0.25">
      <c r="A1658" s="8">
        <v>38841</v>
      </c>
      <c r="B1658" s="9">
        <v>11.86</v>
      </c>
    </row>
    <row r="1659" spans="1:2" x14ac:dyDescent="0.25">
      <c r="A1659" s="8">
        <v>38842</v>
      </c>
      <c r="B1659" s="9">
        <v>11.62</v>
      </c>
    </row>
    <row r="1660" spans="1:2" x14ac:dyDescent="0.25">
      <c r="A1660" s="8">
        <v>38845</v>
      </c>
      <c r="B1660" s="9">
        <v>12</v>
      </c>
    </row>
    <row r="1661" spans="1:2" x14ac:dyDescent="0.25">
      <c r="A1661" s="8">
        <v>38846</v>
      </c>
      <c r="B1661" s="9">
        <v>11.99</v>
      </c>
    </row>
    <row r="1662" spans="1:2" x14ac:dyDescent="0.25">
      <c r="A1662" s="8">
        <v>38847</v>
      </c>
      <c r="B1662" s="9">
        <v>11.78</v>
      </c>
    </row>
    <row r="1663" spans="1:2" x14ac:dyDescent="0.25">
      <c r="A1663" s="8">
        <v>38848</v>
      </c>
      <c r="B1663" s="9">
        <v>12.49</v>
      </c>
    </row>
    <row r="1664" spans="1:2" x14ac:dyDescent="0.25">
      <c r="A1664" s="8">
        <v>38849</v>
      </c>
      <c r="B1664" s="9">
        <v>14.19</v>
      </c>
    </row>
    <row r="1665" spans="1:2" x14ac:dyDescent="0.25">
      <c r="A1665" s="8">
        <v>38852</v>
      </c>
      <c r="B1665" s="9">
        <v>13.57</v>
      </c>
    </row>
    <row r="1666" spans="1:2" x14ac:dyDescent="0.25">
      <c r="A1666" s="8">
        <v>38853</v>
      </c>
      <c r="B1666" s="9">
        <v>13.35</v>
      </c>
    </row>
    <row r="1667" spans="1:2" x14ac:dyDescent="0.25">
      <c r="A1667" s="8">
        <v>38854</v>
      </c>
      <c r="B1667" s="9">
        <v>16.260000000000002</v>
      </c>
    </row>
    <row r="1668" spans="1:2" x14ac:dyDescent="0.25">
      <c r="A1668" s="8">
        <v>38855</v>
      </c>
      <c r="B1668" s="9">
        <v>16.989999999999998</v>
      </c>
    </row>
    <row r="1669" spans="1:2" x14ac:dyDescent="0.25">
      <c r="A1669" s="8">
        <v>38856</v>
      </c>
      <c r="B1669" s="9">
        <v>17.18</v>
      </c>
    </row>
    <row r="1670" spans="1:2" x14ac:dyDescent="0.25">
      <c r="A1670" s="8">
        <v>38859</v>
      </c>
      <c r="B1670" s="9">
        <v>17.72</v>
      </c>
    </row>
    <row r="1671" spans="1:2" x14ac:dyDescent="0.25">
      <c r="A1671" s="8">
        <v>38860</v>
      </c>
      <c r="B1671" s="9">
        <v>18.260000000000002</v>
      </c>
    </row>
    <row r="1672" spans="1:2" x14ac:dyDescent="0.25">
      <c r="A1672" s="8">
        <v>38861</v>
      </c>
      <c r="B1672" s="9">
        <v>17.36</v>
      </c>
    </row>
    <row r="1673" spans="1:2" x14ac:dyDescent="0.25">
      <c r="A1673" s="8">
        <v>38862</v>
      </c>
      <c r="B1673" s="9">
        <v>15.5</v>
      </c>
    </row>
    <row r="1674" spans="1:2" x14ac:dyDescent="0.25">
      <c r="A1674" s="8">
        <v>38863</v>
      </c>
      <c r="B1674" s="9">
        <v>14.26</v>
      </c>
    </row>
    <row r="1675" spans="1:2" x14ac:dyDescent="0.25">
      <c r="A1675" s="8">
        <v>38866</v>
      </c>
    </row>
    <row r="1676" spans="1:2" x14ac:dyDescent="0.25">
      <c r="A1676" s="8">
        <v>38867</v>
      </c>
      <c r="B1676" s="9">
        <v>18.66</v>
      </c>
    </row>
    <row r="1677" spans="1:2" x14ac:dyDescent="0.25">
      <c r="A1677" s="8">
        <v>38868</v>
      </c>
      <c r="B1677" s="9">
        <v>16.440000000000001</v>
      </c>
    </row>
    <row r="1678" spans="1:2" x14ac:dyDescent="0.25">
      <c r="A1678" s="8">
        <v>38869</v>
      </c>
      <c r="B1678" s="9">
        <v>14.52</v>
      </c>
    </row>
    <row r="1679" spans="1:2" x14ac:dyDescent="0.25">
      <c r="A1679" s="8">
        <v>38870</v>
      </c>
      <c r="B1679" s="9">
        <v>14.32</v>
      </c>
    </row>
    <row r="1680" spans="1:2" x14ac:dyDescent="0.25">
      <c r="A1680" s="8">
        <v>38873</v>
      </c>
      <c r="B1680" s="9">
        <v>16.649999999999999</v>
      </c>
    </row>
    <row r="1681" spans="1:2" x14ac:dyDescent="0.25">
      <c r="A1681" s="8">
        <v>38874</v>
      </c>
      <c r="B1681" s="9">
        <v>17.34</v>
      </c>
    </row>
    <row r="1682" spans="1:2" x14ac:dyDescent="0.25">
      <c r="A1682" s="8">
        <v>38875</v>
      </c>
      <c r="B1682" s="9">
        <v>17.8</v>
      </c>
    </row>
    <row r="1683" spans="1:2" x14ac:dyDescent="0.25">
      <c r="A1683" s="8">
        <v>38876</v>
      </c>
      <c r="B1683" s="9">
        <v>18.350000000000001</v>
      </c>
    </row>
    <row r="1684" spans="1:2" x14ac:dyDescent="0.25">
      <c r="A1684" s="8">
        <v>38877</v>
      </c>
      <c r="B1684" s="9">
        <v>18.12</v>
      </c>
    </row>
    <row r="1685" spans="1:2" x14ac:dyDescent="0.25">
      <c r="A1685" s="8">
        <v>38880</v>
      </c>
      <c r="B1685" s="9">
        <v>20.96</v>
      </c>
    </row>
    <row r="1686" spans="1:2" x14ac:dyDescent="0.25">
      <c r="A1686" s="8">
        <v>38881</v>
      </c>
      <c r="B1686" s="9">
        <v>23.81</v>
      </c>
    </row>
    <row r="1687" spans="1:2" x14ac:dyDescent="0.25">
      <c r="A1687" s="8">
        <v>38882</v>
      </c>
      <c r="B1687" s="9">
        <v>21.46</v>
      </c>
    </row>
    <row r="1688" spans="1:2" x14ac:dyDescent="0.25">
      <c r="A1688" s="8">
        <v>38883</v>
      </c>
      <c r="B1688" s="9">
        <v>15.9</v>
      </c>
    </row>
    <row r="1689" spans="1:2" x14ac:dyDescent="0.25">
      <c r="A1689" s="8">
        <v>38884</v>
      </c>
      <c r="B1689" s="9">
        <v>17.25</v>
      </c>
    </row>
    <row r="1690" spans="1:2" x14ac:dyDescent="0.25">
      <c r="A1690" s="8">
        <v>38887</v>
      </c>
      <c r="B1690" s="9">
        <v>17.829999999999998</v>
      </c>
    </row>
    <row r="1691" spans="1:2" x14ac:dyDescent="0.25">
      <c r="A1691" s="8">
        <v>38888</v>
      </c>
      <c r="B1691" s="9">
        <v>16.690000000000001</v>
      </c>
    </row>
    <row r="1692" spans="1:2" x14ac:dyDescent="0.25">
      <c r="A1692" s="8">
        <v>38889</v>
      </c>
      <c r="B1692" s="9">
        <v>15.52</v>
      </c>
    </row>
    <row r="1693" spans="1:2" x14ac:dyDescent="0.25">
      <c r="A1693" s="8">
        <v>38890</v>
      </c>
      <c r="B1693" s="9">
        <v>15.88</v>
      </c>
    </row>
    <row r="1694" spans="1:2" x14ac:dyDescent="0.25">
      <c r="A1694" s="8">
        <v>38891</v>
      </c>
      <c r="B1694" s="9">
        <v>15.89</v>
      </c>
    </row>
    <row r="1695" spans="1:2" x14ac:dyDescent="0.25">
      <c r="A1695" s="8">
        <v>38894</v>
      </c>
      <c r="B1695" s="9">
        <v>15.62</v>
      </c>
    </row>
    <row r="1696" spans="1:2" x14ac:dyDescent="0.25">
      <c r="A1696" s="8">
        <v>38895</v>
      </c>
      <c r="B1696" s="9">
        <v>16.399999999999999</v>
      </c>
    </row>
    <row r="1697" spans="1:2" x14ac:dyDescent="0.25">
      <c r="A1697" s="8">
        <v>38896</v>
      </c>
      <c r="B1697" s="9">
        <v>15.79</v>
      </c>
    </row>
    <row r="1698" spans="1:2" x14ac:dyDescent="0.25">
      <c r="A1698" s="8">
        <v>38897</v>
      </c>
      <c r="B1698" s="9">
        <v>13.03</v>
      </c>
    </row>
    <row r="1699" spans="1:2" x14ac:dyDescent="0.25">
      <c r="A1699" s="8">
        <v>38898</v>
      </c>
      <c r="B1699" s="9">
        <v>13.08</v>
      </c>
    </row>
    <row r="1700" spans="1:2" x14ac:dyDescent="0.25">
      <c r="A1700" s="8">
        <v>38901</v>
      </c>
      <c r="B1700" s="9">
        <v>13.05</v>
      </c>
    </row>
    <row r="1701" spans="1:2" x14ac:dyDescent="0.25">
      <c r="A1701" s="8">
        <v>38902</v>
      </c>
    </row>
    <row r="1702" spans="1:2" x14ac:dyDescent="0.25">
      <c r="A1702" s="8">
        <v>38903</v>
      </c>
      <c r="B1702" s="9">
        <v>14.15</v>
      </c>
    </row>
    <row r="1703" spans="1:2" x14ac:dyDescent="0.25">
      <c r="A1703" s="8">
        <v>38904</v>
      </c>
      <c r="B1703" s="9">
        <v>13.65</v>
      </c>
    </row>
    <row r="1704" spans="1:2" x14ac:dyDescent="0.25">
      <c r="A1704" s="8">
        <v>38905</v>
      </c>
      <c r="B1704" s="9">
        <v>13.97</v>
      </c>
    </row>
    <row r="1705" spans="1:2" x14ac:dyDescent="0.25">
      <c r="A1705" s="8">
        <v>38908</v>
      </c>
      <c r="B1705" s="9">
        <v>14.02</v>
      </c>
    </row>
    <row r="1706" spans="1:2" x14ac:dyDescent="0.25">
      <c r="A1706" s="8">
        <v>38909</v>
      </c>
      <c r="B1706" s="9">
        <v>13.14</v>
      </c>
    </row>
    <row r="1707" spans="1:2" x14ac:dyDescent="0.25">
      <c r="A1707" s="8">
        <v>38910</v>
      </c>
      <c r="B1707" s="9">
        <v>14.49</v>
      </c>
    </row>
    <row r="1708" spans="1:2" x14ac:dyDescent="0.25">
      <c r="A1708" s="8">
        <v>38911</v>
      </c>
      <c r="B1708" s="9">
        <v>17.79</v>
      </c>
    </row>
    <row r="1709" spans="1:2" x14ac:dyDescent="0.25">
      <c r="A1709" s="8">
        <v>38912</v>
      </c>
      <c r="B1709" s="9">
        <v>18.05</v>
      </c>
    </row>
    <row r="1710" spans="1:2" x14ac:dyDescent="0.25">
      <c r="A1710" s="8">
        <v>38915</v>
      </c>
      <c r="B1710" s="9">
        <v>18.64</v>
      </c>
    </row>
    <row r="1711" spans="1:2" x14ac:dyDescent="0.25">
      <c r="A1711" s="8">
        <v>38916</v>
      </c>
      <c r="B1711" s="9">
        <v>17.739999999999998</v>
      </c>
    </row>
    <row r="1712" spans="1:2" x14ac:dyDescent="0.25">
      <c r="A1712" s="8">
        <v>38917</v>
      </c>
      <c r="B1712" s="9">
        <v>15.55</v>
      </c>
    </row>
    <row r="1713" spans="1:2" x14ac:dyDescent="0.25">
      <c r="A1713" s="8">
        <v>38918</v>
      </c>
      <c r="B1713" s="9">
        <v>16.21</v>
      </c>
    </row>
    <row r="1714" spans="1:2" x14ac:dyDescent="0.25">
      <c r="A1714" s="8">
        <v>38919</v>
      </c>
      <c r="B1714" s="9">
        <v>17.399999999999999</v>
      </c>
    </row>
    <row r="1715" spans="1:2" x14ac:dyDescent="0.25">
      <c r="A1715" s="8">
        <v>38922</v>
      </c>
      <c r="B1715" s="9">
        <v>14.98</v>
      </c>
    </row>
    <row r="1716" spans="1:2" x14ac:dyDescent="0.25">
      <c r="A1716" s="8">
        <v>38923</v>
      </c>
      <c r="B1716" s="9">
        <v>14.85</v>
      </c>
    </row>
    <row r="1717" spans="1:2" x14ac:dyDescent="0.25">
      <c r="A1717" s="8">
        <v>38924</v>
      </c>
      <c r="B1717" s="9">
        <v>14.62</v>
      </c>
    </row>
    <row r="1718" spans="1:2" x14ac:dyDescent="0.25">
      <c r="A1718" s="8">
        <v>38925</v>
      </c>
      <c r="B1718" s="9">
        <v>14.94</v>
      </c>
    </row>
    <row r="1719" spans="1:2" x14ac:dyDescent="0.25">
      <c r="A1719" s="8">
        <v>38926</v>
      </c>
      <c r="B1719" s="9">
        <v>14.33</v>
      </c>
    </row>
    <row r="1720" spans="1:2" x14ac:dyDescent="0.25">
      <c r="A1720" s="8">
        <v>38929</v>
      </c>
      <c r="B1720" s="9">
        <v>14.95</v>
      </c>
    </row>
    <row r="1721" spans="1:2" x14ac:dyDescent="0.25">
      <c r="A1721" s="8">
        <v>38930</v>
      </c>
      <c r="B1721" s="9">
        <v>15.05</v>
      </c>
    </row>
    <row r="1722" spans="1:2" x14ac:dyDescent="0.25">
      <c r="A1722" s="8">
        <v>38931</v>
      </c>
      <c r="B1722" s="9">
        <v>14.34</v>
      </c>
    </row>
    <row r="1723" spans="1:2" x14ac:dyDescent="0.25">
      <c r="A1723" s="8">
        <v>38932</v>
      </c>
      <c r="B1723" s="9">
        <v>14.46</v>
      </c>
    </row>
    <row r="1724" spans="1:2" x14ac:dyDescent="0.25">
      <c r="A1724" s="8">
        <v>38933</v>
      </c>
      <c r="B1724" s="9">
        <v>14.34</v>
      </c>
    </row>
    <row r="1725" spans="1:2" x14ac:dyDescent="0.25">
      <c r="A1725" s="8">
        <v>38936</v>
      </c>
      <c r="B1725" s="9">
        <v>15.23</v>
      </c>
    </row>
    <row r="1726" spans="1:2" x14ac:dyDescent="0.25">
      <c r="A1726" s="8">
        <v>38937</v>
      </c>
      <c r="B1726" s="9">
        <v>15.23</v>
      </c>
    </row>
    <row r="1727" spans="1:2" x14ac:dyDescent="0.25">
      <c r="A1727" s="8">
        <v>38938</v>
      </c>
      <c r="B1727" s="9">
        <v>15.2</v>
      </c>
    </row>
    <row r="1728" spans="1:2" x14ac:dyDescent="0.25">
      <c r="A1728" s="8">
        <v>38939</v>
      </c>
      <c r="B1728" s="9">
        <v>14.46</v>
      </c>
    </row>
    <row r="1729" spans="1:2" x14ac:dyDescent="0.25">
      <c r="A1729" s="8">
        <v>38940</v>
      </c>
      <c r="B1729" s="9">
        <v>14.3</v>
      </c>
    </row>
    <row r="1730" spans="1:2" x14ac:dyDescent="0.25">
      <c r="A1730" s="8">
        <v>38943</v>
      </c>
      <c r="B1730" s="9">
        <v>14.26</v>
      </c>
    </row>
    <row r="1731" spans="1:2" x14ac:dyDescent="0.25">
      <c r="A1731" s="8">
        <v>38944</v>
      </c>
      <c r="B1731" s="9">
        <v>13.42</v>
      </c>
    </row>
    <row r="1732" spans="1:2" x14ac:dyDescent="0.25">
      <c r="A1732" s="8">
        <v>38945</v>
      </c>
      <c r="B1732" s="9">
        <v>12.41</v>
      </c>
    </row>
    <row r="1733" spans="1:2" x14ac:dyDescent="0.25">
      <c r="A1733" s="8">
        <v>38946</v>
      </c>
      <c r="B1733" s="9">
        <v>12.24</v>
      </c>
    </row>
    <row r="1734" spans="1:2" x14ac:dyDescent="0.25">
      <c r="A1734" s="8">
        <v>38947</v>
      </c>
      <c r="B1734" s="9">
        <v>11.64</v>
      </c>
    </row>
    <row r="1735" spans="1:2" x14ac:dyDescent="0.25">
      <c r="A1735" s="8">
        <v>38950</v>
      </c>
      <c r="B1735" s="9">
        <v>12.22</v>
      </c>
    </row>
    <row r="1736" spans="1:2" x14ac:dyDescent="0.25">
      <c r="A1736" s="8">
        <v>38951</v>
      </c>
      <c r="B1736" s="9">
        <v>12.19</v>
      </c>
    </row>
    <row r="1737" spans="1:2" x14ac:dyDescent="0.25">
      <c r="A1737" s="8">
        <v>38952</v>
      </c>
      <c r="B1737" s="9">
        <v>12.4</v>
      </c>
    </row>
    <row r="1738" spans="1:2" x14ac:dyDescent="0.25">
      <c r="A1738" s="8">
        <v>38953</v>
      </c>
      <c r="B1738" s="9">
        <v>12.4</v>
      </c>
    </row>
    <row r="1739" spans="1:2" x14ac:dyDescent="0.25">
      <c r="A1739" s="8">
        <v>38954</v>
      </c>
      <c r="B1739" s="9">
        <v>12.31</v>
      </c>
    </row>
    <row r="1740" spans="1:2" x14ac:dyDescent="0.25">
      <c r="A1740" s="8">
        <v>38957</v>
      </c>
      <c r="B1740" s="9">
        <v>12.18</v>
      </c>
    </row>
    <row r="1741" spans="1:2" x14ac:dyDescent="0.25">
      <c r="A1741" s="8">
        <v>38958</v>
      </c>
      <c r="B1741" s="9">
        <v>12.28</v>
      </c>
    </row>
    <row r="1742" spans="1:2" x14ac:dyDescent="0.25">
      <c r="A1742" s="8">
        <v>38959</v>
      </c>
      <c r="B1742" s="9">
        <v>12.22</v>
      </c>
    </row>
    <row r="1743" spans="1:2" x14ac:dyDescent="0.25">
      <c r="A1743" s="8">
        <v>38960</v>
      </c>
      <c r="B1743" s="9">
        <v>12.31</v>
      </c>
    </row>
    <row r="1744" spans="1:2" x14ac:dyDescent="0.25">
      <c r="A1744" s="8">
        <v>38961</v>
      </c>
      <c r="B1744" s="9">
        <v>11.96</v>
      </c>
    </row>
    <row r="1745" spans="1:2" x14ac:dyDescent="0.25">
      <c r="A1745" s="8">
        <v>38964</v>
      </c>
    </row>
    <row r="1746" spans="1:2" x14ac:dyDescent="0.25">
      <c r="A1746" s="8">
        <v>38965</v>
      </c>
      <c r="B1746" s="9">
        <v>12.63</v>
      </c>
    </row>
    <row r="1747" spans="1:2" x14ac:dyDescent="0.25">
      <c r="A1747" s="8">
        <v>38966</v>
      </c>
      <c r="B1747" s="9">
        <v>13.74</v>
      </c>
    </row>
    <row r="1748" spans="1:2" x14ac:dyDescent="0.25">
      <c r="A1748" s="8">
        <v>38967</v>
      </c>
      <c r="B1748" s="9">
        <v>13.88</v>
      </c>
    </row>
    <row r="1749" spans="1:2" x14ac:dyDescent="0.25">
      <c r="A1749" s="8">
        <v>38968</v>
      </c>
      <c r="B1749" s="9">
        <v>13.16</v>
      </c>
    </row>
    <row r="1750" spans="1:2" x14ac:dyDescent="0.25">
      <c r="A1750" s="8">
        <v>38971</v>
      </c>
      <c r="B1750" s="9">
        <v>12.99</v>
      </c>
    </row>
    <row r="1751" spans="1:2" x14ac:dyDescent="0.25">
      <c r="A1751" s="8">
        <v>38972</v>
      </c>
      <c r="B1751" s="9">
        <v>11.92</v>
      </c>
    </row>
    <row r="1752" spans="1:2" x14ac:dyDescent="0.25">
      <c r="A1752" s="8">
        <v>38973</v>
      </c>
      <c r="B1752" s="9">
        <v>11.18</v>
      </c>
    </row>
    <row r="1753" spans="1:2" x14ac:dyDescent="0.25">
      <c r="A1753" s="8">
        <v>38974</v>
      </c>
      <c r="B1753" s="9">
        <v>11.55</v>
      </c>
    </row>
    <row r="1754" spans="1:2" x14ac:dyDescent="0.25">
      <c r="A1754" s="8">
        <v>38975</v>
      </c>
      <c r="B1754" s="9">
        <v>11.76</v>
      </c>
    </row>
    <row r="1755" spans="1:2" x14ac:dyDescent="0.25">
      <c r="A1755" s="8">
        <v>38978</v>
      </c>
      <c r="B1755" s="9">
        <v>11.78</v>
      </c>
    </row>
    <row r="1756" spans="1:2" x14ac:dyDescent="0.25">
      <c r="A1756" s="8">
        <v>38979</v>
      </c>
      <c r="B1756" s="9">
        <v>11.98</v>
      </c>
    </row>
    <row r="1757" spans="1:2" x14ac:dyDescent="0.25">
      <c r="A1757" s="8">
        <v>38980</v>
      </c>
      <c r="B1757" s="9">
        <v>11.39</v>
      </c>
    </row>
    <row r="1758" spans="1:2" x14ac:dyDescent="0.25">
      <c r="A1758" s="8">
        <v>38981</v>
      </c>
      <c r="B1758" s="9">
        <v>12.25</v>
      </c>
    </row>
    <row r="1759" spans="1:2" x14ac:dyDescent="0.25">
      <c r="A1759" s="8">
        <v>38982</v>
      </c>
      <c r="B1759" s="9">
        <v>12.59</v>
      </c>
    </row>
    <row r="1760" spans="1:2" x14ac:dyDescent="0.25">
      <c r="A1760" s="8">
        <v>38985</v>
      </c>
      <c r="B1760" s="9">
        <v>12.12</v>
      </c>
    </row>
    <row r="1761" spans="1:2" x14ac:dyDescent="0.25">
      <c r="A1761" s="8">
        <v>38986</v>
      </c>
      <c r="B1761" s="9">
        <v>11.53</v>
      </c>
    </row>
    <row r="1762" spans="1:2" x14ac:dyDescent="0.25">
      <c r="A1762" s="8">
        <v>38987</v>
      </c>
      <c r="B1762" s="9">
        <v>11.58</v>
      </c>
    </row>
    <row r="1763" spans="1:2" x14ac:dyDescent="0.25">
      <c r="A1763" s="8">
        <v>38988</v>
      </c>
      <c r="B1763" s="9">
        <v>11.72</v>
      </c>
    </row>
    <row r="1764" spans="1:2" x14ac:dyDescent="0.25">
      <c r="A1764" s="8">
        <v>38989</v>
      </c>
      <c r="B1764" s="9">
        <v>11.98</v>
      </c>
    </row>
    <row r="1765" spans="1:2" x14ac:dyDescent="0.25">
      <c r="A1765" s="8">
        <v>38992</v>
      </c>
      <c r="B1765" s="9">
        <v>12.57</v>
      </c>
    </row>
    <row r="1766" spans="1:2" x14ac:dyDescent="0.25">
      <c r="A1766" s="8">
        <v>38993</v>
      </c>
      <c r="B1766" s="9">
        <v>12.24</v>
      </c>
    </row>
    <row r="1767" spans="1:2" x14ac:dyDescent="0.25">
      <c r="A1767" s="8">
        <v>38994</v>
      </c>
      <c r="B1767" s="9">
        <v>11.86</v>
      </c>
    </row>
    <row r="1768" spans="1:2" x14ac:dyDescent="0.25">
      <c r="A1768" s="8">
        <v>38995</v>
      </c>
      <c r="B1768" s="9">
        <v>11.98</v>
      </c>
    </row>
    <row r="1769" spans="1:2" x14ac:dyDescent="0.25">
      <c r="A1769" s="8">
        <v>38996</v>
      </c>
      <c r="B1769" s="9">
        <v>11.56</v>
      </c>
    </row>
    <row r="1770" spans="1:2" x14ac:dyDescent="0.25">
      <c r="A1770" s="8">
        <v>38999</v>
      </c>
      <c r="B1770" s="9">
        <v>11.68</v>
      </c>
    </row>
    <row r="1771" spans="1:2" x14ac:dyDescent="0.25">
      <c r="A1771" s="8">
        <v>39000</v>
      </c>
      <c r="B1771" s="9">
        <v>11.52</v>
      </c>
    </row>
    <row r="1772" spans="1:2" x14ac:dyDescent="0.25">
      <c r="A1772" s="8">
        <v>39001</v>
      </c>
      <c r="B1772" s="9">
        <v>11.62</v>
      </c>
    </row>
    <row r="1773" spans="1:2" x14ac:dyDescent="0.25">
      <c r="A1773" s="8">
        <v>39002</v>
      </c>
      <c r="B1773" s="9">
        <v>11.09</v>
      </c>
    </row>
    <row r="1774" spans="1:2" x14ac:dyDescent="0.25">
      <c r="A1774" s="8">
        <v>39003</v>
      </c>
      <c r="B1774" s="9">
        <v>10.75</v>
      </c>
    </row>
    <row r="1775" spans="1:2" x14ac:dyDescent="0.25">
      <c r="A1775" s="8">
        <v>39006</v>
      </c>
      <c r="B1775" s="9">
        <v>11.09</v>
      </c>
    </row>
    <row r="1776" spans="1:2" x14ac:dyDescent="0.25">
      <c r="A1776" s="8">
        <v>39007</v>
      </c>
      <c r="B1776" s="9">
        <v>11.73</v>
      </c>
    </row>
    <row r="1777" spans="1:2" x14ac:dyDescent="0.25">
      <c r="A1777" s="8">
        <v>39008</v>
      </c>
      <c r="B1777" s="9">
        <v>11.34</v>
      </c>
    </row>
    <row r="1778" spans="1:2" x14ac:dyDescent="0.25">
      <c r="A1778" s="8">
        <v>39009</v>
      </c>
      <c r="B1778" s="9">
        <v>10.9</v>
      </c>
    </row>
    <row r="1779" spans="1:2" x14ac:dyDescent="0.25">
      <c r="A1779" s="8">
        <v>39010</v>
      </c>
      <c r="B1779" s="9">
        <v>10.63</v>
      </c>
    </row>
    <row r="1780" spans="1:2" x14ac:dyDescent="0.25">
      <c r="A1780" s="8">
        <v>39013</v>
      </c>
      <c r="B1780" s="9">
        <v>11.08</v>
      </c>
    </row>
    <row r="1781" spans="1:2" x14ac:dyDescent="0.25">
      <c r="A1781" s="8">
        <v>39014</v>
      </c>
      <c r="B1781" s="9">
        <v>10.78</v>
      </c>
    </row>
    <row r="1782" spans="1:2" x14ac:dyDescent="0.25">
      <c r="A1782" s="8">
        <v>39015</v>
      </c>
      <c r="B1782" s="9">
        <v>10.66</v>
      </c>
    </row>
    <row r="1783" spans="1:2" x14ac:dyDescent="0.25">
      <c r="A1783" s="8">
        <v>39016</v>
      </c>
      <c r="B1783" s="9">
        <v>10.56</v>
      </c>
    </row>
    <row r="1784" spans="1:2" x14ac:dyDescent="0.25">
      <c r="A1784" s="8">
        <v>39017</v>
      </c>
      <c r="B1784" s="9">
        <v>10.8</v>
      </c>
    </row>
    <row r="1785" spans="1:2" x14ac:dyDescent="0.25">
      <c r="A1785" s="8">
        <v>39020</v>
      </c>
      <c r="B1785" s="9">
        <v>11.2</v>
      </c>
    </row>
    <row r="1786" spans="1:2" x14ac:dyDescent="0.25">
      <c r="A1786" s="8">
        <v>39021</v>
      </c>
      <c r="B1786" s="9">
        <v>11.1</v>
      </c>
    </row>
    <row r="1787" spans="1:2" x14ac:dyDescent="0.25">
      <c r="A1787" s="8">
        <v>39022</v>
      </c>
      <c r="B1787" s="9">
        <v>11.51</v>
      </c>
    </row>
    <row r="1788" spans="1:2" x14ac:dyDescent="0.25">
      <c r="A1788" s="8">
        <v>39023</v>
      </c>
      <c r="B1788" s="9">
        <v>11.42</v>
      </c>
    </row>
    <row r="1789" spans="1:2" x14ac:dyDescent="0.25">
      <c r="A1789" s="8">
        <v>39024</v>
      </c>
      <c r="B1789" s="9">
        <v>11.16</v>
      </c>
    </row>
    <row r="1790" spans="1:2" x14ac:dyDescent="0.25">
      <c r="A1790" s="8">
        <v>39027</v>
      </c>
      <c r="B1790" s="9">
        <v>11.16</v>
      </c>
    </row>
    <row r="1791" spans="1:2" x14ac:dyDescent="0.25">
      <c r="A1791" s="8">
        <v>39028</v>
      </c>
      <c r="B1791" s="9">
        <v>11.09</v>
      </c>
    </row>
    <row r="1792" spans="1:2" x14ac:dyDescent="0.25">
      <c r="A1792" s="8">
        <v>39029</v>
      </c>
      <c r="B1792" s="9">
        <v>10.75</v>
      </c>
    </row>
    <row r="1793" spans="1:2" x14ac:dyDescent="0.25">
      <c r="A1793" s="8">
        <v>39030</v>
      </c>
      <c r="B1793" s="9">
        <v>11.01</v>
      </c>
    </row>
    <row r="1794" spans="1:2" x14ac:dyDescent="0.25">
      <c r="A1794" s="8">
        <v>39031</v>
      </c>
      <c r="B1794" s="9">
        <v>10.79</v>
      </c>
    </row>
    <row r="1795" spans="1:2" x14ac:dyDescent="0.25">
      <c r="A1795" s="8">
        <v>39034</v>
      </c>
      <c r="B1795" s="9">
        <v>10.86</v>
      </c>
    </row>
    <row r="1796" spans="1:2" x14ac:dyDescent="0.25">
      <c r="A1796" s="8">
        <v>39035</v>
      </c>
      <c r="B1796" s="9">
        <v>10.5</v>
      </c>
    </row>
    <row r="1797" spans="1:2" x14ac:dyDescent="0.25">
      <c r="A1797" s="8">
        <v>39036</v>
      </c>
      <c r="B1797" s="9">
        <v>10.31</v>
      </c>
    </row>
    <row r="1798" spans="1:2" x14ac:dyDescent="0.25">
      <c r="A1798" s="8">
        <v>39037</v>
      </c>
      <c r="B1798" s="9">
        <v>10.16</v>
      </c>
    </row>
    <row r="1799" spans="1:2" x14ac:dyDescent="0.25">
      <c r="A1799" s="8">
        <v>39038</v>
      </c>
      <c r="B1799" s="9">
        <v>10.050000000000001</v>
      </c>
    </row>
    <row r="1800" spans="1:2" x14ac:dyDescent="0.25">
      <c r="A1800" s="8">
        <v>39041</v>
      </c>
      <c r="B1800" s="9">
        <v>9.9700000000000006</v>
      </c>
    </row>
    <row r="1801" spans="1:2" x14ac:dyDescent="0.25">
      <c r="A1801" s="8">
        <v>39042</v>
      </c>
      <c r="B1801" s="9">
        <v>9.9</v>
      </c>
    </row>
    <row r="1802" spans="1:2" x14ac:dyDescent="0.25">
      <c r="A1802" s="8">
        <v>39043</v>
      </c>
      <c r="B1802" s="9">
        <v>10.14</v>
      </c>
    </row>
    <row r="1803" spans="1:2" x14ac:dyDescent="0.25">
      <c r="A1803" s="8">
        <v>39044</v>
      </c>
    </row>
    <row r="1804" spans="1:2" x14ac:dyDescent="0.25">
      <c r="A1804" s="8">
        <v>39045</v>
      </c>
      <c r="B1804" s="9">
        <v>10.73</v>
      </c>
    </row>
    <row r="1805" spans="1:2" x14ac:dyDescent="0.25">
      <c r="A1805" s="8">
        <v>39048</v>
      </c>
      <c r="B1805" s="9">
        <v>12.3</v>
      </c>
    </row>
    <row r="1806" spans="1:2" x14ac:dyDescent="0.25">
      <c r="A1806" s="8">
        <v>39049</v>
      </c>
      <c r="B1806" s="9">
        <v>11.62</v>
      </c>
    </row>
    <row r="1807" spans="1:2" x14ac:dyDescent="0.25">
      <c r="A1807" s="8">
        <v>39050</v>
      </c>
      <c r="B1807" s="9">
        <v>10.83</v>
      </c>
    </row>
    <row r="1808" spans="1:2" x14ac:dyDescent="0.25">
      <c r="A1808" s="8">
        <v>39051</v>
      </c>
      <c r="B1808" s="9">
        <v>10.91</v>
      </c>
    </row>
    <row r="1809" spans="1:2" x14ac:dyDescent="0.25">
      <c r="A1809" s="8">
        <v>39052</v>
      </c>
      <c r="B1809" s="9">
        <v>11.66</v>
      </c>
    </row>
    <row r="1810" spans="1:2" x14ac:dyDescent="0.25">
      <c r="A1810" s="8">
        <v>39055</v>
      </c>
      <c r="B1810" s="9">
        <v>11.23</v>
      </c>
    </row>
    <row r="1811" spans="1:2" x14ac:dyDescent="0.25">
      <c r="A1811" s="8">
        <v>39056</v>
      </c>
      <c r="B1811" s="9">
        <v>11.27</v>
      </c>
    </row>
    <row r="1812" spans="1:2" x14ac:dyDescent="0.25">
      <c r="A1812" s="8">
        <v>39057</v>
      </c>
      <c r="B1812" s="9">
        <v>11.33</v>
      </c>
    </row>
    <row r="1813" spans="1:2" x14ac:dyDescent="0.25">
      <c r="A1813" s="8">
        <v>39058</v>
      </c>
      <c r="B1813" s="9">
        <v>12.67</v>
      </c>
    </row>
    <row r="1814" spans="1:2" x14ac:dyDescent="0.25">
      <c r="A1814" s="8">
        <v>39059</v>
      </c>
      <c r="B1814" s="9">
        <v>12.07</v>
      </c>
    </row>
    <row r="1815" spans="1:2" x14ac:dyDescent="0.25">
      <c r="A1815" s="8">
        <v>39062</v>
      </c>
      <c r="B1815" s="9">
        <v>10.71</v>
      </c>
    </row>
    <row r="1816" spans="1:2" x14ac:dyDescent="0.25">
      <c r="A1816" s="8">
        <v>39063</v>
      </c>
      <c r="B1816" s="9">
        <v>10.65</v>
      </c>
    </row>
    <row r="1817" spans="1:2" x14ac:dyDescent="0.25">
      <c r="A1817" s="8">
        <v>39064</v>
      </c>
      <c r="B1817" s="9">
        <v>10.18</v>
      </c>
    </row>
    <row r="1818" spans="1:2" x14ac:dyDescent="0.25">
      <c r="A1818" s="8">
        <v>39065</v>
      </c>
      <c r="B1818" s="9">
        <v>9.9700000000000006</v>
      </c>
    </row>
    <row r="1819" spans="1:2" x14ac:dyDescent="0.25">
      <c r="A1819" s="8">
        <v>39066</v>
      </c>
      <c r="B1819" s="9">
        <v>10.050000000000001</v>
      </c>
    </row>
    <row r="1820" spans="1:2" x14ac:dyDescent="0.25">
      <c r="A1820" s="8">
        <v>39069</v>
      </c>
      <c r="B1820" s="9">
        <v>10.6</v>
      </c>
    </row>
    <row r="1821" spans="1:2" x14ac:dyDescent="0.25">
      <c r="A1821" s="8">
        <v>39070</v>
      </c>
      <c r="B1821" s="9">
        <v>10.3</v>
      </c>
    </row>
    <row r="1822" spans="1:2" x14ac:dyDescent="0.25">
      <c r="A1822" s="8">
        <v>39071</v>
      </c>
      <c r="B1822" s="9">
        <v>10.26</v>
      </c>
    </row>
    <row r="1823" spans="1:2" x14ac:dyDescent="0.25">
      <c r="A1823" s="8">
        <v>39072</v>
      </c>
      <c r="B1823" s="9">
        <v>10.53</v>
      </c>
    </row>
    <row r="1824" spans="1:2" x14ac:dyDescent="0.25">
      <c r="A1824" s="8">
        <v>39073</v>
      </c>
      <c r="B1824" s="9">
        <v>11.36</v>
      </c>
    </row>
    <row r="1825" spans="1:2" x14ac:dyDescent="0.25">
      <c r="A1825" s="8">
        <v>39076</v>
      </c>
    </row>
    <row r="1826" spans="1:2" x14ac:dyDescent="0.25">
      <c r="A1826" s="8">
        <v>39077</v>
      </c>
      <c r="B1826" s="9">
        <v>11.26</v>
      </c>
    </row>
    <row r="1827" spans="1:2" x14ac:dyDescent="0.25">
      <c r="A1827" s="8">
        <v>39078</v>
      </c>
      <c r="B1827" s="9">
        <v>10.64</v>
      </c>
    </row>
    <row r="1828" spans="1:2" x14ac:dyDescent="0.25">
      <c r="A1828" s="8">
        <v>39079</v>
      </c>
      <c r="B1828" s="9">
        <v>10.99</v>
      </c>
    </row>
    <row r="1829" spans="1:2" x14ac:dyDescent="0.25">
      <c r="A1829" s="8">
        <v>39080</v>
      </c>
      <c r="B1829" s="9">
        <v>11.56</v>
      </c>
    </row>
    <row r="1830" spans="1:2" x14ac:dyDescent="0.25">
      <c r="A1830" s="8">
        <v>39083</v>
      </c>
    </row>
    <row r="1831" spans="1:2" x14ac:dyDescent="0.25">
      <c r="A1831" s="8">
        <v>39084</v>
      </c>
    </row>
    <row r="1832" spans="1:2" x14ac:dyDescent="0.25">
      <c r="A1832" s="8">
        <v>39085</v>
      </c>
      <c r="B1832" s="9">
        <v>12.04</v>
      </c>
    </row>
    <row r="1833" spans="1:2" x14ac:dyDescent="0.25">
      <c r="A1833" s="8">
        <v>39086</v>
      </c>
      <c r="B1833" s="9">
        <v>11.51</v>
      </c>
    </row>
    <row r="1834" spans="1:2" x14ac:dyDescent="0.25">
      <c r="A1834" s="8">
        <v>39087</v>
      </c>
      <c r="B1834" s="9">
        <v>12.14</v>
      </c>
    </row>
    <row r="1835" spans="1:2" x14ac:dyDescent="0.25">
      <c r="A1835" s="8">
        <v>39090</v>
      </c>
      <c r="B1835" s="9">
        <v>12</v>
      </c>
    </row>
    <row r="1836" spans="1:2" x14ac:dyDescent="0.25">
      <c r="A1836" s="8">
        <v>39091</v>
      </c>
      <c r="B1836" s="9">
        <v>11.91</v>
      </c>
    </row>
    <row r="1837" spans="1:2" x14ac:dyDescent="0.25">
      <c r="A1837" s="8">
        <v>39092</v>
      </c>
      <c r="B1837" s="9">
        <v>11.47</v>
      </c>
    </row>
    <row r="1838" spans="1:2" x14ac:dyDescent="0.25">
      <c r="A1838" s="8">
        <v>39093</v>
      </c>
      <c r="B1838" s="9">
        <v>10.87</v>
      </c>
    </row>
    <row r="1839" spans="1:2" x14ac:dyDescent="0.25">
      <c r="A1839" s="8">
        <v>39094</v>
      </c>
      <c r="B1839" s="9">
        <v>10.15</v>
      </c>
    </row>
    <row r="1840" spans="1:2" x14ac:dyDescent="0.25">
      <c r="A1840" s="8">
        <v>39097</v>
      </c>
    </row>
    <row r="1841" spans="1:2" x14ac:dyDescent="0.25">
      <c r="A1841" s="8">
        <v>39098</v>
      </c>
      <c r="B1841" s="9">
        <v>10.74</v>
      </c>
    </row>
    <row r="1842" spans="1:2" x14ac:dyDescent="0.25">
      <c r="A1842" s="8">
        <v>39099</v>
      </c>
      <c r="B1842" s="9">
        <v>10.59</v>
      </c>
    </row>
    <row r="1843" spans="1:2" x14ac:dyDescent="0.25">
      <c r="A1843" s="8">
        <v>39100</v>
      </c>
      <c r="B1843" s="9">
        <v>10.85</v>
      </c>
    </row>
    <row r="1844" spans="1:2" x14ac:dyDescent="0.25">
      <c r="A1844" s="8">
        <v>39101</v>
      </c>
      <c r="B1844" s="9">
        <v>10.4</v>
      </c>
    </row>
    <row r="1845" spans="1:2" x14ac:dyDescent="0.25">
      <c r="A1845" s="8">
        <v>39104</v>
      </c>
      <c r="B1845" s="9">
        <v>10.77</v>
      </c>
    </row>
    <row r="1846" spans="1:2" x14ac:dyDescent="0.25">
      <c r="A1846" s="8">
        <v>39105</v>
      </c>
      <c r="B1846" s="9">
        <v>10.34</v>
      </c>
    </row>
    <row r="1847" spans="1:2" x14ac:dyDescent="0.25">
      <c r="A1847" s="8">
        <v>39106</v>
      </c>
      <c r="B1847" s="9">
        <v>9.89</v>
      </c>
    </row>
    <row r="1848" spans="1:2" x14ac:dyDescent="0.25">
      <c r="A1848" s="8">
        <v>39107</v>
      </c>
      <c r="B1848" s="9">
        <v>11.22</v>
      </c>
    </row>
    <row r="1849" spans="1:2" x14ac:dyDescent="0.25">
      <c r="A1849" s="8">
        <v>39108</v>
      </c>
      <c r="B1849" s="9">
        <v>11.13</v>
      </c>
    </row>
    <row r="1850" spans="1:2" x14ac:dyDescent="0.25">
      <c r="A1850" s="8">
        <v>39111</v>
      </c>
      <c r="B1850" s="9">
        <v>11.45</v>
      </c>
    </row>
    <row r="1851" spans="1:2" x14ac:dyDescent="0.25">
      <c r="A1851" s="8">
        <v>39112</v>
      </c>
      <c r="B1851" s="9">
        <v>10.96</v>
      </c>
    </row>
    <row r="1852" spans="1:2" x14ac:dyDescent="0.25">
      <c r="A1852" s="8">
        <v>39113</v>
      </c>
      <c r="B1852" s="9">
        <v>10.42</v>
      </c>
    </row>
    <row r="1853" spans="1:2" x14ac:dyDescent="0.25">
      <c r="A1853" s="8">
        <v>39114</v>
      </c>
      <c r="B1853" s="9">
        <v>10.31</v>
      </c>
    </row>
    <row r="1854" spans="1:2" x14ac:dyDescent="0.25">
      <c r="A1854" s="8">
        <v>39115</v>
      </c>
      <c r="B1854" s="9">
        <v>10.08</v>
      </c>
    </row>
    <row r="1855" spans="1:2" x14ac:dyDescent="0.25">
      <c r="A1855" s="8">
        <v>39118</v>
      </c>
      <c r="B1855" s="9">
        <v>10.55</v>
      </c>
    </row>
    <row r="1856" spans="1:2" x14ac:dyDescent="0.25">
      <c r="A1856" s="8">
        <v>39119</v>
      </c>
      <c r="B1856" s="9">
        <v>10.65</v>
      </c>
    </row>
    <row r="1857" spans="1:2" x14ac:dyDescent="0.25">
      <c r="A1857" s="8">
        <v>39120</v>
      </c>
      <c r="B1857" s="9">
        <v>10.32</v>
      </c>
    </row>
    <row r="1858" spans="1:2" x14ac:dyDescent="0.25">
      <c r="A1858" s="8">
        <v>39121</v>
      </c>
      <c r="B1858" s="9">
        <v>10.44</v>
      </c>
    </row>
    <row r="1859" spans="1:2" x14ac:dyDescent="0.25">
      <c r="A1859" s="8">
        <v>39122</v>
      </c>
      <c r="B1859" s="9">
        <v>11.1</v>
      </c>
    </row>
    <row r="1860" spans="1:2" x14ac:dyDescent="0.25">
      <c r="A1860" s="8">
        <v>39125</v>
      </c>
      <c r="B1860" s="9">
        <v>11.61</v>
      </c>
    </row>
    <row r="1861" spans="1:2" x14ac:dyDescent="0.25">
      <c r="A1861" s="8">
        <v>39126</v>
      </c>
      <c r="B1861" s="9">
        <v>10.34</v>
      </c>
    </row>
    <row r="1862" spans="1:2" x14ac:dyDescent="0.25">
      <c r="A1862" s="8">
        <v>39127</v>
      </c>
      <c r="B1862" s="9">
        <v>10.23</v>
      </c>
    </row>
    <row r="1863" spans="1:2" x14ac:dyDescent="0.25">
      <c r="A1863" s="8">
        <v>39128</v>
      </c>
      <c r="B1863" s="9">
        <v>10.220000000000001</v>
      </c>
    </row>
    <row r="1864" spans="1:2" x14ac:dyDescent="0.25">
      <c r="A1864" s="8">
        <v>39129</v>
      </c>
      <c r="B1864" s="9">
        <v>10.02</v>
      </c>
    </row>
    <row r="1865" spans="1:2" x14ac:dyDescent="0.25">
      <c r="A1865" s="8">
        <v>39132</v>
      </c>
    </row>
    <row r="1866" spans="1:2" x14ac:dyDescent="0.25">
      <c r="A1866" s="8">
        <v>39133</v>
      </c>
      <c r="B1866" s="9">
        <v>10.24</v>
      </c>
    </row>
    <row r="1867" spans="1:2" x14ac:dyDescent="0.25">
      <c r="A1867" s="8">
        <v>39134</v>
      </c>
      <c r="B1867" s="9">
        <v>10.199999999999999</v>
      </c>
    </row>
    <row r="1868" spans="1:2" x14ac:dyDescent="0.25">
      <c r="A1868" s="8">
        <v>39135</v>
      </c>
      <c r="B1868" s="9">
        <v>10.18</v>
      </c>
    </row>
    <row r="1869" spans="1:2" x14ac:dyDescent="0.25">
      <c r="A1869" s="8">
        <v>39136</v>
      </c>
      <c r="B1869" s="9">
        <v>10.58</v>
      </c>
    </row>
    <row r="1870" spans="1:2" x14ac:dyDescent="0.25">
      <c r="A1870" s="8">
        <v>39139</v>
      </c>
      <c r="B1870" s="9">
        <v>11.15</v>
      </c>
    </row>
    <row r="1871" spans="1:2" x14ac:dyDescent="0.25">
      <c r="A1871" s="8">
        <v>39140</v>
      </c>
      <c r="B1871" s="9">
        <v>18.309999999999999</v>
      </c>
    </row>
    <row r="1872" spans="1:2" x14ac:dyDescent="0.25">
      <c r="A1872" s="8">
        <v>39141</v>
      </c>
      <c r="B1872" s="9">
        <v>15.42</v>
      </c>
    </row>
    <row r="1873" spans="1:2" x14ac:dyDescent="0.25">
      <c r="A1873" s="8">
        <v>39142</v>
      </c>
      <c r="B1873" s="9">
        <v>15.82</v>
      </c>
    </row>
    <row r="1874" spans="1:2" x14ac:dyDescent="0.25">
      <c r="A1874" s="8">
        <v>39143</v>
      </c>
      <c r="B1874" s="9">
        <v>18.61</v>
      </c>
    </row>
    <row r="1875" spans="1:2" x14ac:dyDescent="0.25">
      <c r="A1875" s="8">
        <v>39146</v>
      </c>
      <c r="B1875" s="9">
        <v>19.63</v>
      </c>
    </row>
    <row r="1876" spans="1:2" x14ac:dyDescent="0.25">
      <c r="A1876" s="8">
        <v>39147</v>
      </c>
      <c r="B1876" s="9">
        <v>15.96</v>
      </c>
    </row>
    <row r="1877" spans="1:2" x14ac:dyDescent="0.25">
      <c r="A1877" s="8">
        <v>39148</v>
      </c>
      <c r="B1877" s="9">
        <v>15.24</v>
      </c>
    </row>
    <row r="1878" spans="1:2" x14ac:dyDescent="0.25">
      <c r="A1878" s="8">
        <v>39149</v>
      </c>
      <c r="B1878" s="9">
        <v>14.29</v>
      </c>
    </row>
    <row r="1879" spans="1:2" x14ac:dyDescent="0.25">
      <c r="A1879" s="8">
        <v>39150</v>
      </c>
      <c r="B1879" s="9">
        <v>14.09</v>
      </c>
    </row>
    <row r="1880" spans="1:2" x14ac:dyDescent="0.25">
      <c r="A1880" s="8">
        <v>39153</v>
      </c>
      <c r="B1880" s="9">
        <v>13.99</v>
      </c>
    </row>
    <row r="1881" spans="1:2" x14ac:dyDescent="0.25">
      <c r="A1881" s="8">
        <v>39154</v>
      </c>
      <c r="B1881" s="9">
        <v>18.13</v>
      </c>
    </row>
    <row r="1882" spans="1:2" x14ac:dyDescent="0.25">
      <c r="A1882" s="8">
        <v>39155</v>
      </c>
      <c r="B1882" s="9">
        <v>17.27</v>
      </c>
    </row>
    <row r="1883" spans="1:2" x14ac:dyDescent="0.25">
      <c r="A1883" s="8">
        <v>39156</v>
      </c>
      <c r="B1883" s="9">
        <v>16.43</v>
      </c>
    </row>
    <row r="1884" spans="1:2" x14ac:dyDescent="0.25">
      <c r="A1884" s="8">
        <v>39157</v>
      </c>
      <c r="B1884" s="9">
        <v>16.79</v>
      </c>
    </row>
    <row r="1885" spans="1:2" x14ac:dyDescent="0.25">
      <c r="A1885" s="8">
        <v>39160</v>
      </c>
      <c r="B1885" s="9">
        <v>14.59</v>
      </c>
    </row>
    <row r="1886" spans="1:2" x14ac:dyDescent="0.25">
      <c r="A1886" s="8">
        <v>39161</v>
      </c>
      <c r="B1886" s="9">
        <v>13.27</v>
      </c>
    </row>
    <row r="1887" spans="1:2" x14ac:dyDescent="0.25">
      <c r="A1887" s="8">
        <v>39162</v>
      </c>
      <c r="B1887" s="9">
        <v>12.19</v>
      </c>
    </row>
    <row r="1888" spans="1:2" x14ac:dyDescent="0.25">
      <c r="A1888" s="8">
        <v>39163</v>
      </c>
      <c r="B1888" s="9">
        <v>12.93</v>
      </c>
    </row>
    <row r="1889" spans="1:2" x14ac:dyDescent="0.25">
      <c r="A1889" s="8">
        <v>39164</v>
      </c>
      <c r="B1889" s="9">
        <v>12.95</v>
      </c>
    </row>
    <row r="1890" spans="1:2" x14ac:dyDescent="0.25">
      <c r="A1890" s="8">
        <v>39167</v>
      </c>
      <c r="B1890" s="9">
        <v>13.16</v>
      </c>
    </row>
    <row r="1891" spans="1:2" x14ac:dyDescent="0.25">
      <c r="A1891" s="8">
        <v>39168</v>
      </c>
      <c r="B1891" s="9">
        <v>13.48</v>
      </c>
    </row>
    <row r="1892" spans="1:2" x14ac:dyDescent="0.25">
      <c r="A1892" s="8">
        <v>39169</v>
      </c>
      <c r="B1892" s="9">
        <v>14.98</v>
      </c>
    </row>
    <row r="1893" spans="1:2" x14ac:dyDescent="0.25">
      <c r="A1893" s="8">
        <v>39170</v>
      </c>
      <c r="B1893" s="9">
        <v>15.14</v>
      </c>
    </row>
    <row r="1894" spans="1:2" x14ac:dyDescent="0.25">
      <c r="A1894" s="8">
        <v>39171</v>
      </c>
      <c r="B1894" s="9">
        <v>14.64</v>
      </c>
    </row>
    <row r="1895" spans="1:2" x14ac:dyDescent="0.25">
      <c r="A1895" s="8">
        <v>39174</v>
      </c>
      <c r="B1895" s="9">
        <v>14.53</v>
      </c>
    </row>
    <row r="1896" spans="1:2" x14ac:dyDescent="0.25">
      <c r="A1896" s="8">
        <v>39175</v>
      </c>
      <c r="B1896" s="9">
        <v>13.46</v>
      </c>
    </row>
    <row r="1897" spans="1:2" x14ac:dyDescent="0.25">
      <c r="A1897" s="8">
        <v>39176</v>
      </c>
      <c r="B1897" s="9">
        <v>13.24</v>
      </c>
    </row>
    <row r="1898" spans="1:2" x14ac:dyDescent="0.25">
      <c r="A1898" s="8">
        <v>39177</v>
      </c>
      <c r="B1898" s="9">
        <v>13.23</v>
      </c>
    </row>
    <row r="1899" spans="1:2" x14ac:dyDescent="0.25">
      <c r="A1899" s="8">
        <v>39178</v>
      </c>
    </row>
    <row r="1900" spans="1:2" x14ac:dyDescent="0.25">
      <c r="A1900" s="8">
        <v>39181</v>
      </c>
      <c r="B1900" s="9">
        <v>13.14</v>
      </c>
    </row>
    <row r="1901" spans="1:2" x14ac:dyDescent="0.25">
      <c r="A1901" s="8">
        <v>39182</v>
      </c>
      <c r="B1901" s="9">
        <v>12.68</v>
      </c>
    </row>
    <row r="1902" spans="1:2" x14ac:dyDescent="0.25">
      <c r="A1902" s="8">
        <v>39183</v>
      </c>
      <c r="B1902" s="9">
        <v>13.49</v>
      </c>
    </row>
    <row r="1903" spans="1:2" x14ac:dyDescent="0.25">
      <c r="A1903" s="8">
        <v>39184</v>
      </c>
      <c r="B1903" s="9">
        <v>12.71</v>
      </c>
    </row>
    <row r="1904" spans="1:2" x14ac:dyDescent="0.25">
      <c r="A1904" s="8">
        <v>39185</v>
      </c>
      <c r="B1904" s="9">
        <v>12.2</v>
      </c>
    </row>
    <row r="1905" spans="1:2" x14ac:dyDescent="0.25">
      <c r="A1905" s="8">
        <v>39188</v>
      </c>
      <c r="B1905" s="9">
        <v>11.98</v>
      </c>
    </row>
    <row r="1906" spans="1:2" x14ac:dyDescent="0.25">
      <c r="A1906" s="8">
        <v>39189</v>
      </c>
      <c r="B1906" s="9">
        <v>12.14</v>
      </c>
    </row>
    <row r="1907" spans="1:2" x14ac:dyDescent="0.25">
      <c r="A1907" s="8">
        <v>39190</v>
      </c>
      <c r="B1907" s="9">
        <v>12.42</v>
      </c>
    </row>
    <row r="1908" spans="1:2" x14ac:dyDescent="0.25">
      <c r="A1908" s="8">
        <v>39191</v>
      </c>
      <c r="B1908" s="9">
        <v>12.54</v>
      </c>
    </row>
    <row r="1909" spans="1:2" x14ac:dyDescent="0.25">
      <c r="A1909" s="8">
        <v>39192</v>
      </c>
      <c r="B1909" s="9">
        <v>12.07</v>
      </c>
    </row>
    <row r="1910" spans="1:2" x14ac:dyDescent="0.25">
      <c r="A1910" s="8">
        <v>39195</v>
      </c>
      <c r="B1910" s="9">
        <v>13.04</v>
      </c>
    </row>
    <row r="1911" spans="1:2" x14ac:dyDescent="0.25">
      <c r="A1911" s="8">
        <v>39196</v>
      </c>
      <c r="B1911" s="9">
        <v>13.12</v>
      </c>
    </row>
    <row r="1912" spans="1:2" x14ac:dyDescent="0.25">
      <c r="A1912" s="8">
        <v>39197</v>
      </c>
      <c r="B1912" s="9">
        <v>13.21</v>
      </c>
    </row>
    <row r="1913" spans="1:2" x14ac:dyDescent="0.25">
      <c r="A1913" s="8">
        <v>39198</v>
      </c>
      <c r="B1913" s="9">
        <v>12.79</v>
      </c>
    </row>
    <row r="1914" spans="1:2" x14ac:dyDescent="0.25">
      <c r="A1914" s="8">
        <v>39199</v>
      </c>
      <c r="B1914" s="9">
        <v>12.45</v>
      </c>
    </row>
    <row r="1915" spans="1:2" x14ac:dyDescent="0.25">
      <c r="A1915" s="8">
        <v>39202</v>
      </c>
      <c r="B1915" s="9">
        <v>14.22</v>
      </c>
    </row>
    <row r="1916" spans="1:2" x14ac:dyDescent="0.25">
      <c r="A1916" s="8">
        <v>39203</v>
      </c>
      <c r="B1916" s="9">
        <v>13.51</v>
      </c>
    </row>
    <row r="1917" spans="1:2" x14ac:dyDescent="0.25">
      <c r="A1917" s="8">
        <v>39204</v>
      </c>
      <c r="B1917" s="9">
        <v>13.08</v>
      </c>
    </row>
    <row r="1918" spans="1:2" x14ac:dyDescent="0.25">
      <c r="A1918" s="8">
        <v>39205</v>
      </c>
      <c r="B1918" s="9">
        <v>13.09</v>
      </c>
    </row>
    <row r="1919" spans="1:2" x14ac:dyDescent="0.25">
      <c r="A1919" s="8">
        <v>39206</v>
      </c>
      <c r="B1919" s="9">
        <v>12.91</v>
      </c>
    </row>
    <row r="1920" spans="1:2" x14ac:dyDescent="0.25">
      <c r="A1920" s="8">
        <v>39209</v>
      </c>
      <c r="B1920" s="9">
        <v>13.15</v>
      </c>
    </row>
    <row r="1921" spans="1:2" x14ac:dyDescent="0.25">
      <c r="A1921" s="8">
        <v>39210</v>
      </c>
      <c r="B1921" s="9">
        <v>13.21</v>
      </c>
    </row>
    <row r="1922" spans="1:2" x14ac:dyDescent="0.25">
      <c r="A1922" s="8">
        <v>39211</v>
      </c>
      <c r="B1922" s="9">
        <v>12.88</v>
      </c>
    </row>
    <row r="1923" spans="1:2" x14ac:dyDescent="0.25">
      <c r="A1923" s="8">
        <v>39212</v>
      </c>
      <c r="B1923" s="9">
        <v>13.6</v>
      </c>
    </row>
    <row r="1924" spans="1:2" x14ac:dyDescent="0.25">
      <c r="A1924" s="8">
        <v>39213</v>
      </c>
      <c r="B1924" s="9">
        <v>12.95</v>
      </c>
    </row>
    <row r="1925" spans="1:2" x14ac:dyDescent="0.25">
      <c r="A1925" s="8">
        <v>39216</v>
      </c>
      <c r="B1925" s="9">
        <v>13.96</v>
      </c>
    </row>
    <row r="1926" spans="1:2" x14ac:dyDescent="0.25">
      <c r="A1926" s="8">
        <v>39217</v>
      </c>
      <c r="B1926" s="9">
        <v>14.01</v>
      </c>
    </row>
    <row r="1927" spans="1:2" x14ac:dyDescent="0.25">
      <c r="A1927" s="8">
        <v>39218</v>
      </c>
      <c r="B1927" s="9">
        <v>13.5</v>
      </c>
    </row>
    <row r="1928" spans="1:2" x14ac:dyDescent="0.25">
      <c r="A1928" s="8">
        <v>39219</v>
      </c>
      <c r="B1928" s="9">
        <v>13.51</v>
      </c>
    </row>
    <row r="1929" spans="1:2" x14ac:dyDescent="0.25">
      <c r="A1929" s="8">
        <v>39220</v>
      </c>
      <c r="B1929" s="9">
        <v>12.76</v>
      </c>
    </row>
    <row r="1930" spans="1:2" x14ac:dyDescent="0.25">
      <c r="A1930" s="8">
        <v>39223</v>
      </c>
      <c r="B1930" s="9">
        <v>13.3</v>
      </c>
    </row>
    <row r="1931" spans="1:2" x14ac:dyDescent="0.25">
      <c r="A1931" s="8">
        <v>39224</v>
      </c>
      <c r="B1931" s="9">
        <v>13.06</v>
      </c>
    </row>
    <row r="1932" spans="1:2" x14ac:dyDescent="0.25">
      <c r="A1932" s="8">
        <v>39225</v>
      </c>
      <c r="B1932" s="9">
        <v>13.24</v>
      </c>
    </row>
    <row r="1933" spans="1:2" x14ac:dyDescent="0.25">
      <c r="A1933" s="8">
        <v>39226</v>
      </c>
      <c r="B1933" s="9">
        <v>14.08</v>
      </c>
    </row>
    <row r="1934" spans="1:2" x14ac:dyDescent="0.25">
      <c r="A1934" s="8">
        <v>39227</v>
      </c>
      <c r="B1934" s="9">
        <v>13.34</v>
      </c>
    </row>
    <row r="1935" spans="1:2" x14ac:dyDescent="0.25">
      <c r="A1935" s="8">
        <v>39230</v>
      </c>
    </row>
    <row r="1936" spans="1:2" x14ac:dyDescent="0.25">
      <c r="A1936" s="8">
        <v>39231</v>
      </c>
      <c r="B1936" s="9">
        <v>13.53</v>
      </c>
    </row>
    <row r="1937" spans="1:2" x14ac:dyDescent="0.25">
      <c r="A1937" s="8">
        <v>39232</v>
      </c>
      <c r="B1937" s="9">
        <v>12.83</v>
      </c>
    </row>
    <row r="1938" spans="1:2" x14ac:dyDescent="0.25">
      <c r="A1938" s="8">
        <v>39233</v>
      </c>
      <c r="B1938" s="9">
        <v>13.05</v>
      </c>
    </row>
    <row r="1939" spans="1:2" x14ac:dyDescent="0.25">
      <c r="A1939" s="8">
        <v>39234</v>
      </c>
      <c r="B1939" s="9">
        <v>12.78</v>
      </c>
    </row>
    <row r="1940" spans="1:2" x14ac:dyDescent="0.25">
      <c r="A1940" s="8">
        <v>39237</v>
      </c>
      <c r="B1940" s="9">
        <v>13.29</v>
      </c>
    </row>
    <row r="1941" spans="1:2" x14ac:dyDescent="0.25">
      <c r="A1941" s="8">
        <v>39238</v>
      </c>
      <c r="B1941" s="9">
        <v>13.63</v>
      </c>
    </row>
    <row r="1942" spans="1:2" x14ac:dyDescent="0.25">
      <c r="A1942" s="8">
        <v>39239</v>
      </c>
      <c r="B1942" s="9">
        <v>14.87</v>
      </c>
    </row>
    <row r="1943" spans="1:2" x14ac:dyDescent="0.25">
      <c r="A1943" s="8">
        <v>39240</v>
      </c>
      <c r="B1943" s="9">
        <v>17.059999999999999</v>
      </c>
    </row>
    <row r="1944" spans="1:2" x14ac:dyDescent="0.25">
      <c r="A1944" s="8">
        <v>39241</v>
      </c>
      <c r="B1944" s="9">
        <v>14.84</v>
      </c>
    </row>
    <row r="1945" spans="1:2" x14ac:dyDescent="0.25">
      <c r="A1945" s="8">
        <v>39244</v>
      </c>
      <c r="B1945" s="9">
        <v>14.71</v>
      </c>
    </row>
    <row r="1946" spans="1:2" x14ac:dyDescent="0.25">
      <c r="A1946" s="8">
        <v>39245</v>
      </c>
      <c r="B1946" s="9">
        <v>16.670000000000002</v>
      </c>
    </row>
    <row r="1947" spans="1:2" x14ac:dyDescent="0.25">
      <c r="A1947" s="8">
        <v>39246</v>
      </c>
      <c r="B1947" s="9">
        <v>14.73</v>
      </c>
    </row>
    <row r="1948" spans="1:2" x14ac:dyDescent="0.25">
      <c r="A1948" s="8">
        <v>39247</v>
      </c>
      <c r="B1948" s="9">
        <v>13.64</v>
      </c>
    </row>
    <row r="1949" spans="1:2" x14ac:dyDescent="0.25">
      <c r="A1949" s="8">
        <v>39248</v>
      </c>
      <c r="B1949" s="9">
        <v>13.94</v>
      </c>
    </row>
    <row r="1950" spans="1:2" x14ac:dyDescent="0.25">
      <c r="A1950" s="8">
        <v>39251</v>
      </c>
      <c r="B1950" s="9">
        <v>13.42</v>
      </c>
    </row>
    <row r="1951" spans="1:2" x14ac:dyDescent="0.25">
      <c r="A1951" s="8">
        <v>39252</v>
      </c>
      <c r="B1951" s="9">
        <v>12.85</v>
      </c>
    </row>
    <row r="1952" spans="1:2" x14ac:dyDescent="0.25">
      <c r="A1952" s="8">
        <v>39253</v>
      </c>
      <c r="B1952" s="9">
        <v>14.67</v>
      </c>
    </row>
    <row r="1953" spans="1:2" x14ac:dyDescent="0.25">
      <c r="A1953" s="8">
        <v>39254</v>
      </c>
      <c r="B1953" s="9">
        <v>14.21</v>
      </c>
    </row>
    <row r="1954" spans="1:2" x14ac:dyDescent="0.25">
      <c r="A1954" s="8">
        <v>39255</v>
      </c>
      <c r="B1954" s="9">
        <v>15.75</v>
      </c>
    </row>
    <row r="1955" spans="1:2" x14ac:dyDescent="0.25">
      <c r="A1955" s="8">
        <v>39258</v>
      </c>
      <c r="B1955" s="9">
        <v>16.649999999999999</v>
      </c>
    </row>
    <row r="1956" spans="1:2" x14ac:dyDescent="0.25">
      <c r="A1956" s="8">
        <v>39259</v>
      </c>
      <c r="B1956" s="9">
        <v>18.89</v>
      </c>
    </row>
    <row r="1957" spans="1:2" x14ac:dyDescent="0.25">
      <c r="A1957" s="8">
        <v>39260</v>
      </c>
      <c r="B1957" s="9">
        <v>15.53</v>
      </c>
    </row>
    <row r="1958" spans="1:2" x14ac:dyDescent="0.25">
      <c r="A1958" s="8">
        <v>39261</v>
      </c>
      <c r="B1958" s="9">
        <v>15.54</v>
      </c>
    </row>
    <row r="1959" spans="1:2" x14ac:dyDescent="0.25">
      <c r="A1959" s="8">
        <v>39262</v>
      </c>
      <c r="B1959" s="9">
        <v>16.23</v>
      </c>
    </row>
    <row r="1960" spans="1:2" x14ac:dyDescent="0.25">
      <c r="A1960" s="8">
        <v>39265</v>
      </c>
      <c r="B1960" s="9">
        <v>15.4</v>
      </c>
    </row>
    <row r="1961" spans="1:2" x14ac:dyDescent="0.25">
      <c r="A1961" s="8">
        <v>39266</v>
      </c>
      <c r="B1961" s="9">
        <v>14.92</v>
      </c>
    </row>
    <row r="1962" spans="1:2" x14ac:dyDescent="0.25">
      <c r="A1962" s="8">
        <v>39267</v>
      </c>
    </row>
    <row r="1963" spans="1:2" x14ac:dyDescent="0.25">
      <c r="A1963" s="8">
        <v>39268</v>
      </c>
      <c r="B1963" s="9">
        <v>15.48</v>
      </c>
    </row>
    <row r="1964" spans="1:2" x14ac:dyDescent="0.25">
      <c r="A1964" s="8">
        <v>39269</v>
      </c>
      <c r="B1964" s="9">
        <v>14.72</v>
      </c>
    </row>
    <row r="1965" spans="1:2" x14ac:dyDescent="0.25">
      <c r="A1965" s="8">
        <v>39272</v>
      </c>
      <c r="B1965" s="9">
        <v>15.16</v>
      </c>
    </row>
    <row r="1966" spans="1:2" x14ac:dyDescent="0.25">
      <c r="A1966" s="8">
        <v>39273</v>
      </c>
      <c r="B1966" s="9">
        <v>17.57</v>
      </c>
    </row>
    <row r="1967" spans="1:2" x14ac:dyDescent="0.25">
      <c r="A1967" s="8">
        <v>39274</v>
      </c>
      <c r="B1967" s="9">
        <v>16.64</v>
      </c>
    </row>
    <row r="1968" spans="1:2" x14ac:dyDescent="0.25">
      <c r="A1968" s="8">
        <v>39275</v>
      </c>
      <c r="B1968" s="9">
        <v>15.54</v>
      </c>
    </row>
    <row r="1969" spans="1:2" x14ac:dyDescent="0.25">
      <c r="A1969" s="8">
        <v>39276</v>
      </c>
      <c r="B1969" s="9">
        <v>15.15</v>
      </c>
    </row>
    <row r="1970" spans="1:2" x14ac:dyDescent="0.25">
      <c r="A1970" s="8">
        <v>39279</v>
      </c>
      <c r="B1970" s="9">
        <v>15.59</v>
      </c>
    </row>
    <row r="1971" spans="1:2" x14ac:dyDescent="0.25">
      <c r="A1971" s="8">
        <v>39280</v>
      </c>
      <c r="B1971" s="9">
        <v>15.63</v>
      </c>
    </row>
    <row r="1972" spans="1:2" x14ac:dyDescent="0.25">
      <c r="A1972" s="8">
        <v>39281</v>
      </c>
      <c r="B1972" s="9">
        <v>16</v>
      </c>
    </row>
    <row r="1973" spans="1:2" x14ac:dyDescent="0.25">
      <c r="A1973" s="8">
        <v>39282</v>
      </c>
      <c r="B1973" s="9">
        <v>15.23</v>
      </c>
    </row>
    <row r="1974" spans="1:2" x14ac:dyDescent="0.25">
      <c r="A1974" s="8">
        <v>39283</v>
      </c>
      <c r="B1974" s="9">
        <v>16.95</v>
      </c>
    </row>
    <row r="1975" spans="1:2" x14ac:dyDescent="0.25">
      <c r="A1975" s="8">
        <v>39286</v>
      </c>
      <c r="B1975" s="9">
        <v>16.809999999999999</v>
      </c>
    </row>
    <row r="1976" spans="1:2" x14ac:dyDescent="0.25">
      <c r="A1976" s="8">
        <v>39287</v>
      </c>
      <c r="B1976" s="9">
        <v>18.55</v>
      </c>
    </row>
    <row r="1977" spans="1:2" x14ac:dyDescent="0.25">
      <c r="A1977" s="8">
        <v>39288</v>
      </c>
      <c r="B1977" s="9">
        <v>18.100000000000001</v>
      </c>
    </row>
    <row r="1978" spans="1:2" x14ac:dyDescent="0.25">
      <c r="A1978" s="8">
        <v>39289</v>
      </c>
      <c r="B1978" s="9">
        <v>20.74</v>
      </c>
    </row>
    <row r="1979" spans="1:2" x14ac:dyDescent="0.25">
      <c r="A1979" s="8">
        <v>39290</v>
      </c>
      <c r="B1979" s="9">
        <v>24.17</v>
      </c>
    </row>
    <row r="1980" spans="1:2" x14ac:dyDescent="0.25">
      <c r="A1980" s="8">
        <v>39293</v>
      </c>
      <c r="B1980" s="9">
        <v>20.87</v>
      </c>
    </row>
    <row r="1981" spans="1:2" x14ac:dyDescent="0.25">
      <c r="A1981" s="8">
        <v>39294</v>
      </c>
      <c r="B1981" s="9">
        <v>23.52</v>
      </c>
    </row>
    <row r="1982" spans="1:2" x14ac:dyDescent="0.25">
      <c r="A1982" s="8">
        <v>39295</v>
      </c>
      <c r="B1982" s="9">
        <v>23.67</v>
      </c>
    </row>
    <row r="1983" spans="1:2" x14ac:dyDescent="0.25">
      <c r="A1983" s="8">
        <v>39296</v>
      </c>
      <c r="B1983" s="9">
        <v>21.22</v>
      </c>
    </row>
    <row r="1984" spans="1:2" x14ac:dyDescent="0.25">
      <c r="A1984" s="8">
        <v>39297</v>
      </c>
      <c r="B1984" s="9">
        <v>25.16</v>
      </c>
    </row>
    <row r="1985" spans="1:2" x14ac:dyDescent="0.25">
      <c r="A1985" s="8">
        <v>39300</v>
      </c>
      <c r="B1985" s="9">
        <v>22.94</v>
      </c>
    </row>
    <row r="1986" spans="1:2" x14ac:dyDescent="0.25">
      <c r="A1986" s="8">
        <v>39301</v>
      </c>
      <c r="B1986" s="9">
        <v>21.56</v>
      </c>
    </row>
    <row r="1987" spans="1:2" x14ac:dyDescent="0.25">
      <c r="A1987" s="8">
        <v>39302</v>
      </c>
      <c r="B1987" s="9">
        <v>21.45</v>
      </c>
    </row>
    <row r="1988" spans="1:2" x14ac:dyDescent="0.25">
      <c r="A1988" s="8">
        <v>39303</v>
      </c>
      <c r="B1988" s="9">
        <v>26.48</v>
      </c>
    </row>
    <row r="1989" spans="1:2" x14ac:dyDescent="0.25">
      <c r="A1989" s="8">
        <v>39304</v>
      </c>
      <c r="B1989" s="9">
        <v>28.3</v>
      </c>
    </row>
    <row r="1990" spans="1:2" x14ac:dyDescent="0.25">
      <c r="A1990" s="8">
        <v>39307</v>
      </c>
      <c r="B1990" s="9">
        <v>26.57</v>
      </c>
    </row>
    <row r="1991" spans="1:2" x14ac:dyDescent="0.25">
      <c r="A1991" s="8">
        <v>39308</v>
      </c>
      <c r="B1991" s="9">
        <v>27.68</v>
      </c>
    </row>
    <row r="1992" spans="1:2" x14ac:dyDescent="0.25">
      <c r="A1992" s="8">
        <v>39309</v>
      </c>
      <c r="B1992" s="9">
        <v>30.67</v>
      </c>
    </row>
    <row r="1993" spans="1:2" x14ac:dyDescent="0.25">
      <c r="A1993" s="8">
        <v>39310</v>
      </c>
      <c r="B1993" s="9">
        <v>30.83</v>
      </c>
    </row>
    <row r="1994" spans="1:2" x14ac:dyDescent="0.25">
      <c r="A1994" s="8">
        <v>39311</v>
      </c>
      <c r="B1994" s="9">
        <v>29.99</v>
      </c>
    </row>
    <row r="1995" spans="1:2" x14ac:dyDescent="0.25">
      <c r="A1995" s="8">
        <v>39314</v>
      </c>
      <c r="B1995" s="9">
        <v>26.33</v>
      </c>
    </row>
    <row r="1996" spans="1:2" x14ac:dyDescent="0.25">
      <c r="A1996" s="8">
        <v>39315</v>
      </c>
      <c r="B1996" s="9">
        <v>25.25</v>
      </c>
    </row>
    <row r="1997" spans="1:2" x14ac:dyDescent="0.25">
      <c r="A1997" s="8">
        <v>39316</v>
      </c>
      <c r="B1997" s="9">
        <v>22.89</v>
      </c>
    </row>
    <row r="1998" spans="1:2" x14ac:dyDescent="0.25">
      <c r="A1998" s="8">
        <v>39317</v>
      </c>
      <c r="B1998" s="9">
        <v>22.62</v>
      </c>
    </row>
    <row r="1999" spans="1:2" x14ac:dyDescent="0.25">
      <c r="A1999" s="8">
        <v>39318</v>
      </c>
      <c r="B1999" s="9">
        <v>20.72</v>
      </c>
    </row>
    <row r="2000" spans="1:2" x14ac:dyDescent="0.25">
      <c r="A2000" s="8">
        <v>39321</v>
      </c>
      <c r="B2000" s="9">
        <v>22.72</v>
      </c>
    </row>
    <row r="2001" spans="1:2" x14ac:dyDescent="0.25">
      <c r="A2001" s="8">
        <v>39322</v>
      </c>
      <c r="B2001" s="9">
        <v>26.3</v>
      </c>
    </row>
    <row r="2002" spans="1:2" x14ac:dyDescent="0.25">
      <c r="A2002" s="8">
        <v>39323</v>
      </c>
      <c r="B2002" s="9">
        <v>23.81</v>
      </c>
    </row>
    <row r="2003" spans="1:2" x14ac:dyDescent="0.25">
      <c r="A2003" s="8">
        <v>39324</v>
      </c>
      <c r="B2003" s="9">
        <v>25.06</v>
      </c>
    </row>
    <row r="2004" spans="1:2" x14ac:dyDescent="0.25">
      <c r="A2004" s="8">
        <v>39325</v>
      </c>
      <c r="B2004" s="9">
        <v>23.38</v>
      </c>
    </row>
    <row r="2005" spans="1:2" x14ac:dyDescent="0.25">
      <c r="A2005" s="8">
        <v>39328</v>
      </c>
    </row>
    <row r="2006" spans="1:2" x14ac:dyDescent="0.25">
      <c r="A2006" s="8">
        <v>39329</v>
      </c>
      <c r="B2006" s="9">
        <v>22.78</v>
      </c>
    </row>
    <row r="2007" spans="1:2" x14ac:dyDescent="0.25">
      <c r="A2007" s="8">
        <v>39330</v>
      </c>
      <c r="B2007" s="9">
        <v>24.58</v>
      </c>
    </row>
    <row r="2008" spans="1:2" x14ac:dyDescent="0.25">
      <c r="A2008" s="8">
        <v>39331</v>
      </c>
      <c r="B2008" s="9">
        <v>23.99</v>
      </c>
    </row>
    <row r="2009" spans="1:2" x14ac:dyDescent="0.25">
      <c r="A2009" s="8">
        <v>39332</v>
      </c>
      <c r="B2009" s="9">
        <v>26.23</v>
      </c>
    </row>
    <row r="2010" spans="1:2" x14ac:dyDescent="0.25">
      <c r="A2010" s="8">
        <v>39335</v>
      </c>
      <c r="B2010" s="9">
        <v>27.38</v>
      </c>
    </row>
    <row r="2011" spans="1:2" x14ac:dyDescent="0.25">
      <c r="A2011" s="8">
        <v>39336</v>
      </c>
      <c r="B2011" s="9">
        <v>25.27</v>
      </c>
    </row>
    <row r="2012" spans="1:2" x14ac:dyDescent="0.25">
      <c r="A2012" s="8">
        <v>39337</v>
      </c>
      <c r="B2012" s="9">
        <v>24.96</v>
      </c>
    </row>
    <row r="2013" spans="1:2" x14ac:dyDescent="0.25">
      <c r="A2013" s="8">
        <v>39338</v>
      </c>
      <c r="B2013" s="9">
        <v>24.76</v>
      </c>
    </row>
    <row r="2014" spans="1:2" x14ac:dyDescent="0.25">
      <c r="A2014" s="8">
        <v>39339</v>
      </c>
      <c r="B2014" s="9">
        <v>24.92</v>
      </c>
    </row>
    <row r="2015" spans="1:2" x14ac:dyDescent="0.25">
      <c r="A2015" s="8">
        <v>39342</v>
      </c>
      <c r="B2015" s="9">
        <v>26.48</v>
      </c>
    </row>
    <row r="2016" spans="1:2" x14ac:dyDescent="0.25">
      <c r="A2016" s="8">
        <v>39343</v>
      </c>
      <c r="B2016" s="9">
        <v>20.350000000000001</v>
      </c>
    </row>
    <row r="2017" spans="1:2" x14ac:dyDescent="0.25">
      <c r="A2017" s="8">
        <v>39344</v>
      </c>
      <c r="B2017" s="9">
        <v>20.03</v>
      </c>
    </row>
    <row r="2018" spans="1:2" x14ac:dyDescent="0.25">
      <c r="A2018" s="8">
        <v>39345</v>
      </c>
      <c r="B2018" s="9">
        <v>20.45</v>
      </c>
    </row>
    <row r="2019" spans="1:2" x14ac:dyDescent="0.25">
      <c r="A2019" s="8">
        <v>39346</v>
      </c>
      <c r="B2019" s="9">
        <v>19</v>
      </c>
    </row>
    <row r="2020" spans="1:2" x14ac:dyDescent="0.25">
      <c r="A2020" s="8">
        <v>39349</v>
      </c>
      <c r="B2020" s="9">
        <v>19.37</v>
      </c>
    </row>
    <row r="2021" spans="1:2" x14ac:dyDescent="0.25">
      <c r="A2021" s="8">
        <v>39350</v>
      </c>
      <c r="B2021" s="9">
        <v>18.600000000000001</v>
      </c>
    </row>
    <row r="2022" spans="1:2" x14ac:dyDescent="0.25">
      <c r="A2022" s="8">
        <v>39351</v>
      </c>
      <c r="B2022" s="9">
        <v>17.63</v>
      </c>
    </row>
    <row r="2023" spans="1:2" x14ac:dyDescent="0.25">
      <c r="A2023" s="8">
        <v>39352</v>
      </c>
      <c r="B2023" s="9">
        <v>17</v>
      </c>
    </row>
    <row r="2024" spans="1:2" x14ac:dyDescent="0.25">
      <c r="A2024" s="8">
        <v>39353</v>
      </c>
      <c r="B2024" s="9">
        <v>18</v>
      </c>
    </row>
    <row r="2025" spans="1:2" x14ac:dyDescent="0.25">
      <c r="A2025" s="8">
        <v>39356</v>
      </c>
      <c r="B2025" s="9">
        <v>17.84</v>
      </c>
    </row>
    <row r="2026" spans="1:2" x14ac:dyDescent="0.25">
      <c r="A2026" s="8">
        <v>39357</v>
      </c>
      <c r="B2026" s="9">
        <v>18.489999999999998</v>
      </c>
    </row>
    <row r="2027" spans="1:2" x14ac:dyDescent="0.25">
      <c r="A2027" s="8">
        <v>39358</v>
      </c>
      <c r="B2027" s="9">
        <v>18.8</v>
      </c>
    </row>
    <row r="2028" spans="1:2" x14ac:dyDescent="0.25">
      <c r="A2028" s="8">
        <v>39359</v>
      </c>
      <c r="B2028" s="9">
        <v>18.440000000000001</v>
      </c>
    </row>
    <row r="2029" spans="1:2" x14ac:dyDescent="0.25">
      <c r="A2029" s="8">
        <v>39360</v>
      </c>
      <c r="B2029" s="9">
        <v>16.91</v>
      </c>
    </row>
    <row r="2030" spans="1:2" x14ac:dyDescent="0.25">
      <c r="A2030" s="8">
        <v>39363</v>
      </c>
      <c r="B2030" s="9">
        <v>17.46</v>
      </c>
    </row>
    <row r="2031" spans="1:2" x14ac:dyDescent="0.25">
      <c r="A2031" s="8">
        <v>39364</v>
      </c>
      <c r="B2031" s="9">
        <v>16.12</v>
      </c>
    </row>
    <row r="2032" spans="1:2" x14ac:dyDescent="0.25">
      <c r="A2032" s="8">
        <v>39365</v>
      </c>
      <c r="B2032" s="9">
        <v>16.670000000000002</v>
      </c>
    </row>
    <row r="2033" spans="1:2" x14ac:dyDescent="0.25">
      <c r="A2033" s="8">
        <v>39366</v>
      </c>
      <c r="B2033" s="9">
        <v>18.88</v>
      </c>
    </row>
    <row r="2034" spans="1:2" x14ac:dyDescent="0.25">
      <c r="A2034" s="8">
        <v>39367</v>
      </c>
      <c r="B2034" s="9">
        <v>17.73</v>
      </c>
    </row>
    <row r="2035" spans="1:2" x14ac:dyDescent="0.25">
      <c r="A2035" s="8">
        <v>39370</v>
      </c>
      <c r="B2035" s="9">
        <v>19.25</v>
      </c>
    </row>
    <row r="2036" spans="1:2" x14ac:dyDescent="0.25">
      <c r="A2036" s="8">
        <v>39371</v>
      </c>
      <c r="B2036" s="9">
        <v>20.02</v>
      </c>
    </row>
    <row r="2037" spans="1:2" x14ac:dyDescent="0.25">
      <c r="A2037" s="8">
        <v>39372</v>
      </c>
      <c r="B2037" s="9">
        <v>18.54</v>
      </c>
    </row>
    <row r="2038" spans="1:2" x14ac:dyDescent="0.25">
      <c r="A2038" s="8">
        <v>39373</v>
      </c>
      <c r="B2038" s="9">
        <v>18.5</v>
      </c>
    </row>
    <row r="2039" spans="1:2" x14ac:dyDescent="0.25">
      <c r="A2039" s="8">
        <v>39374</v>
      </c>
      <c r="B2039" s="9">
        <v>22.96</v>
      </c>
    </row>
    <row r="2040" spans="1:2" x14ac:dyDescent="0.25">
      <c r="A2040" s="8">
        <v>39377</v>
      </c>
      <c r="B2040" s="9">
        <v>21.64</v>
      </c>
    </row>
    <row r="2041" spans="1:2" x14ac:dyDescent="0.25">
      <c r="A2041" s="8">
        <v>39378</v>
      </c>
      <c r="B2041" s="9">
        <v>20.41</v>
      </c>
    </row>
    <row r="2042" spans="1:2" x14ac:dyDescent="0.25">
      <c r="A2042" s="8">
        <v>39379</v>
      </c>
      <c r="B2042" s="9">
        <v>20.8</v>
      </c>
    </row>
    <row r="2043" spans="1:2" x14ac:dyDescent="0.25">
      <c r="A2043" s="8">
        <v>39380</v>
      </c>
      <c r="B2043" s="9">
        <v>21.17</v>
      </c>
    </row>
    <row r="2044" spans="1:2" x14ac:dyDescent="0.25">
      <c r="A2044" s="8">
        <v>39381</v>
      </c>
      <c r="B2044" s="9">
        <v>19.559999999999999</v>
      </c>
    </row>
    <row r="2045" spans="1:2" x14ac:dyDescent="0.25">
      <c r="A2045" s="8">
        <v>39384</v>
      </c>
      <c r="B2045" s="9">
        <v>19.87</v>
      </c>
    </row>
    <row r="2046" spans="1:2" x14ac:dyDescent="0.25">
      <c r="A2046" s="8">
        <v>39385</v>
      </c>
      <c r="B2046" s="9">
        <v>21.07</v>
      </c>
    </row>
    <row r="2047" spans="1:2" x14ac:dyDescent="0.25">
      <c r="A2047" s="8">
        <v>39386</v>
      </c>
      <c r="B2047" s="9">
        <v>18.53</v>
      </c>
    </row>
    <row r="2048" spans="1:2" x14ac:dyDescent="0.25">
      <c r="A2048" s="8">
        <v>39387</v>
      </c>
      <c r="B2048" s="9">
        <v>23.21</v>
      </c>
    </row>
    <row r="2049" spans="1:2" x14ac:dyDescent="0.25">
      <c r="A2049" s="8">
        <v>39388</v>
      </c>
      <c r="B2049" s="9">
        <v>23.01</v>
      </c>
    </row>
    <row r="2050" spans="1:2" x14ac:dyDescent="0.25">
      <c r="A2050" s="8">
        <v>39391</v>
      </c>
      <c r="B2050" s="9">
        <v>24.31</v>
      </c>
    </row>
    <row r="2051" spans="1:2" x14ac:dyDescent="0.25">
      <c r="A2051" s="8">
        <v>39392</v>
      </c>
      <c r="B2051" s="9">
        <v>21.39</v>
      </c>
    </row>
    <row r="2052" spans="1:2" x14ac:dyDescent="0.25">
      <c r="A2052" s="8">
        <v>39393</v>
      </c>
      <c r="B2052" s="9">
        <v>26.49</v>
      </c>
    </row>
    <row r="2053" spans="1:2" x14ac:dyDescent="0.25">
      <c r="A2053" s="8">
        <v>39394</v>
      </c>
      <c r="B2053" s="9">
        <v>26.16</v>
      </c>
    </row>
    <row r="2054" spans="1:2" x14ac:dyDescent="0.25">
      <c r="A2054" s="8">
        <v>39395</v>
      </c>
      <c r="B2054" s="9">
        <v>28.5</v>
      </c>
    </row>
    <row r="2055" spans="1:2" x14ac:dyDescent="0.25">
      <c r="A2055" s="8">
        <v>39398</v>
      </c>
      <c r="B2055" s="9">
        <v>31.09</v>
      </c>
    </row>
    <row r="2056" spans="1:2" x14ac:dyDescent="0.25">
      <c r="A2056" s="8">
        <v>39399</v>
      </c>
      <c r="B2056" s="9">
        <v>24.1</v>
      </c>
    </row>
    <row r="2057" spans="1:2" x14ac:dyDescent="0.25">
      <c r="A2057" s="8">
        <v>39400</v>
      </c>
      <c r="B2057" s="9">
        <v>25.94</v>
      </c>
    </row>
    <row r="2058" spans="1:2" x14ac:dyDescent="0.25">
      <c r="A2058" s="8">
        <v>39401</v>
      </c>
      <c r="B2058" s="9">
        <v>28.06</v>
      </c>
    </row>
    <row r="2059" spans="1:2" x14ac:dyDescent="0.25">
      <c r="A2059" s="8">
        <v>39402</v>
      </c>
      <c r="B2059" s="9">
        <v>25.49</v>
      </c>
    </row>
    <row r="2060" spans="1:2" x14ac:dyDescent="0.25">
      <c r="A2060" s="8">
        <v>39405</v>
      </c>
      <c r="B2060" s="9">
        <v>26.01</v>
      </c>
    </row>
    <row r="2061" spans="1:2" x14ac:dyDescent="0.25">
      <c r="A2061" s="8">
        <v>39406</v>
      </c>
      <c r="B2061" s="9">
        <v>24.88</v>
      </c>
    </row>
    <row r="2062" spans="1:2" x14ac:dyDescent="0.25">
      <c r="A2062" s="8">
        <v>39407</v>
      </c>
      <c r="B2062" s="9">
        <v>26.84</v>
      </c>
    </row>
    <row r="2063" spans="1:2" x14ac:dyDescent="0.25">
      <c r="A2063" s="8">
        <v>39408</v>
      </c>
    </row>
    <row r="2064" spans="1:2" x14ac:dyDescent="0.25">
      <c r="A2064" s="8">
        <v>39409</v>
      </c>
      <c r="B2064" s="9">
        <v>25.61</v>
      </c>
    </row>
    <row r="2065" spans="1:2" x14ac:dyDescent="0.25">
      <c r="A2065" s="8">
        <v>39412</v>
      </c>
      <c r="B2065" s="9">
        <v>28.91</v>
      </c>
    </row>
    <row r="2066" spans="1:2" x14ac:dyDescent="0.25">
      <c r="A2066" s="8">
        <v>39413</v>
      </c>
      <c r="B2066" s="9">
        <v>26.28</v>
      </c>
    </row>
    <row r="2067" spans="1:2" x14ac:dyDescent="0.25">
      <c r="A2067" s="8">
        <v>39414</v>
      </c>
      <c r="B2067" s="9">
        <v>24.11</v>
      </c>
    </row>
    <row r="2068" spans="1:2" x14ac:dyDescent="0.25">
      <c r="A2068" s="8">
        <v>39415</v>
      </c>
      <c r="B2068" s="9">
        <v>23.97</v>
      </c>
    </row>
    <row r="2069" spans="1:2" x14ac:dyDescent="0.25">
      <c r="A2069" s="8">
        <v>39416</v>
      </c>
      <c r="B2069" s="9">
        <v>22.87</v>
      </c>
    </row>
    <row r="2070" spans="1:2" x14ac:dyDescent="0.25">
      <c r="A2070" s="8">
        <v>39419</v>
      </c>
      <c r="B2070" s="9">
        <v>23.61</v>
      </c>
    </row>
    <row r="2071" spans="1:2" x14ac:dyDescent="0.25">
      <c r="A2071" s="8">
        <v>39420</v>
      </c>
      <c r="B2071" s="9">
        <v>23.79</v>
      </c>
    </row>
    <row r="2072" spans="1:2" x14ac:dyDescent="0.25">
      <c r="A2072" s="8">
        <v>39421</v>
      </c>
      <c r="B2072" s="9">
        <v>22.53</v>
      </c>
    </row>
    <row r="2073" spans="1:2" x14ac:dyDescent="0.25">
      <c r="A2073" s="8">
        <v>39422</v>
      </c>
      <c r="B2073" s="9">
        <v>20.96</v>
      </c>
    </row>
    <row r="2074" spans="1:2" x14ac:dyDescent="0.25">
      <c r="A2074" s="8">
        <v>39423</v>
      </c>
      <c r="B2074" s="9">
        <v>20.85</v>
      </c>
    </row>
    <row r="2075" spans="1:2" x14ac:dyDescent="0.25">
      <c r="A2075" s="8">
        <v>39426</v>
      </c>
      <c r="B2075" s="9">
        <v>20.74</v>
      </c>
    </row>
    <row r="2076" spans="1:2" x14ac:dyDescent="0.25">
      <c r="A2076" s="8">
        <v>39427</v>
      </c>
      <c r="B2076" s="9">
        <v>23.59</v>
      </c>
    </row>
    <row r="2077" spans="1:2" x14ac:dyDescent="0.25">
      <c r="A2077" s="8">
        <v>39428</v>
      </c>
      <c r="B2077" s="9">
        <v>22.47</v>
      </c>
    </row>
    <row r="2078" spans="1:2" x14ac:dyDescent="0.25">
      <c r="A2078" s="8">
        <v>39429</v>
      </c>
      <c r="B2078" s="9">
        <v>22.56</v>
      </c>
    </row>
    <row r="2079" spans="1:2" x14ac:dyDescent="0.25">
      <c r="A2079" s="8">
        <v>39430</v>
      </c>
      <c r="B2079" s="9">
        <v>23.27</v>
      </c>
    </row>
    <row r="2080" spans="1:2" x14ac:dyDescent="0.25">
      <c r="A2080" s="8">
        <v>39433</v>
      </c>
      <c r="B2080" s="9">
        <v>24.52</v>
      </c>
    </row>
    <row r="2081" spans="1:2" x14ac:dyDescent="0.25">
      <c r="A2081" s="8">
        <v>39434</v>
      </c>
      <c r="B2081" s="9">
        <v>22.64</v>
      </c>
    </row>
    <row r="2082" spans="1:2" x14ac:dyDescent="0.25">
      <c r="A2082" s="8">
        <v>39435</v>
      </c>
      <c r="B2082" s="9">
        <v>21.68</v>
      </c>
    </row>
    <row r="2083" spans="1:2" x14ac:dyDescent="0.25">
      <c r="A2083" s="8">
        <v>39436</v>
      </c>
      <c r="B2083" s="9">
        <v>20.58</v>
      </c>
    </row>
    <row r="2084" spans="1:2" x14ac:dyDescent="0.25">
      <c r="A2084" s="8">
        <v>39437</v>
      </c>
      <c r="B2084" s="9">
        <v>18.47</v>
      </c>
    </row>
    <row r="2085" spans="1:2" x14ac:dyDescent="0.25">
      <c r="A2085" s="8">
        <v>39440</v>
      </c>
      <c r="B2085" s="9">
        <v>18.600000000000001</v>
      </c>
    </row>
    <row r="2086" spans="1:2" x14ac:dyDescent="0.25">
      <c r="A2086" s="8">
        <v>39441</v>
      </c>
    </row>
    <row r="2087" spans="1:2" x14ac:dyDescent="0.25">
      <c r="A2087" s="8">
        <v>39442</v>
      </c>
      <c r="B2087" s="9">
        <v>18.66</v>
      </c>
    </row>
    <row r="2088" spans="1:2" x14ac:dyDescent="0.25">
      <c r="A2088" s="8">
        <v>39443</v>
      </c>
      <c r="B2088" s="9">
        <v>20.260000000000002</v>
      </c>
    </row>
    <row r="2089" spans="1:2" x14ac:dyDescent="0.25">
      <c r="A2089" s="8">
        <v>39444</v>
      </c>
      <c r="B2089" s="9">
        <v>20.74</v>
      </c>
    </row>
    <row r="2090" spans="1:2" x14ac:dyDescent="0.25">
      <c r="A2090" s="8">
        <v>39447</v>
      </c>
      <c r="B2090" s="9">
        <v>22.5</v>
      </c>
    </row>
    <row r="2091" spans="1:2" x14ac:dyDescent="0.25">
      <c r="A2091" s="8">
        <v>39448</v>
      </c>
    </row>
    <row r="2092" spans="1:2" x14ac:dyDescent="0.25">
      <c r="A2092" s="8">
        <v>39449</v>
      </c>
      <c r="B2092" s="9">
        <v>23.17</v>
      </c>
    </row>
    <row r="2093" spans="1:2" x14ac:dyDescent="0.25">
      <c r="A2093" s="8">
        <v>39450</v>
      </c>
      <c r="B2093" s="9">
        <v>22.49</v>
      </c>
    </row>
    <row r="2094" spans="1:2" x14ac:dyDescent="0.25">
      <c r="A2094" s="8">
        <v>39451</v>
      </c>
      <c r="B2094" s="9">
        <v>23.94</v>
      </c>
    </row>
    <row r="2095" spans="1:2" x14ac:dyDescent="0.25">
      <c r="A2095" s="8">
        <v>39454</v>
      </c>
      <c r="B2095" s="9">
        <v>23.79</v>
      </c>
    </row>
    <row r="2096" spans="1:2" x14ac:dyDescent="0.25">
      <c r="A2096" s="8">
        <v>39455</v>
      </c>
      <c r="B2096" s="9">
        <v>25.43</v>
      </c>
    </row>
    <row r="2097" spans="1:2" x14ac:dyDescent="0.25">
      <c r="A2097" s="8">
        <v>39456</v>
      </c>
      <c r="B2097" s="9">
        <v>24.12</v>
      </c>
    </row>
    <row r="2098" spans="1:2" x14ac:dyDescent="0.25">
      <c r="A2098" s="8">
        <v>39457</v>
      </c>
      <c r="B2098" s="9">
        <v>23.45</v>
      </c>
    </row>
    <row r="2099" spans="1:2" x14ac:dyDescent="0.25">
      <c r="A2099" s="8">
        <v>39458</v>
      </c>
      <c r="B2099" s="9">
        <v>23.68</v>
      </c>
    </row>
    <row r="2100" spans="1:2" x14ac:dyDescent="0.25">
      <c r="A2100" s="8">
        <v>39461</v>
      </c>
      <c r="B2100" s="9">
        <v>22.9</v>
      </c>
    </row>
    <row r="2101" spans="1:2" x14ac:dyDescent="0.25">
      <c r="A2101" s="8">
        <v>39462</v>
      </c>
      <c r="B2101" s="9">
        <v>23.34</v>
      </c>
    </row>
    <row r="2102" spans="1:2" x14ac:dyDescent="0.25">
      <c r="A2102" s="8">
        <v>39463</v>
      </c>
      <c r="B2102" s="9">
        <v>24.38</v>
      </c>
    </row>
    <row r="2103" spans="1:2" x14ac:dyDescent="0.25">
      <c r="A2103" s="8">
        <v>39464</v>
      </c>
      <c r="B2103" s="9">
        <v>28.46</v>
      </c>
    </row>
    <row r="2104" spans="1:2" x14ac:dyDescent="0.25">
      <c r="A2104" s="8">
        <v>39465</v>
      </c>
      <c r="B2104" s="9">
        <v>27.18</v>
      </c>
    </row>
    <row r="2105" spans="1:2" x14ac:dyDescent="0.25">
      <c r="A2105" s="8">
        <v>39468</v>
      </c>
    </row>
    <row r="2106" spans="1:2" x14ac:dyDescent="0.25">
      <c r="A2106" s="8">
        <v>39469</v>
      </c>
      <c r="B2106" s="9">
        <v>31.01</v>
      </c>
    </row>
    <row r="2107" spans="1:2" x14ac:dyDescent="0.25">
      <c r="A2107" s="8">
        <v>39470</v>
      </c>
      <c r="B2107" s="9">
        <v>29.02</v>
      </c>
    </row>
    <row r="2108" spans="1:2" x14ac:dyDescent="0.25">
      <c r="A2108" s="8">
        <v>39471</v>
      </c>
      <c r="B2108" s="9">
        <v>27.78</v>
      </c>
    </row>
    <row r="2109" spans="1:2" x14ac:dyDescent="0.25">
      <c r="A2109" s="8">
        <v>39472</v>
      </c>
      <c r="B2109" s="9">
        <v>29.08</v>
      </c>
    </row>
    <row r="2110" spans="1:2" x14ac:dyDescent="0.25">
      <c r="A2110" s="8">
        <v>39475</v>
      </c>
      <c r="B2110" s="9">
        <v>27.78</v>
      </c>
    </row>
    <row r="2111" spans="1:2" x14ac:dyDescent="0.25">
      <c r="A2111" s="8">
        <v>39476</v>
      </c>
      <c r="B2111" s="9">
        <v>27.32</v>
      </c>
    </row>
    <row r="2112" spans="1:2" x14ac:dyDescent="0.25">
      <c r="A2112" s="8">
        <v>39477</v>
      </c>
      <c r="B2112" s="9">
        <v>27.62</v>
      </c>
    </row>
    <row r="2113" spans="1:2" x14ac:dyDescent="0.25">
      <c r="A2113" s="8">
        <v>39478</v>
      </c>
      <c r="B2113" s="9">
        <v>26.2</v>
      </c>
    </row>
    <row r="2114" spans="1:2" x14ac:dyDescent="0.25">
      <c r="A2114" s="8">
        <v>39479</v>
      </c>
      <c r="B2114" s="9">
        <v>24.02</v>
      </c>
    </row>
    <row r="2115" spans="1:2" x14ac:dyDescent="0.25">
      <c r="A2115" s="8">
        <v>39482</v>
      </c>
      <c r="B2115" s="9">
        <v>25.99</v>
      </c>
    </row>
    <row r="2116" spans="1:2" x14ac:dyDescent="0.25">
      <c r="A2116" s="8">
        <v>39483</v>
      </c>
      <c r="B2116" s="9">
        <v>28.24</v>
      </c>
    </row>
    <row r="2117" spans="1:2" x14ac:dyDescent="0.25">
      <c r="A2117" s="8">
        <v>39484</v>
      </c>
      <c r="B2117" s="9">
        <v>28.97</v>
      </c>
    </row>
    <row r="2118" spans="1:2" x14ac:dyDescent="0.25">
      <c r="A2118" s="8">
        <v>39485</v>
      </c>
      <c r="B2118" s="9">
        <v>27.66</v>
      </c>
    </row>
    <row r="2119" spans="1:2" x14ac:dyDescent="0.25">
      <c r="A2119" s="8">
        <v>39486</v>
      </c>
      <c r="B2119" s="9">
        <v>28.01</v>
      </c>
    </row>
    <row r="2120" spans="1:2" x14ac:dyDescent="0.25">
      <c r="A2120" s="8">
        <v>39489</v>
      </c>
      <c r="B2120" s="9">
        <v>27.6</v>
      </c>
    </row>
    <row r="2121" spans="1:2" x14ac:dyDescent="0.25">
      <c r="A2121" s="8">
        <v>39490</v>
      </c>
      <c r="B2121" s="9">
        <v>26.33</v>
      </c>
    </row>
    <row r="2122" spans="1:2" x14ac:dyDescent="0.25">
      <c r="A2122" s="8">
        <v>39491</v>
      </c>
      <c r="B2122" s="9">
        <v>24.88</v>
      </c>
    </row>
    <row r="2123" spans="1:2" x14ac:dyDescent="0.25">
      <c r="A2123" s="8">
        <v>39492</v>
      </c>
      <c r="B2123" s="9">
        <v>25.54</v>
      </c>
    </row>
    <row r="2124" spans="1:2" x14ac:dyDescent="0.25">
      <c r="A2124" s="8">
        <v>39493</v>
      </c>
      <c r="B2124" s="9">
        <v>25.02</v>
      </c>
    </row>
    <row r="2125" spans="1:2" x14ac:dyDescent="0.25">
      <c r="A2125" s="8">
        <v>39496</v>
      </c>
    </row>
    <row r="2126" spans="1:2" x14ac:dyDescent="0.25">
      <c r="A2126" s="8">
        <v>39497</v>
      </c>
      <c r="B2126" s="9">
        <v>25.59</v>
      </c>
    </row>
    <row r="2127" spans="1:2" x14ac:dyDescent="0.25">
      <c r="A2127" s="8">
        <v>39498</v>
      </c>
      <c r="B2127" s="9">
        <v>24.4</v>
      </c>
    </row>
    <row r="2128" spans="1:2" x14ac:dyDescent="0.25">
      <c r="A2128" s="8">
        <v>39499</v>
      </c>
      <c r="B2128" s="9">
        <v>25.12</v>
      </c>
    </row>
    <row r="2129" spans="1:2" x14ac:dyDescent="0.25">
      <c r="A2129" s="8">
        <v>39500</v>
      </c>
      <c r="B2129" s="9">
        <v>24.06</v>
      </c>
    </row>
    <row r="2130" spans="1:2" x14ac:dyDescent="0.25">
      <c r="A2130" s="8">
        <v>39503</v>
      </c>
      <c r="B2130" s="9">
        <v>23.03</v>
      </c>
    </row>
    <row r="2131" spans="1:2" x14ac:dyDescent="0.25">
      <c r="A2131" s="8">
        <v>39504</v>
      </c>
      <c r="B2131" s="9">
        <v>21.9</v>
      </c>
    </row>
    <row r="2132" spans="1:2" x14ac:dyDescent="0.25">
      <c r="A2132" s="8">
        <v>39505</v>
      </c>
      <c r="B2132" s="9">
        <v>22.69</v>
      </c>
    </row>
    <row r="2133" spans="1:2" x14ac:dyDescent="0.25">
      <c r="A2133" s="8">
        <v>39506</v>
      </c>
      <c r="B2133" s="9">
        <v>23.53</v>
      </c>
    </row>
    <row r="2134" spans="1:2" x14ac:dyDescent="0.25">
      <c r="A2134" s="8">
        <v>39507</v>
      </c>
      <c r="B2134" s="9">
        <v>26.54</v>
      </c>
    </row>
    <row r="2135" spans="1:2" x14ac:dyDescent="0.25">
      <c r="A2135" s="8">
        <v>39510</v>
      </c>
      <c r="B2135" s="9">
        <v>26.28</v>
      </c>
    </row>
    <row r="2136" spans="1:2" x14ac:dyDescent="0.25">
      <c r="A2136" s="8">
        <v>39511</v>
      </c>
      <c r="B2136" s="9">
        <v>25.52</v>
      </c>
    </row>
    <row r="2137" spans="1:2" x14ac:dyDescent="0.25">
      <c r="A2137" s="8">
        <v>39512</v>
      </c>
      <c r="B2137" s="9">
        <v>24.6</v>
      </c>
    </row>
    <row r="2138" spans="1:2" x14ac:dyDescent="0.25">
      <c r="A2138" s="8">
        <v>39513</v>
      </c>
      <c r="B2138" s="9">
        <v>27.55</v>
      </c>
    </row>
    <row r="2139" spans="1:2" x14ac:dyDescent="0.25">
      <c r="A2139" s="8">
        <v>39514</v>
      </c>
      <c r="B2139" s="9">
        <v>27.49</v>
      </c>
    </row>
    <row r="2140" spans="1:2" x14ac:dyDescent="0.25">
      <c r="A2140" s="8">
        <v>39517</v>
      </c>
      <c r="B2140" s="9">
        <v>29.38</v>
      </c>
    </row>
    <row r="2141" spans="1:2" x14ac:dyDescent="0.25">
      <c r="A2141" s="8">
        <v>39518</v>
      </c>
      <c r="B2141" s="9">
        <v>26.36</v>
      </c>
    </row>
    <row r="2142" spans="1:2" x14ac:dyDescent="0.25">
      <c r="A2142" s="8">
        <v>39519</v>
      </c>
      <c r="B2142" s="9">
        <v>27.22</v>
      </c>
    </row>
    <row r="2143" spans="1:2" x14ac:dyDescent="0.25">
      <c r="A2143" s="8">
        <v>39520</v>
      </c>
      <c r="B2143" s="9">
        <v>27.29</v>
      </c>
    </row>
    <row r="2144" spans="1:2" x14ac:dyDescent="0.25">
      <c r="A2144" s="8">
        <v>39521</v>
      </c>
      <c r="B2144" s="9">
        <v>31.16</v>
      </c>
    </row>
    <row r="2145" spans="1:2" x14ac:dyDescent="0.25">
      <c r="A2145" s="8">
        <v>39524</v>
      </c>
      <c r="B2145" s="9">
        <v>32.24</v>
      </c>
    </row>
    <row r="2146" spans="1:2" x14ac:dyDescent="0.25">
      <c r="A2146" s="8">
        <v>39525</v>
      </c>
      <c r="B2146" s="9">
        <v>25.79</v>
      </c>
    </row>
    <row r="2147" spans="1:2" x14ac:dyDescent="0.25">
      <c r="A2147" s="8">
        <v>39526</v>
      </c>
      <c r="B2147" s="9">
        <v>29.84</v>
      </c>
    </row>
    <row r="2148" spans="1:2" x14ac:dyDescent="0.25">
      <c r="A2148" s="8">
        <v>39527</v>
      </c>
      <c r="B2148" s="9">
        <v>26.62</v>
      </c>
    </row>
    <row r="2149" spans="1:2" x14ac:dyDescent="0.25">
      <c r="A2149" s="8">
        <v>39528</v>
      </c>
    </row>
    <row r="2150" spans="1:2" x14ac:dyDescent="0.25">
      <c r="A2150" s="8">
        <v>39531</v>
      </c>
      <c r="B2150" s="9">
        <v>25.73</v>
      </c>
    </row>
    <row r="2151" spans="1:2" x14ac:dyDescent="0.25">
      <c r="A2151" s="8">
        <v>39532</v>
      </c>
      <c r="B2151" s="9">
        <v>25.72</v>
      </c>
    </row>
    <row r="2152" spans="1:2" x14ac:dyDescent="0.25">
      <c r="A2152" s="8">
        <v>39533</v>
      </c>
      <c r="B2152" s="9">
        <v>26.08</v>
      </c>
    </row>
    <row r="2153" spans="1:2" x14ac:dyDescent="0.25">
      <c r="A2153" s="8">
        <v>39534</v>
      </c>
      <c r="B2153" s="9">
        <v>25.88</v>
      </c>
    </row>
    <row r="2154" spans="1:2" x14ac:dyDescent="0.25">
      <c r="A2154" s="8">
        <v>39535</v>
      </c>
      <c r="B2154" s="9">
        <v>25.71</v>
      </c>
    </row>
    <row r="2155" spans="1:2" x14ac:dyDescent="0.25">
      <c r="A2155" s="8">
        <v>39538</v>
      </c>
      <c r="B2155" s="9">
        <v>25.61</v>
      </c>
    </row>
    <row r="2156" spans="1:2" x14ac:dyDescent="0.25">
      <c r="A2156" s="8">
        <v>39539</v>
      </c>
      <c r="B2156" s="9">
        <v>22.68</v>
      </c>
    </row>
    <row r="2157" spans="1:2" x14ac:dyDescent="0.25">
      <c r="A2157" s="8">
        <v>39540</v>
      </c>
      <c r="B2157" s="9">
        <v>23.43</v>
      </c>
    </row>
    <row r="2158" spans="1:2" x14ac:dyDescent="0.25">
      <c r="A2158" s="8">
        <v>39541</v>
      </c>
      <c r="B2158" s="9">
        <v>23.21</v>
      </c>
    </row>
    <row r="2159" spans="1:2" x14ac:dyDescent="0.25">
      <c r="A2159" s="8">
        <v>39542</v>
      </c>
      <c r="B2159" s="9">
        <v>22.45</v>
      </c>
    </row>
    <row r="2160" spans="1:2" x14ac:dyDescent="0.25">
      <c r="A2160" s="8">
        <v>39545</v>
      </c>
      <c r="B2160" s="9">
        <v>22.42</v>
      </c>
    </row>
    <row r="2161" spans="1:2" x14ac:dyDescent="0.25">
      <c r="A2161" s="8">
        <v>39546</v>
      </c>
      <c r="B2161" s="9">
        <v>22.36</v>
      </c>
    </row>
    <row r="2162" spans="1:2" x14ac:dyDescent="0.25">
      <c r="A2162" s="8">
        <v>39547</v>
      </c>
      <c r="B2162" s="9">
        <v>22.81</v>
      </c>
    </row>
    <row r="2163" spans="1:2" x14ac:dyDescent="0.25">
      <c r="A2163" s="8">
        <v>39548</v>
      </c>
      <c r="B2163" s="9">
        <v>21.98</v>
      </c>
    </row>
    <row r="2164" spans="1:2" x14ac:dyDescent="0.25">
      <c r="A2164" s="8">
        <v>39549</v>
      </c>
      <c r="B2164" s="9">
        <v>23.46</v>
      </c>
    </row>
    <row r="2165" spans="1:2" x14ac:dyDescent="0.25">
      <c r="A2165" s="8">
        <v>39552</v>
      </c>
      <c r="B2165" s="9">
        <v>23.82</v>
      </c>
    </row>
    <row r="2166" spans="1:2" x14ac:dyDescent="0.25">
      <c r="A2166" s="8">
        <v>39553</v>
      </c>
      <c r="B2166" s="9">
        <v>22.78</v>
      </c>
    </row>
    <row r="2167" spans="1:2" x14ac:dyDescent="0.25">
      <c r="A2167" s="8">
        <v>39554</v>
      </c>
      <c r="B2167" s="9">
        <v>20.53</v>
      </c>
    </row>
    <row r="2168" spans="1:2" x14ac:dyDescent="0.25">
      <c r="A2168" s="8">
        <v>39555</v>
      </c>
      <c r="B2168" s="9">
        <v>20.37</v>
      </c>
    </row>
    <row r="2169" spans="1:2" x14ac:dyDescent="0.25">
      <c r="A2169" s="8">
        <v>39556</v>
      </c>
      <c r="B2169" s="9">
        <v>20.13</v>
      </c>
    </row>
    <row r="2170" spans="1:2" x14ac:dyDescent="0.25">
      <c r="A2170" s="8">
        <v>39559</v>
      </c>
      <c r="B2170" s="9">
        <v>20.5</v>
      </c>
    </row>
    <row r="2171" spans="1:2" x14ac:dyDescent="0.25">
      <c r="A2171" s="8">
        <v>39560</v>
      </c>
      <c r="B2171" s="9">
        <v>20.87</v>
      </c>
    </row>
    <row r="2172" spans="1:2" x14ac:dyDescent="0.25">
      <c r="A2172" s="8">
        <v>39561</v>
      </c>
      <c r="B2172" s="9">
        <v>20.260000000000002</v>
      </c>
    </row>
    <row r="2173" spans="1:2" x14ac:dyDescent="0.25">
      <c r="A2173" s="8">
        <v>39562</v>
      </c>
      <c r="B2173" s="9">
        <v>20.059999999999999</v>
      </c>
    </row>
    <row r="2174" spans="1:2" x14ac:dyDescent="0.25">
      <c r="A2174" s="8">
        <v>39563</v>
      </c>
      <c r="B2174" s="9">
        <v>19.59</v>
      </c>
    </row>
    <row r="2175" spans="1:2" x14ac:dyDescent="0.25">
      <c r="A2175" s="8">
        <v>39566</v>
      </c>
      <c r="B2175" s="9">
        <v>19.64</v>
      </c>
    </row>
    <row r="2176" spans="1:2" x14ac:dyDescent="0.25">
      <c r="A2176" s="8">
        <v>39567</v>
      </c>
      <c r="B2176" s="9">
        <v>20.239999999999998</v>
      </c>
    </row>
    <row r="2177" spans="1:2" x14ac:dyDescent="0.25">
      <c r="A2177" s="8">
        <v>39568</v>
      </c>
      <c r="B2177" s="9">
        <v>20.79</v>
      </c>
    </row>
    <row r="2178" spans="1:2" x14ac:dyDescent="0.25">
      <c r="A2178" s="8">
        <v>39569</v>
      </c>
      <c r="B2178" s="9">
        <v>18.88</v>
      </c>
    </row>
    <row r="2179" spans="1:2" x14ac:dyDescent="0.25">
      <c r="A2179" s="8">
        <v>39570</v>
      </c>
      <c r="B2179" s="9">
        <v>18.18</v>
      </c>
    </row>
    <row r="2180" spans="1:2" x14ac:dyDescent="0.25">
      <c r="A2180" s="8">
        <v>39573</v>
      </c>
      <c r="B2180" s="9">
        <v>18.899999999999999</v>
      </c>
    </row>
    <row r="2181" spans="1:2" x14ac:dyDescent="0.25">
      <c r="A2181" s="8">
        <v>39574</v>
      </c>
      <c r="B2181" s="9">
        <v>18.21</v>
      </c>
    </row>
    <row r="2182" spans="1:2" x14ac:dyDescent="0.25">
      <c r="A2182" s="8">
        <v>39575</v>
      </c>
      <c r="B2182" s="9">
        <v>19.73</v>
      </c>
    </row>
    <row r="2183" spans="1:2" x14ac:dyDescent="0.25">
      <c r="A2183" s="8">
        <v>39576</v>
      </c>
      <c r="B2183" s="9">
        <v>19.399999999999999</v>
      </c>
    </row>
    <row r="2184" spans="1:2" x14ac:dyDescent="0.25">
      <c r="A2184" s="8">
        <v>39577</v>
      </c>
      <c r="B2184" s="9">
        <v>19.41</v>
      </c>
    </row>
    <row r="2185" spans="1:2" x14ac:dyDescent="0.25">
      <c r="A2185" s="8">
        <v>39580</v>
      </c>
      <c r="B2185" s="9">
        <v>17.79</v>
      </c>
    </row>
    <row r="2186" spans="1:2" x14ac:dyDescent="0.25">
      <c r="A2186" s="8">
        <v>39581</v>
      </c>
      <c r="B2186" s="9">
        <v>17.98</v>
      </c>
    </row>
    <row r="2187" spans="1:2" x14ac:dyDescent="0.25">
      <c r="A2187" s="8">
        <v>39582</v>
      </c>
      <c r="B2187" s="9">
        <v>17.66</v>
      </c>
    </row>
    <row r="2188" spans="1:2" x14ac:dyDescent="0.25">
      <c r="A2188" s="8">
        <v>39583</v>
      </c>
      <c r="B2188" s="9">
        <v>16.3</v>
      </c>
    </row>
    <row r="2189" spans="1:2" x14ac:dyDescent="0.25">
      <c r="A2189" s="8">
        <v>39584</v>
      </c>
      <c r="B2189" s="9">
        <v>16.47</v>
      </c>
    </row>
    <row r="2190" spans="1:2" x14ac:dyDescent="0.25">
      <c r="A2190" s="8">
        <v>39587</v>
      </c>
      <c r="B2190" s="9">
        <v>17.010000000000002</v>
      </c>
    </row>
    <row r="2191" spans="1:2" x14ac:dyDescent="0.25">
      <c r="A2191" s="8">
        <v>39588</v>
      </c>
      <c r="B2191" s="9">
        <v>17.579999999999998</v>
      </c>
    </row>
    <row r="2192" spans="1:2" x14ac:dyDescent="0.25">
      <c r="A2192" s="8">
        <v>39589</v>
      </c>
      <c r="B2192" s="9">
        <v>18.59</v>
      </c>
    </row>
    <row r="2193" spans="1:2" x14ac:dyDescent="0.25">
      <c r="A2193" s="8">
        <v>39590</v>
      </c>
      <c r="B2193" s="9">
        <v>18.05</v>
      </c>
    </row>
    <row r="2194" spans="1:2" x14ac:dyDescent="0.25">
      <c r="A2194" s="8">
        <v>39591</v>
      </c>
      <c r="B2194" s="9">
        <v>19.55</v>
      </c>
    </row>
    <row r="2195" spans="1:2" x14ac:dyDescent="0.25">
      <c r="A2195" s="8">
        <v>39594</v>
      </c>
    </row>
    <row r="2196" spans="1:2" x14ac:dyDescent="0.25">
      <c r="A2196" s="8">
        <v>39595</v>
      </c>
      <c r="B2196" s="9">
        <v>19.64</v>
      </c>
    </row>
    <row r="2197" spans="1:2" x14ac:dyDescent="0.25">
      <c r="A2197" s="8">
        <v>39596</v>
      </c>
      <c r="B2197" s="9">
        <v>19.07</v>
      </c>
    </row>
    <row r="2198" spans="1:2" x14ac:dyDescent="0.25">
      <c r="A2198" s="8">
        <v>39597</v>
      </c>
      <c r="B2198" s="9">
        <v>18.14</v>
      </c>
    </row>
    <row r="2199" spans="1:2" x14ac:dyDescent="0.25">
      <c r="A2199" s="8">
        <v>39598</v>
      </c>
      <c r="B2199" s="9">
        <v>17.829999999999998</v>
      </c>
    </row>
    <row r="2200" spans="1:2" x14ac:dyDescent="0.25">
      <c r="A2200" s="8">
        <v>39601</v>
      </c>
      <c r="B2200" s="9">
        <v>19.829999999999998</v>
      </c>
    </row>
    <row r="2201" spans="1:2" x14ac:dyDescent="0.25">
      <c r="A2201" s="8">
        <v>39602</v>
      </c>
      <c r="B2201" s="9">
        <v>20.239999999999998</v>
      </c>
    </row>
    <row r="2202" spans="1:2" x14ac:dyDescent="0.25">
      <c r="A2202" s="8">
        <v>39603</v>
      </c>
      <c r="B2202" s="9">
        <v>20.8</v>
      </c>
    </row>
    <row r="2203" spans="1:2" x14ac:dyDescent="0.25">
      <c r="A2203" s="8">
        <v>39604</v>
      </c>
      <c r="B2203" s="9">
        <v>18.63</v>
      </c>
    </row>
    <row r="2204" spans="1:2" x14ac:dyDescent="0.25">
      <c r="A2204" s="8">
        <v>39605</v>
      </c>
      <c r="B2204" s="9">
        <v>23.56</v>
      </c>
    </row>
    <row r="2205" spans="1:2" x14ac:dyDescent="0.25">
      <c r="A2205" s="8">
        <v>39608</v>
      </c>
      <c r="B2205" s="9">
        <v>23.12</v>
      </c>
    </row>
    <row r="2206" spans="1:2" x14ac:dyDescent="0.25">
      <c r="A2206" s="8">
        <v>39609</v>
      </c>
      <c r="B2206" s="9">
        <v>23.18</v>
      </c>
    </row>
    <row r="2207" spans="1:2" x14ac:dyDescent="0.25">
      <c r="A2207" s="8">
        <v>39610</v>
      </c>
      <c r="B2207" s="9">
        <v>24.12</v>
      </c>
    </row>
    <row r="2208" spans="1:2" x14ac:dyDescent="0.25">
      <c r="A2208" s="8">
        <v>39611</v>
      </c>
      <c r="B2208" s="9">
        <v>23.33</v>
      </c>
    </row>
    <row r="2209" spans="1:2" x14ac:dyDescent="0.25">
      <c r="A2209" s="8">
        <v>39612</v>
      </c>
      <c r="B2209" s="9">
        <v>21.22</v>
      </c>
    </row>
    <row r="2210" spans="1:2" x14ac:dyDescent="0.25">
      <c r="A2210" s="8">
        <v>39615</v>
      </c>
      <c r="B2210" s="9">
        <v>20.95</v>
      </c>
    </row>
    <row r="2211" spans="1:2" x14ac:dyDescent="0.25">
      <c r="A2211" s="8">
        <v>39616</v>
      </c>
      <c r="B2211" s="9">
        <v>21.13</v>
      </c>
    </row>
    <row r="2212" spans="1:2" x14ac:dyDescent="0.25">
      <c r="A2212" s="8">
        <v>39617</v>
      </c>
      <c r="B2212" s="9">
        <v>22.24</v>
      </c>
    </row>
    <row r="2213" spans="1:2" x14ac:dyDescent="0.25">
      <c r="A2213" s="8">
        <v>39618</v>
      </c>
      <c r="B2213" s="9">
        <v>21.58</v>
      </c>
    </row>
    <row r="2214" spans="1:2" x14ac:dyDescent="0.25">
      <c r="A2214" s="8">
        <v>39619</v>
      </c>
      <c r="B2214" s="9">
        <v>22.87</v>
      </c>
    </row>
    <row r="2215" spans="1:2" x14ac:dyDescent="0.25">
      <c r="A2215" s="8">
        <v>39622</v>
      </c>
      <c r="B2215" s="9">
        <v>22.64</v>
      </c>
    </row>
    <row r="2216" spans="1:2" x14ac:dyDescent="0.25">
      <c r="A2216" s="8">
        <v>39623</v>
      </c>
      <c r="B2216" s="9">
        <v>22.42</v>
      </c>
    </row>
    <row r="2217" spans="1:2" x14ac:dyDescent="0.25">
      <c r="A2217" s="8">
        <v>39624</v>
      </c>
      <c r="B2217" s="9">
        <v>21.14</v>
      </c>
    </row>
    <row r="2218" spans="1:2" x14ac:dyDescent="0.25">
      <c r="A2218" s="8">
        <v>39625</v>
      </c>
      <c r="B2218" s="9">
        <v>23.93</v>
      </c>
    </row>
    <row r="2219" spans="1:2" x14ac:dyDescent="0.25">
      <c r="A2219" s="8">
        <v>39626</v>
      </c>
      <c r="B2219" s="9">
        <v>23.44</v>
      </c>
    </row>
    <row r="2220" spans="1:2" x14ac:dyDescent="0.25">
      <c r="A2220" s="8">
        <v>39629</v>
      </c>
      <c r="B2220" s="9">
        <v>23.95</v>
      </c>
    </row>
    <row r="2221" spans="1:2" x14ac:dyDescent="0.25">
      <c r="A2221" s="8">
        <v>39630</v>
      </c>
      <c r="B2221" s="9">
        <v>23.65</v>
      </c>
    </row>
    <row r="2222" spans="1:2" x14ac:dyDescent="0.25">
      <c r="A2222" s="8">
        <v>39631</v>
      </c>
      <c r="B2222" s="9">
        <v>25.92</v>
      </c>
    </row>
    <row r="2223" spans="1:2" x14ac:dyDescent="0.25">
      <c r="A2223" s="8">
        <v>39632</v>
      </c>
      <c r="B2223" s="9">
        <v>24.79</v>
      </c>
    </row>
    <row r="2224" spans="1:2" x14ac:dyDescent="0.25">
      <c r="A2224" s="8">
        <v>39633</v>
      </c>
    </row>
    <row r="2225" spans="1:2" x14ac:dyDescent="0.25">
      <c r="A2225" s="8">
        <v>39636</v>
      </c>
      <c r="B2225" s="9">
        <v>25.78</v>
      </c>
    </row>
    <row r="2226" spans="1:2" x14ac:dyDescent="0.25">
      <c r="A2226" s="8">
        <v>39637</v>
      </c>
      <c r="B2226" s="9">
        <v>23.15</v>
      </c>
    </row>
    <row r="2227" spans="1:2" x14ac:dyDescent="0.25">
      <c r="A2227" s="8">
        <v>39638</v>
      </c>
      <c r="B2227" s="9">
        <v>25.23</v>
      </c>
    </row>
    <row r="2228" spans="1:2" x14ac:dyDescent="0.25">
      <c r="A2228" s="8">
        <v>39639</v>
      </c>
      <c r="B2228" s="9">
        <v>25.59</v>
      </c>
    </row>
    <row r="2229" spans="1:2" x14ac:dyDescent="0.25">
      <c r="A2229" s="8">
        <v>39640</v>
      </c>
      <c r="B2229" s="9">
        <v>27.49</v>
      </c>
    </row>
    <row r="2230" spans="1:2" x14ac:dyDescent="0.25">
      <c r="A2230" s="8">
        <v>39643</v>
      </c>
      <c r="B2230" s="9">
        <v>28.48</v>
      </c>
    </row>
    <row r="2231" spans="1:2" x14ac:dyDescent="0.25">
      <c r="A2231" s="8">
        <v>39644</v>
      </c>
      <c r="B2231" s="9">
        <v>28.54</v>
      </c>
    </row>
    <row r="2232" spans="1:2" x14ac:dyDescent="0.25">
      <c r="A2232" s="8">
        <v>39645</v>
      </c>
      <c r="B2232" s="9">
        <v>25.1</v>
      </c>
    </row>
    <row r="2233" spans="1:2" x14ac:dyDescent="0.25">
      <c r="A2233" s="8">
        <v>39646</v>
      </c>
      <c r="B2233" s="9">
        <v>25.01</v>
      </c>
    </row>
    <row r="2234" spans="1:2" x14ac:dyDescent="0.25">
      <c r="A2234" s="8">
        <v>39647</v>
      </c>
      <c r="B2234" s="9">
        <v>24.05</v>
      </c>
    </row>
    <row r="2235" spans="1:2" x14ac:dyDescent="0.25">
      <c r="A2235" s="8">
        <v>39650</v>
      </c>
      <c r="B2235" s="9">
        <v>23.05</v>
      </c>
    </row>
    <row r="2236" spans="1:2" x14ac:dyDescent="0.25">
      <c r="A2236" s="8">
        <v>39651</v>
      </c>
      <c r="B2236" s="9">
        <v>21.18</v>
      </c>
    </row>
    <row r="2237" spans="1:2" x14ac:dyDescent="0.25">
      <c r="A2237" s="8">
        <v>39652</v>
      </c>
      <c r="B2237" s="9">
        <v>21.31</v>
      </c>
    </row>
    <row r="2238" spans="1:2" x14ac:dyDescent="0.25">
      <c r="A2238" s="8">
        <v>39653</v>
      </c>
      <c r="B2238" s="9">
        <v>23.44</v>
      </c>
    </row>
    <row r="2239" spans="1:2" x14ac:dyDescent="0.25">
      <c r="A2239" s="8">
        <v>39654</v>
      </c>
      <c r="B2239" s="9">
        <v>22.91</v>
      </c>
    </row>
    <row r="2240" spans="1:2" x14ac:dyDescent="0.25">
      <c r="A2240" s="8">
        <v>39657</v>
      </c>
      <c r="B2240" s="9">
        <v>24.23</v>
      </c>
    </row>
    <row r="2241" spans="1:2" x14ac:dyDescent="0.25">
      <c r="A2241" s="8">
        <v>39658</v>
      </c>
      <c r="B2241" s="9">
        <v>22.03</v>
      </c>
    </row>
    <row r="2242" spans="1:2" x14ac:dyDescent="0.25">
      <c r="A2242" s="8">
        <v>39659</v>
      </c>
      <c r="B2242" s="9">
        <v>21.21</v>
      </c>
    </row>
    <row r="2243" spans="1:2" x14ac:dyDescent="0.25">
      <c r="A2243" s="8">
        <v>39660</v>
      </c>
      <c r="B2243" s="9">
        <v>22.94</v>
      </c>
    </row>
    <row r="2244" spans="1:2" x14ac:dyDescent="0.25">
      <c r="A2244" s="8">
        <v>39661</v>
      </c>
      <c r="B2244" s="9">
        <v>22.57</v>
      </c>
    </row>
    <row r="2245" spans="1:2" x14ac:dyDescent="0.25">
      <c r="A2245" s="8">
        <v>39664</v>
      </c>
      <c r="B2245" s="9">
        <v>23.49</v>
      </c>
    </row>
    <row r="2246" spans="1:2" x14ac:dyDescent="0.25">
      <c r="A2246" s="8">
        <v>39665</v>
      </c>
      <c r="B2246" s="9">
        <v>21.14</v>
      </c>
    </row>
    <row r="2247" spans="1:2" x14ac:dyDescent="0.25">
      <c r="A2247" s="8">
        <v>39666</v>
      </c>
      <c r="B2247" s="9">
        <v>20.23</v>
      </c>
    </row>
    <row r="2248" spans="1:2" x14ac:dyDescent="0.25">
      <c r="A2248" s="8">
        <v>39667</v>
      </c>
      <c r="B2248" s="9">
        <v>21.15</v>
      </c>
    </row>
    <row r="2249" spans="1:2" x14ac:dyDescent="0.25">
      <c r="A2249" s="8">
        <v>39668</v>
      </c>
      <c r="B2249" s="9">
        <v>20.66</v>
      </c>
    </row>
    <row r="2250" spans="1:2" x14ac:dyDescent="0.25">
      <c r="A2250" s="8">
        <v>39671</v>
      </c>
      <c r="B2250" s="9">
        <v>20.12</v>
      </c>
    </row>
    <row r="2251" spans="1:2" x14ac:dyDescent="0.25">
      <c r="A2251" s="8">
        <v>39672</v>
      </c>
      <c r="B2251" s="9">
        <v>21.17</v>
      </c>
    </row>
    <row r="2252" spans="1:2" x14ac:dyDescent="0.25">
      <c r="A2252" s="8">
        <v>39673</v>
      </c>
      <c r="B2252" s="9">
        <v>21.55</v>
      </c>
    </row>
    <row r="2253" spans="1:2" x14ac:dyDescent="0.25">
      <c r="A2253" s="8">
        <v>39674</v>
      </c>
      <c r="B2253" s="9">
        <v>20.34</v>
      </c>
    </row>
    <row r="2254" spans="1:2" x14ac:dyDescent="0.25">
      <c r="A2254" s="8">
        <v>39675</v>
      </c>
      <c r="B2254" s="9">
        <v>19.579999999999998</v>
      </c>
    </row>
    <row r="2255" spans="1:2" x14ac:dyDescent="0.25">
      <c r="A2255" s="8">
        <v>39678</v>
      </c>
      <c r="B2255" s="9">
        <v>20.98</v>
      </c>
    </row>
    <row r="2256" spans="1:2" x14ac:dyDescent="0.25">
      <c r="A2256" s="8">
        <v>39679</v>
      </c>
      <c r="B2256" s="9">
        <v>21.28</v>
      </c>
    </row>
    <row r="2257" spans="1:2" x14ac:dyDescent="0.25">
      <c r="A2257" s="8">
        <v>39680</v>
      </c>
      <c r="B2257" s="9">
        <v>20.420000000000002</v>
      </c>
    </row>
    <row r="2258" spans="1:2" x14ac:dyDescent="0.25">
      <c r="A2258" s="8">
        <v>39681</v>
      </c>
      <c r="B2258" s="9">
        <v>19.82</v>
      </c>
    </row>
    <row r="2259" spans="1:2" x14ac:dyDescent="0.25">
      <c r="A2259" s="8">
        <v>39682</v>
      </c>
      <c r="B2259" s="9">
        <v>18.809999999999999</v>
      </c>
    </row>
    <row r="2260" spans="1:2" x14ac:dyDescent="0.25">
      <c r="A2260" s="8">
        <v>39685</v>
      </c>
      <c r="B2260" s="9">
        <v>20.97</v>
      </c>
    </row>
    <row r="2261" spans="1:2" x14ac:dyDescent="0.25">
      <c r="A2261" s="8">
        <v>39686</v>
      </c>
      <c r="B2261" s="9">
        <v>20.49</v>
      </c>
    </row>
    <row r="2262" spans="1:2" x14ac:dyDescent="0.25">
      <c r="A2262" s="8">
        <v>39687</v>
      </c>
      <c r="B2262" s="9">
        <v>19.760000000000002</v>
      </c>
    </row>
    <row r="2263" spans="1:2" x14ac:dyDescent="0.25">
      <c r="A2263" s="8">
        <v>39688</v>
      </c>
      <c r="B2263" s="9">
        <v>19.43</v>
      </c>
    </row>
    <row r="2264" spans="1:2" x14ac:dyDescent="0.25">
      <c r="A2264" s="8">
        <v>39689</v>
      </c>
      <c r="B2264" s="9">
        <v>20.65</v>
      </c>
    </row>
    <row r="2265" spans="1:2" x14ac:dyDescent="0.25">
      <c r="A2265" s="8">
        <v>39692</v>
      </c>
    </row>
    <row r="2266" spans="1:2" x14ac:dyDescent="0.25">
      <c r="A2266" s="8">
        <v>39693</v>
      </c>
      <c r="B2266" s="9">
        <v>21.99</v>
      </c>
    </row>
    <row r="2267" spans="1:2" x14ac:dyDescent="0.25">
      <c r="A2267" s="8">
        <v>39694</v>
      </c>
      <c r="B2267" s="9">
        <v>21.43</v>
      </c>
    </row>
    <row r="2268" spans="1:2" x14ac:dyDescent="0.25">
      <c r="A2268" s="8">
        <v>39695</v>
      </c>
      <c r="B2268" s="9">
        <v>24.03</v>
      </c>
    </row>
    <row r="2269" spans="1:2" x14ac:dyDescent="0.25">
      <c r="A2269" s="8">
        <v>39696</v>
      </c>
      <c r="B2269" s="9">
        <v>23.06</v>
      </c>
    </row>
    <row r="2270" spans="1:2" x14ac:dyDescent="0.25">
      <c r="A2270" s="8">
        <v>39699</v>
      </c>
      <c r="B2270" s="9">
        <v>22.64</v>
      </c>
    </row>
    <row r="2271" spans="1:2" x14ac:dyDescent="0.25">
      <c r="A2271" s="8">
        <v>39700</v>
      </c>
      <c r="B2271" s="9">
        <v>25.47</v>
      </c>
    </row>
    <row r="2272" spans="1:2" x14ac:dyDescent="0.25">
      <c r="A2272" s="8">
        <v>39701</v>
      </c>
      <c r="B2272" s="9">
        <v>24.52</v>
      </c>
    </row>
    <row r="2273" spans="1:2" x14ac:dyDescent="0.25">
      <c r="A2273" s="8">
        <v>39702</v>
      </c>
      <c r="B2273" s="9">
        <v>24.39</v>
      </c>
    </row>
    <row r="2274" spans="1:2" x14ac:dyDescent="0.25">
      <c r="A2274" s="8">
        <v>39703</v>
      </c>
      <c r="B2274" s="9">
        <v>25.66</v>
      </c>
    </row>
    <row r="2275" spans="1:2" x14ac:dyDescent="0.25">
      <c r="A2275" s="8">
        <v>39706</v>
      </c>
      <c r="B2275" s="9">
        <v>31.7</v>
      </c>
    </row>
    <row r="2276" spans="1:2" x14ac:dyDescent="0.25">
      <c r="A2276" s="8">
        <v>39707</v>
      </c>
      <c r="B2276" s="9">
        <v>30.3</v>
      </c>
    </row>
    <row r="2277" spans="1:2" x14ac:dyDescent="0.25">
      <c r="A2277" s="8">
        <v>39708</v>
      </c>
      <c r="B2277" s="9">
        <v>36.22</v>
      </c>
    </row>
    <row r="2278" spans="1:2" x14ac:dyDescent="0.25">
      <c r="A2278" s="8">
        <v>39709</v>
      </c>
      <c r="B2278" s="9">
        <v>33.1</v>
      </c>
    </row>
    <row r="2279" spans="1:2" x14ac:dyDescent="0.25">
      <c r="A2279" s="8">
        <v>39710</v>
      </c>
      <c r="B2279" s="9">
        <v>32.07</v>
      </c>
    </row>
    <row r="2280" spans="1:2" x14ac:dyDescent="0.25">
      <c r="A2280" s="8">
        <v>39713</v>
      </c>
      <c r="B2280" s="9">
        <v>33.85</v>
      </c>
    </row>
    <row r="2281" spans="1:2" x14ac:dyDescent="0.25">
      <c r="A2281" s="8">
        <v>39714</v>
      </c>
      <c r="B2281" s="9">
        <v>35.72</v>
      </c>
    </row>
    <row r="2282" spans="1:2" x14ac:dyDescent="0.25">
      <c r="A2282" s="8">
        <v>39715</v>
      </c>
      <c r="B2282" s="9">
        <v>35.19</v>
      </c>
    </row>
    <row r="2283" spans="1:2" x14ac:dyDescent="0.25">
      <c r="A2283" s="8">
        <v>39716</v>
      </c>
      <c r="B2283" s="9">
        <v>32.82</v>
      </c>
    </row>
    <row r="2284" spans="1:2" x14ac:dyDescent="0.25">
      <c r="A2284" s="8">
        <v>39717</v>
      </c>
      <c r="B2284" s="9">
        <v>34.74</v>
      </c>
    </row>
    <row r="2285" spans="1:2" x14ac:dyDescent="0.25">
      <c r="A2285" s="8">
        <v>39720</v>
      </c>
      <c r="B2285" s="9">
        <v>46.72</v>
      </c>
    </row>
    <row r="2286" spans="1:2" x14ac:dyDescent="0.25">
      <c r="A2286" s="8">
        <v>39721</v>
      </c>
      <c r="B2286" s="9">
        <v>39.39</v>
      </c>
    </row>
    <row r="2287" spans="1:2" x14ac:dyDescent="0.25">
      <c r="A2287" s="8">
        <v>39722</v>
      </c>
      <c r="B2287" s="9">
        <v>39.81</v>
      </c>
    </row>
    <row r="2288" spans="1:2" x14ac:dyDescent="0.25">
      <c r="A2288" s="8">
        <v>39723</v>
      </c>
      <c r="B2288" s="9">
        <v>45.26</v>
      </c>
    </row>
    <row r="2289" spans="1:2" x14ac:dyDescent="0.25">
      <c r="A2289" s="8">
        <v>39724</v>
      </c>
      <c r="B2289" s="9">
        <v>45.14</v>
      </c>
    </row>
    <row r="2290" spans="1:2" x14ac:dyDescent="0.25">
      <c r="A2290" s="8">
        <v>39727</v>
      </c>
      <c r="B2290" s="9">
        <v>52.05</v>
      </c>
    </row>
    <row r="2291" spans="1:2" x14ac:dyDescent="0.25">
      <c r="A2291" s="8">
        <v>39728</v>
      </c>
      <c r="B2291" s="9">
        <v>53.68</v>
      </c>
    </row>
    <row r="2292" spans="1:2" x14ac:dyDescent="0.25">
      <c r="A2292" s="8">
        <v>39729</v>
      </c>
      <c r="B2292" s="9">
        <v>57.53</v>
      </c>
    </row>
    <row r="2293" spans="1:2" x14ac:dyDescent="0.25">
      <c r="A2293" s="8">
        <v>39730</v>
      </c>
      <c r="B2293" s="9">
        <v>63.92</v>
      </c>
    </row>
    <row r="2294" spans="1:2" x14ac:dyDescent="0.25">
      <c r="A2294" s="8">
        <v>39731</v>
      </c>
      <c r="B2294" s="9">
        <v>69.95</v>
      </c>
    </row>
    <row r="2295" spans="1:2" x14ac:dyDescent="0.25">
      <c r="A2295" s="8">
        <v>39734</v>
      </c>
      <c r="B2295" s="9">
        <v>54.99</v>
      </c>
    </row>
    <row r="2296" spans="1:2" x14ac:dyDescent="0.25">
      <c r="A2296" s="8">
        <v>39735</v>
      </c>
      <c r="B2296" s="9">
        <v>55.13</v>
      </c>
    </row>
    <row r="2297" spans="1:2" x14ac:dyDescent="0.25">
      <c r="A2297" s="8">
        <v>39736</v>
      </c>
      <c r="B2297" s="9">
        <v>69.25</v>
      </c>
    </row>
    <row r="2298" spans="1:2" x14ac:dyDescent="0.25">
      <c r="A2298" s="8">
        <v>39737</v>
      </c>
      <c r="B2298" s="9">
        <v>67.61</v>
      </c>
    </row>
    <row r="2299" spans="1:2" x14ac:dyDescent="0.25">
      <c r="A2299" s="8">
        <v>39738</v>
      </c>
      <c r="B2299" s="9">
        <v>70.33</v>
      </c>
    </row>
    <row r="2300" spans="1:2" x14ac:dyDescent="0.25">
      <c r="A2300" s="8">
        <v>39741</v>
      </c>
      <c r="B2300" s="9">
        <v>52.97</v>
      </c>
    </row>
    <row r="2301" spans="1:2" x14ac:dyDescent="0.25">
      <c r="A2301" s="8">
        <v>39742</v>
      </c>
      <c r="B2301" s="9">
        <v>53.11</v>
      </c>
    </row>
    <row r="2302" spans="1:2" x14ac:dyDescent="0.25">
      <c r="A2302" s="8">
        <v>39743</v>
      </c>
      <c r="B2302" s="9">
        <v>69.650000000000006</v>
      </c>
    </row>
    <row r="2303" spans="1:2" x14ac:dyDescent="0.25">
      <c r="A2303" s="8">
        <v>39744</v>
      </c>
      <c r="B2303" s="9">
        <v>67.8</v>
      </c>
    </row>
    <row r="2304" spans="1:2" x14ac:dyDescent="0.25">
      <c r="A2304" s="8">
        <v>39745</v>
      </c>
      <c r="B2304" s="9">
        <v>79.13</v>
      </c>
    </row>
    <row r="2305" spans="1:2" x14ac:dyDescent="0.25">
      <c r="A2305" s="8">
        <v>39748</v>
      </c>
      <c r="B2305" s="9">
        <v>80.06</v>
      </c>
    </row>
    <row r="2306" spans="1:2" x14ac:dyDescent="0.25">
      <c r="A2306" s="8">
        <v>39749</v>
      </c>
      <c r="B2306" s="9">
        <v>66.959999999999994</v>
      </c>
    </row>
    <row r="2307" spans="1:2" x14ac:dyDescent="0.25">
      <c r="A2307" s="8">
        <v>39750</v>
      </c>
      <c r="B2307" s="9">
        <v>69.959999999999994</v>
      </c>
    </row>
    <row r="2308" spans="1:2" x14ac:dyDescent="0.25">
      <c r="A2308" s="8">
        <v>39751</v>
      </c>
      <c r="B2308" s="9">
        <v>62.9</v>
      </c>
    </row>
    <row r="2309" spans="1:2" x14ac:dyDescent="0.25">
      <c r="A2309" s="8">
        <v>39752</v>
      </c>
      <c r="B2309" s="9">
        <v>59.89</v>
      </c>
    </row>
    <row r="2310" spans="1:2" x14ac:dyDescent="0.25">
      <c r="A2310" s="8">
        <v>39755</v>
      </c>
      <c r="B2310" s="9">
        <v>53.68</v>
      </c>
    </row>
    <row r="2311" spans="1:2" x14ac:dyDescent="0.25">
      <c r="A2311" s="8">
        <v>39756</v>
      </c>
      <c r="B2311" s="9">
        <v>47.73</v>
      </c>
    </row>
    <row r="2312" spans="1:2" x14ac:dyDescent="0.25">
      <c r="A2312" s="8">
        <v>39757</v>
      </c>
      <c r="B2312" s="9">
        <v>54.56</v>
      </c>
    </row>
    <row r="2313" spans="1:2" x14ac:dyDescent="0.25">
      <c r="A2313" s="8">
        <v>39758</v>
      </c>
      <c r="B2313" s="9">
        <v>63.68</v>
      </c>
    </row>
    <row r="2314" spans="1:2" x14ac:dyDescent="0.25">
      <c r="A2314" s="8">
        <v>39759</v>
      </c>
      <c r="B2314" s="9">
        <v>56.1</v>
      </c>
    </row>
    <row r="2315" spans="1:2" x14ac:dyDescent="0.25">
      <c r="A2315" s="8">
        <v>39762</v>
      </c>
      <c r="B2315" s="9">
        <v>59.98</v>
      </c>
    </row>
    <row r="2316" spans="1:2" x14ac:dyDescent="0.25">
      <c r="A2316" s="8">
        <v>39763</v>
      </c>
      <c r="B2316" s="9">
        <v>61.44</v>
      </c>
    </row>
    <row r="2317" spans="1:2" x14ac:dyDescent="0.25">
      <c r="A2317" s="8">
        <v>39764</v>
      </c>
      <c r="B2317" s="9">
        <v>66.459999999999994</v>
      </c>
    </row>
    <row r="2318" spans="1:2" x14ac:dyDescent="0.25">
      <c r="A2318" s="8">
        <v>39765</v>
      </c>
      <c r="B2318" s="9">
        <v>59.83</v>
      </c>
    </row>
    <row r="2319" spans="1:2" x14ac:dyDescent="0.25">
      <c r="A2319" s="8">
        <v>39766</v>
      </c>
      <c r="B2319" s="9">
        <v>66.31</v>
      </c>
    </row>
    <row r="2320" spans="1:2" x14ac:dyDescent="0.25">
      <c r="A2320" s="8">
        <v>39769</v>
      </c>
      <c r="B2320" s="9">
        <v>69.150000000000006</v>
      </c>
    </row>
    <row r="2321" spans="1:2" x14ac:dyDescent="0.25">
      <c r="A2321" s="8">
        <v>39770</v>
      </c>
      <c r="B2321" s="9">
        <v>67.64</v>
      </c>
    </row>
    <row r="2322" spans="1:2" x14ac:dyDescent="0.25">
      <c r="A2322" s="8">
        <v>39771</v>
      </c>
      <c r="B2322" s="9">
        <v>74.260000000000005</v>
      </c>
    </row>
    <row r="2323" spans="1:2" x14ac:dyDescent="0.25">
      <c r="A2323" s="8">
        <v>39772</v>
      </c>
      <c r="B2323" s="9">
        <v>80.86</v>
      </c>
    </row>
    <row r="2324" spans="1:2" x14ac:dyDescent="0.25">
      <c r="A2324" s="8">
        <v>39773</v>
      </c>
      <c r="B2324" s="9">
        <v>72.67</v>
      </c>
    </row>
    <row r="2325" spans="1:2" x14ac:dyDescent="0.25">
      <c r="A2325" s="8">
        <v>39776</v>
      </c>
      <c r="B2325" s="9">
        <v>64.7</v>
      </c>
    </row>
    <row r="2326" spans="1:2" x14ac:dyDescent="0.25">
      <c r="A2326" s="8">
        <v>39777</v>
      </c>
      <c r="B2326" s="9">
        <v>60.9</v>
      </c>
    </row>
    <row r="2327" spans="1:2" x14ac:dyDescent="0.25">
      <c r="A2327" s="8">
        <v>39778</v>
      </c>
      <c r="B2327" s="9">
        <v>54.92</v>
      </c>
    </row>
    <row r="2328" spans="1:2" x14ac:dyDescent="0.25">
      <c r="A2328" s="8">
        <v>39779</v>
      </c>
    </row>
    <row r="2329" spans="1:2" x14ac:dyDescent="0.25">
      <c r="A2329" s="8">
        <v>39780</v>
      </c>
      <c r="B2329" s="9">
        <v>55.84</v>
      </c>
    </row>
    <row r="2330" spans="1:2" x14ac:dyDescent="0.25">
      <c r="A2330" s="8">
        <v>39783</v>
      </c>
      <c r="B2330" s="9">
        <v>68.510000000000005</v>
      </c>
    </row>
    <row r="2331" spans="1:2" x14ac:dyDescent="0.25">
      <c r="A2331" s="8">
        <v>39784</v>
      </c>
      <c r="B2331" s="9">
        <v>62.98</v>
      </c>
    </row>
    <row r="2332" spans="1:2" x14ac:dyDescent="0.25">
      <c r="A2332" s="8">
        <v>39785</v>
      </c>
      <c r="B2332" s="9">
        <v>60.72</v>
      </c>
    </row>
    <row r="2333" spans="1:2" x14ac:dyDescent="0.25">
      <c r="A2333" s="8">
        <v>39786</v>
      </c>
      <c r="B2333" s="9">
        <v>63.64</v>
      </c>
    </row>
    <row r="2334" spans="1:2" x14ac:dyDescent="0.25">
      <c r="A2334" s="8">
        <v>39787</v>
      </c>
      <c r="B2334" s="9">
        <v>59.93</v>
      </c>
    </row>
    <row r="2335" spans="1:2" x14ac:dyDescent="0.25">
      <c r="A2335" s="8">
        <v>39790</v>
      </c>
      <c r="B2335" s="9">
        <v>58.49</v>
      </c>
    </row>
    <row r="2336" spans="1:2" x14ac:dyDescent="0.25">
      <c r="A2336" s="8">
        <v>39791</v>
      </c>
      <c r="B2336" s="9">
        <v>58.91</v>
      </c>
    </row>
    <row r="2337" spans="1:2" x14ac:dyDescent="0.25">
      <c r="A2337" s="8">
        <v>39792</v>
      </c>
      <c r="B2337" s="9">
        <v>55.73</v>
      </c>
    </row>
    <row r="2338" spans="1:2" x14ac:dyDescent="0.25">
      <c r="A2338" s="8">
        <v>39793</v>
      </c>
      <c r="B2338" s="9">
        <v>55.78</v>
      </c>
    </row>
    <row r="2339" spans="1:2" x14ac:dyDescent="0.25">
      <c r="A2339" s="8">
        <v>39794</v>
      </c>
      <c r="B2339" s="9">
        <v>54.28</v>
      </c>
    </row>
    <row r="2340" spans="1:2" x14ac:dyDescent="0.25">
      <c r="A2340" s="8">
        <v>39797</v>
      </c>
      <c r="B2340" s="9">
        <v>56.76</v>
      </c>
    </row>
    <row r="2341" spans="1:2" x14ac:dyDescent="0.25">
      <c r="A2341" s="8">
        <v>39798</v>
      </c>
      <c r="B2341" s="9">
        <v>52.37</v>
      </c>
    </row>
    <row r="2342" spans="1:2" x14ac:dyDescent="0.25">
      <c r="A2342" s="8">
        <v>39799</v>
      </c>
      <c r="B2342" s="9">
        <v>49.84</v>
      </c>
    </row>
    <row r="2343" spans="1:2" x14ac:dyDescent="0.25">
      <c r="A2343" s="8">
        <v>39800</v>
      </c>
      <c r="B2343" s="9">
        <v>47.34</v>
      </c>
    </row>
    <row r="2344" spans="1:2" x14ac:dyDescent="0.25">
      <c r="A2344" s="8">
        <v>39801</v>
      </c>
      <c r="B2344" s="9">
        <v>44.93</v>
      </c>
    </row>
    <row r="2345" spans="1:2" x14ac:dyDescent="0.25">
      <c r="A2345" s="8">
        <v>39804</v>
      </c>
      <c r="B2345" s="9">
        <v>44.56</v>
      </c>
    </row>
    <row r="2346" spans="1:2" x14ac:dyDescent="0.25">
      <c r="A2346" s="8">
        <v>39805</v>
      </c>
      <c r="B2346" s="9">
        <v>45.02</v>
      </c>
    </row>
    <row r="2347" spans="1:2" x14ac:dyDescent="0.25">
      <c r="A2347" s="8">
        <v>39806</v>
      </c>
      <c r="B2347" s="9">
        <v>44.21</v>
      </c>
    </row>
    <row r="2348" spans="1:2" x14ac:dyDescent="0.25">
      <c r="A2348" s="8">
        <v>39807</v>
      </c>
    </row>
    <row r="2349" spans="1:2" x14ac:dyDescent="0.25">
      <c r="A2349" s="8">
        <v>39808</v>
      </c>
      <c r="B2349" s="9">
        <v>43.38</v>
      </c>
    </row>
    <row r="2350" spans="1:2" x14ac:dyDescent="0.25">
      <c r="A2350" s="8">
        <v>39811</v>
      </c>
      <c r="B2350" s="9">
        <v>43.9</v>
      </c>
    </row>
    <row r="2351" spans="1:2" x14ac:dyDescent="0.25">
      <c r="A2351" s="8">
        <v>39812</v>
      </c>
      <c r="B2351" s="9">
        <v>41.63</v>
      </c>
    </row>
    <row r="2352" spans="1:2" x14ac:dyDescent="0.25">
      <c r="A2352" s="8">
        <v>39813</v>
      </c>
      <c r="B2352" s="9">
        <v>40</v>
      </c>
    </row>
    <row r="2353" spans="1:2" x14ac:dyDescent="0.25">
      <c r="A2353" s="8">
        <v>39814</v>
      </c>
    </row>
    <row r="2354" spans="1:2" x14ac:dyDescent="0.25">
      <c r="A2354" s="8">
        <v>39815</v>
      </c>
      <c r="B2354" s="9">
        <v>39.19</v>
      </c>
    </row>
    <row r="2355" spans="1:2" x14ac:dyDescent="0.25">
      <c r="A2355" s="8">
        <v>39818</v>
      </c>
      <c r="B2355" s="9">
        <v>39.08</v>
      </c>
    </row>
    <row r="2356" spans="1:2" x14ac:dyDescent="0.25">
      <c r="A2356" s="8">
        <v>39819</v>
      </c>
      <c r="B2356" s="9">
        <v>38.56</v>
      </c>
    </row>
    <row r="2357" spans="1:2" x14ac:dyDescent="0.25">
      <c r="A2357" s="8">
        <v>39820</v>
      </c>
      <c r="B2357" s="9">
        <v>43.39</v>
      </c>
    </row>
    <row r="2358" spans="1:2" x14ac:dyDescent="0.25">
      <c r="A2358" s="8">
        <v>39821</v>
      </c>
      <c r="B2358" s="9">
        <v>42.56</v>
      </c>
    </row>
    <row r="2359" spans="1:2" x14ac:dyDescent="0.25">
      <c r="A2359" s="8">
        <v>39822</v>
      </c>
      <c r="B2359" s="9">
        <v>42.82</v>
      </c>
    </row>
    <row r="2360" spans="1:2" x14ac:dyDescent="0.25">
      <c r="A2360" s="8">
        <v>39825</v>
      </c>
      <c r="B2360" s="9">
        <v>45.84</v>
      </c>
    </row>
    <row r="2361" spans="1:2" x14ac:dyDescent="0.25">
      <c r="A2361" s="8">
        <v>39826</v>
      </c>
      <c r="B2361" s="9">
        <v>43.27</v>
      </c>
    </row>
    <row r="2362" spans="1:2" x14ac:dyDescent="0.25">
      <c r="A2362" s="8">
        <v>39827</v>
      </c>
      <c r="B2362" s="9">
        <v>49.14</v>
      </c>
    </row>
    <row r="2363" spans="1:2" x14ac:dyDescent="0.25">
      <c r="A2363" s="8">
        <v>39828</v>
      </c>
      <c r="B2363" s="9">
        <v>51</v>
      </c>
    </row>
    <row r="2364" spans="1:2" x14ac:dyDescent="0.25">
      <c r="A2364" s="8">
        <v>39829</v>
      </c>
      <c r="B2364" s="9">
        <v>46.11</v>
      </c>
    </row>
    <row r="2365" spans="1:2" x14ac:dyDescent="0.25">
      <c r="A2365" s="8">
        <v>39832</v>
      </c>
    </row>
    <row r="2366" spans="1:2" x14ac:dyDescent="0.25">
      <c r="A2366" s="8">
        <v>39833</v>
      </c>
      <c r="B2366" s="9">
        <v>56.65</v>
      </c>
    </row>
    <row r="2367" spans="1:2" x14ac:dyDescent="0.25">
      <c r="A2367" s="8">
        <v>39834</v>
      </c>
      <c r="B2367" s="9">
        <v>46.42</v>
      </c>
    </row>
    <row r="2368" spans="1:2" x14ac:dyDescent="0.25">
      <c r="A2368" s="8">
        <v>39835</v>
      </c>
      <c r="B2368" s="9">
        <v>47.29</v>
      </c>
    </row>
    <row r="2369" spans="1:2" x14ac:dyDescent="0.25">
      <c r="A2369" s="8">
        <v>39836</v>
      </c>
      <c r="B2369" s="9">
        <v>47.27</v>
      </c>
    </row>
    <row r="2370" spans="1:2" x14ac:dyDescent="0.25">
      <c r="A2370" s="8">
        <v>39839</v>
      </c>
      <c r="B2370" s="9">
        <v>45.69</v>
      </c>
    </row>
    <row r="2371" spans="1:2" x14ac:dyDescent="0.25">
      <c r="A2371" s="8">
        <v>39840</v>
      </c>
      <c r="B2371" s="9">
        <v>42.25</v>
      </c>
    </row>
    <row r="2372" spans="1:2" x14ac:dyDescent="0.25">
      <c r="A2372" s="8">
        <v>39841</v>
      </c>
      <c r="B2372" s="9">
        <v>39.659999999999997</v>
      </c>
    </row>
    <row r="2373" spans="1:2" x14ac:dyDescent="0.25">
      <c r="A2373" s="8">
        <v>39842</v>
      </c>
      <c r="B2373" s="9">
        <v>42.63</v>
      </c>
    </row>
    <row r="2374" spans="1:2" x14ac:dyDescent="0.25">
      <c r="A2374" s="8">
        <v>39843</v>
      </c>
      <c r="B2374" s="9">
        <v>44.84</v>
      </c>
    </row>
    <row r="2375" spans="1:2" x14ac:dyDescent="0.25">
      <c r="A2375" s="8">
        <v>39846</v>
      </c>
      <c r="B2375" s="9">
        <v>45.52</v>
      </c>
    </row>
    <row r="2376" spans="1:2" x14ac:dyDescent="0.25">
      <c r="A2376" s="8">
        <v>39847</v>
      </c>
      <c r="B2376" s="9">
        <v>43.06</v>
      </c>
    </row>
    <row r="2377" spans="1:2" x14ac:dyDescent="0.25">
      <c r="A2377" s="8">
        <v>39848</v>
      </c>
      <c r="B2377" s="9">
        <v>43.85</v>
      </c>
    </row>
    <row r="2378" spans="1:2" x14ac:dyDescent="0.25">
      <c r="A2378" s="8">
        <v>39849</v>
      </c>
      <c r="B2378" s="9">
        <v>43.73</v>
      </c>
    </row>
    <row r="2379" spans="1:2" x14ac:dyDescent="0.25">
      <c r="A2379" s="8">
        <v>39850</v>
      </c>
      <c r="B2379" s="9">
        <v>43.37</v>
      </c>
    </row>
    <row r="2380" spans="1:2" x14ac:dyDescent="0.25">
      <c r="A2380" s="8">
        <v>39853</v>
      </c>
      <c r="B2380" s="9">
        <v>43.64</v>
      </c>
    </row>
    <row r="2381" spans="1:2" x14ac:dyDescent="0.25">
      <c r="A2381" s="8">
        <v>39854</v>
      </c>
      <c r="B2381" s="9">
        <v>46.67</v>
      </c>
    </row>
    <row r="2382" spans="1:2" x14ac:dyDescent="0.25">
      <c r="A2382" s="8">
        <v>39855</v>
      </c>
      <c r="B2382" s="9">
        <v>44.53</v>
      </c>
    </row>
    <row r="2383" spans="1:2" x14ac:dyDescent="0.25">
      <c r="A2383" s="8">
        <v>39856</v>
      </c>
      <c r="B2383" s="9">
        <v>41.25</v>
      </c>
    </row>
    <row r="2384" spans="1:2" x14ac:dyDescent="0.25">
      <c r="A2384" s="8">
        <v>39857</v>
      </c>
      <c r="B2384" s="9">
        <v>42.93</v>
      </c>
    </row>
    <row r="2385" spans="1:2" x14ac:dyDescent="0.25">
      <c r="A2385" s="8">
        <v>39860</v>
      </c>
    </row>
    <row r="2386" spans="1:2" x14ac:dyDescent="0.25">
      <c r="A2386" s="8">
        <v>39861</v>
      </c>
      <c r="B2386" s="9">
        <v>48.66</v>
      </c>
    </row>
    <row r="2387" spans="1:2" x14ac:dyDescent="0.25">
      <c r="A2387" s="8">
        <v>39862</v>
      </c>
      <c r="B2387" s="9">
        <v>48.46</v>
      </c>
    </row>
    <row r="2388" spans="1:2" x14ac:dyDescent="0.25">
      <c r="A2388" s="8">
        <v>39863</v>
      </c>
      <c r="B2388" s="9">
        <v>47.08</v>
      </c>
    </row>
    <row r="2389" spans="1:2" x14ac:dyDescent="0.25">
      <c r="A2389" s="8">
        <v>39864</v>
      </c>
      <c r="B2389" s="9">
        <v>49.3</v>
      </c>
    </row>
    <row r="2390" spans="1:2" x14ac:dyDescent="0.25">
      <c r="A2390" s="8">
        <v>39867</v>
      </c>
      <c r="B2390" s="9">
        <v>52.62</v>
      </c>
    </row>
    <row r="2391" spans="1:2" x14ac:dyDescent="0.25">
      <c r="A2391" s="8">
        <v>39868</v>
      </c>
      <c r="B2391" s="9">
        <v>45.49</v>
      </c>
    </row>
    <row r="2392" spans="1:2" x14ac:dyDescent="0.25">
      <c r="A2392" s="8">
        <v>39869</v>
      </c>
      <c r="B2392" s="9">
        <v>44.67</v>
      </c>
    </row>
    <row r="2393" spans="1:2" x14ac:dyDescent="0.25">
      <c r="A2393" s="8">
        <v>39870</v>
      </c>
      <c r="B2393" s="9">
        <v>44.66</v>
      </c>
    </row>
    <row r="2394" spans="1:2" x14ac:dyDescent="0.25">
      <c r="A2394" s="8">
        <v>39871</v>
      </c>
      <c r="B2394" s="9">
        <v>46.35</v>
      </c>
    </row>
    <row r="2395" spans="1:2" x14ac:dyDescent="0.25">
      <c r="A2395" s="8">
        <v>39874</v>
      </c>
      <c r="B2395" s="9">
        <v>52.65</v>
      </c>
    </row>
    <row r="2396" spans="1:2" x14ac:dyDescent="0.25">
      <c r="A2396" s="8">
        <v>39875</v>
      </c>
      <c r="B2396" s="9">
        <v>50.93</v>
      </c>
    </row>
    <row r="2397" spans="1:2" x14ac:dyDescent="0.25">
      <c r="A2397" s="8">
        <v>39876</v>
      </c>
      <c r="B2397" s="9">
        <v>47.56</v>
      </c>
    </row>
    <row r="2398" spans="1:2" x14ac:dyDescent="0.25">
      <c r="A2398" s="8">
        <v>39877</v>
      </c>
      <c r="B2398" s="9">
        <v>50.17</v>
      </c>
    </row>
    <row r="2399" spans="1:2" x14ac:dyDescent="0.25">
      <c r="A2399" s="8">
        <v>39878</v>
      </c>
      <c r="B2399" s="9">
        <v>49.33</v>
      </c>
    </row>
    <row r="2400" spans="1:2" x14ac:dyDescent="0.25">
      <c r="A2400" s="8">
        <v>39881</v>
      </c>
      <c r="B2400" s="9">
        <v>49.68</v>
      </c>
    </row>
    <row r="2401" spans="1:2" x14ac:dyDescent="0.25">
      <c r="A2401" s="8">
        <v>39882</v>
      </c>
      <c r="B2401" s="9">
        <v>44.37</v>
      </c>
    </row>
    <row r="2402" spans="1:2" x14ac:dyDescent="0.25">
      <c r="A2402" s="8">
        <v>39883</v>
      </c>
      <c r="B2402" s="9">
        <v>43.61</v>
      </c>
    </row>
    <row r="2403" spans="1:2" x14ac:dyDescent="0.25">
      <c r="A2403" s="8">
        <v>39884</v>
      </c>
      <c r="B2403" s="9">
        <v>41.18</v>
      </c>
    </row>
    <row r="2404" spans="1:2" x14ac:dyDescent="0.25">
      <c r="A2404" s="8">
        <v>39885</v>
      </c>
      <c r="B2404" s="9">
        <v>42.36</v>
      </c>
    </row>
    <row r="2405" spans="1:2" x14ac:dyDescent="0.25">
      <c r="A2405" s="8">
        <v>39888</v>
      </c>
      <c r="B2405" s="9">
        <v>43.74</v>
      </c>
    </row>
    <row r="2406" spans="1:2" x14ac:dyDescent="0.25">
      <c r="A2406" s="8">
        <v>39889</v>
      </c>
      <c r="B2406" s="9">
        <v>40.799999999999997</v>
      </c>
    </row>
    <row r="2407" spans="1:2" x14ac:dyDescent="0.25">
      <c r="A2407" s="8">
        <v>39890</v>
      </c>
      <c r="B2407" s="9">
        <v>40.06</v>
      </c>
    </row>
    <row r="2408" spans="1:2" x14ac:dyDescent="0.25">
      <c r="A2408" s="8">
        <v>39891</v>
      </c>
      <c r="B2408" s="9">
        <v>43.68</v>
      </c>
    </row>
    <row r="2409" spans="1:2" x14ac:dyDescent="0.25">
      <c r="A2409" s="8">
        <v>39892</v>
      </c>
      <c r="B2409" s="9">
        <v>45.89</v>
      </c>
    </row>
    <row r="2410" spans="1:2" x14ac:dyDescent="0.25">
      <c r="A2410" s="8">
        <v>39895</v>
      </c>
      <c r="B2410" s="9">
        <v>43.23</v>
      </c>
    </row>
    <row r="2411" spans="1:2" x14ac:dyDescent="0.25">
      <c r="A2411" s="8">
        <v>39896</v>
      </c>
      <c r="B2411" s="9">
        <v>42.93</v>
      </c>
    </row>
    <row r="2412" spans="1:2" x14ac:dyDescent="0.25">
      <c r="A2412" s="8">
        <v>39897</v>
      </c>
      <c r="B2412" s="9">
        <v>42.25</v>
      </c>
    </row>
    <row r="2413" spans="1:2" x14ac:dyDescent="0.25">
      <c r="A2413" s="8">
        <v>39898</v>
      </c>
      <c r="B2413" s="9">
        <v>40.36</v>
      </c>
    </row>
    <row r="2414" spans="1:2" x14ac:dyDescent="0.25">
      <c r="A2414" s="8">
        <v>39899</v>
      </c>
      <c r="B2414" s="9">
        <v>41.04</v>
      </c>
    </row>
    <row r="2415" spans="1:2" x14ac:dyDescent="0.25">
      <c r="A2415" s="8">
        <v>39902</v>
      </c>
      <c r="B2415" s="9">
        <v>45.54</v>
      </c>
    </row>
    <row r="2416" spans="1:2" x14ac:dyDescent="0.25">
      <c r="A2416" s="8">
        <v>39903</v>
      </c>
      <c r="B2416" s="9">
        <v>44.14</v>
      </c>
    </row>
    <row r="2417" spans="1:2" x14ac:dyDescent="0.25">
      <c r="A2417" s="8">
        <v>39904</v>
      </c>
      <c r="B2417" s="9">
        <v>42.28</v>
      </c>
    </row>
    <row r="2418" spans="1:2" x14ac:dyDescent="0.25">
      <c r="A2418" s="8">
        <v>39905</v>
      </c>
      <c r="B2418" s="9">
        <v>42.04</v>
      </c>
    </row>
    <row r="2419" spans="1:2" x14ac:dyDescent="0.25">
      <c r="A2419" s="8">
        <v>39906</v>
      </c>
      <c r="B2419" s="9">
        <v>39.700000000000003</v>
      </c>
    </row>
    <row r="2420" spans="1:2" x14ac:dyDescent="0.25">
      <c r="A2420" s="8">
        <v>39909</v>
      </c>
      <c r="B2420" s="9">
        <v>40.93</v>
      </c>
    </row>
    <row r="2421" spans="1:2" x14ac:dyDescent="0.25">
      <c r="A2421" s="8">
        <v>39910</v>
      </c>
      <c r="B2421" s="9">
        <v>40.39</v>
      </c>
    </row>
    <row r="2422" spans="1:2" x14ac:dyDescent="0.25">
      <c r="A2422" s="8">
        <v>39911</v>
      </c>
      <c r="B2422" s="9">
        <v>38.85</v>
      </c>
    </row>
    <row r="2423" spans="1:2" x14ac:dyDescent="0.25">
      <c r="A2423" s="8">
        <v>39912</v>
      </c>
      <c r="B2423" s="9">
        <v>36.53</v>
      </c>
    </row>
    <row r="2424" spans="1:2" x14ac:dyDescent="0.25">
      <c r="A2424" s="8">
        <v>39913</v>
      </c>
    </row>
    <row r="2425" spans="1:2" x14ac:dyDescent="0.25">
      <c r="A2425" s="8">
        <v>39916</v>
      </c>
      <c r="B2425" s="9">
        <v>37.81</v>
      </c>
    </row>
    <row r="2426" spans="1:2" x14ac:dyDescent="0.25">
      <c r="A2426" s="8">
        <v>39917</v>
      </c>
      <c r="B2426" s="9">
        <v>37.67</v>
      </c>
    </row>
    <row r="2427" spans="1:2" x14ac:dyDescent="0.25">
      <c r="A2427" s="8">
        <v>39918</v>
      </c>
      <c r="B2427" s="9">
        <v>36.17</v>
      </c>
    </row>
    <row r="2428" spans="1:2" x14ac:dyDescent="0.25">
      <c r="A2428" s="8">
        <v>39919</v>
      </c>
      <c r="B2428" s="9">
        <v>35.79</v>
      </c>
    </row>
    <row r="2429" spans="1:2" x14ac:dyDescent="0.25">
      <c r="A2429" s="8">
        <v>39920</v>
      </c>
      <c r="B2429" s="9">
        <v>33.94</v>
      </c>
    </row>
    <row r="2430" spans="1:2" x14ac:dyDescent="0.25">
      <c r="A2430" s="8">
        <v>39923</v>
      </c>
      <c r="B2430" s="9">
        <v>39.18</v>
      </c>
    </row>
    <row r="2431" spans="1:2" x14ac:dyDescent="0.25">
      <c r="A2431" s="8">
        <v>39924</v>
      </c>
      <c r="B2431" s="9">
        <v>37.14</v>
      </c>
    </row>
    <row r="2432" spans="1:2" x14ac:dyDescent="0.25">
      <c r="A2432" s="8">
        <v>39925</v>
      </c>
      <c r="B2432" s="9">
        <v>38.1</v>
      </c>
    </row>
    <row r="2433" spans="1:2" x14ac:dyDescent="0.25">
      <c r="A2433" s="8">
        <v>39926</v>
      </c>
      <c r="B2433" s="9">
        <v>37.15</v>
      </c>
    </row>
    <row r="2434" spans="1:2" x14ac:dyDescent="0.25">
      <c r="A2434" s="8">
        <v>39927</v>
      </c>
      <c r="B2434" s="9">
        <v>36.82</v>
      </c>
    </row>
    <row r="2435" spans="1:2" x14ac:dyDescent="0.25">
      <c r="A2435" s="8">
        <v>39930</v>
      </c>
      <c r="B2435" s="9">
        <v>38.32</v>
      </c>
    </row>
    <row r="2436" spans="1:2" x14ac:dyDescent="0.25">
      <c r="A2436" s="8">
        <v>39931</v>
      </c>
      <c r="B2436" s="9">
        <v>37.950000000000003</v>
      </c>
    </row>
    <row r="2437" spans="1:2" x14ac:dyDescent="0.25">
      <c r="A2437" s="8">
        <v>39932</v>
      </c>
      <c r="B2437" s="9">
        <v>36.08</v>
      </c>
    </row>
    <row r="2438" spans="1:2" x14ac:dyDescent="0.25">
      <c r="A2438" s="8">
        <v>39933</v>
      </c>
      <c r="B2438" s="9">
        <v>36.5</v>
      </c>
    </row>
    <row r="2439" spans="1:2" x14ac:dyDescent="0.25">
      <c r="A2439" s="8">
        <v>39934</v>
      </c>
      <c r="B2439" s="9">
        <v>35.299999999999997</v>
      </c>
    </row>
    <row r="2440" spans="1:2" x14ac:dyDescent="0.25">
      <c r="A2440" s="8">
        <v>39937</v>
      </c>
      <c r="B2440" s="9">
        <v>34.53</v>
      </c>
    </row>
    <row r="2441" spans="1:2" x14ac:dyDescent="0.25">
      <c r="A2441" s="8">
        <v>39938</v>
      </c>
      <c r="B2441" s="9">
        <v>33.36</v>
      </c>
    </row>
    <row r="2442" spans="1:2" x14ac:dyDescent="0.25">
      <c r="A2442" s="8">
        <v>39939</v>
      </c>
      <c r="B2442" s="9">
        <v>32.450000000000003</v>
      </c>
    </row>
    <row r="2443" spans="1:2" x14ac:dyDescent="0.25">
      <c r="A2443" s="8">
        <v>39940</v>
      </c>
      <c r="B2443" s="9">
        <v>33.44</v>
      </c>
    </row>
    <row r="2444" spans="1:2" x14ac:dyDescent="0.25">
      <c r="A2444" s="8">
        <v>39941</v>
      </c>
      <c r="B2444" s="9">
        <v>32.049999999999997</v>
      </c>
    </row>
    <row r="2445" spans="1:2" x14ac:dyDescent="0.25">
      <c r="A2445" s="8">
        <v>39944</v>
      </c>
      <c r="B2445" s="9">
        <v>32.869999999999997</v>
      </c>
    </row>
    <row r="2446" spans="1:2" x14ac:dyDescent="0.25">
      <c r="A2446" s="8">
        <v>39945</v>
      </c>
      <c r="B2446" s="9">
        <v>31.8</v>
      </c>
    </row>
    <row r="2447" spans="1:2" x14ac:dyDescent="0.25">
      <c r="A2447" s="8">
        <v>39946</v>
      </c>
      <c r="B2447" s="9">
        <v>33.65</v>
      </c>
    </row>
    <row r="2448" spans="1:2" x14ac:dyDescent="0.25">
      <c r="A2448" s="8">
        <v>39947</v>
      </c>
      <c r="B2448" s="9">
        <v>31.37</v>
      </c>
    </row>
    <row r="2449" spans="1:2" x14ac:dyDescent="0.25">
      <c r="A2449" s="8">
        <v>39948</v>
      </c>
      <c r="B2449" s="9">
        <v>33.119999999999997</v>
      </c>
    </row>
    <row r="2450" spans="1:2" x14ac:dyDescent="0.25">
      <c r="A2450" s="8">
        <v>39951</v>
      </c>
      <c r="B2450" s="9">
        <v>30.24</v>
      </c>
    </row>
    <row r="2451" spans="1:2" x14ac:dyDescent="0.25">
      <c r="A2451" s="8">
        <v>39952</v>
      </c>
      <c r="B2451" s="9">
        <v>28.8</v>
      </c>
    </row>
    <row r="2452" spans="1:2" x14ac:dyDescent="0.25">
      <c r="A2452" s="8">
        <v>39953</v>
      </c>
      <c r="B2452" s="9">
        <v>29.03</v>
      </c>
    </row>
    <row r="2453" spans="1:2" x14ac:dyDescent="0.25">
      <c r="A2453" s="8">
        <v>39954</v>
      </c>
      <c r="B2453" s="9">
        <v>31.35</v>
      </c>
    </row>
    <row r="2454" spans="1:2" x14ac:dyDescent="0.25">
      <c r="A2454" s="8">
        <v>39955</v>
      </c>
      <c r="B2454" s="9">
        <v>32.630000000000003</v>
      </c>
    </row>
    <row r="2455" spans="1:2" x14ac:dyDescent="0.25">
      <c r="A2455" s="8">
        <v>39958</v>
      </c>
    </row>
    <row r="2456" spans="1:2" x14ac:dyDescent="0.25">
      <c r="A2456" s="8">
        <v>39959</v>
      </c>
      <c r="B2456" s="9">
        <v>30.62</v>
      </c>
    </row>
    <row r="2457" spans="1:2" x14ac:dyDescent="0.25">
      <c r="A2457" s="8">
        <v>39960</v>
      </c>
      <c r="B2457" s="9">
        <v>32.36</v>
      </c>
    </row>
    <row r="2458" spans="1:2" x14ac:dyDescent="0.25">
      <c r="A2458" s="8">
        <v>39961</v>
      </c>
      <c r="B2458" s="9">
        <v>31.67</v>
      </c>
    </row>
    <row r="2459" spans="1:2" x14ac:dyDescent="0.25">
      <c r="A2459" s="8">
        <v>39962</v>
      </c>
      <c r="B2459" s="9">
        <v>28.92</v>
      </c>
    </row>
    <row r="2460" spans="1:2" x14ac:dyDescent="0.25">
      <c r="A2460" s="8">
        <v>39965</v>
      </c>
      <c r="B2460" s="9">
        <v>30.04</v>
      </c>
    </row>
    <row r="2461" spans="1:2" x14ac:dyDescent="0.25">
      <c r="A2461" s="8">
        <v>39966</v>
      </c>
      <c r="B2461" s="9">
        <v>29.63</v>
      </c>
    </row>
    <row r="2462" spans="1:2" x14ac:dyDescent="0.25">
      <c r="A2462" s="8">
        <v>39967</v>
      </c>
      <c r="B2462" s="9">
        <v>31.02</v>
      </c>
    </row>
    <row r="2463" spans="1:2" x14ac:dyDescent="0.25">
      <c r="A2463" s="8">
        <v>39968</v>
      </c>
      <c r="B2463" s="9">
        <v>30.18</v>
      </c>
    </row>
    <row r="2464" spans="1:2" x14ac:dyDescent="0.25">
      <c r="A2464" s="8">
        <v>39969</v>
      </c>
      <c r="B2464" s="9">
        <v>29.62</v>
      </c>
    </row>
    <row r="2465" spans="1:2" x14ac:dyDescent="0.25">
      <c r="A2465" s="8">
        <v>39972</v>
      </c>
      <c r="B2465" s="9">
        <v>29.77</v>
      </c>
    </row>
    <row r="2466" spans="1:2" x14ac:dyDescent="0.25">
      <c r="A2466" s="8">
        <v>39973</v>
      </c>
      <c r="B2466" s="9">
        <v>28.27</v>
      </c>
    </row>
    <row r="2467" spans="1:2" x14ac:dyDescent="0.25">
      <c r="A2467" s="8">
        <v>39974</v>
      </c>
      <c r="B2467" s="9">
        <v>28.46</v>
      </c>
    </row>
    <row r="2468" spans="1:2" x14ac:dyDescent="0.25">
      <c r="A2468" s="8">
        <v>39975</v>
      </c>
      <c r="B2468" s="9">
        <v>28.11</v>
      </c>
    </row>
    <row r="2469" spans="1:2" x14ac:dyDescent="0.25">
      <c r="A2469" s="8">
        <v>39976</v>
      </c>
      <c r="B2469" s="9">
        <v>28.15</v>
      </c>
    </row>
    <row r="2470" spans="1:2" x14ac:dyDescent="0.25">
      <c r="A2470" s="8">
        <v>39979</v>
      </c>
      <c r="B2470" s="9">
        <v>30.81</v>
      </c>
    </row>
    <row r="2471" spans="1:2" x14ac:dyDescent="0.25">
      <c r="A2471" s="8">
        <v>39980</v>
      </c>
      <c r="B2471" s="9">
        <v>32.68</v>
      </c>
    </row>
    <row r="2472" spans="1:2" x14ac:dyDescent="0.25">
      <c r="A2472" s="8">
        <v>39981</v>
      </c>
      <c r="B2472" s="9">
        <v>31.54</v>
      </c>
    </row>
    <row r="2473" spans="1:2" x14ac:dyDescent="0.25">
      <c r="A2473" s="8">
        <v>39982</v>
      </c>
      <c r="B2473" s="9">
        <v>30.03</v>
      </c>
    </row>
    <row r="2474" spans="1:2" x14ac:dyDescent="0.25">
      <c r="A2474" s="8">
        <v>39983</v>
      </c>
      <c r="B2474" s="9">
        <v>27.99</v>
      </c>
    </row>
    <row r="2475" spans="1:2" x14ac:dyDescent="0.25">
      <c r="A2475" s="8">
        <v>39986</v>
      </c>
      <c r="B2475" s="9">
        <v>31.17</v>
      </c>
    </row>
    <row r="2476" spans="1:2" x14ac:dyDescent="0.25">
      <c r="A2476" s="8">
        <v>39987</v>
      </c>
      <c r="B2476" s="9">
        <v>30.58</v>
      </c>
    </row>
    <row r="2477" spans="1:2" x14ac:dyDescent="0.25">
      <c r="A2477" s="8">
        <v>39988</v>
      </c>
      <c r="B2477" s="9">
        <v>29.05</v>
      </c>
    </row>
    <row r="2478" spans="1:2" x14ac:dyDescent="0.25">
      <c r="A2478" s="8">
        <v>39989</v>
      </c>
      <c r="B2478" s="9">
        <v>26.36</v>
      </c>
    </row>
    <row r="2479" spans="1:2" x14ac:dyDescent="0.25">
      <c r="A2479" s="8">
        <v>39990</v>
      </c>
      <c r="B2479" s="9">
        <v>25.93</v>
      </c>
    </row>
    <row r="2480" spans="1:2" x14ac:dyDescent="0.25">
      <c r="A2480" s="8">
        <v>39993</v>
      </c>
      <c r="B2480" s="9">
        <v>25.35</v>
      </c>
    </row>
    <row r="2481" spans="1:2" x14ac:dyDescent="0.25">
      <c r="A2481" s="8">
        <v>39994</v>
      </c>
      <c r="B2481" s="9">
        <v>26.35</v>
      </c>
    </row>
    <row r="2482" spans="1:2" x14ac:dyDescent="0.25">
      <c r="A2482" s="8">
        <v>39995</v>
      </c>
      <c r="B2482" s="9">
        <v>26.22</v>
      </c>
    </row>
    <row r="2483" spans="1:2" x14ac:dyDescent="0.25">
      <c r="A2483" s="8">
        <v>39996</v>
      </c>
      <c r="B2483" s="9">
        <v>27.95</v>
      </c>
    </row>
    <row r="2484" spans="1:2" x14ac:dyDescent="0.25">
      <c r="A2484" s="8">
        <v>39997</v>
      </c>
    </row>
    <row r="2485" spans="1:2" x14ac:dyDescent="0.25">
      <c r="A2485" s="8">
        <v>40000</v>
      </c>
      <c r="B2485" s="9">
        <v>29</v>
      </c>
    </row>
    <row r="2486" spans="1:2" x14ac:dyDescent="0.25">
      <c r="A2486" s="8">
        <v>40001</v>
      </c>
      <c r="B2486" s="9">
        <v>30.85</v>
      </c>
    </row>
    <row r="2487" spans="1:2" x14ac:dyDescent="0.25">
      <c r="A2487" s="8">
        <v>40002</v>
      </c>
      <c r="B2487" s="9">
        <v>31.3</v>
      </c>
    </row>
    <row r="2488" spans="1:2" x14ac:dyDescent="0.25">
      <c r="A2488" s="8">
        <v>40003</v>
      </c>
      <c r="B2488" s="9">
        <v>29.78</v>
      </c>
    </row>
    <row r="2489" spans="1:2" x14ac:dyDescent="0.25">
      <c r="A2489" s="8">
        <v>40004</v>
      </c>
      <c r="B2489" s="9">
        <v>29.02</v>
      </c>
    </row>
    <row r="2490" spans="1:2" x14ac:dyDescent="0.25">
      <c r="A2490" s="8">
        <v>40007</v>
      </c>
      <c r="B2490" s="9">
        <v>26.31</v>
      </c>
    </row>
    <row r="2491" spans="1:2" x14ac:dyDescent="0.25">
      <c r="A2491" s="8">
        <v>40008</v>
      </c>
      <c r="B2491" s="9">
        <v>25.02</v>
      </c>
    </row>
    <row r="2492" spans="1:2" x14ac:dyDescent="0.25">
      <c r="A2492" s="8">
        <v>40009</v>
      </c>
      <c r="B2492" s="9">
        <v>25.89</v>
      </c>
    </row>
    <row r="2493" spans="1:2" x14ac:dyDescent="0.25">
      <c r="A2493" s="8">
        <v>40010</v>
      </c>
      <c r="B2493" s="9">
        <v>25.42</v>
      </c>
    </row>
    <row r="2494" spans="1:2" x14ac:dyDescent="0.25">
      <c r="A2494" s="8">
        <v>40011</v>
      </c>
      <c r="B2494" s="9">
        <v>24.34</v>
      </c>
    </row>
    <row r="2495" spans="1:2" x14ac:dyDescent="0.25">
      <c r="A2495" s="8">
        <v>40014</v>
      </c>
      <c r="B2495" s="9">
        <v>24.4</v>
      </c>
    </row>
    <row r="2496" spans="1:2" x14ac:dyDescent="0.25">
      <c r="A2496" s="8">
        <v>40015</v>
      </c>
      <c r="B2496" s="9">
        <v>23.87</v>
      </c>
    </row>
    <row r="2497" spans="1:2" x14ac:dyDescent="0.25">
      <c r="A2497" s="8">
        <v>40016</v>
      </c>
      <c r="B2497" s="9">
        <v>23.47</v>
      </c>
    </row>
    <row r="2498" spans="1:2" x14ac:dyDescent="0.25">
      <c r="A2498" s="8">
        <v>40017</v>
      </c>
      <c r="B2498" s="9">
        <v>23.43</v>
      </c>
    </row>
    <row r="2499" spans="1:2" x14ac:dyDescent="0.25">
      <c r="A2499" s="8">
        <v>40018</v>
      </c>
      <c r="B2499" s="9">
        <v>23.09</v>
      </c>
    </row>
    <row r="2500" spans="1:2" x14ac:dyDescent="0.25">
      <c r="A2500" s="8">
        <v>40021</v>
      </c>
      <c r="B2500" s="9">
        <v>24.28</v>
      </c>
    </row>
    <row r="2501" spans="1:2" x14ac:dyDescent="0.25">
      <c r="A2501" s="8">
        <v>40022</v>
      </c>
      <c r="B2501" s="9">
        <v>25.01</v>
      </c>
    </row>
    <row r="2502" spans="1:2" x14ac:dyDescent="0.25">
      <c r="A2502" s="8">
        <v>40023</v>
      </c>
      <c r="B2502" s="9">
        <v>25.61</v>
      </c>
    </row>
    <row r="2503" spans="1:2" x14ac:dyDescent="0.25">
      <c r="A2503" s="8">
        <v>40024</v>
      </c>
      <c r="B2503" s="9">
        <v>25.4</v>
      </c>
    </row>
    <row r="2504" spans="1:2" x14ac:dyDescent="0.25">
      <c r="A2504" s="8">
        <v>40025</v>
      </c>
      <c r="B2504" s="9">
        <v>25.92</v>
      </c>
    </row>
    <row r="2505" spans="1:2" x14ac:dyDescent="0.25">
      <c r="A2505" s="8">
        <v>40028</v>
      </c>
      <c r="B2505" s="9">
        <v>25.56</v>
      </c>
    </row>
    <row r="2506" spans="1:2" x14ac:dyDescent="0.25">
      <c r="A2506" s="8">
        <v>40029</v>
      </c>
      <c r="B2506" s="9">
        <v>24.89</v>
      </c>
    </row>
    <row r="2507" spans="1:2" x14ac:dyDescent="0.25">
      <c r="A2507" s="8">
        <v>40030</v>
      </c>
      <c r="B2507" s="9">
        <v>24.9</v>
      </c>
    </row>
    <row r="2508" spans="1:2" x14ac:dyDescent="0.25">
      <c r="A2508" s="8">
        <v>40031</v>
      </c>
      <c r="B2508" s="9">
        <v>25.67</v>
      </c>
    </row>
    <row r="2509" spans="1:2" x14ac:dyDescent="0.25">
      <c r="A2509" s="8">
        <v>40032</v>
      </c>
      <c r="B2509" s="9">
        <v>24.76</v>
      </c>
    </row>
    <row r="2510" spans="1:2" x14ac:dyDescent="0.25">
      <c r="A2510" s="8">
        <v>40035</v>
      </c>
      <c r="B2510" s="9">
        <v>24.99</v>
      </c>
    </row>
    <row r="2511" spans="1:2" x14ac:dyDescent="0.25">
      <c r="A2511" s="8">
        <v>40036</v>
      </c>
      <c r="B2511" s="9">
        <v>25.99</v>
      </c>
    </row>
    <row r="2512" spans="1:2" x14ac:dyDescent="0.25">
      <c r="A2512" s="8">
        <v>40037</v>
      </c>
      <c r="B2512" s="9">
        <v>25.45</v>
      </c>
    </row>
    <row r="2513" spans="1:2" x14ac:dyDescent="0.25">
      <c r="A2513" s="8">
        <v>40038</v>
      </c>
      <c r="B2513" s="9">
        <v>24.71</v>
      </c>
    </row>
    <row r="2514" spans="1:2" x14ac:dyDescent="0.25">
      <c r="A2514" s="8">
        <v>40039</v>
      </c>
      <c r="B2514" s="9">
        <v>24.27</v>
      </c>
    </row>
    <row r="2515" spans="1:2" x14ac:dyDescent="0.25">
      <c r="A2515" s="8">
        <v>40042</v>
      </c>
      <c r="B2515" s="9">
        <v>27.89</v>
      </c>
    </row>
    <row r="2516" spans="1:2" x14ac:dyDescent="0.25">
      <c r="A2516" s="8">
        <v>40043</v>
      </c>
      <c r="B2516" s="9">
        <v>26.18</v>
      </c>
    </row>
    <row r="2517" spans="1:2" x14ac:dyDescent="0.25">
      <c r="A2517" s="8">
        <v>40044</v>
      </c>
      <c r="B2517" s="9">
        <v>26.26</v>
      </c>
    </row>
    <row r="2518" spans="1:2" x14ac:dyDescent="0.25">
      <c r="A2518" s="8">
        <v>40045</v>
      </c>
      <c r="B2518" s="9">
        <v>25.09</v>
      </c>
    </row>
    <row r="2519" spans="1:2" x14ac:dyDescent="0.25">
      <c r="A2519" s="8">
        <v>40046</v>
      </c>
      <c r="B2519" s="9">
        <v>25.01</v>
      </c>
    </row>
    <row r="2520" spans="1:2" x14ac:dyDescent="0.25">
      <c r="A2520" s="8">
        <v>40049</v>
      </c>
      <c r="B2520" s="9">
        <v>25.14</v>
      </c>
    </row>
    <row r="2521" spans="1:2" x14ac:dyDescent="0.25">
      <c r="A2521" s="8">
        <v>40050</v>
      </c>
      <c r="B2521" s="9">
        <v>24.92</v>
      </c>
    </row>
    <row r="2522" spans="1:2" x14ac:dyDescent="0.25">
      <c r="A2522" s="8">
        <v>40051</v>
      </c>
      <c r="B2522" s="9">
        <v>24.95</v>
      </c>
    </row>
    <row r="2523" spans="1:2" x14ac:dyDescent="0.25">
      <c r="A2523" s="8">
        <v>40052</v>
      </c>
      <c r="B2523" s="9">
        <v>24.68</v>
      </c>
    </row>
    <row r="2524" spans="1:2" x14ac:dyDescent="0.25">
      <c r="A2524" s="8">
        <v>40053</v>
      </c>
      <c r="B2524" s="9">
        <v>24.76</v>
      </c>
    </row>
    <row r="2525" spans="1:2" x14ac:dyDescent="0.25">
      <c r="A2525" s="8">
        <v>40056</v>
      </c>
      <c r="B2525" s="9">
        <v>26.01</v>
      </c>
    </row>
    <row r="2526" spans="1:2" x14ac:dyDescent="0.25">
      <c r="A2526" s="8">
        <v>40057</v>
      </c>
      <c r="B2526" s="9">
        <v>29.15</v>
      </c>
    </row>
    <row r="2527" spans="1:2" x14ac:dyDescent="0.25">
      <c r="A2527" s="8">
        <v>40058</v>
      </c>
      <c r="B2527" s="9">
        <v>28.9</v>
      </c>
    </row>
    <row r="2528" spans="1:2" x14ac:dyDescent="0.25">
      <c r="A2528" s="8">
        <v>40059</v>
      </c>
      <c r="B2528" s="9">
        <v>27.1</v>
      </c>
    </row>
    <row r="2529" spans="1:2" x14ac:dyDescent="0.25">
      <c r="A2529" s="8">
        <v>40060</v>
      </c>
      <c r="B2529" s="9">
        <v>25.26</v>
      </c>
    </row>
    <row r="2530" spans="1:2" x14ac:dyDescent="0.25">
      <c r="A2530" s="8">
        <v>40063</v>
      </c>
    </row>
    <row r="2531" spans="1:2" x14ac:dyDescent="0.25">
      <c r="A2531" s="8">
        <v>40064</v>
      </c>
      <c r="B2531" s="9">
        <v>25.62</v>
      </c>
    </row>
    <row r="2532" spans="1:2" x14ac:dyDescent="0.25">
      <c r="A2532" s="8">
        <v>40065</v>
      </c>
      <c r="B2532" s="9">
        <v>24.32</v>
      </c>
    </row>
    <row r="2533" spans="1:2" x14ac:dyDescent="0.25">
      <c r="A2533" s="8">
        <v>40066</v>
      </c>
      <c r="B2533" s="9">
        <v>23.55</v>
      </c>
    </row>
    <row r="2534" spans="1:2" x14ac:dyDescent="0.25">
      <c r="A2534" s="8">
        <v>40067</v>
      </c>
      <c r="B2534" s="9">
        <v>24.15</v>
      </c>
    </row>
    <row r="2535" spans="1:2" x14ac:dyDescent="0.25">
      <c r="A2535" s="8">
        <v>40070</v>
      </c>
      <c r="B2535" s="9">
        <v>23.86</v>
      </c>
    </row>
    <row r="2536" spans="1:2" x14ac:dyDescent="0.25">
      <c r="A2536" s="8">
        <v>40071</v>
      </c>
      <c r="B2536" s="9">
        <v>23.42</v>
      </c>
    </row>
    <row r="2537" spans="1:2" x14ac:dyDescent="0.25">
      <c r="A2537" s="8">
        <v>40072</v>
      </c>
      <c r="B2537" s="9">
        <v>23.69</v>
      </c>
    </row>
    <row r="2538" spans="1:2" x14ac:dyDescent="0.25">
      <c r="A2538" s="8">
        <v>40073</v>
      </c>
      <c r="B2538" s="9">
        <v>23.65</v>
      </c>
    </row>
    <row r="2539" spans="1:2" x14ac:dyDescent="0.25">
      <c r="A2539" s="8">
        <v>40074</v>
      </c>
      <c r="B2539" s="9">
        <v>23.92</v>
      </c>
    </row>
    <row r="2540" spans="1:2" x14ac:dyDescent="0.25">
      <c r="A2540" s="8">
        <v>40077</v>
      </c>
      <c r="B2540" s="9">
        <v>24.06</v>
      </c>
    </row>
    <row r="2541" spans="1:2" x14ac:dyDescent="0.25">
      <c r="A2541" s="8">
        <v>40078</v>
      </c>
      <c r="B2541" s="9">
        <v>23.08</v>
      </c>
    </row>
    <row r="2542" spans="1:2" x14ac:dyDescent="0.25">
      <c r="A2542" s="8">
        <v>40079</v>
      </c>
      <c r="B2542" s="9">
        <v>23.49</v>
      </c>
    </row>
    <row r="2543" spans="1:2" x14ac:dyDescent="0.25">
      <c r="A2543" s="8">
        <v>40080</v>
      </c>
      <c r="B2543" s="9">
        <v>24.95</v>
      </c>
    </row>
    <row r="2544" spans="1:2" x14ac:dyDescent="0.25">
      <c r="A2544" s="8">
        <v>40081</v>
      </c>
      <c r="B2544" s="9">
        <v>25.61</v>
      </c>
    </row>
    <row r="2545" spans="1:2" x14ac:dyDescent="0.25">
      <c r="A2545" s="8">
        <v>40084</v>
      </c>
      <c r="B2545" s="9">
        <v>24.88</v>
      </c>
    </row>
    <row r="2546" spans="1:2" x14ac:dyDescent="0.25">
      <c r="A2546" s="8">
        <v>40085</v>
      </c>
      <c r="B2546" s="9">
        <v>25.19</v>
      </c>
    </row>
    <row r="2547" spans="1:2" x14ac:dyDescent="0.25">
      <c r="A2547" s="8">
        <v>40086</v>
      </c>
      <c r="B2547" s="9">
        <v>25.61</v>
      </c>
    </row>
    <row r="2548" spans="1:2" x14ac:dyDescent="0.25">
      <c r="A2548" s="8">
        <v>40087</v>
      </c>
      <c r="B2548" s="9">
        <v>28.27</v>
      </c>
    </row>
    <row r="2549" spans="1:2" x14ac:dyDescent="0.25">
      <c r="A2549" s="8">
        <v>40088</v>
      </c>
      <c r="B2549" s="9">
        <v>28.68</v>
      </c>
    </row>
    <row r="2550" spans="1:2" x14ac:dyDescent="0.25">
      <c r="A2550" s="8">
        <v>40091</v>
      </c>
      <c r="B2550" s="9">
        <v>26.84</v>
      </c>
    </row>
    <row r="2551" spans="1:2" x14ac:dyDescent="0.25">
      <c r="A2551" s="8">
        <v>40092</v>
      </c>
      <c r="B2551" s="9">
        <v>25.7</v>
      </c>
    </row>
    <row r="2552" spans="1:2" x14ac:dyDescent="0.25">
      <c r="A2552" s="8">
        <v>40093</v>
      </c>
      <c r="B2552" s="9">
        <v>24.68</v>
      </c>
    </row>
    <row r="2553" spans="1:2" x14ac:dyDescent="0.25">
      <c r="A2553" s="8">
        <v>40094</v>
      </c>
      <c r="B2553" s="9">
        <v>24.18</v>
      </c>
    </row>
    <row r="2554" spans="1:2" x14ac:dyDescent="0.25">
      <c r="A2554" s="8">
        <v>40095</v>
      </c>
      <c r="B2554" s="9">
        <v>23.12</v>
      </c>
    </row>
    <row r="2555" spans="1:2" x14ac:dyDescent="0.25">
      <c r="A2555" s="8">
        <v>40098</v>
      </c>
      <c r="B2555" s="9">
        <v>23.01</v>
      </c>
    </row>
    <row r="2556" spans="1:2" x14ac:dyDescent="0.25">
      <c r="A2556" s="8">
        <v>40099</v>
      </c>
      <c r="B2556" s="9">
        <v>22.99</v>
      </c>
    </row>
    <row r="2557" spans="1:2" x14ac:dyDescent="0.25">
      <c r="A2557" s="8">
        <v>40100</v>
      </c>
      <c r="B2557" s="9">
        <v>22.86</v>
      </c>
    </row>
    <row r="2558" spans="1:2" x14ac:dyDescent="0.25">
      <c r="A2558" s="8">
        <v>40101</v>
      </c>
      <c r="B2558" s="9">
        <v>21.72</v>
      </c>
    </row>
    <row r="2559" spans="1:2" x14ac:dyDescent="0.25">
      <c r="A2559" s="8">
        <v>40102</v>
      </c>
      <c r="B2559" s="9">
        <v>21.43</v>
      </c>
    </row>
    <row r="2560" spans="1:2" x14ac:dyDescent="0.25">
      <c r="A2560" s="8">
        <v>40105</v>
      </c>
      <c r="B2560" s="9">
        <v>21.49</v>
      </c>
    </row>
    <row r="2561" spans="1:2" x14ac:dyDescent="0.25">
      <c r="A2561" s="8">
        <v>40106</v>
      </c>
      <c r="B2561" s="9">
        <v>20.9</v>
      </c>
    </row>
    <row r="2562" spans="1:2" x14ac:dyDescent="0.25">
      <c r="A2562" s="8">
        <v>40107</v>
      </c>
      <c r="B2562" s="9">
        <v>22.22</v>
      </c>
    </row>
    <row r="2563" spans="1:2" x14ac:dyDescent="0.25">
      <c r="A2563" s="8">
        <v>40108</v>
      </c>
      <c r="B2563" s="9">
        <v>20.69</v>
      </c>
    </row>
    <row r="2564" spans="1:2" x14ac:dyDescent="0.25">
      <c r="A2564" s="8">
        <v>40109</v>
      </c>
      <c r="B2564" s="9">
        <v>22.27</v>
      </c>
    </row>
    <row r="2565" spans="1:2" x14ac:dyDescent="0.25">
      <c r="A2565" s="8">
        <v>40112</v>
      </c>
      <c r="B2565" s="9">
        <v>24.31</v>
      </c>
    </row>
    <row r="2566" spans="1:2" x14ac:dyDescent="0.25">
      <c r="A2566" s="8">
        <v>40113</v>
      </c>
      <c r="B2566" s="9">
        <v>24.83</v>
      </c>
    </row>
    <row r="2567" spans="1:2" x14ac:dyDescent="0.25">
      <c r="A2567" s="8">
        <v>40114</v>
      </c>
      <c r="B2567" s="9">
        <v>27.91</v>
      </c>
    </row>
    <row r="2568" spans="1:2" x14ac:dyDescent="0.25">
      <c r="A2568" s="8">
        <v>40115</v>
      </c>
      <c r="B2568" s="9">
        <v>24.76</v>
      </c>
    </row>
    <row r="2569" spans="1:2" x14ac:dyDescent="0.25">
      <c r="A2569" s="8">
        <v>40116</v>
      </c>
      <c r="B2569" s="9">
        <v>30.69</v>
      </c>
    </row>
    <row r="2570" spans="1:2" x14ac:dyDescent="0.25">
      <c r="A2570" s="8">
        <v>40119</v>
      </c>
      <c r="B2570" s="9">
        <v>29.78</v>
      </c>
    </row>
    <row r="2571" spans="1:2" x14ac:dyDescent="0.25">
      <c r="A2571" s="8">
        <v>40120</v>
      </c>
      <c r="B2571" s="9">
        <v>28.81</v>
      </c>
    </row>
    <row r="2572" spans="1:2" x14ac:dyDescent="0.25">
      <c r="A2572" s="8">
        <v>40121</v>
      </c>
      <c r="B2572" s="9">
        <v>27.72</v>
      </c>
    </row>
    <row r="2573" spans="1:2" x14ac:dyDescent="0.25">
      <c r="A2573" s="8">
        <v>40122</v>
      </c>
      <c r="B2573" s="9">
        <v>25.43</v>
      </c>
    </row>
    <row r="2574" spans="1:2" x14ac:dyDescent="0.25">
      <c r="A2574" s="8">
        <v>40123</v>
      </c>
      <c r="B2574" s="9">
        <v>24.19</v>
      </c>
    </row>
    <row r="2575" spans="1:2" x14ac:dyDescent="0.25">
      <c r="A2575" s="8">
        <v>40126</v>
      </c>
      <c r="B2575" s="9">
        <v>23.15</v>
      </c>
    </row>
    <row r="2576" spans="1:2" x14ac:dyDescent="0.25">
      <c r="A2576" s="8">
        <v>40127</v>
      </c>
      <c r="B2576" s="9">
        <v>22.84</v>
      </c>
    </row>
    <row r="2577" spans="1:2" x14ac:dyDescent="0.25">
      <c r="A2577" s="8">
        <v>40128</v>
      </c>
      <c r="B2577" s="9">
        <v>23.04</v>
      </c>
    </row>
    <row r="2578" spans="1:2" x14ac:dyDescent="0.25">
      <c r="A2578" s="8">
        <v>40129</v>
      </c>
      <c r="B2578" s="9">
        <v>24.24</v>
      </c>
    </row>
    <row r="2579" spans="1:2" x14ac:dyDescent="0.25">
      <c r="A2579" s="8">
        <v>40130</v>
      </c>
      <c r="B2579" s="9">
        <v>23.36</v>
      </c>
    </row>
    <row r="2580" spans="1:2" x14ac:dyDescent="0.25">
      <c r="A2580" s="8">
        <v>40133</v>
      </c>
      <c r="B2580" s="9">
        <v>22.89</v>
      </c>
    </row>
    <row r="2581" spans="1:2" x14ac:dyDescent="0.25">
      <c r="A2581" s="8">
        <v>40134</v>
      </c>
      <c r="B2581" s="9">
        <v>22.41</v>
      </c>
    </row>
    <row r="2582" spans="1:2" x14ac:dyDescent="0.25">
      <c r="A2582" s="8">
        <v>40135</v>
      </c>
      <c r="B2582" s="9">
        <v>21.63</v>
      </c>
    </row>
    <row r="2583" spans="1:2" x14ac:dyDescent="0.25">
      <c r="A2583" s="8">
        <v>40136</v>
      </c>
      <c r="B2583" s="9">
        <v>22.63</v>
      </c>
    </row>
    <row r="2584" spans="1:2" x14ac:dyDescent="0.25">
      <c r="A2584" s="8">
        <v>40137</v>
      </c>
      <c r="B2584" s="9">
        <v>22.19</v>
      </c>
    </row>
    <row r="2585" spans="1:2" x14ac:dyDescent="0.25">
      <c r="A2585" s="8">
        <v>40140</v>
      </c>
      <c r="B2585" s="9">
        <v>21.16</v>
      </c>
    </row>
    <row r="2586" spans="1:2" x14ac:dyDescent="0.25">
      <c r="A2586" s="8">
        <v>40141</v>
      </c>
      <c r="B2586" s="9">
        <v>20.47</v>
      </c>
    </row>
    <row r="2587" spans="1:2" x14ac:dyDescent="0.25">
      <c r="A2587" s="8">
        <v>40142</v>
      </c>
      <c r="B2587" s="9">
        <v>20.48</v>
      </c>
    </row>
    <row r="2588" spans="1:2" x14ac:dyDescent="0.25">
      <c r="A2588" s="8">
        <v>40143</v>
      </c>
    </row>
    <row r="2589" spans="1:2" x14ac:dyDescent="0.25">
      <c r="A2589" s="8">
        <v>40144</v>
      </c>
      <c r="B2589" s="9">
        <v>24.85</v>
      </c>
    </row>
    <row r="2590" spans="1:2" x14ac:dyDescent="0.25">
      <c r="A2590" s="8">
        <v>40147</v>
      </c>
      <c r="B2590" s="9">
        <v>24.51</v>
      </c>
    </row>
    <row r="2591" spans="1:2" x14ac:dyDescent="0.25">
      <c r="A2591" s="8">
        <v>40148</v>
      </c>
      <c r="B2591" s="9">
        <v>21.92</v>
      </c>
    </row>
    <row r="2592" spans="1:2" x14ac:dyDescent="0.25">
      <c r="A2592" s="8">
        <v>40149</v>
      </c>
      <c r="B2592" s="9">
        <v>21.12</v>
      </c>
    </row>
    <row r="2593" spans="1:2" x14ac:dyDescent="0.25">
      <c r="A2593" s="8">
        <v>40150</v>
      </c>
      <c r="B2593" s="9">
        <v>22.46</v>
      </c>
    </row>
    <row r="2594" spans="1:2" x14ac:dyDescent="0.25">
      <c r="A2594" s="8">
        <v>40151</v>
      </c>
      <c r="B2594" s="9">
        <v>21.25</v>
      </c>
    </row>
    <row r="2595" spans="1:2" x14ac:dyDescent="0.25">
      <c r="A2595" s="8">
        <v>40154</v>
      </c>
      <c r="B2595" s="9">
        <v>22.1</v>
      </c>
    </row>
    <row r="2596" spans="1:2" x14ac:dyDescent="0.25">
      <c r="A2596" s="8">
        <v>40155</v>
      </c>
      <c r="B2596" s="9">
        <v>23.69</v>
      </c>
    </row>
    <row r="2597" spans="1:2" x14ac:dyDescent="0.25">
      <c r="A2597" s="8">
        <v>40156</v>
      </c>
      <c r="B2597" s="9">
        <v>22.66</v>
      </c>
    </row>
    <row r="2598" spans="1:2" x14ac:dyDescent="0.25">
      <c r="A2598" s="8">
        <v>40157</v>
      </c>
      <c r="B2598" s="9">
        <v>22.32</v>
      </c>
    </row>
    <row r="2599" spans="1:2" x14ac:dyDescent="0.25">
      <c r="A2599" s="8">
        <v>40158</v>
      </c>
      <c r="B2599" s="9">
        <v>21.59</v>
      </c>
    </row>
    <row r="2600" spans="1:2" x14ac:dyDescent="0.25">
      <c r="A2600" s="8">
        <v>40161</v>
      </c>
      <c r="B2600" s="9">
        <v>21.15</v>
      </c>
    </row>
    <row r="2601" spans="1:2" x14ac:dyDescent="0.25">
      <c r="A2601" s="8">
        <v>40162</v>
      </c>
      <c r="B2601" s="9">
        <v>21.49</v>
      </c>
    </row>
    <row r="2602" spans="1:2" x14ac:dyDescent="0.25">
      <c r="A2602" s="8">
        <v>40163</v>
      </c>
      <c r="B2602" s="9">
        <v>20.54</v>
      </c>
    </row>
    <row r="2603" spans="1:2" x14ac:dyDescent="0.25">
      <c r="A2603" s="8">
        <v>40164</v>
      </c>
      <c r="B2603" s="9">
        <v>22.51</v>
      </c>
    </row>
    <row r="2604" spans="1:2" x14ac:dyDescent="0.25">
      <c r="A2604" s="8">
        <v>40165</v>
      </c>
      <c r="B2604" s="9">
        <v>21.68</v>
      </c>
    </row>
    <row r="2605" spans="1:2" x14ac:dyDescent="0.25">
      <c r="A2605" s="8">
        <v>40168</v>
      </c>
      <c r="B2605" s="9">
        <v>20.49</v>
      </c>
    </row>
    <row r="2606" spans="1:2" x14ac:dyDescent="0.25">
      <c r="A2606" s="8">
        <v>40169</v>
      </c>
      <c r="B2606" s="9">
        <v>19.54</v>
      </c>
    </row>
    <row r="2607" spans="1:2" x14ac:dyDescent="0.25">
      <c r="A2607" s="8">
        <v>40170</v>
      </c>
      <c r="B2607" s="9">
        <v>19.71</v>
      </c>
    </row>
    <row r="2608" spans="1:2" x14ac:dyDescent="0.25">
      <c r="A2608" s="8">
        <v>40171</v>
      </c>
      <c r="B2608" s="9">
        <v>19.47</v>
      </c>
    </row>
    <row r="2609" spans="1:2" x14ac:dyDescent="0.25">
      <c r="A2609" s="8">
        <v>40172</v>
      </c>
    </row>
    <row r="2610" spans="1:2" x14ac:dyDescent="0.25">
      <c r="A2610" s="8">
        <v>40175</v>
      </c>
      <c r="B2610" s="9">
        <v>19.93</v>
      </c>
    </row>
    <row r="2611" spans="1:2" x14ac:dyDescent="0.25">
      <c r="A2611" s="8">
        <v>40176</v>
      </c>
      <c r="B2611" s="9">
        <v>20.010000000000002</v>
      </c>
    </row>
    <row r="2612" spans="1:2" x14ac:dyDescent="0.25">
      <c r="A2612" s="8">
        <v>40177</v>
      </c>
      <c r="B2612" s="9">
        <v>19.96</v>
      </c>
    </row>
    <row r="2613" spans="1:2" x14ac:dyDescent="0.25">
      <c r="A2613" s="8">
        <v>40178</v>
      </c>
      <c r="B2613" s="9">
        <v>21.68</v>
      </c>
    </row>
    <row r="2614" spans="1:2" x14ac:dyDescent="0.25">
      <c r="A2614" s="8">
        <v>40179</v>
      </c>
    </row>
    <row r="2615" spans="1:2" x14ac:dyDescent="0.25">
      <c r="A2615" s="8">
        <v>40182</v>
      </c>
      <c r="B2615" s="9">
        <v>20.04</v>
      </c>
    </row>
    <row r="2616" spans="1:2" x14ac:dyDescent="0.25">
      <c r="A2616" s="8">
        <v>40183</v>
      </c>
      <c r="B2616" s="9">
        <v>19.350000000000001</v>
      </c>
    </row>
    <row r="2617" spans="1:2" x14ac:dyDescent="0.25">
      <c r="A2617" s="8">
        <v>40184</v>
      </c>
      <c r="B2617" s="9">
        <v>19.16</v>
      </c>
    </row>
    <row r="2618" spans="1:2" x14ac:dyDescent="0.25">
      <c r="A2618" s="8">
        <v>40185</v>
      </c>
      <c r="B2618" s="9">
        <v>19.059999999999999</v>
      </c>
    </row>
    <row r="2619" spans="1:2" x14ac:dyDescent="0.25">
      <c r="A2619" s="8">
        <v>40186</v>
      </c>
      <c r="B2619" s="9">
        <v>18.13</v>
      </c>
    </row>
    <row r="2620" spans="1:2" x14ac:dyDescent="0.25">
      <c r="A2620" s="8">
        <v>40189</v>
      </c>
      <c r="B2620" s="9">
        <v>17.55</v>
      </c>
    </row>
    <row r="2621" spans="1:2" x14ac:dyDescent="0.25">
      <c r="A2621" s="8">
        <v>40190</v>
      </c>
      <c r="B2621" s="9">
        <v>18.25</v>
      </c>
    </row>
    <row r="2622" spans="1:2" x14ac:dyDescent="0.25">
      <c r="A2622" s="8">
        <v>40191</v>
      </c>
      <c r="B2622" s="9">
        <v>17.850000000000001</v>
      </c>
    </row>
    <row r="2623" spans="1:2" x14ac:dyDescent="0.25">
      <c r="A2623" s="8">
        <v>40192</v>
      </c>
      <c r="B2623" s="9">
        <v>17.63</v>
      </c>
    </row>
    <row r="2624" spans="1:2" x14ac:dyDescent="0.25">
      <c r="A2624" s="8">
        <v>40193</v>
      </c>
      <c r="B2624" s="9">
        <v>17.91</v>
      </c>
    </row>
    <row r="2625" spans="1:2" x14ac:dyDescent="0.25">
      <c r="A2625" s="8">
        <v>40196</v>
      </c>
    </row>
    <row r="2626" spans="1:2" x14ac:dyDescent="0.25">
      <c r="A2626" s="8">
        <v>40197</v>
      </c>
      <c r="B2626" s="9">
        <v>17.579999999999998</v>
      </c>
    </row>
    <row r="2627" spans="1:2" x14ac:dyDescent="0.25">
      <c r="A2627" s="8">
        <v>40198</v>
      </c>
      <c r="B2627" s="9">
        <v>18.68</v>
      </c>
    </row>
    <row r="2628" spans="1:2" x14ac:dyDescent="0.25">
      <c r="A2628" s="8">
        <v>40199</v>
      </c>
      <c r="B2628" s="9">
        <v>22.27</v>
      </c>
    </row>
    <row r="2629" spans="1:2" x14ac:dyDescent="0.25">
      <c r="A2629" s="8">
        <v>40200</v>
      </c>
      <c r="B2629" s="9">
        <v>27.31</v>
      </c>
    </row>
    <row r="2630" spans="1:2" x14ac:dyDescent="0.25">
      <c r="A2630" s="8">
        <v>40203</v>
      </c>
      <c r="B2630" s="9">
        <v>25.41</v>
      </c>
    </row>
    <row r="2631" spans="1:2" x14ac:dyDescent="0.25">
      <c r="A2631" s="8">
        <v>40204</v>
      </c>
      <c r="B2631" s="9">
        <v>24.55</v>
      </c>
    </row>
    <row r="2632" spans="1:2" x14ac:dyDescent="0.25">
      <c r="A2632" s="8">
        <v>40205</v>
      </c>
      <c r="B2632" s="9">
        <v>23.14</v>
      </c>
    </row>
    <row r="2633" spans="1:2" x14ac:dyDescent="0.25">
      <c r="A2633" s="8">
        <v>40206</v>
      </c>
      <c r="B2633" s="9">
        <v>23.73</v>
      </c>
    </row>
    <row r="2634" spans="1:2" x14ac:dyDescent="0.25">
      <c r="A2634" s="8">
        <v>40207</v>
      </c>
      <c r="B2634" s="9">
        <v>24.62</v>
      </c>
    </row>
    <row r="2635" spans="1:2" x14ac:dyDescent="0.25">
      <c r="A2635" s="8">
        <v>40210</v>
      </c>
      <c r="B2635" s="9">
        <v>22.59</v>
      </c>
    </row>
    <row r="2636" spans="1:2" x14ac:dyDescent="0.25">
      <c r="A2636" s="8">
        <v>40211</v>
      </c>
      <c r="B2636" s="9">
        <v>21.48</v>
      </c>
    </row>
    <row r="2637" spans="1:2" x14ac:dyDescent="0.25">
      <c r="A2637" s="8">
        <v>40212</v>
      </c>
      <c r="B2637" s="9">
        <v>21.6</v>
      </c>
    </row>
    <row r="2638" spans="1:2" x14ac:dyDescent="0.25">
      <c r="A2638" s="8">
        <v>40213</v>
      </c>
      <c r="B2638" s="9">
        <v>26.08</v>
      </c>
    </row>
    <row r="2639" spans="1:2" x14ac:dyDescent="0.25">
      <c r="A2639" s="8">
        <v>40214</v>
      </c>
      <c r="B2639" s="9">
        <v>26.11</v>
      </c>
    </row>
    <row r="2640" spans="1:2" x14ac:dyDescent="0.25">
      <c r="A2640" s="8">
        <v>40217</v>
      </c>
      <c r="B2640" s="9">
        <v>26.51</v>
      </c>
    </row>
    <row r="2641" spans="1:2" x14ac:dyDescent="0.25">
      <c r="A2641" s="8">
        <v>40218</v>
      </c>
      <c r="B2641" s="9">
        <v>26</v>
      </c>
    </row>
    <row r="2642" spans="1:2" x14ac:dyDescent="0.25">
      <c r="A2642" s="8">
        <v>40219</v>
      </c>
      <c r="B2642" s="9">
        <v>25.4</v>
      </c>
    </row>
    <row r="2643" spans="1:2" x14ac:dyDescent="0.25">
      <c r="A2643" s="8">
        <v>40220</v>
      </c>
      <c r="B2643" s="9">
        <v>23.96</v>
      </c>
    </row>
    <row r="2644" spans="1:2" x14ac:dyDescent="0.25">
      <c r="A2644" s="8">
        <v>40221</v>
      </c>
      <c r="B2644" s="9">
        <v>22.73</v>
      </c>
    </row>
    <row r="2645" spans="1:2" x14ac:dyDescent="0.25">
      <c r="A2645" s="8">
        <v>40224</v>
      </c>
    </row>
    <row r="2646" spans="1:2" x14ac:dyDescent="0.25">
      <c r="A2646" s="8">
        <v>40225</v>
      </c>
      <c r="B2646" s="9">
        <v>22.25</v>
      </c>
    </row>
    <row r="2647" spans="1:2" x14ac:dyDescent="0.25">
      <c r="A2647" s="8">
        <v>40226</v>
      </c>
      <c r="B2647" s="9">
        <v>21.72</v>
      </c>
    </row>
    <row r="2648" spans="1:2" x14ac:dyDescent="0.25">
      <c r="A2648" s="8">
        <v>40227</v>
      </c>
      <c r="B2648" s="9">
        <v>20.63</v>
      </c>
    </row>
    <row r="2649" spans="1:2" x14ac:dyDescent="0.25">
      <c r="A2649" s="8">
        <v>40228</v>
      </c>
      <c r="B2649" s="9">
        <v>20.02</v>
      </c>
    </row>
    <row r="2650" spans="1:2" x14ac:dyDescent="0.25">
      <c r="A2650" s="8">
        <v>40231</v>
      </c>
      <c r="B2650" s="9">
        <v>19.940000000000001</v>
      </c>
    </row>
    <row r="2651" spans="1:2" x14ac:dyDescent="0.25">
      <c r="A2651" s="8">
        <v>40232</v>
      </c>
      <c r="B2651" s="9">
        <v>21.37</v>
      </c>
    </row>
    <row r="2652" spans="1:2" x14ac:dyDescent="0.25">
      <c r="A2652" s="8">
        <v>40233</v>
      </c>
      <c r="B2652" s="9">
        <v>20.27</v>
      </c>
    </row>
    <row r="2653" spans="1:2" x14ac:dyDescent="0.25">
      <c r="A2653" s="8">
        <v>40234</v>
      </c>
      <c r="B2653" s="9">
        <v>20.100000000000001</v>
      </c>
    </row>
    <row r="2654" spans="1:2" x14ac:dyDescent="0.25">
      <c r="A2654" s="8">
        <v>40235</v>
      </c>
      <c r="B2654" s="9">
        <v>19.5</v>
      </c>
    </row>
    <row r="2655" spans="1:2" x14ac:dyDescent="0.25">
      <c r="A2655" s="8">
        <v>40238</v>
      </c>
      <c r="B2655" s="9">
        <v>19.260000000000002</v>
      </c>
    </row>
    <row r="2656" spans="1:2" x14ac:dyDescent="0.25">
      <c r="A2656" s="8">
        <v>40239</v>
      </c>
      <c r="B2656" s="9">
        <v>19.059999999999999</v>
      </c>
    </row>
    <row r="2657" spans="1:2" x14ac:dyDescent="0.25">
      <c r="A2657" s="8">
        <v>40240</v>
      </c>
      <c r="B2657" s="9">
        <v>18.829999999999998</v>
      </c>
    </row>
    <row r="2658" spans="1:2" x14ac:dyDescent="0.25">
      <c r="A2658" s="8">
        <v>40241</v>
      </c>
      <c r="B2658" s="9">
        <v>18.72</v>
      </c>
    </row>
    <row r="2659" spans="1:2" x14ac:dyDescent="0.25">
      <c r="A2659" s="8">
        <v>40242</v>
      </c>
      <c r="B2659" s="9">
        <v>17.420000000000002</v>
      </c>
    </row>
    <row r="2660" spans="1:2" x14ac:dyDescent="0.25">
      <c r="A2660" s="8">
        <v>40245</v>
      </c>
      <c r="B2660" s="9">
        <v>17.79</v>
      </c>
    </row>
    <row r="2661" spans="1:2" x14ac:dyDescent="0.25">
      <c r="A2661" s="8">
        <v>40246</v>
      </c>
      <c r="B2661" s="9">
        <v>17.920000000000002</v>
      </c>
    </row>
    <row r="2662" spans="1:2" x14ac:dyDescent="0.25">
      <c r="A2662" s="8">
        <v>40247</v>
      </c>
      <c r="B2662" s="9">
        <v>18.57</v>
      </c>
    </row>
    <row r="2663" spans="1:2" x14ac:dyDescent="0.25">
      <c r="A2663" s="8">
        <v>40248</v>
      </c>
      <c r="B2663" s="9">
        <v>18.059999999999999</v>
      </c>
    </row>
    <row r="2664" spans="1:2" x14ac:dyDescent="0.25">
      <c r="A2664" s="8">
        <v>40249</v>
      </c>
      <c r="B2664" s="9">
        <v>17.579999999999998</v>
      </c>
    </row>
    <row r="2665" spans="1:2" x14ac:dyDescent="0.25">
      <c r="A2665" s="8">
        <v>40252</v>
      </c>
      <c r="B2665" s="9">
        <v>18</v>
      </c>
    </row>
    <row r="2666" spans="1:2" x14ac:dyDescent="0.25">
      <c r="A2666" s="8">
        <v>40253</v>
      </c>
      <c r="B2666" s="9">
        <v>17.690000000000001</v>
      </c>
    </row>
    <row r="2667" spans="1:2" x14ac:dyDescent="0.25">
      <c r="A2667" s="8">
        <v>40254</v>
      </c>
      <c r="B2667" s="9">
        <v>16.91</v>
      </c>
    </row>
    <row r="2668" spans="1:2" x14ac:dyDescent="0.25">
      <c r="A2668" s="8">
        <v>40255</v>
      </c>
      <c r="B2668" s="9">
        <v>16.62</v>
      </c>
    </row>
    <row r="2669" spans="1:2" x14ac:dyDescent="0.25">
      <c r="A2669" s="8">
        <v>40256</v>
      </c>
      <c r="B2669" s="9">
        <v>16.97</v>
      </c>
    </row>
    <row r="2670" spans="1:2" x14ac:dyDescent="0.25">
      <c r="A2670" s="8">
        <v>40259</v>
      </c>
      <c r="B2670" s="9">
        <v>16.87</v>
      </c>
    </row>
    <row r="2671" spans="1:2" x14ac:dyDescent="0.25">
      <c r="A2671" s="8">
        <v>40260</v>
      </c>
      <c r="B2671" s="9">
        <v>16.350000000000001</v>
      </c>
    </row>
    <row r="2672" spans="1:2" x14ac:dyDescent="0.25">
      <c r="A2672" s="8">
        <v>40261</v>
      </c>
      <c r="B2672" s="9">
        <v>17.55</v>
      </c>
    </row>
    <row r="2673" spans="1:2" x14ac:dyDescent="0.25">
      <c r="A2673" s="8">
        <v>40262</v>
      </c>
      <c r="B2673" s="9">
        <v>18.399999999999999</v>
      </c>
    </row>
    <row r="2674" spans="1:2" x14ac:dyDescent="0.25">
      <c r="A2674" s="8">
        <v>40263</v>
      </c>
      <c r="B2674" s="9">
        <v>17.77</v>
      </c>
    </row>
    <row r="2675" spans="1:2" x14ac:dyDescent="0.25">
      <c r="A2675" s="8">
        <v>40266</v>
      </c>
      <c r="B2675" s="9">
        <v>17.59</v>
      </c>
    </row>
    <row r="2676" spans="1:2" x14ac:dyDescent="0.25">
      <c r="A2676" s="8">
        <v>40267</v>
      </c>
      <c r="B2676" s="9">
        <v>17.13</v>
      </c>
    </row>
    <row r="2677" spans="1:2" x14ac:dyDescent="0.25">
      <c r="A2677" s="8">
        <v>40268</v>
      </c>
      <c r="B2677" s="9">
        <v>17.59</v>
      </c>
    </row>
    <row r="2678" spans="1:2" x14ac:dyDescent="0.25">
      <c r="A2678" s="8">
        <v>40269</v>
      </c>
      <c r="B2678" s="9">
        <v>17.47</v>
      </c>
    </row>
    <row r="2679" spans="1:2" x14ac:dyDescent="0.25">
      <c r="A2679" s="8">
        <v>40270</v>
      </c>
    </row>
    <row r="2680" spans="1:2" x14ac:dyDescent="0.25">
      <c r="A2680" s="8">
        <v>40273</v>
      </c>
      <c r="B2680" s="9">
        <v>17.02</v>
      </c>
    </row>
    <row r="2681" spans="1:2" x14ac:dyDescent="0.25">
      <c r="A2681" s="8">
        <v>40274</v>
      </c>
      <c r="B2681" s="9">
        <v>16.23</v>
      </c>
    </row>
    <row r="2682" spans="1:2" x14ac:dyDescent="0.25">
      <c r="A2682" s="8">
        <v>40275</v>
      </c>
      <c r="B2682" s="9">
        <v>16.62</v>
      </c>
    </row>
    <row r="2683" spans="1:2" x14ac:dyDescent="0.25">
      <c r="A2683" s="8">
        <v>40276</v>
      </c>
      <c r="B2683" s="9">
        <v>16.48</v>
      </c>
    </row>
    <row r="2684" spans="1:2" x14ac:dyDescent="0.25">
      <c r="A2684" s="8">
        <v>40277</v>
      </c>
      <c r="B2684" s="9">
        <v>16.14</v>
      </c>
    </row>
    <row r="2685" spans="1:2" x14ac:dyDescent="0.25">
      <c r="A2685" s="8">
        <v>40280</v>
      </c>
      <c r="B2685" s="9">
        <v>15.58</v>
      </c>
    </row>
    <row r="2686" spans="1:2" x14ac:dyDescent="0.25">
      <c r="A2686" s="8">
        <v>40281</v>
      </c>
      <c r="B2686" s="9">
        <v>16.2</v>
      </c>
    </row>
    <row r="2687" spans="1:2" x14ac:dyDescent="0.25">
      <c r="A2687" s="8">
        <v>40282</v>
      </c>
      <c r="B2687" s="9">
        <v>15.59</v>
      </c>
    </row>
    <row r="2688" spans="1:2" x14ac:dyDescent="0.25">
      <c r="A2688" s="8">
        <v>40283</v>
      </c>
      <c r="B2688" s="9">
        <v>15.89</v>
      </c>
    </row>
    <row r="2689" spans="1:2" x14ac:dyDescent="0.25">
      <c r="A2689" s="8">
        <v>40284</v>
      </c>
      <c r="B2689" s="9">
        <v>18.36</v>
      </c>
    </row>
    <row r="2690" spans="1:2" x14ac:dyDescent="0.25">
      <c r="A2690" s="8">
        <v>40287</v>
      </c>
      <c r="B2690" s="9">
        <v>17.34</v>
      </c>
    </row>
    <row r="2691" spans="1:2" x14ac:dyDescent="0.25">
      <c r="A2691" s="8">
        <v>40288</v>
      </c>
      <c r="B2691" s="9">
        <v>15.73</v>
      </c>
    </row>
    <row r="2692" spans="1:2" x14ac:dyDescent="0.25">
      <c r="A2692" s="8">
        <v>40289</v>
      </c>
      <c r="B2692" s="9">
        <v>16.32</v>
      </c>
    </row>
    <row r="2693" spans="1:2" x14ac:dyDescent="0.25">
      <c r="A2693" s="8">
        <v>40290</v>
      </c>
      <c r="B2693" s="9">
        <v>16.47</v>
      </c>
    </row>
    <row r="2694" spans="1:2" x14ac:dyDescent="0.25">
      <c r="A2694" s="8">
        <v>40291</v>
      </c>
      <c r="B2694" s="9">
        <v>16.62</v>
      </c>
    </row>
    <row r="2695" spans="1:2" x14ac:dyDescent="0.25">
      <c r="A2695" s="8">
        <v>40294</v>
      </c>
      <c r="B2695" s="9">
        <v>17.47</v>
      </c>
    </row>
    <row r="2696" spans="1:2" x14ac:dyDescent="0.25">
      <c r="A2696" s="8">
        <v>40295</v>
      </c>
      <c r="B2696" s="9">
        <v>22.81</v>
      </c>
    </row>
    <row r="2697" spans="1:2" x14ac:dyDescent="0.25">
      <c r="A2697" s="8">
        <v>40296</v>
      </c>
      <c r="B2697" s="9">
        <v>21.08</v>
      </c>
    </row>
    <row r="2698" spans="1:2" x14ac:dyDescent="0.25">
      <c r="A2698" s="8">
        <v>40297</v>
      </c>
      <c r="B2698" s="9">
        <v>18.440000000000001</v>
      </c>
    </row>
    <row r="2699" spans="1:2" x14ac:dyDescent="0.25">
      <c r="A2699" s="8">
        <v>40298</v>
      </c>
      <c r="B2699" s="9">
        <v>22.05</v>
      </c>
    </row>
    <row r="2700" spans="1:2" x14ac:dyDescent="0.25">
      <c r="A2700" s="8">
        <v>40301</v>
      </c>
      <c r="B2700" s="9">
        <v>20.190000000000001</v>
      </c>
    </row>
    <row r="2701" spans="1:2" x14ac:dyDescent="0.25">
      <c r="A2701" s="8">
        <v>40302</v>
      </c>
      <c r="B2701" s="9">
        <v>23.84</v>
      </c>
    </row>
    <row r="2702" spans="1:2" x14ac:dyDescent="0.25">
      <c r="A2702" s="8">
        <v>40303</v>
      </c>
      <c r="B2702" s="9">
        <v>24.91</v>
      </c>
    </row>
    <row r="2703" spans="1:2" x14ac:dyDescent="0.25">
      <c r="A2703" s="8">
        <v>40304</v>
      </c>
      <c r="B2703" s="9">
        <v>32.799999999999997</v>
      </c>
    </row>
    <row r="2704" spans="1:2" x14ac:dyDescent="0.25">
      <c r="A2704" s="8">
        <v>40305</v>
      </c>
      <c r="B2704" s="9">
        <v>40.950000000000003</v>
      </c>
    </row>
    <row r="2705" spans="1:2" x14ac:dyDescent="0.25">
      <c r="A2705" s="8">
        <v>40308</v>
      </c>
      <c r="B2705" s="9">
        <v>28.84</v>
      </c>
    </row>
    <row r="2706" spans="1:2" x14ac:dyDescent="0.25">
      <c r="A2706" s="8">
        <v>40309</v>
      </c>
      <c r="B2706" s="9">
        <v>28.32</v>
      </c>
    </row>
    <row r="2707" spans="1:2" x14ac:dyDescent="0.25">
      <c r="A2707" s="8">
        <v>40310</v>
      </c>
      <c r="B2707" s="9">
        <v>25.52</v>
      </c>
    </row>
    <row r="2708" spans="1:2" x14ac:dyDescent="0.25">
      <c r="A2708" s="8">
        <v>40311</v>
      </c>
      <c r="B2708" s="9">
        <v>26.68</v>
      </c>
    </row>
    <row r="2709" spans="1:2" x14ac:dyDescent="0.25">
      <c r="A2709" s="8">
        <v>40312</v>
      </c>
      <c r="B2709" s="9">
        <v>31.24</v>
      </c>
    </row>
    <row r="2710" spans="1:2" x14ac:dyDescent="0.25">
      <c r="A2710" s="8">
        <v>40315</v>
      </c>
      <c r="B2710" s="9">
        <v>30.84</v>
      </c>
    </row>
    <row r="2711" spans="1:2" x14ac:dyDescent="0.25">
      <c r="A2711" s="8">
        <v>40316</v>
      </c>
      <c r="B2711" s="9">
        <v>33.549999999999997</v>
      </c>
    </row>
    <row r="2712" spans="1:2" x14ac:dyDescent="0.25">
      <c r="A2712" s="8">
        <v>40317</v>
      </c>
      <c r="B2712" s="9">
        <v>35.32</v>
      </c>
    </row>
    <row r="2713" spans="1:2" x14ac:dyDescent="0.25">
      <c r="A2713" s="8">
        <v>40318</v>
      </c>
      <c r="B2713" s="9">
        <v>45.79</v>
      </c>
    </row>
    <row r="2714" spans="1:2" x14ac:dyDescent="0.25">
      <c r="A2714" s="8">
        <v>40319</v>
      </c>
      <c r="B2714" s="9">
        <v>40.1</v>
      </c>
    </row>
    <row r="2715" spans="1:2" x14ac:dyDescent="0.25">
      <c r="A2715" s="8">
        <v>40322</v>
      </c>
      <c r="B2715" s="9">
        <v>38.32</v>
      </c>
    </row>
    <row r="2716" spans="1:2" x14ac:dyDescent="0.25">
      <c r="A2716" s="8">
        <v>40323</v>
      </c>
      <c r="B2716" s="9">
        <v>34.61</v>
      </c>
    </row>
    <row r="2717" spans="1:2" x14ac:dyDescent="0.25">
      <c r="A2717" s="8">
        <v>40324</v>
      </c>
      <c r="B2717" s="9">
        <v>35.020000000000003</v>
      </c>
    </row>
    <row r="2718" spans="1:2" x14ac:dyDescent="0.25">
      <c r="A2718" s="8">
        <v>40325</v>
      </c>
      <c r="B2718" s="9">
        <v>29.68</v>
      </c>
    </row>
    <row r="2719" spans="1:2" x14ac:dyDescent="0.25">
      <c r="A2719" s="8">
        <v>40326</v>
      </c>
      <c r="B2719" s="9">
        <v>32.07</v>
      </c>
    </row>
    <row r="2720" spans="1:2" x14ac:dyDescent="0.25">
      <c r="A2720" s="8">
        <v>40329</v>
      </c>
    </row>
    <row r="2721" spans="1:2" x14ac:dyDescent="0.25">
      <c r="A2721" s="8">
        <v>40330</v>
      </c>
      <c r="B2721" s="9">
        <v>35.54</v>
      </c>
    </row>
    <row r="2722" spans="1:2" x14ac:dyDescent="0.25">
      <c r="A2722" s="8">
        <v>40331</v>
      </c>
      <c r="B2722" s="9">
        <v>30.17</v>
      </c>
    </row>
    <row r="2723" spans="1:2" x14ac:dyDescent="0.25">
      <c r="A2723" s="8">
        <v>40332</v>
      </c>
      <c r="B2723" s="9">
        <v>29.46</v>
      </c>
    </row>
    <row r="2724" spans="1:2" x14ac:dyDescent="0.25">
      <c r="A2724" s="8">
        <v>40333</v>
      </c>
      <c r="B2724" s="9">
        <v>35.479999999999997</v>
      </c>
    </row>
    <row r="2725" spans="1:2" x14ac:dyDescent="0.25">
      <c r="A2725" s="8">
        <v>40336</v>
      </c>
      <c r="B2725" s="9">
        <v>36.57</v>
      </c>
    </row>
    <row r="2726" spans="1:2" x14ac:dyDescent="0.25">
      <c r="A2726" s="8">
        <v>40337</v>
      </c>
      <c r="B2726" s="9">
        <v>33.700000000000003</v>
      </c>
    </row>
    <row r="2727" spans="1:2" x14ac:dyDescent="0.25">
      <c r="A2727" s="8">
        <v>40338</v>
      </c>
      <c r="B2727" s="9">
        <v>33.729999999999997</v>
      </c>
    </row>
    <row r="2728" spans="1:2" x14ac:dyDescent="0.25">
      <c r="A2728" s="8">
        <v>40339</v>
      </c>
      <c r="B2728" s="9">
        <v>30.57</v>
      </c>
    </row>
    <row r="2729" spans="1:2" x14ac:dyDescent="0.25">
      <c r="A2729" s="8">
        <v>40340</v>
      </c>
      <c r="B2729" s="9">
        <v>28.79</v>
      </c>
    </row>
    <row r="2730" spans="1:2" x14ac:dyDescent="0.25">
      <c r="A2730" s="8">
        <v>40343</v>
      </c>
      <c r="B2730" s="9">
        <v>28.58</v>
      </c>
    </row>
    <row r="2731" spans="1:2" x14ac:dyDescent="0.25">
      <c r="A2731" s="8">
        <v>40344</v>
      </c>
      <c r="B2731" s="9">
        <v>25.87</v>
      </c>
    </row>
    <row r="2732" spans="1:2" x14ac:dyDescent="0.25">
      <c r="A2732" s="8">
        <v>40345</v>
      </c>
      <c r="B2732" s="9">
        <v>25.92</v>
      </c>
    </row>
    <row r="2733" spans="1:2" x14ac:dyDescent="0.25">
      <c r="A2733" s="8">
        <v>40346</v>
      </c>
      <c r="B2733" s="9">
        <v>25.05</v>
      </c>
    </row>
    <row r="2734" spans="1:2" x14ac:dyDescent="0.25">
      <c r="A2734" s="8">
        <v>40347</v>
      </c>
      <c r="B2734" s="9">
        <v>23.95</v>
      </c>
    </row>
    <row r="2735" spans="1:2" x14ac:dyDescent="0.25">
      <c r="A2735" s="8">
        <v>40350</v>
      </c>
      <c r="B2735" s="9">
        <v>24.88</v>
      </c>
    </row>
    <row r="2736" spans="1:2" x14ac:dyDescent="0.25">
      <c r="A2736" s="8">
        <v>40351</v>
      </c>
      <c r="B2736" s="9">
        <v>27.05</v>
      </c>
    </row>
    <row r="2737" spans="1:2" x14ac:dyDescent="0.25">
      <c r="A2737" s="8">
        <v>40352</v>
      </c>
      <c r="B2737" s="9">
        <v>26.91</v>
      </c>
    </row>
    <row r="2738" spans="1:2" x14ac:dyDescent="0.25">
      <c r="A2738" s="8">
        <v>40353</v>
      </c>
      <c r="B2738" s="9">
        <v>29.74</v>
      </c>
    </row>
    <row r="2739" spans="1:2" x14ac:dyDescent="0.25">
      <c r="A2739" s="8">
        <v>40354</v>
      </c>
      <c r="B2739" s="9">
        <v>28.53</v>
      </c>
    </row>
    <row r="2740" spans="1:2" x14ac:dyDescent="0.25">
      <c r="A2740" s="8">
        <v>40357</v>
      </c>
      <c r="B2740" s="9">
        <v>29</v>
      </c>
    </row>
    <row r="2741" spans="1:2" x14ac:dyDescent="0.25">
      <c r="A2741" s="8">
        <v>40358</v>
      </c>
      <c r="B2741" s="9">
        <v>34.130000000000003</v>
      </c>
    </row>
    <row r="2742" spans="1:2" x14ac:dyDescent="0.25">
      <c r="A2742" s="8">
        <v>40359</v>
      </c>
      <c r="B2742" s="9">
        <v>34.54</v>
      </c>
    </row>
    <row r="2743" spans="1:2" x14ac:dyDescent="0.25">
      <c r="A2743" s="8">
        <v>40360</v>
      </c>
      <c r="B2743" s="9">
        <v>32.86</v>
      </c>
    </row>
    <row r="2744" spans="1:2" x14ac:dyDescent="0.25">
      <c r="A2744" s="8">
        <v>40361</v>
      </c>
      <c r="B2744" s="9">
        <v>30.12</v>
      </c>
    </row>
    <row r="2745" spans="1:2" x14ac:dyDescent="0.25">
      <c r="A2745" s="8">
        <v>40364</v>
      </c>
    </row>
    <row r="2746" spans="1:2" x14ac:dyDescent="0.25">
      <c r="A2746" s="8">
        <v>40365</v>
      </c>
      <c r="B2746" s="9">
        <v>29.65</v>
      </c>
    </row>
    <row r="2747" spans="1:2" x14ac:dyDescent="0.25">
      <c r="A2747" s="8">
        <v>40366</v>
      </c>
      <c r="B2747" s="9">
        <v>26.84</v>
      </c>
    </row>
    <row r="2748" spans="1:2" x14ac:dyDescent="0.25">
      <c r="A2748" s="8">
        <v>40367</v>
      </c>
      <c r="B2748" s="9">
        <v>25.71</v>
      </c>
    </row>
    <row r="2749" spans="1:2" x14ac:dyDescent="0.25">
      <c r="A2749" s="8">
        <v>40368</v>
      </c>
      <c r="B2749" s="9">
        <v>24.98</v>
      </c>
    </row>
    <row r="2750" spans="1:2" x14ac:dyDescent="0.25">
      <c r="A2750" s="8">
        <v>40371</v>
      </c>
      <c r="B2750" s="9">
        <v>24.43</v>
      </c>
    </row>
    <row r="2751" spans="1:2" x14ac:dyDescent="0.25">
      <c r="A2751" s="8">
        <v>40372</v>
      </c>
      <c r="B2751" s="9">
        <v>24.56</v>
      </c>
    </row>
    <row r="2752" spans="1:2" x14ac:dyDescent="0.25">
      <c r="A2752" s="8">
        <v>40373</v>
      </c>
      <c r="B2752" s="9">
        <v>24.89</v>
      </c>
    </row>
    <row r="2753" spans="1:2" x14ac:dyDescent="0.25">
      <c r="A2753" s="8">
        <v>40374</v>
      </c>
      <c r="B2753" s="9">
        <v>25.14</v>
      </c>
    </row>
    <row r="2754" spans="1:2" x14ac:dyDescent="0.25">
      <c r="A2754" s="8">
        <v>40375</v>
      </c>
      <c r="B2754" s="9">
        <v>26.25</v>
      </c>
    </row>
    <row r="2755" spans="1:2" x14ac:dyDescent="0.25">
      <c r="A2755" s="8">
        <v>40378</v>
      </c>
      <c r="B2755" s="9">
        <v>25.97</v>
      </c>
    </row>
    <row r="2756" spans="1:2" x14ac:dyDescent="0.25">
      <c r="A2756" s="8">
        <v>40379</v>
      </c>
      <c r="B2756" s="9">
        <v>23.93</v>
      </c>
    </row>
    <row r="2757" spans="1:2" x14ac:dyDescent="0.25">
      <c r="A2757" s="8">
        <v>40380</v>
      </c>
      <c r="B2757" s="9">
        <v>25.64</v>
      </c>
    </row>
    <row r="2758" spans="1:2" x14ac:dyDescent="0.25">
      <c r="A2758" s="8">
        <v>40381</v>
      </c>
      <c r="B2758" s="9">
        <v>24.63</v>
      </c>
    </row>
    <row r="2759" spans="1:2" x14ac:dyDescent="0.25">
      <c r="A2759" s="8">
        <v>40382</v>
      </c>
      <c r="B2759" s="9">
        <v>23.47</v>
      </c>
    </row>
    <row r="2760" spans="1:2" x14ac:dyDescent="0.25">
      <c r="A2760" s="8">
        <v>40385</v>
      </c>
      <c r="B2760" s="9">
        <v>22.73</v>
      </c>
    </row>
    <row r="2761" spans="1:2" x14ac:dyDescent="0.25">
      <c r="A2761" s="8">
        <v>40386</v>
      </c>
      <c r="B2761" s="9">
        <v>23.19</v>
      </c>
    </row>
    <row r="2762" spans="1:2" x14ac:dyDescent="0.25">
      <c r="A2762" s="8">
        <v>40387</v>
      </c>
      <c r="B2762" s="9">
        <v>24.25</v>
      </c>
    </row>
    <row r="2763" spans="1:2" x14ac:dyDescent="0.25">
      <c r="A2763" s="8">
        <v>40388</v>
      </c>
      <c r="B2763" s="9">
        <v>24.13</v>
      </c>
    </row>
    <row r="2764" spans="1:2" x14ac:dyDescent="0.25">
      <c r="A2764" s="8">
        <v>40389</v>
      </c>
      <c r="B2764" s="9">
        <v>23.5</v>
      </c>
    </row>
    <row r="2765" spans="1:2" x14ac:dyDescent="0.25">
      <c r="A2765" s="8">
        <v>40392</v>
      </c>
      <c r="B2765" s="9">
        <v>22.01</v>
      </c>
    </row>
    <row r="2766" spans="1:2" x14ac:dyDescent="0.25">
      <c r="A2766" s="8">
        <v>40393</v>
      </c>
      <c r="B2766" s="9">
        <v>22.63</v>
      </c>
    </row>
    <row r="2767" spans="1:2" x14ac:dyDescent="0.25">
      <c r="A2767" s="8">
        <v>40394</v>
      </c>
      <c r="B2767" s="9">
        <v>22.21</v>
      </c>
    </row>
    <row r="2768" spans="1:2" x14ac:dyDescent="0.25">
      <c r="A2768" s="8">
        <v>40395</v>
      </c>
      <c r="B2768" s="9">
        <v>22.1</v>
      </c>
    </row>
    <row r="2769" spans="1:2" x14ac:dyDescent="0.25">
      <c r="A2769" s="8">
        <v>40396</v>
      </c>
      <c r="B2769" s="9">
        <v>21.74</v>
      </c>
    </row>
    <row r="2770" spans="1:2" x14ac:dyDescent="0.25">
      <c r="A2770" s="8">
        <v>40399</v>
      </c>
      <c r="B2770" s="9">
        <v>22.14</v>
      </c>
    </row>
    <row r="2771" spans="1:2" x14ac:dyDescent="0.25">
      <c r="A2771" s="8">
        <v>40400</v>
      </c>
      <c r="B2771" s="9">
        <v>22.37</v>
      </c>
    </row>
    <row r="2772" spans="1:2" x14ac:dyDescent="0.25">
      <c r="A2772" s="8">
        <v>40401</v>
      </c>
      <c r="B2772" s="9">
        <v>25.39</v>
      </c>
    </row>
    <row r="2773" spans="1:2" x14ac:dyDescent="0.25">
      <c r="A2773" s="8">
        <v>40402</v>
      </c>
      <c r="B2773" s="9">
        <v>25.73</v>
      </c>
    </row>
    <row r="2774" spans="1:2" x14ac:dyDescent="0.25">
      <c r="A2774" s="8">
        <v>40403</v>
      </c>
      <c r="B2774" s="9">
        <v>26.24</v>
      </c>
    </row>
    <row r="2775" spans="1:2" x14ac:dyDescent="0.25">
      <c r="A2775" s="8">
        <v>40406</v>
      </c>
      <c r="B2775" s="9">
        <v>26.1</v>
      </c>
    </row>
    <row r="2776" spans="1:2" x14ac:dyDescent="0.25">
      <c r="A2776" s="8">
        <v>40407</v>
      </c>
      <c r="B2776" s="9">
        <v>24.33</v>
      </c>
    </row>
    <row r="2777" spans="1:2" x14ac:dyDescent="0.25">
      <c r="A2777" s="8">
        <v>40408</v>
      </c>
      <c r="B2777" s="9">
        <v>24.59</v>
      </c>
    </row>
    <row r="2778" spans="1:2" x14ac:dyDescent="0.25">
      <c r="A2778" s="8">
        <v>40409</v>
      </c>
      <c r="B2778" s="9">
        <v>26.44</v>
      </c>
    </row>
    <row r="2779" spans="1:2" x14ac:dyDescent="0.25">
      <c r="A2779" s="8">
        <v>40410</v>
      </c>
      <c r="B2779" s="9">
        <v>25.49</v>
      </c>
    </row>
    <row r="2780" spans="1:2" x14ac:dyDescent="0.25">
      <c r="A2780" s="8">
        <v>40413</v>
      </c>
      <c r="B2780" s="9">
        <v>25.66</v>
      </c>
    </row>
    <row r="2781" spans="1:2" x14ac:dyDescent="0.25">
      <c r="A2781" s="8">
        <v>40414</v>
      </c>
      <c r="B2781" s="9">
        <v>27.46</v>
      </c>
    </row>
    <row r="2782" spans="1:2" x14ac:dyDescent="0.25">
      <c r="A2782" s="8">
        <v>40415</v>
      </c>
      <c r="B2782" s="9">
        <v>26.7</v>
      </c>
    </row>
    <row r="2783" spans="1:2" x14ac:dyDescent="0.25">
      <c r="A2783" s="8">
        <v>40416</v>
      </c>
      <c r="B2783" s="9">
        <v>27.37</v>
      </c>
    </row>
    <row r="2784" spans="1:2" x14ac:dyDescent="0.25">
      <c r="A2784" s="8">
        <v>40417</v>
      </c>
      <c r="B2784" s="9">
        <v>24.45</v>
      </c>
    </row>
    <row r="2785" spans="1:2" x14ac:dyDescent="0.25">
      <c r="A2785" s="8">
        <v>40420</v>
      </c>
      <c r="B2785" s="9">
        <v>27.21</v>
      </c>
    </row>
    <row r="2786" spans="1:2" x14ac:dyDescent="0.25">
      <c r="A2786" s="8">
        <v>40421</v>
      </c>
      <c r="B2786" s="9">
        <v>26.05</v>
      </c>
    </row>
    <row r="2787" spans="1:2" x14ac:dyDescent="0.25">
      <c r="A2787" s="8">
        <v>40422</v>
      </c>
      <c r="B2787" s="9">
        <v>23.89</v>
      </c>
    </row>
    <row r="2788" spans="1:2" x14ac:dyDescent="0.25">
      <c r="A2788" s="8">
        <v>40423</v>
      </c>
      <c r="B2788" s="9">
        <v>23.19</v>
      </c>
    </row>
    <row r="2789" spans="1:2" x14ac:dyDescent="0.25">
      <c r="A2789" s="8">
        <v>40424</v>
      </c>
      <c r="B2789" s="9">
        <v>21.31</v>
      </c>
    </row>
    <row r="2790" spans="1:2" x14ac:dyDescent="0.25">
      <c r="A2790" s="8">
        <v>40427</v>
      </c>
    </row>
    <row r="2791" spans="1:2" x14ac:dyDescent="0.25">
      <c r="A2791" s="8">
        <v>40428</v>
      </c>
      <c r="B2791" s="9">
        <v>23.8</v>
      </c>
    </row>
    <row r="2792" spans="1:2" x14ac:dyDescent="0.25">
      <c r="A2792" s="8">
        <v>40429</v>
      </c>
      <c r="B2792" s="9">
        <v>23.25</v>
      </c>
    </row>
    <row r="2793" spans="1:2" x14ac:dyDescent="0.25">
      <c r="A2793" s="8">
        <v>40430</v>
      </c>
      <c r="B2793" s="9">
        <v>22.81</v>
      </c>
    </row>
    <row r="2794" spans="1:2" x14ac:dyDescent="0.25">
      <c r="A2794" s="8">
        <v>40431</v>
      </c>
      <c r="B2794" s="9">
        <v>21.99</v>
      </c>
    </row>
    <row r="2795" spans="1:2" x14ac:dyDescent="0.25">
      <c r="A2795" s="8">
        <v>40434</v>
      </c>
      <c r="B2795" s="9">
        <v>21.21</v>
      </c>
    </row>
    <row r="2796" spans="1:2" x14ac:dyDescent="0.25">
      <c r="A2796" s="8">
        <v>40435</v>
      </c>
      <c r="B2796" s="9">
        <v>21.56</v>
      </c>
    </row>
    <row r="2797" spans="1:2" x14ac:dyDescent="0.25">
      <c r="A2797" s="8">
        <v>40436</v>
      </c>
      <c r="B2797" s="9">
        <v>22.1</v>
      </c>
    </row>
    <row r="2798" spans="1:2" x14ac:dyDescent="0.25">
      <c r="A2798" s="8">
        <v>40437</v>
      </c>
      <c r="B2798" s="9">
        <v>21.72</v>
      </c>
    </row>
    <row r="2799" spans="1:2" x14ac:dyDescent="0.25">
      <c r="A2799" s="8">
        <v>40438</v>
      </c>
      <c r="B2799" s="9">
        <v>22.01</v>
      </c>
    </row>
    <row r="2800" spans="1:2" x14ac:dyDescent="0.25">
      <c r="A2800" s="8">
        <v>40441</v>
      </c>
      <c r="B2800" s="9">
        <v>21.5</v>
      </c>
    </row>
    <row r="2801" spans="1:2" x14ac:dyDescent="0.25">
      <c r="A2801" s="8">
        <v>40442</v>
      </c>
      <c r="B2801" s="9">
        <v>22.35</v>
      </c>
    </row>
    <row r="2802" spans="1:2" x14ac:dyDescent="0.25">
      <c r="A2802" s="8">
        <v>40443</v>
      </c>
      <c r="B2802" s="9">
        <v>22.51</v>
      </c>
    </row>
    <row r="2803" spans="1:2" x14ac:dyDescent="0.25">
      <c r="A2803" s="8">
        <v>40444</v>
      </c>
      <c r="B2803" s="9">
        <v>23.87</v>
      </c>
    </row>
    <row r="2804" spans="1:2" x14ac:dyDescent="0.25">
      <c r="A2804" s="8">
        <v>40445</v>
      </c>
      <c r="B2804" s="9">
        <v>21.71</v>
      </c>
    </row>
    <row r="2805" spans="1:2" x14ac:dyDescent="0.25">
      <c r="A2805" s="8">
        <v>40448</v>
      </c>
      <c r="B2805" s="9">
        <v>22.54</v>
      </c>
    </row>
    <row r="2806" spans="1:2" x14ac:dyDescent="0.25">
      <c r="A2806" s="8">
        <v>40449</v>
      </c>
      <c r="B2806" s="9">
        <v>22.6</v>
      </c>
    </row>
    <row r="2807" spans="1:2" x14ac:dyDescent="0.25">
      <c r="A2807" s="8">
        <v>40450</v>
      </c>
      <c r="B2807" s="9">
        <v>23.25</v>
      </c>
    </row>
    <row r="2808" spans="1:2" x14ac:dyDescent="0.25">
      <c r="A2808" s="8">
        <v>40451</v>
      </c>
      <c r="B2808" s="9">
        <v>23.7</v>
      </c>
    </row>
    <row r="2809" spans="1:2" x14ac:dyDescent="0.25">
      <c r="A2809" s="8">
        <v>40452</v>
      </c>
      <c r="B2809" s="9">
        <v>22.5</v>
      </c>
    </row>
    <row r="2810" spans="1:2" x14ac:dyDescent="0.25">
      <c r="A2810" s="8">
        <v>40455</v>
      </c>
      <c r="B2810" s="9">
        <v>23.53</v>
      </c>
    </row>
    <row r="2811" spans="1:2" x14ac:dyDescent="0.25">
      <c r="A2811" s="8">
        <v>40456</v>
      </c>
      <c r="B2811" s="9">
        <v>21.76</v>
      </c>
    </row>
    <row r="2812" spans="1:2" x14ac:dyDescent="0.25">
      <c r="A2812" s="8">
        <v>40457</v>
      </c>
      <c r="B2812" s="9">
        <v>21.49</v>
      </c>
    </row>
    <row r="2813" spans="1:2" x14ac:dyDescent="0.25">
      <c r="A2813" s="8">
        <v>40458</v>
      </c>
      <c r="B2813" s="9">
        <v>21.56</v>
      </c>
    </row>
    <row r="2814" spans="1:2" x14ac:dyDescent="0.25">
      <c r="A2814" s="8">
        <v>40459</v>
      </c>
      <c r="B2814" s="9">
        <v>20.71</v>
      </c>
    </row>
    <row r="2815" spans="1:2" x14ac:dyDescent="0.25">
      <c r="A2815" s="8">
        <v>40462</v>
      </c>
      <c r="B2815" s="9">
        <v>18.96</v>
      </c>
    </row>
    <row r="2816" spans="1:2" x14ac:dyDescent="0.25">
      <c r="A2816" s="8">
        <v>40463</v>
      </c>
      <c r="B2816" s="9">
        <v>18.93</v>
      </c>
    </row>
    <row r="2817" spans="1:2" x14ac:dyDescent="0.25">
      <c r="A2817" s="8">
        <v>40464</v>
      </c>
      <c r="B2817" s="9">
        <v>19.07</v>
      </c>
    </row>
    <row r="2818" spans="1:2" x14ac:dyDescent="0.25">
      <c r="A2818" s="8">
        <v>40465</v>
      </c>
      <c r="B2818" s="9">
        <v>19.88</v>
      </c>
    </row>
    <row r="2819" spans="1:2" x14ac:dyDescent="0.25">
      <c r="A2819" s="8">
        <v>40466</v>
      </c>
      <c r="B2819" s="9">
        <v>19.03</v>
      </c>
    </row>
    <row r="2820" spans="1:2" x14ac:dyDescent="0.25">
      <c r="A2820" s="8">
        <v>40469</v>
      </c>
      <c r="B2820" s="9">
        <v>19.09</v>
      </c>
    </row>
    <row r="2821" spans="1:2" x14ac:dyDescent="0.25">
      <c r="A2821" s="8">
        <v>40470</v>
      </c>
      <c r="B2821" s="9">
        <v>20.63</v>
      </c>
    </row>
    <row r="2822" spans="1:2" x14ac:dyDescent="0.25">
      <c r="A2822" s="8">
        <v>40471</v>
      </c>
      <c r="B2822" s="9">
        <v>19.79</v>
      </c>
    </row>
    <row r="2823" spans="1:2" x14ac:dyDescent="0.25">
      <c r="A2823" s="8">
        <v>40472</v>
      </c>
      <c r="B2823" s="9">
        <v>19.27</v>
      </c>
    </row>
    <row r="2824" spans="1:2" x14ac:dyDescent="0.25">
      <c r="A2824" s="8">
        <v>40473</v>
      </c>
      <c r="B2824" s="9">
        <v>18.78</v>
      </c>
    </row>
    <row r="2825" spans="1:2" x14ac:dyDescent="0.25">
      <c r="A2825" s="8">
        <v>40476</v>
      </c>
      <c r="B2825" s="9">
        <v>19.850000000000001</v>
      </c>
    </row>
    <row r="2826" spans="1:2" x14ac:dyDescent="0.25">
      <c r="A2826" s="8">
        <v>40477</v>
      </c>
      <c r="B2826" s="9">
        <v>20.22</v>
      </c>
    </row>
    <row r="2827" spans="1:2" x14ac:dyDescent="0.25">
      <c r="A2827" s="8">
        <v>40478</v>
      </c>
      <c r="B2827" s="9">
        <v>20.71</v>
      </c>
    </row>
    <row r="2828" spans="1:2" x14ac:dyDescent="0.25">
      <c r="A2828" s="8">
        <v>40479</v>
      </c>
      <c r="B2828" s="9">
        <v>20.88</v>
      </c>
    </row>
    <row r="2829" spans="1:2" x14ac:dyDescent="0.25">
      <c r="A2829" s="8">
        <v>40480</v>
      </c>
      <c r="B2829" s="9">
        <v>21.2</v>
      </c>
    </row>
    <row r="2830" spans="1:2" x14ac:dyDescent="0.25">
      <c r="A2830" s="8">
        <v>40483</v>
      </c>
      <c r="B2830" s="9">
        <v>21.83</v>
      </c>
    </row>
    <row r="2831" spans="1:2" x14ac:dyDescent="0.25">
      <c r="A2831" s="8">
        <v>40484</v>
      </c>
      <c r="B2831" s="9">
        <v>21.57</v>
      </c>
    </row>
    <row r="2832" spans="1:2" x14ac:dyDescent="0.25">
      <c r="A2832" s="8">
        <v>40485</v>
      </c>
      <c r="B2832" s="9">
        <v>19.559999999999999</v>
      </c>
    </row>
    <row r="2833" spans="1:2" x14ac:dyDescent="0.25">
      <c r="A2833" s="8">
        <v>40486</v>
      </c>
      <c r="B2833" s="9">
        <v>18.52</v>
      </c>
    </row>
    <row r="2834" spans="1:2" x14ac:dyDescent="0.25">
      <c r="A2834" s="8">
        <v>40487</v>
      </c>
      <c r="B2834" s="9">
        <v>18.260000000000002</v>
      </c>
    </row>
    <row r="2835" spans="1:2" x14ac:dyDescent="0.25">
      <c r="A2835" s="8">
        <v>40490</v>
      </c>
      <c r="B2835" s="9">
        <v>18.29</v>
      </c>
    </row>
    <row r="2836" spans="1:2" x14ac:dyDescent="0.25">
      <c r="A2836" s="8">
        <v>40491</v>
      </c>
      <c r="B2836" s="9">
        <v>19.079999999999998</v>
      </c>
    </row>
    <row r="2837" spans="1:2" x14ac:dyDescent="0.25">
      <c r="A2837" s="8">
        <v>40492</v>
      </c>
      <c r="B2837" s="9">
        <v>18.47</v>
      </c>
    </row>
    <row r="2838" spans="1:2" x14ac:dyDescent="0.25">
      <c r="A2838" s="8">
        <v>40493</v>
      </c>
      <c r="B2838" s="9">
        <v>18.64</v>
      </c>
    </row>
    <row r="2839" spans="1:2" x14ac:dyDescent="0.25">
      <c r="A2839" s="8">
        <v>40494</v>
      </c>
      <c r="B2839" s="9">
        <v>20.61</v>
      </c>
    </row>
    <row r="2840" spans="1:2" x14ac:dyDescent="0.25">
      <c r="A2840" s="8">
        <v>40497</v>
      </c>
      <c r="B2840" s="9">
        <v>20.2</v>
      </c>
    </row>
    <row r="2841" spans="1:2" x14ac:dyDescent="0.25">
      <c r="A2841" s="8">
        <v>40498</v>
      </c>
      <c r="B2841" s="9">
        <v>22.58</v>
      </c>
    </row>
    <row r="2842" spans="1:2" x14ac:dyDescent="0.25">
      <c r="A2842" s="8">
        <v>40499</v>
      </c>
      <c r="B2842" s="9">
        <v>21.76</v>
      </c>
    </row>
    <row r="2843" spans="1:2" x14ac:dyDescent="0.25">
      <c r="A2843" s="8">
        <v>40500</v>
      </c>
      <c r="B2843" s="9">
        <v>18.75</v>
      </c>
    </row>
    <row r="2844" spans="1:2" x14ac:dyDescent="0.25">
      <c r="A2844" s="8">
        <v>40501</v>
      </c>
      <c r="B2844" s="9">
        <v>18.04</v>
      </c>
    </row>
    <row r="2845" spans="1:2" x14ac:dyDescent="0.25">
      <c r="A2845" s="8">
        <v>40504</v>
      </c>
      <c r="B2845" s="9">
        <v>18.37</v>
      </c>
    </row>
    <row r="2846" spans="1:2" x14ac:dyDescent="0.25">
      <c r="A2846" s="8">
        <v>40505</v>
      </c>
      <c r="B2846" s="9">
        <v>20.63</v>
      </c>
    </row>
    <row r="2847" spans="1:2" x14ac:dyDescent="0.25">
      <c r="A2847" s="8">
        <v>40506</v>
      </c>
      <c r="B2847" s="9">
        <v>19.559999999999999</v>
      </c>
    </row>
    <row r="2848" spans="1:2" x14ac:dyDescent="0.25">
      <c r="A2848" s="8">
        <v>40507</v>
      </c>
    </row>
    <row r="2849" spans="1:2" x14ac:dyDescent="0.25">
      <c r="A2849" s="8">
        <v>40508</v>
      </c>
      <c r="B2849" s="9">
        <v>22.22</v>
      </c>
    </row>
    <row r="2850" spans="1:2" x14ac:dyDescent="0.25">
      <c r="A2850" s="8">
        <v>40511</v>
      </c>
      <c r="B2850" s="9">
        <v>21.53</v>
      </c>
    </row>
    <row r="2851" spans="1:2" x14ac:dyDescent="0.25">
      <c r="A2851" s="8">
        <v>40512</v>
      </c>
      <c r="B2851" s="9">
        <v>23.54</v>
      </c>
    </row>
    <row r="2852" spans="1:2" x14ac:dyDescent="0.25">
      <c r="A2852" s="8">
        <v>40513</v>
      </c>
      <c r="B2852" s="9">
        <v>21.36</v>
      </c>
    </row>
    <row r="2853" spans="1:2" x14ac:dyDescent="0.25">
      <c r="A2853" s="8">
        <v>40514</v>
      </c>
      <c r="B2853" s="9">
        <v>19.39</v>
      </c>
    </row>
    <row r="2854" spans="1:2" x14ac:dyDescent="0.25">
      <c r="A2854" s="8">
        <v>40515</v>
      </c>
      <c r="B2854" s="9">
        <v>18.010000000000002</v>
      </c>
    </row>
    <row r="2855" spans="1:2" x14ac:dyDescent="0.25">
      <c r="A2855" s="8">
        <v>40518</v>
      </c>
      <c r="B2855" s="9">
        <v>18.02</v>
      </c>
    </row>
    <row r="2856" spans="1:2" x14ac:dyDescent="0.25">
      <c r="A2856" s="8">
        <v>40519</v>
      </c>
      <c r="B2856" s="9">
        <v>17.989999999999998</v>
      </c>
    </row>
    <row r="2857" spans="1:2" x14ac:dyDescent="0.25">
      <c r="A2857" s="8">
        <v>40520</v>
      </c>
      <c r="B2857" s="9">
        <v>17.739999999999998</v>
      </c>
    </row>
    <row r="2858" spans="1:2" x14ac:dyDescent="0.25">
      <c r="A2858" s="8">
        <v>40521</v>
      </c>
      <c r="B2858" s="9">
        <v>17.25</v>
      </c>
    </row>
    <row r="2859" spans="1:2" x14ac:dyDescent="0.25">
      <c r="A2859" s="8">
        <v>40522</v>
      </c>
      <c r="B2859" s="9">
        <v>17.61</v>
      </c>
    </row>
    <row r="2860" spans="1:2" x14ac:dyDescent="0.25">
      <c r="A2860" s="8">
        <v>40525</v>
      </c>
      <c r="B2860" s="9">
        <v>17.55</v>
      </c>
    </row>
    <row r="2861" spans="1:2" x14ac:dyDescent="0.25">
      <c r="A2861" s="8">
        <v>40526</v>
      </c>
      <c r="B2861" s="9">
        <v>17.61</v>
      </c>
    </row>
    <row r="2862" spans="1:2" x14ac:dyDescent="0.25">
      <c r="A2862" s="8">
        <v>40527</v>
      </c>
      <c r="B2862" s="9">
        <v>17.940000000000001</v>
      </c>
    </row>
    <row r="2863" spans="1:2" x14ac:dyDescent="0.25">
      <c r="A2863" s="8">
        <v>40528</v>
      </c>
      <c r="B2863" s="9">
        <v>17.39</v>
      </c>
    </row>
    <row r="2864" spans="1:2" x14ac:dyDescent="0.25">
      <c r="A2864" s="8">
        <v>40529</v>
      </c>
      <c r="B2864" s="9">
        <v>16.11</v>
      </c>
    </row>
    <row r="2865" spans="1:2" x14ac:dyDescent="0.25">
      <c r="A2865" s="8">
        <v>40532</v>
      </c>
      <c r="B2865" s="9">
        <v>16.41</v>
      </c>
    </row>
    <row r="2866" spans="1:2" x14ac:dyDescent="0.25">
      <c r="A2866" s="8">
        <v>40533</v>
      </c>
      <c r="B2866" s="9">
        <v>16.489999999999998</v>
      </c>
    </row>
    <row r="2867" spans="1:2" x14ac:dyDescent="0.25">
      <c r="A2867" s="8">
        <v>40534</v>
      </c>
      <c r="B2867" s="9">
        <v>15.45</v>
      </c>
    </row>
    <row r="2868" spans="1:2" x14ac:dyDescent="0.25">
      <c r="A2868" s="8">
        <v>40535</v>
      </c>
      <c r="B2868" s="9">
        <v>16.47</v>
      </c>
    </row>
    <row r="2869" spans="1:2" x14ac:dyDescent="0.25">
      <c r="A2869" s="8">
        <v>40536</v>
      </c>
    </row>
    <row r="2870" spans="1:2" x14ac:dyDescent="0.25">
      <c r="A2870" s="8">
        <v>40539</v>
      </c>
      <c r="B2870" s="9">
        <v>17.670000000000002</v>
      </c>
    </row>
    <row r="2871" spans="1:2" x14ac:dyDescent="0.25">
      <c r="A2871" s="8">
        <v>40540</v>
      </c>
      <c r="B2871" s="9">
        <v>17.52</v>
      </c>
    </row>
    <row r="2872" spans="1:2" x14ac:dyDescent="0.25">
      <c r="A2872" s="8">
        <v>40541</v>
      </c>
      <c r="B2872" s="9">
        <v>17.28</v>
      </c>
    </row>
    <row r="2873" spans="1:2" x14ac:dyDescent="0.25">
      <c r="A2873" s="8">
        <v>40542</v>
      </c>
      <c r="B2873" s="9">
        <v>17.52</v>
      </c>
    </row>
    <row r="2874" spans="1:2" x14ac:dyDescent="0.25">
      <c r="A2874" s="8">
        <v>40543</v>
      </c>
      <c r="B2874" s="9">
        <v>17.75</v>
      </c>
    </row>
    <row r="2875" spans="1:2" x14ac:dyDescent="0.25">
      <c r="A2875" s="8">
        <v>40546</v>
      </c>
      <c r="B2875" s="9">
        <v>17.61</v>
      </c>
    </row>
    <row r="2876" spans="1:2" x14ac:dyDescent="0.25">
      <c r="A2876" s="8">
        <v>40547</v>
      </c>
      <c r="B2876" s="9">
        <v>17.38</v>
      </c>
    </row>
    <row r="2877" spans="1:2" x14ac:dyDescent="0.25">
      <c r="A2877" s="8">
        <v>40548</v>
      </c>
      <c r="B2877" s="9">
        <v>17.02</v>
      </c>
    </row>
    <row r="2878" spans="1:2" x14ac:dyDescent="0.25">
      <c r="A2878" s="8">
        <v>40549</v>
      </c>
      <c r="B2878" s="9">
        <v>17.399999999999999</v>
      </c>
    </row>
    <row r="2879" spans="1:2" x14ac:dyDescent="0.25">
      <c r="A2879" s="8">
        <v>40550</v>
      </c>
      <c r="B2879" s="9">
        <v>17.14</v>
      </c>
    </row>
    <row r="2880" spans="1:2" x14ac:dyDescent="0.25">
      <c r="A2880" s="8">
        <v>40553</v>
      </c>
      <c r="B2880" s="9">
        <v>17.54</v>
      </c>
    </row>
    <row r="2881" spans="1:2" x14ac:dyDescent="0.25">
      <c r="A2881" s="8">
        <v>40554</v>
      </c>
      <c r="B2881" s="9">
        <v>16.89</v>
      </c>
    </row>
    <row r="2882" spans="1:2" x14ac:dyDescent="0.25">
      <c r="A2882" s="8">
        <v>40555</v>
      </c>
      <c r="B2882" s="9">
        <v>16.239999999999998</v>
      </c>
    </row>
    <row r="2883" spans="1:2" x14ac:dyDescent="0.25">
      <c r="A2883" s="8">
        <v>40556</v>
      </c>
      <c r="B2883" s="9">
        <v>16.39</v>
      </c>
    </row>
    <row r="2884" spans="1:2" x14ac:dyDescent="0.25">
      <c r="A2884" s="8">
        <v>40557</v>
      </c>
      <c r="B2884" s="9">
        <v>15.46</v>
      </c>
    </row>
    <row r="2885" spans="1:2" x14ac:dyDescent="0.25">
      <c r="A2885" s="8">
        <v>40560</v>
      </c>
    </row>
    <row r="2886" spans="1:2" x14ac:dyDescent="0.25">
      <c r="A2886" s="8">
        <v>40561</v>
      </c>
      <c r="B2886" s="9">
        <v>15.87</v>
      </c>
    </row>
    <row r="2887" spans="1:2" x14ac:dyDescent="0.25">
      <c r="A2887" s="8">
        <v>40562</v>
      </c>
      <c r="B2887" s="9">
        <v>17.309999999999999</v>
      </c>
    </row>
    <row r="2888" spans="1:2" x14ac:dyDescent="0.25">
      <c r="A2888" s="8">
        <v>40563</v>
      </c>
      <c r="B2888" s="9">
        <v>17.989999999999998</v>
      </c>
    </row>
    <row r="2889" spans="1:2" x14ac:dyDescent="0.25">
      <c r="A2889" s="8">
        <v>40564</v>
      </c>
      <c r="B2889" s="9">
        <v>18.47</v>
      </c>
    </row>
    <row r="2890" spans="1:2" x14ac:dyDescent="0.25">
      <c r="A2890" s="8">
        <v>40567</v>
      </c>
      <c r="B2890" s="9">
        <v>17.649999999999999</v>
      </c>
    </row>
    <row r="2891" spans="1:2" x14ac:dyDescent="0.25">
      <c r="A2891" s="8">
        <v>40568</v>
      </c>
      <c r="B2891" s="9">
        <v>17.59</v>
      </c>
    </row>
    <row r="2892" spans="1:2" x14ac:dyDescent="0.25">
      <c r="A2892" s="8">
        <v>40569</v>
      </c>
      <c r="B2892" s="9">
        <v>16.64</v>
      </c>
    </row>
    <row r="2893" spans="1:2" x14ac:dyDescent="0.25">
      <c r="A2893" s="8">
        <v>40570</v>
      </c>
      <c r="B2893" s="9">
        <v>16.149999999999999</v>
      </c>
    </row>
    <row r="2894" spans="1:2" x14ac:dyDescent="0.25">
      <c r="A2894" s="8">
        <v>40571</v>
      </c>
      <c r="B2894" s="9">
        <v>20.04</v>
      </c>
    </row>
    <row r="2895" spans="1:2" x14ac:dyDescent="0.25">
      <c r="A2895" s="8">
        <v>40574</v>
      </c>
      <c r="B2895" s="9">
        <v>19.53</v>
      </c>
    </row>
    <row r="2896" spans="1:2" x14ac:dyDescent="0.25">
      <c r="A2896" s="8">
        <v>40575</v>
      </c>
      <c r="B2896" s="9">
        <v>17.63</v>
      </c>
    </row>
    <row r="2897" spans="1:2" x14ac:dyDescent="0.25">
      <c r="A2897" s="8">
        <v>40576</v>
      </c>
      <c r="B2897" s="9">
        <v>17.3</v>
      </c>
    </row>
    <row r="2898" spans="1:2" x14ac:dyDescent="0.25">
      <c r="A2898" s="8">
        <v>40577</v>
      </c>
      <c r="B2898" s="9">
        <v>16.690000000000001</v>
      </c>
    </row>
    <row r="2899" spans="1:2" x14ac:dyDescent="0.25">
      <c r="A2899" s="8">
        <v>40578</v>
      </c>
      <c r="B2899" s="9">
        <v>15.93</v>
      </c>
    </row>
    <row r="2900" spans="1:2" x14ac:dyDescent="0.25">
      <c r="A2900" s="8">
        <v>40581</v>
      </c>
      <c r="B2900" s="9">
        <v>16.28</v>
      </c>
    </row>
    <row r="2901" spans="1:2" x14ac:dyDescent="0.25">
      <c r="A2901" s="8">
        <v>40582</v>
      </c>
      <c r="B2901" s="9">
        <v>15.81</v>
      </c>
    </row>
    <row r="2902" spans="1:2" x14ac:dyDescent="0.25">
      <c r="A2902" s="8">
        <v>40583</v>
      </c>
      <c r="B2902" s="9">
        <v>15.87</v>
      </c>
    </row>
    <row r="2903" spans="1:2" x14ac:dyDescent="0.25">
      <c r="A2903" s="8">
        <v>40584</v>
      </c>
      <c r="B2903" s="9">
        <v>16.09</v>
      </c>
    </row>
    <row r="2904" spans="1:2" x14ac:dyDescent="0.25">
      <c r="A2904" s="8">
        <v>40585</v>
      </c>
      <c r="B2904" s="9">
        <v>15.69</v>
      </c>
    </row>
    <row r="2905" spans="1:2" x14ac:dyDescent="0.25">
      <c r="A2905" s="8">
        <v>40588</v>
      </c>
      <c r="B2905" s="9">
        <v>15.95</v>
      </c>
    </row>
    <row r="2906" spans="1:2" x14ac:dyDescent="0.25">
      <c r="A2906" s="8">
        <v>40589</v>
      </c>
      <c r="B2906" s="9">
        <v>16.37</v>
      </c>
    </row>
    <row r="2907" spans="1:2" x14ac:dyDescent="0.25">
      <c r="A2907" s="8">
        <v>40590</v>
      </c>
      <c r="B2907" s="9">
        <v>16.72</v>
      </c>
    </row>
    <row r="2908" spans="1:2" x14ac:dyDescent="0.25">
      <c r="A2908" s="8">
        <v>40591</v>
      </c>
      <c r="B2908" s="9">
        <v>16.59</v>
      </c>
    </row>
    <row r="2909" spans="1:2" x14ac:dyDescent="0.25">
      <c r="A2909" s="8">
        <v>40592</v>
      </c>
      <c r="B2909" s="9">
        <v>16.43</v>
      </c>
    </row>
    <row r="2910" spans="1:2" x14ac:dyDescent="0.25">
      <c r="A2910" s="8">
        <v>40595</v>
      </c>
    </row>
    <row r="2911" spans="1:2" x14ac:dyDescent="0.25">
      <c r="A2911" s="8">
        <v>40596</v>
      </c>
      <c r="B2911" s="9">
        <v>20.8</v>
      </c>
    </row>
    <row r="2912" spans="1:2" x14ac:dyDescent="0.25">
      <c r="A2912" s="8">
        <v>40597</v>
      </c>
      <c r="B2912" s="9">
        <v>22.13</v>
      </c>
    </row>
    <row r="2913" spans="1:2" x14ac:dyDescent="0.25">
      <c r="A2913" s="8">
        <v>40598</v>
      </c>
      <c r="B2913" s="9">
        <v>21.32</v>
      </c>
    </row>
    <row r="2914" spans="1:2" x14ac:dyDescent="0.25">
      <c r="A2914" s="8">
        <v>40599</v>
      </c>
      <c r="B2914" s="9">
        <v>19.22</v>
      </c>
    </row>
    <row r="2915" spans="1:2" x14ac:dyDescent="0.25">
      <c r="A2915" s="8">
        <v>40602</v>
      </c>
      <c r="B2915" s="9">
        <v>18.350000000000001</v>
      </c>
    </row>
    <row r="2916" spans="1:2" x14ac:dyDescent="0.25">
      <c r="A2916" s="8">
        <v>40603</v>
      </c>
      <c r="B2916" s="9">
        <v>21.01</v>
      </c>
    </row>
    <row r="2917" spans="1:2" x14ac:dyDescent="0.25">
      <c r="A2917" s="8">
        <v>40604</v>
      </c>
      <c r="B2917" s="9">
        <v>20.7</v>
      </c>
    </row>
    <row r="2918" spans="1:2" x14ac:dyDescent="0.25">
      <c r="A2918" s="8">
        <v>40605</v>
      </c>
      <c r="B2918" s="9">
        <v>18.600000000000001</v>
      </c>
    </row>
    <row r="2919" spans="1:2" x14ac:dyDescent="0.25">
      <c r="A2919" s="8">
        <v>40606</v>
      </c>
      <c r="B2919" s="9">
        <v>19.059999999999999</v>
      </c>
    </row>
    <row r="2920" spans="1:2" x14ac:dyDescent="0.25">
      <c r="A2920" s="8">
        <v>40609</v>
      </c>
      <c r="B2920" s="9">
        <v>20.66</v>
      </c>
    </row>
    <row r="2921" spans="1:2" x14ac:dyDescent="0.25">
      <c r="A2921" s="8">
        <v>40610</v>
      </c>
      <c r="B2921" s="9">
        <v>19.82</v>
      </c>
    </row>
    <row r="2922" spans="1:2" x14ac:dyDescent="0.25">
      <c r="A2922" s="8">
        <v>40611</v>
      </c>
      <c r="B2922" s="9">
        <v>20.22</v>
      </c>
    </row>
    <row r="2923" spans="1:2" x14ac:dyDescent="0.25">
      <c r="A2923" s="8">
        <v>40612</v>
      </c>
      <c r="B2923" s="9">
        <v>21.88</v>
      </c>
    </row>
    <row r="2924" spans="1:2" x14ac:dyDescent="0.25">
      <c r="A2924" s="8">
        <v>40613</v>
      </c>
      <c r="B2924" s="9">
        <v>20.079999999999998</v>
      </c>
    </row>
    <row r="2925" spans="1:2" x14ac:dyDescent="0.25">
      <c r="A2925" s="8">
        <v>40616</v>
      </c>
      <c r="B2925" s="9">
        <v>21.13</v>
      </c>
    </row>
    <row r="2926" spans="1:2" x14ac:dyDescent="0.25">
      <c r="A2926" s="8">
        <v>40617</v>
      </c>
      <c r="B2926" s="9">
        <v>24.32</v>
      </c>
    </row>
    <row r="2927" spans="1:2" x14ac:dyDescent="0.25">
      <c r="A2927" s="8">
        <v>40618</v>
      </c>
      <c r="B2927" s="9">
        <v>29.4</v>
      </c>
    </row>
    <row r="2928" spans="1:2" x14ac:dyDescent="0.25">
      <c r="A2928" s="8">
        <v>40619</v>
      </c>
      <c r="B2928" s="9">
        <v>26.37</v>
      </c>
    </row>
    <row r="2929" spans="1:2" x14ac:dyDescent="0.25">
      <c r="A2929" s="8">
        <v>40620</v>
      </c>
      <c r="B2929" s="9">
        <v>24.44</v>
      </c>
    </row>
    <row r="2930" spans="1:2" x14ac:dyDescent="0.25">
      <c r="A2930" s="8">
        <v>40623</v>
      </c>
      <c r="B2930" s="9">
        <v>20.61</v>
      </c>
    </row>
    <row r="2931" spans="1:2" x14ac:dyDescent="0.25">
      <c r="A2931" s="8">
        <v>40624</v>
      </c>
      <c r="B2931" s="9">
        <v>20.21</v>
      </c>
    </row>
    <row r="2932" spans="1:2" x14ac:dyDescent="0.25">
      <c r="A2932" s="8">
        <v>40625</v>
      </c>
      <c r="B2932" s="9">
        <v>19.170000000000002</v>
      </c>
    </row>
    <row r="2933" spans="1:2" x14ac:dyDescent="0.25">
      <c r="A2933" s="8">
        <v>40626</v>
      </c>
      <c r="B2933" s="9">
        <v>18</v>
      </c>
    </row>
    <row r="2934" spans="1:2" x14ac:dyDescent="0.25">
      <c r="A2934" s="8">
        <v>40627</v>
      </c>
      <c r="B2934" s="9">
        <v>17.91</v>
      </c>
    </row>
    <row r="2935" spans="1:2" x14ac:dyDescent="0.25">
      <c r="A2935" s="8">
        <v>40630</v>
      </c>
      <c r="B2935" s="9">
        <v>19.440000000000001</v>
      </c>
    </row>
    <row r="2936" spans="1:2" x14ac:dyDescent="0.25">
      <c r="A2936" s="8">
        <v>40631</v>
      </c>
      <c r="B2936" s="9">
        <v>18.16</v>
      </c>
    </row>
    <row r="2937" spans="1:2" x14ac:dyDescent="0.25">
      <c r="A2937" s="8">
        <v>40632</v>
      </c>
      <c r="B2937" s="9">
        <v>17.71</v>
      </c>
    </row>
    <row r="2938" spans="1:2" x14ac:dyDescent="0.25">
      <c r="A2938" s="8">
        <v>40633</v>
      </c>
      <c r="B2938" s="9">
        <v>17.739999999999998</v>
      </c>
    </row>
    <row r="2939" spans="1:2" x14ac:dyDescent="0.25">
      <c r="A2939" s="8">
        <v>40634</v>
      </c>
      <c r="B2939" s="9">
        <v>17.399999999999999</v>
      </c>
    </row>
    <row r="2940" spans="1:2" x14ac:dyDescent="0.25">
      <c r="A2940" s="8">
        <v>40637</v>
      </c>
      <c r="B2940" s="9">
        <v>17.5</v>
      </c>
    </row>
    <row r="2941" spans="1:2" x14ac:dyDescent="0.25">
      <c r="A2941" s="8">
        <v>40638</v>
      </c>
      <c r="B2941" s="9">
        <v>17.25</v>
      </c>
    </row>
    <row r="2942" spans="1:2" x14ac:dyDescent="0.25">
      <c r="A2942" s="8">
        <v>40639</v>
      </c>
      <c r="B2942" s="9">
        <v>16.899999999999999</v>
      </c>
    </row>
    <row r="2943" spans="1:2" x14ac:dyDescent="0.25">
      <c r="A2943" s="8">
        <v>40640</v>
      </c>
      <c r="B2943" s="9">
        <v>17.11</v>
      </c>
    </row>
    <row r="2944" spans="1:2" x14ac:dyDescent="0.25">
      <c r="A2944" s="8">
        <v>40641</v>
      </c>
      <c r="B2944" s="9">
        <v>17.87</v>
      </c>
    </row>
    <row r="2945" spans="1:2" x14ac:dyDescent="0.25">
      <c r="A2945" s="8">
        <v>40644</v>
      </c>
      <c r="B2945" s="9">
        <v>16.59</v>
      </c>
    </row>
    <row r="2946" spans="1:2" x14ac:dyDescent="0.25">
      <c r="A2946" s="8">
        <v>40645</v>
      </c>
      <c r="B2946" s="9">
        <v>17.09</v>
      </c>
    </row>
    <row r="2947" spans="1:2" x14ac:dyDescent="0.25">
      <c r="A2947" s="8">
        <v>40646</v>
      </c>
      <c r="B2947" s="9">
        <v>16.920000000000002</v>
      </c>
    </row>
    <row r="2948" spans="1:2" x14ac:dyDescent="0.25">
      <c r="A2948" s="8">
        <v>40647</v>
      </c>
      <c r="B2948" s="9">
        <v>16.27</v>
      </c>
    </row>
    <row r="2949" spans="1:2" x14ac:dyDescent="0.25">
      <c r="A2949" s="8">
        <v>40648</v>
      </c>
      <c r="B2949" s="9">
        <v>15.32</v>
      </c>
    </row>
    <row r="2950" spans="1:2" x14ac:dyDescent="0.25">
      <c r="A2950" s="8">
        <v>40651</v>
      </c>
      <c r="B2950" s="9">
        <v>16.96</v>
      </c>
    </row>
    <row r="2951" spans="1:2" x14ac:dyDescent="0.25">
      <c r="A2951" s="8">
        <v>40652</v>
      </c>
      <c r="B2951" s="9">
        <v>15.83</v>
      </c>
    </row>
    <row r="2952" spans="1:2" x14ac:dyDescent="0.25">
      <c r="A2952" s="8">
        <v>40653</v>
      </c>
      <c r="B2952" s="9">
        <v>15.07</v>
      </c>
    </row>
    <row r="2953" spans="1:2" x14ac:dyDescent="0.25">
      <c r="A2953" s="8">
        <v>40654</v>
      </c>
      <c r="B2953" s="9">
        <v>14.69</v>
      </c>
    </row>
    <row r="2954" spans="1:2" x14ac:dyDescent="0.25">
      <c r="A2954" s="8">
        <v>40655</v>
      </c>
    </row>
    <row r="2955" spans="1:2" x14ac:dyDescent="0.25">
      <c r="A2955" s="8">
        <v>40658</v>
      </c>
      <c r="B2955" s="9">
        <v>15.77</v>
      </c>
    </row>
    <row r="2956" spans="1:2" x14ac:dyDescent="0.25">
      <c r="A2956" s="8">
        <v>40659</v>
      </c>
      <c r="B2956" s="9">
        <v>15.62</v>
      </c>
    </row>
    <row r="2957" spans="1:2" x14ac:dyDescent="0.25">
      <c r="A2957" s="8">
        <v>40660</v>
      </c>
      <c r="B2957" s="9">
        <v>15.35</v>
      </c>
    </row>
    <row r="2958" spans="1:2" x14ac:dyDescent="0.25">
      <c r="A2958" s="8">
        <v>40661</v>
      </c>
      <c r="B2958" s="9">
        <v>14.62</v>
      </c>
    </row>
    <row r="2959" spans="1:2" x14ac:dyDescent="0.25">
      <c r="A2959" s="8">
        <v>40662</v>
      </c>
      <c r="B2959" s="9">
        <v>14.75</v>
      </c>
    </row>
    <row r="2960" spans="1:2" x14ac:dyDescent="0.25">
      <c r="A2960" s="8">
        <v>40665</v>
      </c>
      <c r="B2960" s="9">
        <v>15.99</v>
      </c>
    </row>
    <row r="2961" spans="1:2" x14ac:dyDescent="0.25">
      <c r="A2961" s="8">
        <v>40666</v>
      </c>
      <c r="B2961" s="9">
        <v>16.7</v>
      </c>
    </row>
    <row r="2962" spans="1:2" x14ac:dyDescent="0.25">
      <c r="A2962" s="8">
        <v>40667</v>
      </c>
      <c r="B2962" s="9">
        <v>17.079999999999998</v>
      </c>
    </row>
    <row r="2963" spans="1:2" x14ac:dyDescent="0.25">
      <c r="A2963" s="8">
        <v>40668</v>
      </c>
      <c r="B2963" s="9">
        <v>18.2</v>
      </c>
    </row>
    <row r="2964" spans="1:2" x14ac:dyDescent="0.25">
      <c r="A2964" s="8">
        <v>40669</v>
      </c>
      <c r="B2964" s="9">
        <v>18.399999999999999</v>
      </c>
    </row>
    <row r="2965" spans="1:2" x14ac:dyDescent="0.25">
      <c r="A2965" s="8">
        <v>40672</v>
      </c>
      <c r="B2965" s="9">
        <v>17.16</v>
      </c>
    </row>
    <row r="2966" spans="1:2" x14ac:dyDescent="0.25">
      <c r="A2966" s="8">
        <v>40673</v>
      </c>
      <c r="B2966" s="9">
        <v>15.91</v>
      </c>
    </row>
    <row r="2967" spans="1:2" x14ac:dyDescent="0.25">
      <c r="A2967" s="8">
        <v>40674</v>
      </c>
      <c r="B2967" s="9">
        <v>16.95</v>
      </c>
    </row>
    <row r="2968" spans="1:2" x14ac:dyDescent="0.25">
      <c r="A2968" s="8">
        <v>40675</v>
      </c>
      <c r="B2968" s="9">
        <v>16.03</v>
      </c>
    </row>
    <row r="2969" spans="1:2" x14ac:dyDescent="0.25">
      <c r="A2969" s="8">
        <v>40676</v>
      </c>
      <c r="B2969" s="9">
        <v>17.07</v>
      </c>
    </row>
    <row r="2970" spans="1:2" x14ac:dyDescent="0.25">
      <c r="A2970" s="8">
        <v>40679</v>
      </c>
      <c r="B2970" s="9">
        <v>18.239999999999998</v>
      </c>
    </row>
    <row r="2971" spans="1:2" x14ac:dyDescent="0.25">
      <c r="A2971" s="8">
        <v>40680</v>
      </c>
      <c r="B2971" s="9">
        <v>17.55</v>
      </c>
    </row>
    <row r="2972" spans="1:2" x14ac:dyDescent="0.25">
      <c r="A2972" s="8">
        <v>40681</v>
      </c>
      <c r="B2972" s="9">
        <v>16.23</v>
      </c>
    </row>
    <row r="2973" spans="1:2" x14ac:dyDescent="0.25">
      <c r="A2973" s="8">
        <v>40682</v>
      </c>
      <c r="B2973" s="9">
        <v>15.52</v>
      </c>
    </row>
    <row r="2974" spans="1:2" x14ac:dyDescent="0.25">
      <c r="A2974" s="8">
        <v>40683</v>
      </c>
      <c r="B2974" s="9">
        <v>17.43</v>
      </c>
    </row>
    <row r="2975" spans="1:2" x14ac:dyDescent="0.25">
      <c r="A2975" s="8">
        <v>40686</v>
      </c>
      <c r="B2975" s="9">
        <v>18.27</v>
      </c>
    </row>
    <row r="2976" spans="1:2" x14ac:dyDescent="0.25">
      <c r="A2976" s="8">
        <v>40687</v>
      </c>
      <c r="B2976" s="9">
        <v>17.82</v>
      </c>
    </row>
    <row r="2977" spans="1:2" x14ac:dyDescent="0.25">
      <c r="A2977" s="8">
        <v>40688</v>
      </c>
      <c r="B2977" s="9">
        <v>17.07</v>
      </c>
    </row>
    <row r="2978" spans="1:2" x14ac:dyDescent="0.25">
      <c r="A2978" s="8">
        <v>40689</v>
      </c>
      <c r="B2978" s="9">
        <v>16.09</v>
      </c>
    </row>
    <row r="2979" spans="1:2" x14ac:dyDescent="0.25">
      <c r="A2979" s="8">
        <v>40690</v>
      </c>
      <c r="B2979" s="9">
        <v>15.98</v>
      </c>
    </row>
    <row r="2980" spans="1:2" x14ac:dyDescent="0.25">
      <c r="A2980" s="8">
        <v>40693</v>
      </c>
    </row>
    <row r="2981" spans="1:2" x14ac:dyDescent="0.25">
      <c r="A2981" s="8">
        <v>40694</v>
      </c>
      <c r="B2981" s="9">
        <v>15.45</v>
      </c>
    </row>
    <row r="2982" spans="1:2" x14ac:dyDescent="0.25">
      <c r="A2982" s="8">
        <v>40695</v>
      </c>
      <c r="B2982" s="9">
        <v>18.3</v>
      </c>
    </row>
    <row r="2983" spans="1:2" x14ac:dyDescent="0.25">
      <c r="A2983" s="8">
        <v>40696</v>
      </c>
      <c r="B2983" s="9">
        <v>18.09</v>
      </c>
    </row>
    <row r="2984" spans="1:2" x14ac:dyDescent="0.25">
      <c r="A2984" s="8">
        <v>40697</v>
      </c>
      <c r="B2984" s="9">
        <v>17.95</v>
      </c>
    </row>
    <row r="2985" spans="1:2" x14ac:dyDescent="0.25">
      <c r="A2985" s="8">
        <v>40700</v>
      </c>
      <c r="B2985" s="9">
        <v>18.489999999999998</v>
      </c>
    </row>
    <row r="2986" spans="1:2" x14ac:dyDescent="0.25">
      <c r="A2986" s="8">
        <v>40701</v>
      </c>
      <c r="B2986" s="9">
        <v>18.07</v>
      </c>
    </row>
    <row r="2987" spans="1:2" x14ac:dyDescent="0.25">
      <c r="A2987" s="8">
        <v>40702</v>
      </c>
      <c r="B2987" s="9">
        <v>18.79</v>
      </c>
    </row>
    <row r="2988" spans="1:2" x14ac:dyDescent="0.25">
      <c r="A2988" s="8">
        <v>40703</v>
      </c>
      <c r="B2988" s="9">
        <v>17.77</v>
      </c>
    </row>
    <row r="2989" spans="1:2" x14ac:dyDescent="0.25">
      <c r="A2989" s="8">
        <v>40704</v>
      </c>
      <c r="B2989" s="9">
        <v>18.86</v>
      </c>
    </row>
    <row r="2990" spans="1:2" x14ac:dyDescent="0.25">
      <c r="A2990" s="8">
        <v>40707</v>
      </c>
      <c r="B2990" s="9">
        <v>19.61</v>
      </c>
    </row>
    <row r="2991" spans="1:2" x14ac:dyDescent="0.25">
      <c r="A2991" s="8">
        <v>40708</v>
      </c>
      <c r="B2991" s="9">
        <v>18.260000000000002</v>
      </c>
    </row>
    <row r="2992" spans="1:2" x14ac:dyDescent="0.25">
      <c r="A2992" s="8">
        <v>40709</v>
      </c>
      <c r="B2992" s="9">
        <v>21.32</v>
      </c>
    </row>
    <row r="2993" spans="1:2" x14ac:dyDescent="0.25">
      <c r="A2993" s="8">
        <v>40710</v>
      </c>
      <c r="B2993" s="9">
        <v>22.73</v>
      </c>
    </row>
    <row r="2994" spans="1:2" x14ac:dyDescent="0.25">
      <c r="A2994" s="8">
        <v>40711</v>
      </c>
      <c r="B2994" s="9">
        <v>21.85</v>
      </c>
    </row>
    <row r="2995" spans="1:2" x14ac:dyDescent="0.25">
      <c r="A2995" s="8">
        <v>40714</v>
      </c>
      <c r="B2995" s="9">
        <v>19.989999999999998</v>
      </c>
    </row>
    <row r="2996" spans="1:2" x14ac:dyDescent="0.25">
      <c r="A2996" s="8">
        <v>40715</v>
      </c>
      <c r="B2996" s="9">
        <v>18.86</v>
      </c>
    </row>
    <row r="2997" spans="1:2" x14ac:dyDescent="0.25">
      <c r="A2997" s="8">
        <v>40716</v>
      </c>
      <c r="B2997" s="9">
        <v>18.52</v>
      </c>
    </row>
    <row r="2998" spans="1:2" x14ac:dyDescent="0.25">
      <c r="A2998" s="8">
        <v>40717</v>
      </c>
      <c r="B2998" s="9">
        <v>19.29</v>
      </c>
    </row>
    <row r="2999" spans="1:2" x14ac:dyDescent="0.25">
      <c r="A2999" s="8">
        <v>40718</v>
      </c>
      <c r="B2999" s="9">
        <v>21.1</v>
      </c>
    </row>
    <row r="3000" spans="1:2" x14ac:dyDescent="0.25">
      <c r="A3000" s="8">
        <v>40721</v>
      </c>
      <c r="B3000" s="9">
        <v>20.56</v>
      </c>
    </row>
    <row r="3001" spans="1:2" x14ac:dyDescent="0.25">
      <c r="A3001" s="8">
        <v>40722</v>
      </c>
      <c r="B3001" s="9">
        <v>19.170000000000002</v>
      </c>
    </row>
    <row r="3002" spans="1:2" x14ac:dyDescent="0.25">
      <c r="A3002" s="8">
        <v>40723</v>
      </c>
      <c r="B3002" s="9">
        <v>17.27</v>
      </c>
    </row>
    <row r="3003" spans="1:2" x14ac:dyDescent="0.25">
      <c r="A3003" s="8">
        <v>40724</v>
      </c>
      <c r="B3003" s="9">
        <v>16.52</v>
      </c>
    </row>
    <row r="3004" spans="1:2" x14ac:dyDescent="0.25">
      <c r="A3004" s="8">
        <v>40725</v>
      </c>
      <c r="B3004" s="9">
        <v>15.87</v>
      </c>
    </row>
    <row r="3005" spans="1:2" x14ac:dyDescent="0.25">
      <c r="A3005" s="8">
        <v>40728</v>
      </c>
    </row>
    <row r="3006" spans="1:2" x14ac:dyDescent="0.25">
      <c r="A3006" s="8">
        <v>40729</v>
      </c>
      <c r="B3006" s="9">
        <v>16.059999999999999</v>
      </c>
    </row>
    <row r="3007" spans="1:2" x14ac:dyDescent="0.25">
      <c r="A3007" s="8">
        <v>40730</v>
      </c>
      <c r="B3007" s="9">
        <v>16.34</v>
      </c>
    </row>
    <row r="3008" spans="1:2" x14ac:dyDescent="0.25">
      <c r="A3008" s="8">
        <v>40731</v>
      </c>
      <c r="B3008" s="9">
        <v>15.95</v>
      </c>
    </row>
    <row r="3009" spans="1:2" x14ac:dyDescent="0.25">
      <c r="A3009" s="8">
        <v>40732</v>
      </c>
      <c r="B3009" s="9">
        <v>15.95</v>
      </c>
    </row>
    <row r="3010" spans="1:2" x14ac:dyDescent="0.25">
      <c r="A3010" s="8">
        <v>40735</v>
      </c>
      <c r="B3010" s="9">
        <v>18.39</v>
      </c>
    </row>
    <row r="3011" spans="1:2" x14ac:dyDescent="0.25">
      <c r="A3011" s="8">
        <v>40736</v>
      </c>
      <c r="B3011" s="9">
        <v>19.87</v>
      </c>
    </row>
    <row r="3012" spans="1:2" x14ac:dyDescent="0.25">
      <c r="A3012" s="8">
        <v>40737</v>
      </c>
      <c r="B3012" s="9">
        <v>19.91</v>
      </c>
    </row>
    <row r="3013" spans="1:2" x14ac:dyDescent="0.25">
      <c r="A3013" s="8">
        <v>40738</v>
      </c>
      <c r="B3013" s="9">
        <v>20.8</v>
      </c>
    </row>
    <row r="3014" spans="1:2" x14ac:dyDescent="0.25">
      <c r="A3014" s="8">
        <v>40739</v>
      </c>
      <c r="B3014" s="9">
        <v>19.53</v>
      </c>
    </row>
    <row r="3015" spans="1:2" x14ac:dyDescent="0.25">
      <c r="A3015" s="8">
        <v>40742</v>
      </c>
      <c r="B3015" s="9">
        <v>20.95</v>
      </c>
    </row>
    <row r="3016" spans="1:2" x14ac:dyDescent="0.25">
      <c r="A3016" s="8">
        <v>40743</v>
      </c>
      <c r="B3016" s="9">
        <v>19.21</v>
      </c>
    </row>
    <row r="3017" spans="1:2" x14ac:dyDescent="0.25">
      <c r="A3017" s="8">
        <v>40744</v>
      </c>
      <c r="B3017" s="9">
        <v>19.09</v>
      </c>
    </row>
    <row r="3018" spans="1:2" x14ac:dyDescent="0.25">
      <c r="A3018" s="8">
        <v>40745</v>
      </c>
      <c r="B3018" s="9">
        <v>17.559999999999999</v>
      </c>
    </row>
    <row r="3019" spans="1:2" x14ac:dyDescent="0.25">
      <c r="A3019" s="8">
        <v>40746</v>
      </c>
      <c r="B3019" s="9">
        <v>17.52</v>
      </c>
    </row>
    <row r="3020" spans="1:2" x14ac:dyDescent="0.25">
      <c r="A3020" s="8">
        <v>40749</v>
      </c>
      <c r="B3020" s="9">
        <v>19.350000000000001</v>
      </c>
    </row>
    <row r="3021" spans="1:2" x14ac:dyDescent="0.25">
      <c r="A3021" s="8">
        <v>40750</v>
      </c>
      <c r="B3021" s="9">
        <v>20.23</v>
      </c>
    </row>
    <row r="3022" spans="1:2" x14ac:dyDescent="0.25">
      <c r="A3022" s="8">
        <v>40751</v>
      </c>
      <c r="B3022" s="9">
        <v>22.98</v>
      </c>
    </row>
    <row r="3023" spans="1:2" x14ac:dyDescent="0.25">
      <c r="A3023" s="8">
        <v>40752</v>
      </c>
      <c r="B3023" s="9">
        <v>23.74</v>
      </c>
    </row>
    <row r="3024" spans="1:2" x14ac:dyDescent="0.25">
      <c r="A3024" s="8">
        <v>40753</v>
      </c>
      <c r="B3024" s="9">
        <v>25.25</v>
      </c>
    </row>
    <row r="3025" spans="1:2" x14ac:dyDescent="0.25">
      <c r="A3025" s="8">
        <v>40756</v>
      </c>
      <c r="B3025" s="9">
        <v>23.66</v>
      </c>
    </row>
    <row r="3026" spans="1:2" x14ac:dyDescent="0.25">
      <c r="A3026" s="8">
        <v>40757</v>
      </c>
      <c r="B3026" s="9">
        <v>24.79</v>
      </c>
    </row>
    <row r="3027" spans="1:2" x14ac:dyDescent="0.25">
      <c r="A3027" s="8">
        <v>40758</v>
      </c>
      <c r="B3027" s="9">
        <v>23.38</v>
      </c>
    </row>
    <row r="3028" spans="1:2" x14ac:dyDescent="0.25">
      <c r="A3028" s="8">
        <v>40759</v>
      </c>
      <c r="B3028" s="9">
        <v>31.66</v>
      </c>
    </row>
    <row r="3029" spans="1:2" x14ac:dyDescent="0.25">
      <c r="A3029" s="8">
        <v>40760</v>
      </c>
      <c r="B3029" s="9">
        <v>32</v>
      </c>
    </row>
    <row r="3030" spans="1:2" x14ac:dyDescent="0.25">
      <c r="A3030" s="8">
        <v>40763</v>
      </c>
      <c r="B3030" s="9">
        <v>48</v>
      </c>
    </row>
    <row r="3031" spans="1:2" x14ac:dyDescent="0.25">
      <c r="A3031" s="8">
        <v>40764</v>
      </c>
      <c r="B3031" s="9">
        <v>35.06</v>
      </c>
    </row>
    <row r="3032" spans="1:2" x14ac:dyDescent="0.25">
      <c r="A3032" s="8">
        <v>40765</v>
      </c>
      <c r="B3032" s="9">
        <v>42.99</v>
      </c>
    </row>
    <row r="3033" spans="1:2" x14ac:dyDescent="0.25">
      <c r="A3033" s="8">
        <v>40766</v>
      </c>
      <c r="B3033" s="9">
        <v>39</v>
      </c>
    </row>
    <row r="3034" spans="1:2" x14ac:dyDescent="0.25">
      <c r="A3034" s="8">
        <v>40767</v>
      </c>
      <c r="B3034" s="9">
        <v>36.36</v>
      </c>
    </row>
    <row r="3035" spans="1:2" x14ac:dyDescent="0.25">
      <c r="A3035" s="8">
        <v>40770</v>
      </c>
      <c r="B3035" s="9">
        <v>31.87</v>
      </c>
    </row>
    <row r="3036" spans="1:2" x14ac:dyDescent="0.25">
      <c r="A3036" s="8">
        <v>40771</v>
      </c>
      <c r="B3036" s="9">
        <v>32.85</v>
      </c>
    </row>
    <row r="3037" spans="1:2" x14ac:dyDescent="0.25">
      <c r="A3037" s="8">
        <v>40772</v>
      </c>
      <c r="B3037" s="9">
        <v>31.58</v>
      </c>
    </row>
    <row r="3038" spans="1:2" x14ac:dyDescent="0.25">
      <c r="A3038" s="8">
        <v>40773</v>
      </c>
      <c r="B3038" s="9">
        <v>42.67</v>
      </c>
    </row>
    <row r="3039" spans="1:2" x14ac:dyDescent="0.25">
      <c r="A3039" s="8">
        <v>40774</v>
      </c>
      <c r="B3039" s="9">
        <v>43.05</v>
      </c>
    </row>
    <row r="3040" spans="1:2" x14ac:dyDescent="0.25">
      <c r="A3040" s="8">
        <v>40777</v>
      </c>
      <c r="B3040" s="9">
        <v>42.44</v>
      </c>
    </row>
    <row r="3041" spans="1:2" x14ac:dyDescent="0.25">
      <c r="A3041" s="8">
        <v>40778</v>
      </c>
      <c r="B3041" s="9">
        <v>36.270000000000003</v>
      </c>
    </row>
    <row r="3042" spans="1:2" x14ac:dyDescent="0.25">
      <c r="A3042" s="8">
        <v>40779</v>
      </c>
      <c r="B3042" s="9">
        <v>35.9</v>
      </c>
    </row>
    <row r="3043" spans="1:2" x14ac:dyDescent="0.25">
      <c r="A3043" s="8">
        <v>40780</v>
      </c>
      <c r="B3043" s="9">
        <v>39.76</v>
      </c>
    </row>
    <row r="3044" spans="1:2" x14ac:dyDescent="0.25">
      <c r="A3044" s="8">
        <v>40781</v>
      </c>
      <c r="B3044" s="9">
        <v>35.590000000000003</v>
      </c>
    </row>
    <row r="3045" spans="1:2" x14ac:dyDescent="0.25">
      <c r="A3045" s="8">
        <v>40784</v>
      </c>
      <c r="B3045" s="9">
        <v>32.28</v>
      </c>
    </row>
    <row r="3046" spans="1:2" x14ac:dyDescent="0.25">
      <c r="A3046" s="8">
        <v>40785</v>
      </c>
      <c r="B3046" s="9">
        <v>32.89</v>
      </c>
    </row>
    <row r="3047" spans="1:2" x14ac:dyDescent="0.25">
      <c r="A3047" s="8">
        <v>40786</v>
      </c>
      <c r="B3047" s="9">
        <v>31.62</v>
      </c>
    </row>
    <row r="3048" spans="1:2" x14ac:dyDescent="0.25">
      <c r="A3048" s="8">
        <v>40787</v>
      </c>
      <c r="B3048" s="9">
        <v>31.82</v>
      </c>
    </row>
    <row r="3049" spans="1:2" x14ac:dyDescent="0.25">
      <c r="A3049" s="8">
        <v>40788</v>
      </c>
      <c r="B3049" s="9">
        <v>33.92</v>
      </c>
    </row>
    <row r="3050" spans="1:2" x14ac:dyDescent="0.25">
      <c r="A3050" s="8">
        <v>40791</v>
      </c>
    </row>
    <row r="3051" spans="1:2" x14ac:dyDescent="0.25">
      <c r="A3051" s="8">
        <v>40792</v>
      </c>
      <c r="B3051" s="9">
        <v>37</v>
      </c>
    </row>
    <row r="3052" spans="1:2" x14ac:dyDescent="0.25">
      <c r="A3052" s="8">
        <v>40793</v>
      </c>
      <c r="B3052" s="9">
        <v>33.380000000000003</v>
      </c>
    </row>
    <row r="3053" spans="1:2" x14ac:dyDescent="0.25">
      <c r="A3053" s="8">
        <v>40794</v>
      </c>
      <c r="B3053" s="9">
        <v>34.32</v>
      </c>
    </row>
    <row r="3054" spans="1:2" x14ac:dyDescent="0.25">
      <c r="A3054" s="8">
        <v>40795</v>
      </c>
      <c r="B3054" s="9">
        <v>38.520000000000003</v>
      </c>
    </row>
    <row r="3055" spans="1:2" x14ac:dyDescent="0.25">
      <c r="A3055" s="8">
        <v>40798</v>
      </c>
      <c r="B3055" s="9">
        <v>38.590000000000003</v>
      </c>
    </row>
    <row r="3056" spans="1:2" x14ac:dyDescent="0.25">
      <c r="A3056" s="8">
        <v>40799</v>
      </c>
      <c r="B3056" s="9">
        <v>36.909999999999997</v>
      </c>
    </row>
    <row r="3057" spans="1:2" x14ac:dyDescent="0.25">
      <c r="A3057" s="8">
        <v>40800</v>
      </c>
      <c r="B3057" s="9">
        <v>34.6</v>
      </c>
    </row>
    <row r="3058" spans="1:2" x14ac:dyDescent="0.25">
      <c r="A3058" s="8">
        <v>40801</v>
      </c>
      <c r="B3058" s="9">
        <v>31.97</v>
      </c>
    </row>
    <row r="3059" spans="1:2" x14ac:dyDescent="0.25">
      <c r="A3059" s="8">
        <v>40802</v>
      </c>
      <c r="B3059" s="9">
        <v>30.98</v>
      </c>
    </row>
    <row r="3060" spans="1:2" x14ac:dyDescent="0.25">
      <c r="A3060" s="8">
        <v>40805</v>
      </c>
      <c r="B3060" s="9">
        <v>32.729999999999997</v>
      </c>
    </row>
    <row r="3061" spans="1:2" x14ac:dyDescent="0.25">
      <c r="A3061" s="8">
        <v>40806</v>
      </c>
      <c r="B3061" s="9">
        <v>32.86</v>
      </c>
    </row>
    <row r="3062" spans="1:2" x14ac:dyDescent="0.25">
      <c r="A3062" s="8">
        <v>40807</v>
      </c>
      <c r="B3062" s="9">
        <v>37.32</v>
      </c>
    </row>
    <row r="3063" spans="1:2" x14ac:dyDescent="0.25">
      <c r="A3063" s="8">
        <v>40808</v>
      </c>
      <c r="B3063" s="9">
        <v>41.35</v>
      </c>
    </row>
    <row r="3064" spans="1:2" x14ac:dyDescent="0.25">
      <c r="A3064" s="8">
        <v>40809</v>
      </c>
      <c r="B3064" s="9">
        <v>41.25</v>
      </c>
    </row>
    <row r="3065" spans="1:2" x14ac:dyDescent="0.25">
      <c r="A3065" s="8">
        <v>40812</v>
      </c>
      <c r="B3065" s="9">
        <v>39.020000000000003</v>
      </c>
    </row>
    <row r="3066" spans="1:2" x14ac:dyDescent="0.25">
      <c r="A3066" s="8">
        <v>40813</v>
      </c>
      <c r="B3066" s="9">
        <v>37.71</v>
      </c>
    </row>
    <row r="3067" spans="1:2" x14ac:dyDescent="0.25">
      <c r="A3067" s="8">
        <v>40814</v>
      </c>
      <c r="B3067" s="9">
        <v>41.08</v>
      </c>
    </row>
    <row r="3068" spans="1:2" x14ac:dyDescent="0.25">
      <c r="A3068" s="8">
        <v>40815</v>
      </c>
      <c r="B3068" s="9">
        <v>38.840000000000003</v>
      </c>
    </row>
    <row r="3069" spans="1:2" x14ac:dyDescent="0.25">
      <c r="A3069" s="8">
        <v>40816</v>
      </c>
      <c r="B3069" s="9">
        <v>42.96</v>
      </c>
    </row>
    <row r="3070" spans="1:2" x14ac:dyDescent="0.25">
      <c r="A3070" s="8">
        <v>40819</v>
      </c>
      <c r="B3070" s="9">
        <v>45.45</v>
      </c>
    </row>
    <row r="3071" spans="1:2" x14ac:dyDescent="0.25">
      <c r="A3071" s="8">
        <v>40820</v>
      </c>
      <c r="B3071" s="9">
        <v>40.82</v>
      </c>
    </row>
    <row r="3072" spans="1:2" x14ac:dyDescent="0.25">
      <c r="A3072" s="8">
        <v>40821</v>
      </c>
      <c r="B3072" s="9">
        <v>37.81</v>
      </c>
    </row>
    <row r="3073" spans="1:2" x14ac:dyDescent="0.25">
      <c r="A3073" s="8">
        <v>40822</v>
      </c>
      <c r="B3073" s="9">
        <v>36.270000000000003</v>
      </c>
    </row>
    <row r="3074" spans="1:2" x14ac:dyDescent="0.25">
      <c r="A3074" s="8">
        <v>40823</v>
      </c>
      <c r="B3074" s="9">
        <v>36.200000000000003</v>
      </c>
    </row>
    <row r="3075" spans="1:2" x14ac:dyDescent="0.25">
      <c r="A3075" s="8">
        <v>40826</v>
      </c>
      <c r="B3075" s="9">
        <v>33.020000000000003</v>
      </c>
    </row>
    <row r="3076" spans="1:2" x14ac:dyDescent="0.25">
      <c r="A3076" s="8">
        <v>40827</v>
      </c>
      <c r="B3076" s="9">
        <v>32.86</v>
      </c>
    </row>
    <row r="3077" spans="1:2" x14ac:dyDescent="0.25">
      <c r="A3077" s="8">
        <v>40828</v>
      </c>
      <c r="B3077" s="9">
        <v>31.26</v>
      </c>
    </row>
    <row r="3078" spans="1:2" x14ac:dyDescent="0.25">
      <c r="A3078" s="8">
        <v>40829</v>
      </c>
      <c r="B3078" s="9">
        <v>30.7</v>
      </c>
    </row>
    <row r="3079" spans="1:2" x14ac:dyDescent="0.25">
      <c r="A3079" s="8">
        <v>40830</v>
      </c>
      <c r="B3079" s="9">
        <v>28.24</v>
      </c>
    </row>
    <row r="3080" spans="1:2" x14ac:dyDescent="0.25">
      <c r="A3080" s="8">
        <v>40833</v>
      </c>
      <c r="B3080" s="9">
        <v>33.39</v>
      </c>
    </row>
    <row r="3081" spans="1:2" x14ac:dyDescent="0.25">
      <c r="A3081" s="8">
        <v>40834</v>
      </c>
      <c r="B3081" s="9">
        <v>31.56</v>
      </c>
    </row>
    <row r="3082" spans="1:2" x14ac:dyDescent="0.25">
      <c r="A3082" s="8">
        <v>40835</v>
      </c>
      <c r="B3082" s="9">
        <v>34.44</v>
      </c>
    </row>
    <row r="3083" spans="1:2" x14ac:dyDescent="0.25">
      <c r="A3083" s="8">
        <v>40836</v>
      </c>
      <c r="B3083" s="9">
        <v>34.78</v>
      </c>
    </row>
    <row r="3084" spans="1:2" x14ac:dyDescent="0.25">
      <c r="A3084" s="8">
        <v>40837</v>
      </c>
      <c r="B3084" s="9">
        <v>31.32</v>
      </c>
    </row>
    <row r="3085" spans="1:2" x14ac:dyDescent="0.25">
      <c r="A3085" s="8">
        <v>40840</v>
      </c>
      <c r="B3085" s="9">
        <v>29.26</v>
      </c>
    </row>
    <row r="3086" spans="1:2" x14ac:dyDescent="0.25">
      <c r="A3086" s="8">
        <v>40841</v>
      </c>
      <c r="B3086" s="9">
        <v>32.22</v>
      </c>
    </row>
    <row r="3087" spans="1:2" x14ac:dyDescent="0.25">
      <c r="A3087" s="8">
        <v>40842</v>
      </c>
      <c r="B3087" s="9">
        <v>29.86</v>
      </c>
    </row>
    <row r="3088" spans="1:2" x14ac:dyDescent="0.25">
      <c r="A3088" s="8">
        <v>40843</v>
      </c>
      <c r="B3088" s="9">
        <v>25.46</v>
      </c>
    </row>
    <row r="3089" spans="1:2" x14ac:dyDescent="0.25">
      <c r="A3089" s="8">
        <v>40844</v>
      </c>
      <c r="B3089" s="9">
        <v>24.53</v>
      </c>
    </row>
    <row r="3090" spans="1:2" x14ac:dyDescent="0.25">
      <c r="A3090" s="8">
        <v>40847</v>
      </c>
      <c r="B3090" s="9">
        <v>29.96</v>
      </c>
    </row>
    <row r="3091" spans="1:2" x14ac:dyDescent="0.25">
      <c r="A3091" s="8">
        <v>40848</v>
      </c>
      <c r="B3091" s="9">
        <v>34.770000000000003</v>
      </c>
    </row>
    <row r="3092" spans="1:2" x14ac:dyDescent="0.25">
      <c r="A3092" s="8">
        <v>40849</v>
      </c>
      <c r="B3092" s="9">
        <v>32.74</v>
      </c>
    </row>
    <row r="3093" spans="1:2" x14ac:dyDescent="0.25">
      <c r="A3093" s="8">
        <v>40850</v>
      </c>
      <c r="B3093" s="9">
        <v>30.5</v>
      </c>
    </row>
    <row r="3094" spans="1:2" x14ac:dyDescent="0.25">
      <c r="A3094" s="8">
        <v>40851</v>
      </c>
      <c r="B3094" s="9">
        <v>30.16</v>
      </c>
    </row>
    <row r="3095" spans="1:2" x14ac:dyDescent="0.25">
      <c r="A3095" s="8">
        <v>40854</v>
      </c>
      <c r="B3095" s="9">
        <v>29.85</v>
      </c>
    </row>
    <row r="3096" spans="1:2" x14ac:dyDescent="0.25">
      <c r="A3096" s="8">
        <v>40855</v>
      </c>
      <c r="B3096" s="9">
        <v>27.48</v>
      </c>
    </row>
    <row r="3097" spans="1:2" x14ac:dyDescent="0.25">
      <c r="A3097" s="8">
        <v>40856</v>
      </c>
      <c r="B3097" s="9">
        <v>36.159999999999997</v>
      </c>
    </row>
    <row r="3098" spans="1:2" x14ac:dyDescent="0.25">
      <c r="A3098" s="8">
        <v>40857</v>
      </c>
      <c r="B3098" s="9">
        <v>32.81</v>
      </c>
    </row>
    <row r="3099" spans="1:2" x14ac:dyDescent="0.25">
      <c r="A3099" s="8">
        <v>40858</v>
      </c>
      <c r="B3099" s="9">
        <v>30.04</v>
      </c>
    </row>
    <row r="3100" spans="1:2" x14ac:dyDescent="0.25">
      <c r="A3100" s="8">
        <v>40861</v>
      </c>
      <c r="B3100" s="9">
        <v>31.13</v>
      </c>
    </row>
    <row r="3101" spans="1:2" x14ac:dyDescent="0.25">
      <c r="A3101" s="8">
        <v>40862</v>
      </c>
      <c r="B3101" s="9">
        <v>31.22</v>
      </c>
    </row>
    <row r="3102" spans="1:2" x14ac:dyDescent="0.25">
      <c r="A3102" s="8">
        <v>40863</v>
      </c>
      <c r="B3102" s="9">
        <v>33.51</v>
      </c>
    </row>
    <row r="3103" spans="1:2" x14ac:dyDescent="0.25">
      <c r="A3103" s="8">
        <v>40864</v>
      </c>
      <c r="B3103" s="9">
        <v>34.51</v>
      </c>
    </row>
    <row r="3104" spans="1:2" x14ac:dyDescent="0.25">
      <c r="A3104" s="8">
        <v>40865</v>
      </c>
      <c r="B3104" s="9">
        <v>32</v>
      </c>
    </row>
    <row r="3105" spans="1:2" x14ac:dyDescent="0.25">
      <c r="A3105" s="8">
        <v>40868</v>
      </c>
      <c r="B3105" s="9">
        <v>32.909999999999997</v>
      </c>
    </row>
    <row r="3106" spans="1:2" x14ac:dyDescent="0.25">
      <c r="A3106" s="8">
        <v>40869</v>
      </c>
      <c r="B3106" s="9">
        <v>31.97</v>
      </c>
    </row>
    <row r="3107" spans="1:2" x14ac:dyDescent="0.25">
      <c r="A3107" s="8">
        <v>40870</v>
      </c>
      <c r="B3107" s="9">
        <v>33.979999999999997</v>
      </c>
    </row>
    <row r="3108" spans="1:2" x14ac:dyDescent="0.25">
      <c r="A3108" s="8">
        <v>40871</v>
      </c>
    </row>
    <row r="3109" spans="1:2" x14ac:dyDescent="0.25">
      <c r="A3109" s="8">
        <v>40872</v>
      </c>
      <c r="B3109" s="9">
        <v>34.47</v>
      </c>
    </row>
    <row r="3110" spans="1:2" x14ac:dyDescent="0.25">
      <c r="A3110" s="8">
        <v>40875</v>
      </c>
      <c r="B3110" s="9">
        <v>32.130000000000003</v>
      </c>
    </row>
    <row r="3111" spans="1:2" x14ac:dyDescent="0.25">
      <c r="A3111" s="8">
        <v>40876</v>
      </c>
      <c r="B3111" s="9">
        <v>30.64</v>
      </c>
    </row>
    <row r="3112" spans="1:2" x14ac:dyDescent="0.25">
      <c r="A3112" s="8">
        <v>40877</v>
      </c>
      <c r="B3112" s="9">
        <v>27.8</v>
      </c>
    </row>
    <row r="3113" spans="1:2" x14ac:dyDescent="0.25">
      <c r="A3113" s="8">
        <v>40878</v>
      </c>
      <c r="B3113" s="9">
        <v>27.41</v>
      </c>
    </row>
    <row r="3114" spans="1:2" x14ac:dyDescent="0.25">
      <c r="A3114" s="8">
        <v>40879</v>
      </c>
      <c r="B3114" s="9">
        <v>27.52</v>
      </c>
    </row>
    <row r="3115" spans="1:2" x14ac:dyDescent="0.25">
      <c r="A3115" s="8">
        <v>40882</v>
      </c>
      <c r="B3115" s="9">
        <v>27.84</v>
      </c>
    </row>
    <row r="3116" spans="1:2" x14ac:dyDescent="0.25">
      <c r="A3116" s="8">
        <v>40883</v>
      </c>
      <c r="B3116" s="9">
        <v>28.13</v>
      </c>
    </row>
    <row r="3117" spans="1:2" x14ac:dyDescent="0.25">
      <c r="A3117" s="8">
        <v>40884</v>
      </c>
      <c r="B3117" s="9">
        <v>28.67</v>
      </c>
    </row>
    <row r="3118" spans="1:2" x14ac:dyDescent="0.25">
      <c r="A3118" s="8">
        <v>40885</v>
      </c>
      <c r="B3118" s="9">
        <v>30.59</v>
      </c>
    </row>
    <row r="3119" spans="1:2" x14ac:dyDescent="0.25">
      <c r="A3119" s="8">
        <v>40886</v>
      </c>
      <c r="B3119" s="9">
        <v>26.38</v>
      </c>
    </row>
    <row r="3120" spans="1:2" x14ac:dyDescent="0.25">
      <c r="A3120" s="8">
        <v>40889</v>
      </c>
      <c r="B3120" s="9">
        <v>25.67</v>
      </c>
    </row>
    <row r="3121" spans="1:2" x14ac:dyDescent="0.25">
      <c r="A3121" s="8">
        <v>40890</v>
      </c>
      <c r="B3121" s="9">
        <v>25.41</v>
      </c>
    </row>
    <row r="3122" spans="1:2" x14ac:dyDescent="0.25">
      <c r="A3122" s="8">
        <v>40891</v>
      </c>
      <c r="B3122" s="9">
        <v>26.04</v>
      </c>
    </row>
    <row r="3123" spans="1:2" x14ac:dyDescent="0.25">
      <c r="A3123" s="8">
        <v>40892</v>
      </c>
      <c r="B3123" s="9">
        <v>25.11</v>
      </c>
    </row>
    <row r="3124" spans="1:2" x14ac:dyDescent="0.25">
      <c r="A3124" s="8">
        <v>40893</v>
      </c>
      <c r="B3124" s="9">
        <v>24.29</v>
      </c>
    </row>
    <row r="3125" spans="1:2" x14ac:dyDescent="0.25">
      <c r="A3125" s="8">
        <v>40896</v>
      </c>
      <c r="B3125" s="9">
        <v>24.92</v>
      </c>
    </row>
    <row r="3126" spans="1:2" x14ac:dyDescent="0.25">
      <c r="A3126" s="8">
        <v>40897</v>
      </c>
      <c r="B3126" s="9">
        <v>23.22</v>
      </c>
    </row>
    <row r="3127" spans="1:2" x14ac:dyDescent="0.25">
      <c r="A3127" s="8">
        <v>40898</v>
      </c>
      <c r="B3127" s="9">
        <v>21.43</v>
      </c>
    </row>
    <row r="3128" spans="1:2" x14ac:dyDescent="0.25">
      <c r="A3128" s="8">
        <v>40899</v>
      </c>
      <c r="B3128" s="9">
        <v>21.16</v>
      </c>
    </row>
    <row r="3129" spans="1:2" x14ac:dyDescent="0.25">
      <c r="A3129" s="8">
        <v>40900</v>
      </c>
      <c r="B3129" s="9">
        <v>20.73</v>
      </c>
    </row>
    <row r="3130" spans="1:2" x14ac:dyDescent="0.25">
      <c r="A3130" s="8">
        <v>40903</v>
      </c>
    </row>
    <row r="3131" spans="1:2" x14ac:dyDescent="0.25">
      <c r="A3131" s="8">
        <v>40904</v>
      </c>
      <c r="B3131" s="9">
        <v>21.91</v>
      </c>
    </row>
    <row r="3132" spans="1:2" x14ac:dyDescent="0.25">
      <c r="A3132" s="8">
        <v>40905</v>
      </c>
      <c r="B3132" s="9">
        <v>23.52</v>
      </c>
    </row>
    <row r="3133" spans="1:2" x14ac:dyDescent="0.25">
      <c r="A3133" s="8">
        <v>40906</v>
      </c>
      <c r="B3133" s="9">
        <v>22.65</v>
      </c>
    </row>
    <row r="3134" spans="1:2" x14ac:dyDescent="0.25">
      <c r="A3134" s="8">
        <v>40907</v>
      </c>
      <c r="B3134" s="9">
        <v>23.4</v>
      </c>
    </row>
    <row r="3135" spans="1:2" x14ac:dyDescent="0.25">
      <c r="A3135" s="8">
        <v>40910</v>
      </c>
    </row>
    <row r="3136" spans="1:2" x14ac:dyDescent="0.25">
      <c r="A3136" s="8">
        <v>40911</v>
      </c>
      <c r="B3136" s="9">
        <v>22.97</v>
      </c>
    </row>
    <row r="3137" spans="1:2" x14ac:dyDescent="0.25">
      <c r="A3137" s="8">
        <v>40912</v>
      </c>
      <c r="B3137" s="9">
        <v>22.22</v>
      </c>
    </row>
    <row r="3138" spans="1:2" x14ac:dyDescent="0.25">
      <c r="A3138" s="8">
        <v>40913</v>
      </c>
      <c r="B3138" s="9">
        <v>21.48</v>
      </c>
    </row>
    <row r="3139" spans="1:2" x14ac:dyDescent="0.25">
      <c r="A3139" s="8">
        <v>40914</v>
      </c>
      <c r="B3139" s="9">
        <v>20.63</v>
      </c>
    </row>
    <row r="3140" spans="1:2" x14ac:dyDescent="0.25">
      <c r="A3140" s="8">
        <v>40917</v>
      </c>
      <c r="B3140" s="9">
        <v>21.07</v>
      </c>
    </row>
    <row r="3141" spans="1:2" x14ac:dyDescent="0.25">
      <c r="A3141" s="8">
        <v>40918</v>
      </c>
      <c r="B3141" s="9">
        <v>20.69</v>
      </c>
    </row>
    <row r="3142" spans="1:2" x14ac:dyDescent="0.25">
      <c r="A3142" s="8">
        <v>40919</v>
      </c>
      <c r="B3142" s="9">
        <v>21.05</v>
      </c>
    </row>
    <row r="3143" spans="1:2" x14ac:dyDescent="0.25">
      <c r="A3143" s="8">
        <v>40920</v>
      </c>
      <c r="B3143" s="9">
        <v>20.47</v>
      </c>
    </row>
    <row r="3144" spans="1:2" x14ac:dyDescent="0.25">
      <c r="A3144" s="8">
        <v>40921</v>
      </c>
      <c r="B3144" s="9">
        <v>20.91</v>
      </c>
    </row>
    <row r="3145" spans="1:2" x14ac:dyDescent="0.25">
      <c r="A3145" s="8">
        <v>40924</v>
      </c>
    </row>
    <row r="3146" spans="1:2" x14ac:dyDescent="0.25">
      <c r="A3146" s="8">
        <v>40925</v>
      </c>
      <c r="B3146" s="9">
        <v>22.2</v>
      </c>
    </row>
    <row r="3147" spans="1:2" x14ac:dyDescent="0.25">
      <c r="A3147" s="8">
        <v>40926</v>
      </c>
      <c r="B3147" s="9">
        <v>20.89</v>
      </c>
    </row>
    <row r="3148" spans="1:2" x14ac:dyDescent="0.25">
      <c r="A3148" s="8">
        <v>40927</v>
      </c>
      <c r="B3148" s="9">
        <v>19.87</v>
      </c>
    </row>
    <row r="3149" spans="1:2" x14ac:dyDescent="0.25">
      <c r="A3149" s="8">
        <v>40928</v>
      </c>
      <c r="B3149" s="9">
        <v>18.28</v>
      </c>
    </row>
    <row r="3150" spans="1:2" x14ac:dyDescent="0.25">
      <c r="A3150" s="8">
        <v>40931</v>
      </c>
      <c r="B3150" s="9">
        <v>18.670000000000002</v>
      </c>
    </row>
    <row r="3151" spans="1:2" x14ac:dyDescent="0.25">
      <c r="A3151" s="8">
        <v>40932</v>
      </c>
      <c r="B3151" s="9">
        <v>18.91</v>
      </c>
    </row>
    <row r="3152" spans="1:2" x14ac:dyDescent="0.25">
      <c r="A3152" s="8">
        <v>40933</v>
      </c>
      <c r="B3152" s="9">
        <v>18.309999999999999</v>
      </c>
    </row>
    <row r="3153" spans="1:2" x14ac:dyDescent="0.25">
      <c r="A3153" s="8">
        <v>40934</v>
      </c>
      <c r="B3153" s="9">
        <v>18.57</v>
      </c>
    </row>
    <row r="3154" spans="1:2" x14ac:dyDescent="0.25">
      <c r="A3154" s="8">
        <v>40935</v>
      </c>
      <c r="B3154" s="9">
        <v>18.53</v>
      </c>
    </row>
    <row r="3155" spans="1:2" x14ac:dyDescent="0.25">
      <c r="A3155" s="8">
        <v>40938</v>
      </c>
      <c r="B3155" s="9">
        <v>19.399999999999999</v>
      </c>
    </row>
    <row r="3156" spans="1:2" x14ac:dyDescent="0.25">
      <c r="A3156" s="8">
        <v>40939</v>
      </c>
      <c r="B3156" s="9">
        <v>19.440000000000001</v>
      </c>
    </row>
    <row r="3157" spans="1:2" x14ac:dyDescent="0.25">
      <c r="A3157" s="8">
        <v>40940</v>
      </c>
      <c r="B3157" s="9">
        <v>18.55</v>
      </c>
    </row>
    <row r="3158" spans="1:2" x14ac:dyDescent="0.25">
      <c r="A3158" s="8">
        <v>40941</v>
      </c>
      <c r="B3158" s="9">
        <v>17.98</v>
      </c>
    </row>
    <row r="3159" spans="1:2" x14ac:dyDescent="0.25">
      <c r="A3159" s="8">
        <v>40942</v>
      </c>
      <c r="B3159" s="9">
        <v>17.100000000000001</v>
      </c>
    </row>
    <row r="3160" spans="1:2" x14ac:dyDescent="0.25">
      <c r="A3160" s="8">
        <v>40945</v>
      </c>
      <c r="B3160" s="9">
        <v>17.760000000000002</v>
      </c>
    </row>
    <row r="3161" spans="1:2" x14ac:dyDescent="0.25">
      <c r="A3161" s="8">
        <v>40946</v>
      </c>
      <c r="B3161" s="9">
        <v>17.649999999999999</v>
      </c>
    </row>
    <row r="3162" spans="1:2" x14ac:dyDescent="0.25">
      <c r="A3162" s="8">
        <v>40947</v>
      </c>
      <c r="B3162" s="9">
        <v>18.16</v>
      </c>
    </row>
    <row r="3163" spans="1:2" x14ac:dyDescent="0.25">
      <c r="A3163" s="8">
        <v>40948</v>
      </c>
      <c r="B3163" s="9">
        <v>18.63</v>
      </c>
    </row>
    <row r="3164" spans="1:2" x14ac:dyDescent="0.25">
      <c r="A3164" s="8">
        <v>40949</v>
      </c>
      <c r="B3164" s="9">
        <v>20.79</v>
      </c>
    </row>
    <row r="3165" spans="1:2" x14ac:dyDescent="0.25">
      <c r="A3165" s="8">
        <v>40952</v>
      </c>
      <c r="B3165" s="9">
        <v>19.04</v>
      </c>
    </row>
    <row r="3166" spans="1:2" x14ac:dyDescent="0.25">
      <c r="A3166" s="8">
        <v>40953</v>
      </c>
      <c r="B3166" s="9">
        <v>19.54</v>
      </c>
    </row>
    <row r="3167" spans="1:2" x14ac:dyDescent="0.25">
      <c r="A3167" s="8">
        <v>40954</v>
      </c>
      <c r="B3167" s="9">
        <v>21.14</v>
      </c>
    </row>
    <row r="3168" spans="1:2" x14ac:dyDescent="0.25">
      <c r="A3168" s="8">
        <v>40955</v>
      </c>
      <c r="B3168" s="9">
        <v>19.22</v>
      </c>
    </row>
    <row r="3169" spans="1:2" x14ac:dyDescent="0.25">
      <c r="A3169" s="8">
        <v>40956</v>
      </c>
      <c r="B3169" s="9">
        <v>17.78</v>
      </c>
    </row>
    <row r="3170" spans="1:2" x14ac:dyDescent="0.25">
      <c r="A3170" s="8">
        <v>40959</v>
      </c>
    </row>
    <row r="3171" spans="1:2" x14ac:dyDescent="0.25">
      <c r="A3171" s="8">
        <v>40960</v>
      </c>
      <c r="B3171" s="9">
        <v>18.190000000000001</v>
      </c>
    </row>
    <row r="3172" spans="1:2" x14ac:dyDescent="0.25">
      <c r="A3172" s="8">
        <v>40961</v>
      </c>
      <c r="B3172" s="9">
        <v>18.190000000000001</v>
      </c>
    </row>
    <row r="3173" spans="1:2" x14ac:dyDescent="0.25">
      <c r="A3173" s="8">
        <v>40962</v>
      </c>
      <c r="B3173" s="9">
        <v>16.8</v>
      </c>
    </row>
    <row r="3174" spans="1:2" x14ac:dyDescent="0.25">
      <c r="A3174" s="8">
        <v>40963</v>
      </c>
      <c r="B3174" s="9">
        <v>17.309999999999999</v>
      </c>
    </row>
    <row r="3175" spans="1:2" x14ac:dyDescent="0.25">
      <c r="A3175" s="8">
        <v>40966</v>
      </c>
      <c r="B3175" s="9">
        <v>18.190000000000001</v>
      </c>
    </row>
    <row r="3176" spans="1:2" x14ac:dyDescent="0.25">
      <c r="A3176" s="8">
        <v>40967</v>
      </c>
      <c r="B3176" s="9">
        <v>17.96</v>
      </c>
    </row>
    <row r="3177" spans="1:2" x14ac:dyDescent="0.25">
      <c r="A3177" s="8">
        <v>40968</v>
      </c>
      <c r="B3177" s="9">
        <v>18.43</v>
      </c>
    </row>
    <row r="3178" spans="1:2" x14ac:dyDescent="0.25">
      <c r="A3178" s="8">
        <v>40969</v>
      </c>
      <c r="B3178" s="9">
        <v>17.260000000000002</v>
      </c>
    </row>
    <row r="3179" spans="1:2" x14ac:dyDescent="0.25">
      <c r="A3179" s="8">
        <v>40970</v>
      </c>
      <c r="B3179" s="9">
        <v>17.29</v>
      </c>
    </row>
    <row r="3180" spans="1:2" x14ac:dyDescent="0.25">
      <c r="A3180" s="8">
        <v>40973</v>
      </c>
      <c r="B3180" s="9">
        <v>18.05</v>
      </c>
    </row>
    <row r="3181" spans="1:2" x14ac:dyDescent="0.25">
      <c r="A3181" s="8">
        <v>40974</v>
      </c>
      <c r="B3181" s="9">
        <v>20.87</v>
      </c>
    </row>
    <row r="3182" spans="1:2" x14ac:dyDescent="0.25">
      <c r="A3182" s="8">
        <v>40975</v>
      </c>
      <c r="B3182" s="9">
        <v>19.07</v>
      </c>
    </row>
    <row r="3183" spans="1:2" x14ac:dyDescent="0.25">
      <c r="A3183" s="8">
        <v>40976</v>
      </c>
      <c r="B3183" s="9">
        <v>17.95</v>
      </c>
    </row>
    <row r="3184" spans="1:2" x14ac:dyDescent="0.25">
      <c r="A3184" s="8">
        <v>40977</v>
      </c>
      <c r="B3184" s="9">
        <v>17.11</v>
      </c>
    </row>
    <row r="3185" spans="1:2" x14ac:dyDescent="0.25">
      <c r="A3185" s="8">
        <v>40980</v>
      </c>
      <c r="B3185" s="9">
        <v>15.64</v>
      </c>
    </row>
    <row r="3186" spans="1:2" x14ac:dyDescent="0.25">
      <c r="A3186" s="8">
        <v>40981</v>
      </c>
      <c r="B3186" s="9">
        <v>14.8</v>
      </c>
    </row>
    <row r="3187" spans="1:2" x14ac:dyDescent="0.25">
      <c r="A3187" s="8">
        <v>40982</v>
      </c>
      <c r="B3187" s="9">
        <v>15.31</v>
      </c>
    </row>
    <row r="3188" spans="1:2" x14ac:dyDescent="0.25">
      <c r="A3188" s="8">
        <v>40983</v>
      </c>
      <c r="B3188" s="9">
        <v>15.42</v>
      </c>
    </row>
    <row r="3189" spans="1:2" x14ac:dyDescent="0.25">
      <c r="A3189" s="8">
        <v>40984</v>
      </c>
      <c r="B3189" s="9">
        <v>14.47</v>
      </c>
    </row>
    <row r="3190" spans="1:2" x14ac:dyDescent="0.25">
      <c r="A3190" s="8">
        <v>40987</v>
      </c>
      <c r="B3190" s="9">
        <v>15.04</v>
      </c>
    </row>
    <row r="3191" spans="1:2" x14ac:dyDescent="0.25">
      <c r="A3191" s="8">
        <v>40988</v>
      </c>
      <c r="B3191" s="9">
        <v>15.58</v>
      </c>
    </row>
    <row r="3192" spans="1:2" x14ac:dyDescent="0.25">
      <c r="A3192" s="8">
        <v>40989</v>
      </c>
      <c r="B3192" s="9">
        <v>15.13</v>
      </c>
    </row>
    <row r="3193" spans="1:2" x14ac:dyDescent="0.25">
      <c r="A3193" s="8">
        <v>40990</v>
      </c>
      <c r="B3193" s="9">
        <v>15.57</v>
      </c>
    </row>
    <row r="3194" spans="1:2" x14ac:dyDescent="0.25">
      <c r="A3194" s="8">
        <v>40991</v>
      </c>
      <c r="B3194" s="9">
        <v>14.82</v>
      </c>
    </row>
    <row r="3195" spans="1:2" x14ac:dyDescent="0.25">
      <c r="A3195" s="8">
        <v>40994</v>
      </c>
      <c r="B3195" s="9">
        <v>14.26</v>
      </c>
    </row>
    <row r="3196" spans="1:2" x14ac:dyDescent="0.25">
      <c r="A3196" s="8">
        <v>40995</v>
      </c>
      <c r="B3196" s="9">
        <v>15.59</v>
      </c>
    </row>
    <row r="3197" spans="1:2" x14ac:dyDescent="0.25">
      <c r="A3197" s="8">
        <v>40996</v>
      </c>
      <c r="B3197" s="9">
        <v>15.47</v>
      </c>
    </row>
    <row r="3198" spans="1:2" x14ac:dyDescent="0.25">
      <c r="A3198" s="8">
        <v>40997</v>
      </c>
      <c r="B3198" s="9">
        <v>15.48</v>
      </c>
    </row>
    <row r="3199" spans="1:2" x14ac:dyDescent="0.25">
      <c r="A3199" s="8">
        <v>40998</v>
      </c>
      <c r="B3199" s="9">
        <v>15.5</v>
      </c>
    </row>
    <row r="3200" spans="1:2" x14ac:dyDescent="0.25">
      <c r="A3200" s="8">
        <v>41001</v>
      </c>
      <c r="B3200" s="9">
        <v>15.64</v>
      </c>
    </row>
    <row r="3201" spans="1:2" x14ac:dyDescent="0.25">
      <c r="A3201" s="8">
        <v>41002</v>
      </c>
      <c r="B3201" s="9">
        <v>15.66</v>
      </c>
    </row>
    <row r="3202" spans="1:2" x14ac:dyDescent="0.25">
      <c r="A3202" s="8">
        <v>41003</v>
      </c>
      <c r="B3202" s="9">
        <v>16.440000000000001</v>
      </c>
    </row>
    <row r="3203" spans="1:2" x14ac:dyDescent="0.25">
      <c r="A3203" s="8">
        <v>41004</v>
      </c>
      <c r="B3203" s="9">
        <v>16.7</v>
      </c>
    </row>
    <row r="3204" spans="1:2" x14ac:dyDescent="0.25">
      <c r="A3204" s="8">
        <v>41005</v>
      </c>
    </row>
    <row r="3205" spans="1:2" x14ac:dyDescent="0.25">
      <c r="A3205" s="8">
        <v>41008</v>
      </c>
      <c r="B3205" s="9">
        <v>18.809999999999999</v>
      </c>
    </row>
    <row r="3206" spans="1:2" x14ac:dyDescent="0.25">
      <c r="A3206" s="8">
        <v>41009</v>
      </c>
      <c r="B3206" s="9">
        <v>20.39</v>
      </c>
    </row>
    <row r="3207" spans="1:2" x14ac:dyDescent="0.25">
      <c r="A3207" s="8">
        <v>41010</v>
      </c>
      <c r="B3207" s="9">
        <v>20.02</v>
      </c>
    </row>
    <row r="3208" spans="1:2" x14ac:dyDescent="0.25">
      <c r="A3208" s="8">
        <v>41011</v>
      </c>
      <c r="B3208" s="9">
        <v>17.2</v>
      </c>
    </row>
    <row r="3209" spans="1:2" x14ac:dyDescent="0.25">
      <c r="A3209" s="8">
        <v>41012</v>
      </c>
      <c r="B3209" s="9">
        <v>19.55</v>
      </c>
    </row>
    <row r="3210" spans="1:2" x14ac:dyDescent="0.25">
      <c r="A3210" s="8">
        <v>41015</v>
      </c>
      <c r="B3210" s="9">
        <v>19.55</v>
      </c>
    </row>
    <row r="3211" spans="1:2" x14ac:dyDescent="0.25">
      <c r="A3211" s="8">
        <v>41016</v>
      </c>
      <c r="B3211" s="9">
        <v>18.46</v>
      </c>
    </row>
    <row r="3212" spans="1:2" x14ac:dyDescent="0.25">
      <c r="A3212" s="8">
        <v>41017</v>
      </c>
      <c r="B3212" s="9">
        <v>18.64</v>
      </c>
    </row>
    <row r="3213" spans="1:2" x14ac:dyDescent="0.25">
      <c r="A3213" s="8">
        <v>41018</v>
      </c>
      <c r="B3213" s="9">
        <v>18.36</v>
      </c>
    </row>
    <row r="3214" spans="1:2" x14ac:dyDescent="0.25">
      <c r="A3214" s="8">
        <v>41019</v>
      </c>
      <c r="B3214" s="9">
        <v>17.440000000000001</v>
      </c>
    </row>
    <row r="3215" spans="1:2" x14ac:dyDescent="0.25">
      <c r="A3215" s="8">
        <v>41022</v>
      </c>
      <c r="B3215" s="9">
        <v>18.97</v>
      </c>
    </row>
    <row r="3216" spans="1:2" x14ac:dyDescent="0.25">
      <c r="A3216" s="8">
        <v>41023</v>
      </c>
      <c r="B3216" s="9">
        <v>18.100000000000001</v>
      </c>
    </row>
    <row r="3217" spans="1:2" x14ac:dyDescent="0.25">
      <c r="A3217" s="8">
        <v>41024</v>
      </c>
      <c r="B3217" s="9">
        <v>16.82</v>
      </c>
    </row>
    <row r="3218" spans="1:2" x14ac:dyDescent="0.25">
      <c r="A3218" s="8">
        <v>41025</v>
      </c>
      <c r="B3218" s="9">
        <v>16.239999999999998</v>
      </c>
    </row>
    <row r="3219" spans="1:2" x14ac:dyDescent="0.25">
      <c r="A3219" s="8">
        <v>41026</v>
      </c>
      <c r="B3219" s="9">
        <v>16.32</v>
      </c>
    </row>
    <row r="3220" spans="1:2" x14ac:dyDescent="0.25">
      <c r="A3220" s="8">
        <v>41029</v>
      </c>
      <c r="B3220" s="9">
        <v>17.149999999999999</v>
      </c>
    </row>
    <row r="3221" spans="1:2" x14ac:dyDescent="0.25">
      <c r="A3221" s="8">
        <v>41030</v>
      </c>
      <c r="B3221" s="9">
        <v>16.600000000000001</v>
      </c>
    </row>
    <row r="3222" spans="1:2" x14ac:dyDescent="0.25">
      <c r="A3222" s="8">
        <v>41031</v>
      </c>
      <c r="B3222" s="9">
        <v>16.88</v>
      </c>
    </row>
    <row r="3223" spans="1:2" x14ac:dyDescent="0.25">
      <c r="A3223" s="8">
        <v>41032</v>
      </c>
      <c r="B3223" s="9">
        <v>17.559999999999999</v>
      </c>
    </row>
    <row r="3224" spans="1:2" x14ac:dyDescent="0.25">
      <c r="A3224" s="8">
        <v>41033</v>
      </c>
      <c r="B3224" s="9">
        <v>19.16</v>
      </c>
    </row>
    <row r="3225" spans="1:2" x14ac:dyDescent="0.25">
      <c r="A3225" s="8">
        <v>41036</v>
      </c>
      <c r="B3225" s="9">
        <v>18.940000000000001</v>
      </c>
    </row>
    <row r="3226" spans="1:2" x14ac:dyDescent="0.25">
      <c r="A3226" s="8">
        <v>41037</v>
      </c>
      <c r="B3226" s="9">
        <v>19.05</v>
      </c>
    </row>
    <row r="3227" spans="1:2" x14ac:dyDescent="0.25">
      <c r="A3227" s="8">
        <v>41038</v>
      </c>
      <c r="B3227" s="9">
        <v>20.079999999999998</v>
      </c>
    </row>
    <row r="3228" spans="1:2" x14ac:dyDescent="0.25">
      <c r="A3228" s="8">
        <v>41039</v>
      </c>
      <c r="B3228" s="9">
        <v>18.829999999999998</v>
      </c>
    </row>
    <row r="3229" spans="1:2" x14ac:dyDescent="0.25">
      <c r="A3229" s="8">
        <v>41040</v>
      </c>
      <c r="B3229" s="9">
        <v>19.89</v>
      </c>
    </row>
    <row r="3230" spans="1:2" x14ac:dyDescent="0.25">
      <c r="A3230" s="8">
        <v>41043</v>
      </c>
      <c r="B3230" s="9">
        <v>21.87</v>
      </c>
    </row>
    <row r="3231" spans="1:2" x14ac:dyDescent="0.25">
      <c r="A3231" s="8">
        <v>41044</v>
      </c>
      <c r="B3231" s="9">
        <v>21.97</v>
      </c>
    </row>
    <row r="3232" spans="1:2" x14ac:dyDescent="0.25">
      <c r="A3232" s="8">
        <v>41045</v>
      </c>
      <c r="B3232" s="9">
        <v>22.27</v>
      </c>
    </row>
    <row r="3233" spans="1:2" x14ac:dyDescent="0.25">
      <c r="A3233" s="8">
        <v>41046</v>
      </c>
      <c r="B3233" s="9">
        <v>24.49</v>
      </c>
    </row>
    <row r="3234" spans="1:2" x14ac:dyDescent="0.25">
      <c r="A3234" s="8">
        <v>41047</v>
      </c>
      <c r="B3234" s="9">
        <v>25.1</v>
      </c>
    </row>
    <row r="3235" spans="1:2" x14ac:dyDescent="0.25">
      <c r="A3235" s="8">
        <v>41050</v>
      </c>
      <c r="B3235" s="9">
        <v>22.01</v>
      </c>
    </row>
    <row r="3236" spans="1:2" x14ac:dyDescent="0.25">
      <c r="A3236" s="8">
        <v>41051</v>
      </c>
      <c r="B3236" s="9">
        <v>22.48</v>
      </c>
    </row>
    <row r="3237" spans="1:2" x14ac:dyDescent="0.25">
      <c r="A3237" s="8">
        <v>41052</v>
      </c>
      <c r="B3237" s="9">
        <v>22.33</v>
      </c>
    </row>
    <row r="3238" spans="1:2" x14ac:dyDescent="0.25">
      <c r="A3238" s="8">
        <v>41053</v>
      </c>
      <c r="B3238" s="9">
        <v>21.54</v>
      </c>
    </row>
    <row r="3239" spans="1:2" x14ac:dyDescent="0.25">
      <c r="A3239" s="8">
        <v>41054</v>
      </c>
      <c r="B3239" s="9">
        <v>21.76</v>
      </c>
    </row>
    <row r="3240" spans="1:2" x14ac:dyDescent="0.25">
      <c r="A3240" s="8">
        <v>41057</v>
      </c>
    </row>
    <row r="3241" spans="1:2" x14ac:dyDescent="0.25">
      <c r="A3241" s="8">
        <v>41058</v>
      </c>
      <c r="B3241" s="9">
        <v>21.03</v>
      </c>
    </row>
    <row r="3242" spans="1:2" x14ac:dyDescent="0.25">
      <c r="A3242" s="8">
        <v>41059</v>
      </c>
      <c r="B3242" s="9">
        <v>24.14</v>
      </c>
    </row>
    <row r="3243" spans="1:2" x14ac:dyDescent="0.25">
      <c r="A3243" s="8">
        <v>41060</v>
      </c>
      <c r="B3243" s="9">
        <v>24.06</v>
      </c>
    </row>
    <row r="3244" spans="1:2" x14ac:dyDescent="0.25">
      <c r="A3244" s="8">
        <v>41061</v>
      </c>
      <c r="B3244" s="9">
        <v>26.66</v>
      </c>
    </row>
    <row r="3245" spans="1:2" x14ac:dyDescent="0.25">
      <c r="A3245" s="8">
        <v>41064</v>
      </c>
      <c r="B3245" s="9">
        <v>26.12</v>
      </c>
    </row>
    <row r="3246" spans="1:2" x14ac:dyDescent="0.25">
      <c r="A3246" s="8">
        <v>41065</v>
      </c>
      <c r="B3246" s="9">
        <v>24.68</v>
      </c>
    </row>
    <row r="3247" spans="1:2" x14ac:dyDescent="0.25">
      <c r="A3247" s="8">
        <v>41066</v>
      </c>
      <c r="B3247" s="9">
        <v>22.16</v>
      </c>
    </row>
    <row r="3248" spans="1:2" x14ac:dyDescent="0.25">
      <c r="A3248" s="8">
        <v>41067</v>
      </c>
      <c r="B3248" s="9">
        <v>21.72</v>
      </c>
    </row>
    <row r="3249" spans="1:2" x14ac:dyDescent="0.25">
      <c r="A3249" s="8">
        <v>41068</v>
      </c>
      <c r="B3249" s="9">
        <v>21.23</v>
      </c>
    </row>
    <row r="3250" spans="1:2" x14ac:dyDescent="0.25">
      <c r="A3250" s="8">
        <v>41071</v>
      </c>
      <c r="B3250" s="9">
        <v>23.56</v>
      </c>
    </row>
    <row r="3251" spans="1:2" x14ac:dyDescent="0.25">
      <c r="A3251" s="8">
        <v>41072</v>
      </c>
      <c r="B3251" s="9">
        <v>22.09</v>
      </c>
    </row>
    <row r="3252" spans="1:2" x14ac:dyDescent="0.25">
      <c r="A3252" s="8">
        <v>41073</v>
      </c>
      <c r="B3252" s="9">
        <v>24.27</v>
      </c>
    </row>
    <row r="3253" spans="1:2" x14ac:dyDescent="0.25">
      <c r="A3253" s="8">
        <v>41074</v>
      </c>
      <c r="B3253" s="9">
        <v>21.68</v>
      </c>
    </row>
    <row r="3254" spans="1:2" x14ac:dyDescent="0.25">
      <c r="A3254" s="8">
        <v>41075</v>
      </c>
      <c r="B3254" s="9">
        <v>21.11</v>
      </c>
    </row>
    <row r="3255" spans="1:2" x14ac:dyDescent="0.25">
      <c r="A3255" s="8">
        <v>41078</v>
      </c>
      <c r="B3255" s="9">
        <v>18.32</v>
      </c>
    </row>
    <row r="3256" spans="1:2" x14ac:dyDescent="0.25">
      <c r="A3256" s="8">
        <v>41079</v>
      </c>
      <c r="B3256" s="9">
        <v>18.38</v>
      </c>
    </row>
    <row r="3257" spans="1:2" x14ac:dyDescent="0.25">
      <c r="A3257" s="8">
        <v>41080</v>
      </c>
      <c r="B3257" s="9">
        <v>17.239999999999998</v>
      </c>
    </row>
    <row r="3258" spans="1:2" x14ac:dyDescent="0.25">
      <c r="A3258" s="8">
        <v>41081</v>
      </c>
      <c r="B3258" s="9">
        <v>20.079999999999998</v>
      </c>
    </row>
    <row r="3259" spans="1:2" x14ac:dyDescent="0.25">
      <c r="A3259" s="8">
        <v>41082</v>
      </c>
      <c r="B3259" s="9">
        <v>18.11</v>
      </c>
    </row>
    <row r="3260" spans="1:2" x14ac:dyDescent="0.25">
      <c r="A3260" s="8">
        <v>41085</v>
      </c>
      <c r="B3260" s="9">
        <v>20.38</v>
      </c>
    </row>
    <row r="3261" spans="1:2" x14ac:dyDescent="0.25">
      <c r="A3261" s="8">
        <v>41086</v>
      </c>
      <c r="B3261" s="9">
        <v>19.72</v>
      </c>
    </row>
    <row r="3262" spans="1:2" x14ac:dyDescent="0.25">
      <c r="A3262" s="8">
        <v>41087</v>
      </c>
      <c r="B3262" s="9">
        <v>19.45</v>
      </c>
    </row>
    <row r="3263" spans="1:2" x14ac:dyDescent="0.25">
      <c r="A3263" s="8">
        <v>41088</v>
      </c>
      <c r="B3263" s="9">
        <v>19.71</v>
      </c>
    </row>
    <row r="3264" spans="1:2" x14ac:dyDescent="0.25">
      <c r="A3264" s="8">
        <v>41089</v>
      </c>
      <c r="B3264" s="9">
        <v>17.079999999999998</v>
      </c>
    </row>
    <row r="3265" spans="1:2" x14ac:dyDescent="0.25">
      <c r="A3265" s="8">
        <v>41092</v>
      </c>
      <c r="B3265" s="9">
        <v>16.8</v>
      </c>
    </row>
    <row r="3266" spans="1:2" x14ac:dyDescent="0.25">
      <c r="A3266" s="8">
        <v>41093</v>
      </c>
      <c r="B3266" s="9">
        <v>16.66</v>
      </c>
    </row>
    <row r="3267" spans="1:2" x14ac:dyDescent="0.25">
      <c r="A3267" s="8">
        <v>41094</v>
      </c>
    </row>
    <row r="3268" spans="1:2" x14ac:dyDescent="0.25">
      <c r="A3268" s="8">
        <v>41095</v>
      </c>
      <c r="B3268" s="9">
        <v>17.5</v>
      </c>
    </row>
    <row r="3269" spans="1:2" x14ac:dyDescent="0.25">
      <c r="A3269" s="8">
        <v>41096</v>
      </c>
      <c r="B3269" s="9">
        <v>17.100000000000001</v>
      </c>
    </row>
    <row r="3270" spans="1:2" x14ac:dyDescent="0.25">
      <c r="A3270" s="8">
        <v>41099</v>
      </c>
      <c r="B3270" s="9">
        <v>17.98</v>
      </c>
    </row>
    <row r="3271" spans="1:2" x14ac:dyDescent="0.25">
      <c r="A3271" s="8">
        <v>41100</v>
      </c>
      <c r="B3271" s="9">
        <v>18.72</v>
      </c>
    </row>
    <row r="3272" spans="1:2" x14ac:dyDescent="0.25">
      <c r="A3272" s="8">
        <v>41101</v>
      </c>
      <c r="B3272" s="9">
        <v>17.95</v>
      </c>
    </row>
    <row r="3273" spans="1:2" x14ac:dyDescent="0.25">
      <c r="A3273" s="8">
        <v>41102</v>
      </c>
      <c r="B3273" s="9">
        <v>18.329999999999998</v>
      </c>
    </row>
    <row r="3274" spans="1:2" x14ac:dyDescent="0.25">
      <c r="A3274" s="8">
        <v>41103</v>
      </c>
      <c r="B3274" s="9">
        <v>16.739999999999998</v>
      </c>
    </row>
    <row r="3275" spans="1:2" x14ac:dyDescent="0.25">
      <c r="A3275" s="8">
        <v>41106</v>
      </c>
      <c r="B3275" s="9">
        <v>17.11</v>
      </c>
    </row>
    <row r="3276" spans="1:2" x14ac:dyDescent="0.25">
      <c r="A3276" s="8">
        <v>41107</v>
      </c>
      <c r="B3276" s="9">
        <v>16.48</v>
      </c>
    </row>
    <row r="3277" spans="1:2" x14ac:dyDescent="0.25">
      <c r="A3277" s="8">
        <v>41108</v>
      </c>
      <c r="B3277" s="9">
        <v>16.16</v>
      </c>
    </row>
    <row r="3278" spans="1:2" x14ac:dyDescent="0.25">
      <c r="A3278" s="8">
        <v>41109</v>
      </c>
      <c r="B3278" s="9">
        <v>15.45</v>
      </c>
    </row>
    <row r="3279" spans="1:2" x14ac:dyDescent="0.25">
      <c r="A3279" s="8">
        <v>41110</v>
      </c>
      <c r="B3279" s="9">
        <v>16.27</v>
      </c>
    </row>
    <row r="3280" spans="1:2" x14ac:dyDescent="0.25">
      <c r="A3280" s="8">
        <v>41113</v>
      </c>
      <c r="B3280" s="9">
        <v>18.62</v>
      </c>
    </row>
    <row r="3281" spans="1:2" x14ac:dyDescent="0.25">
      <c r="A3281" s="8">
        <v>41114</v>
      </c>
      <c r="B3281" s="9">
        <v>20.47</v>
      </c>
    </row>
    <row r="3282" spans="1:2" x14ac:dyDescent="0.25">
      <c r="A3282" s="8">
        <v>41115</v>
      </c>
      <c r="B3282" s="9">
        <v>19.34</v>
      </c>
    </row>
    <row r="3283" spans="1:2" x14ac:dyDescent="0.25">
      <c r="A3283" s="8">
        <v>41116</v>
      </c>
      <c r="B3283" s="9">
        <v>17.53</v>
      </c>
    </row>
    <row r="3284" spans="1:2" x14ac:dyDescent="0.25">
      <c r="A3284" s="8">
        <v>41117</v>
      </c>
      <c r="B3284" s="9">
        <v>16.7</v>
      </c>
    </row>
    <row r="3285" spans="1:2" x14ac:dyDescent="0.25">
      <c r="A3285" s="8">
        <v>41120</v>
      </c>
      <c r="B3285" s="9">
        <v>18.03</v>
      </c>
    </row>
    <row r="3286" spans="1:2" x14ac:dyDescent="0.25">
      <c r="A3286" s="8">
        <v>41121</v>
      </c>
      <c r="B3286" s="9">
        <v>18.93</v>
      </c>
    </row>
    <row r="3287" spans="1:2" x14ac:dyDescent="0.25">
      <c r="A3287" s="8">
        <v>41122</v>
      </c>
      <c r="B3287" s="9">
        <v>18.96</v>
      </c>
    </row>
    <row r="3288" spans="1:2" x14ac:dyDescent="0.25">
      <c r="A3288" s="8">
        <v>41123</v>
      </c>
      <c r="B3288" s="9">
        <v>17.57</v>
      </c>
    </row>
    <row r="3289" spans="1:2" x14ac:dyDescent="0.25">
      <c r="A3289" s="8">
        <v>41124</v>
      </c>
      <c r="B3289" s="9">
        <v>15.64</v>
      </c>
    </row>
    <row r="3290" spans="1:2" x14ac:dyDescent="0.25">
      <c r="A3290" s="8">
        <v>41127</v>
      </c>
      <c r="B3290" s="9">
        <v>15.95</v>
      </c>
    </row>
    <row r="3291" spans="1:2" x14ac:dyDescent="0.25">
      <c r="A3291" s="8">
        <v>41128</v>
      </c>
      <c r="B3291" s="9">
        <v>15.99</v>
      </c>
    </row>
    <row r="3292" spans="1:2" x14ac:dyDescent="0.25">
      <c r="A3292" s="8">
        <v>41129</v>
      </c>
      <c r="B3292" s="9">
        <v>15.32</v>
      </c>
    </row>
    <row r="3293" spans="1:2" x14ac:dyDescent="0.25">
      <c r="A3293" s="8">
        <v>41130</v>
      </c>
      <c r="B3293" s="9">
        <v>15.28</v>
      </c>
    </row>
    <row r="3294" spans="1:2" x14ac:dyDescent="0.25">
      <c r="A3294" s="8">
        <v>41131</v>
      </c>
      <c r="B3294" s="9">
        <v>14.74</v>
      </c>
    </row>
    <row r="3295" spans="1:2" x14ac:dyDescent="0.25">
      <c r="A3295" s="8">
        <v>41134</v>
      </c>
      <c r="B3295" s="9">
        <v>13.7</v>
      </c>
    </row>
    <row r="3296" spans="1:2" x14ac:dyDescent="0.25">
      <c r="A3296" s="8">
        <v>41135</v>
      </c>
      <c r="B3296" s="9">
        <v>14.85</v>
      </c>
    </row>
    <row r="3297" spans="1:2" x14ac:dyDescent="0.25">
      <c r="A3297" s="8">
        <v>41136</v>
      </c>
      <c r="B3297" s="9">
        <v>14.63</v>
      </c>
    </row>
    <row r="3298" spans="1:2" x14ac:dyDescent="0.25">
      <c r="A3298" s="8">
        <v>41137</v>
      </c>
      <c r="B3298" s="9">
        <v>14.29</v>
      </c>
    </row>
    <row r="3299" spans="1:2" x14ac:dyDescent="0.25">
      <c r="A3299" s="8">
        <v>41138</v>
      </c>
      <c r="B3299" s="9">
        <v>13.45</v>
      </c>
    </row>
    <row r="3300" spans="1:2" x14ac:dyDescent="0.25">
      <c r="A3300" s="8">
        <v>41141</v>
      </c>
      <c r="B3300" s="9">
        <v>14.02</v>
      </c>
    </row>
    <row r="3301" spans="1:2" x14ac:dyDescent="0.25">
      <c r="A3301" s="8">
        <v>41142</v>
      </c>
      <c r="B3301" s="9">
        <v>15.02</v>
      </c>
    </row>
    <row r="3302" spans="1:2" x14ac:dyDescent="0.25">
      <c r="A3302" s="8">
        <v>41143</v>
      </c>
      <c r="B3302" s="9">
        <v>15.11</v>
      </c>
    </row>
    <row r="3303" spans="1:2" x14ac:dyDescent="0.25">
      <c r="A3303" s="8">
        <v>41144</v>
      </c>
      <c r="B3303" s="9">
        <v>15.96</v>
      </c>
    </row>
    <row r="3304" spans="1:2" x14ac:dyDescent="0.25">
      <c r="A3304" s="8">
        <v>41145</v>
      </c>
      <c r="B3304" s="9">
        <v>15.18</v>
      </c>
    </row>
    <row r="3305" spans="1:2" x14ac:dyDescent="0.25">
      <c r="A3305" s="8">
        <v>41148</v>
      </c>
      <c r="B3305" s="9">
        <v>16.350000000000001</v>
      </c>
    </row>
    <row r="3306" spans="1:2" x14ac:dyDescent="0.25">
      <c r="A3306" s="8">
        <v>41149</v>
      </c>
      <c r="B3306" s="9">
        <v>16.489999999999998</v>
      </c>
    </row>
    <row r="3307" spans="1:2" x14ac:dyDescent="0.25">
      <c r="A3307" s="8">
        <v>41150</v>
      </c>
      <c r="B3307" s="9">
        <v>17.059999999999999</v>
      </c>
    </row>
    <row r="3308" spans="1:2" x14ac:dyDescent="0.25">
      <c r="A3308" s="8">
        <v>41151</v>
      </c>
      <c r="B3308" s="9">
        <v>17.829999999999998</v>
      </c>
    </row>
    <row r="3309" spans="1:2" x14ac:dyDescent="0.25">
      <c r="A3309" s="8">
        <v>41152</v>
      </c>
      <c r="B3309" s="9">
        <v>17.47</v>
      </c>
    </row>
    <row r="3310" spans="1:2" x14ac:dyDescent="0.25">
      <c r="A3310" s="8">
        <v>41155</v>
      </c>
    </row>
    <row r="3311" spans="1:2" x14ac:dyDescent="0.25">
      <c r="A3311" s="8">
        <v>41156</v>
      </c>
      <c r="B3311" s="9">
        <v>17.98</v>
      </c>
    </row>
    <row r="3312" spans="1:2" x14ac:dyDescent="0.25">
      <c r="A3312" s="8">
        <v>41157</v>
      </c>
      <c r="B3312" s="9">
        <v>17.739999999999998</v>
      </c>
    </row>
    <row r="3313" spans="1:2" x14ac:dyDescent="0.25">
      <c r="A3313" s="8">
        <v>41158</v>
      </c>
      <c r="B3313" s="9">
        <v>15.6</v>
      </c>
    </row>
    <row r="3314" spans="1:2" x14ac:dyDescent="0.25">
      <c r="A3314" s="8">
        <v>41159</v>
      </c>
      <c r="B3314" s="9">
        <v>14.38</v>
      </c>
    </row>
    <row r="3315" spans="1:2" x14ac:dyDescent="0.25">
      <c r="A3315" s="8">
        <v>41162</v>
      </c>
      <c r="B3315" s="9">
        <v>16.28</v>
      </c>
    </row>
    <row r="3316" spans="1:2" x14ac:dyDescent="0.25">
      <c r="A3316" s="8">
        <v>41163</v>
      </c>
      <c r="B3316" s="9">
        <v>16.41</v>
      </c>
    </row>
    <row r="3317" spans="1:2" x14ac:dyDescent="0.25">
      <c r="A3317" s="8">
        <v>41164</v>
      </c>
      <c r="B3317" s="9">
        <v>15.8</v>
      </c>
    </row>
    <row r="3318" spans="1:2" x14ac:dyDescent="0.25">
      <c r="A3318" s="8">
        <v>41165</v>
      </c>
      <c r="B3318" s="9">
        <v>14.05</v>
      </c>
    </row>
    <row r="3319" spans="1:2" x14ac:dyDescent="0.25">
      <c r="A3319" s="8">
        <v>41166</v>
      </c>
      <c r="B3319" s="9">
        <v>14.51</v>
      </c>
    </row>
    <row r="3320" spans="1:2" x14ac:dyDescent="0.25">
      <c r="A3320" s="8">
        <v>41169</v>
      </c>
      <c r="B3320" s="9">
        <v>14.59</v>
      </c>
    </row>
    <row r="3321" spans="1:2" x14ac:dyDescent="0.25">
      <c r="A3321" s="8">
        <v>41170</v>
      </c>
      <c r="B3321" s="9">
        <v>14.18</v>
      </c>
    </row>
    <row r="3322" spans="1:2" x14ac:dyDescent="0.25">
      <c r="A3322" s="8">
        <v>41171</v>
      </c>
      <c r="B3322" s="9">
        <v>13.88</v>
      </c>
    </row>
    <row r="3323" spans="1:2" x14ac:dyDescent="0.25">
      <c r="A3323" s="8">
        <v>41172</v>
      </c>
      <c r="B3323" s="9">
        <v>14.07</v>
      </c>
    </row>
    <row r="3324" spans="1:2" x14ac:dyDescent="0.25">
      <c r="A3324" s="8">
        <v>41173</v>
      </c>
      <c r="B3324" s="9">
        <v>13.98</v>
      </c>
    </row>
    <row r="3325" spans="1:2" x14ac:dyDescent="0.25">
      <c r="A3325" s="8">
        <v>41176</v>
      </c>
      <c r="B3325" s="9">
        <v>14.15</v>
      </c>
    </row>
    <row r="3326" spans="1:2" x14ac:dyDescent="0.25">
      <c r="A3326" s="8">
        <v>41177</v>
      </c>
      <c r="B3326" s="9">
        <v>15.43</v>
      </c>
    </row>
    <row r="3327" spans="1:2" x14ac:dyDescent="0.25">
      <c r="A3327" s="8">
        <v>41178</v>
      </c>
      <c r="B3327" s="9">
        <v>16.809999999999999</v>
      </c>
    </row>
    <row r="3328" spans="1:2" x14ac:dyDescent="0.25">
      <c r="A3328" s="8">
        <v>41179</v>
      </c>
      <c r="B3328" s="9">
        <v>14.84</v>
      </c>
    </row>
    <row r="3329" spans="1:2" x14ac:dyDescent="0.25">
      <c r="A3329" s="8">
        <v>41180</v>
      </c>
      <c r="B3329" s="9">
        <v>15.73</v>
      </c>
    </row>
    <row r="3330" spans="1:2" x14ac:dyDescent="0.25">
      <c r="A3330" s="8">
        <v>41183</v>
      </c>
      <c r="B3330" s="9">
        <v>16.32</v>
      </c>
    </row>
    <row r="3331" spans="1:2" x14ac:dyDescent="0.25">
      <c r="A3331" s="8">
        <v>41184</v>
      </c>
      <c r="B3331" s="9">
        <v>15.71</v>
      </c>
    </row>
    <row r="3332" spans="1:2" x14ac:dyDescent="0.25">
      <c r="A3332" s="8">
        <v>41185</v>
      </c>
      <c r="B3332" s="9">
        <v>15.43</v>
      </c>
    </row>
    <row r="3333" spans="1:2" x14ac:dyDescent="0.25">
      <c r="A3333" s="8">
        <v>41186</v>
      </c>
      <c r="B3333" s="9">
        <v>14.55</v>
      </c>
    </row>
    <row r="3334" spans="1:2" x14ac:dyDescent="0.25">
      <c r="A3334" s="8">
        <v>41187</v>
      </c>
      <c r="B3334" s="9">
        <v>14.33</v>
      </c>
    </row>
    <row r="3335" spans="1:2" x14ac:dyDescent="0.25">
      <c r="A3335" s="8">
        <v>41190</v>
      </c>
      <c r="B3335" s="9">
        <v>15.11</v>
      </c>
    </row>
    <row r="3336" spans="1:2" x14ac:dyDescent="0.25">
      <c r="A3336" s="8">
        <v>41191</v>
      </c>
      <c r="B3336" s="9">
        <v>16.37</v>
      </c>
    </row>
    <row r="3337" spans="1:2" x14ac:dyDescent="0.25">
      <c r="A3337" s="8">
        <v>41192</v>
      </c>
      <c r="B3337" s="9">
        <v>16.29</v>
      </c>
    </row>
    <row r="3338" spans="1:2" x14ac:dyDescent="0.25">
      <c r="A3338" s="8">
        <v>41193</v>
      </c>
      <c r="B3338" s="9">
        <v>15.59</v>
      </c>
    </row>
    <row r="3339" spans="1:2" x14ac:dyDescent="0.25">
      <c r="A3339" s="8">
        <v>41194</v>
      </c>
      <c r="B3339" s="9">
        <v>16.14</v>
      </c>
    </row>
    <row r="3340" spans="1:2" x14ac:dyDescent="0.25">
      <c r="A3340" s="8">
        <v>41197</v>
      </c>
      <c r="B3340" s="9">
        <v>15.27</v>
      </c>
    </row>
    <row r="3341" spans="1:2" x14ac:dyDescent="0.25">
      <c r="A3341" s="8">
        <v>41198</v>
      </c>
      <c r="B3341" s="9">
        <v>15.22</v>
      </c>
    </row>
    <row r="3342" spans="1:2" x14ac:dyDescent="0.25">
      <c r="A3342" s="8">
        <v>41199</v>
      </c>
      <c r="B3342" s="9">
        <v>15.07</v>
      </c>
    </row>
    <row r="3343" spans="1:2" x14ac:dyDescent="0.25">
      <c r="A3343" s="8">
        <v>41200</v>
      </c>
      <c r="B3343" s="9">
        <v>15.03</v>
      </c>
    </row>
    <row r="3344" spans="1:2" x14ac:dyDescent="0.25">
      <c r="A3344" s="8">
        <v>41201</v>
      </c>
      <c r="B3344" s="9">
        <v>17.059999999999999</v>
      </c>
    </row>
    <row r="3345" spans="1:2" x14ac:dyDescent="0.25">
      <c r="A3345" s="8">
        <v>41204</v>
      </c>
      <c r="B3345" s="9">
        <v>16.62</v>
      </c>
    </row>
    <row r="3346" spans="1:2" x14ac:dyDescent="0.25">
      <c r="A3346" s="8">
        <v>41205</v>
      </c>
      <c r="B3346" s="9">
        <v>18.829999999999998</v>
      </c>
    </row>
    <row r="3347" spans="1:2" x14ac:dyDescent="0.25">
      <c r="A3347" s="8">
        <v>41206</v>
      </c>
      <c r="B3347" s="9">
        <v>18.329999999999998</v>
      </c>
    </row>
    <row r="3348" spans="1:2" x14ac:dyDescent="0.25">
      <c r="A3348" s="8">
        <v>41207</v>
      </c>
      <c r="B3348" s="9">
        <v>18.12</v>
      </c>
    </row>
    <row r="3349" spans="1:2" x14ac:dyDescent="0.25">
      <c r="A3349" s="8">
        <v>41208</v>
      </c>
      <c r="B3349" s="9">
        <v>17.809999999999999</v>
      </c>
    </row>
    <row r="3350" spans="1:2" x14ac:dyDescent="0.25">
      <c r="A3350" s="8">
        <v>41211</v>
      </c>
    </row>
    <row r="3351" spans="1:2" x14ac:dyDescent="0.25">
      <c r="A3351" s="8">
        <v>41212</v>
      </c>
    </row>
    <row r="3352" spans="1:2" x14ac:dyDescent="0.25">
      <c r="A3352" s="8">
        <v>41213</v>
      </c>
      <c r="B3352" s="9">
        <v>18.600000000000001</v>
      </c>
    </row>
    <row r="3353" spans="1:2" x14ac:dyDescent="0.25">
      <c r="A3353" s="8">
        <v>41214</v>
      </c>
      <c r="B3353" s="9">
        <v>16.690000000000001</v>
      </c>
    </row>
    <row r="3354" spans="1:2" x14ac:dyDescent="0.25">
      <c r="A3354" s="8">
        <v>41215</v>
      </c>
      <c r="B3354" s="9">
        <v>17.59</v>
      </c>
    </row>
    <row r="3355" spans="1:2" x14ac:dyDescent="0.25">
      <c r="A3355" s="8">
        <v>41218</v>
      </c>
      <c r="B3355" s="9">
        <v>18.420000000000002</v>
      </c>
    </row>
    <row r="3356" spans="1:2" x14ac:dyDescent="0.25">
      <c r="A3356" s="8">
        <v>41219</v>
      </c>
      <c r="B3356" s="9">
        <v>17.579999999999998</v>
      </c>
    </row>
    <row r="3357" spans="1:2" x14ac:dyDescent="0.25">
      <c r="A3357" s="8">
        <v>41220</v>
      </c>
      <c r="B3357" s="9">
        <v>19.079999999999998</v>
      </c>
    </row>
    <row r="3358" spans="1:2" x14ac:dyDescent="0.25">
      <c r="A3358" s="8">
        <v>41221</v>
      </c>
      <c r="B3358" s="9">
        <v>18.489999999999998</v>
      </c>
    </row>
    <row r="3359" spans="1:2" x14ac:dyDescent="0.25">
      <c r="A3359" s="8">
        <v>41222</v>
      </c>
      <c r="B3359" s="9">
        <v>18.61</v>
      </c>
    </row>
    <row r="3360" spans="1:2" x14ac:dyDescent="0.25">
      <c r="A3360" s="8">
        <v>41225</v>
      </c>
      <c r="B3360" s="9">
        <v>16.68</v>
      </c>
    </row>
    <row r="3361" spans="1:2" x14ac:dyDescent="0.25">
      <c r="A3361" s="8">
        <v>41226</v>
      </c>
      <c r="B3361" s="9">
        <v>16.649999999999999</v>
      </c>
    </row>
    <row r="3362" spans="1:2" x14ac:dyDescent="0.25">
      <c r="A3362" s="8">
        <v>41227</v>
      </c>
      <c r="B3362" s="9">
        <v>17.920000000000002</v>
      </c>
    </row>
    <row r="3363" spans="1:2" x14ac:dyDescent="0.25">
      <c r="A3363" s="8">
        <v>41228</v>
      </c>
      <c r="B3363" s="9">
        <v>17.989999999999998</v>
      </c>
    </row>
    <row r="3364" spans="1:2" x14ac:dyDescent="0.25">
      <c r="A3364" s="8">
        <v>41229</v>
      </c>
      <c r="B3364" s="9">
        <v>16.41</v>
      </c>
    </row>
    <row r="3365" spans="1:2" x14ac:dyDescent="0.25">
      <c r="A3365" s="8">
        <v>41232</v>
      </c>
      <c r="B3365" s="9">
        <v>15.24</v>
      </c>
    </row>
    <row r="3366" spans="1:2" x14ac:dyDescent="0.25">
      <c r="A3366" s="8">
        <v>41233</v>
      </c>
      <c r="B3366" s="9">
        <v>15.08</v>
      </c>
    </row>
    <row r="3367" spans="1:2" x14ac:dyDescent="0.25">
      <c r="A3367" s="8">
        <v>41234</v>
      </c>
      <c r="B3367" s="9">
        <v>15.31</v>
      </c>
    </row>
    <row r="3368" spans="1:2" x14ac:dyDescent="0.25">
      <c r="A3368" s="8">
        <v>41235</v>
      </c>
    </row>
    <row r="3369" spans="1:2" x14ac:dyDescent="0.25">
      <c r="A3369" s="8">
        <v>41236</v>
      </c>
      <c r="B3369" s="9">
        <v>15.14</v>
      </c>
    </row>
    <row r="3370" spans="1:2" x14ac:dyDescent="0.25">
      <c r="A3370" s="8">
        <v>41239</v>
      </c>
      <c r="B3370" s="9">
        <v>15.5</v>
      </c>
    </row>
    <row r="3371" spans="1:2" x14ac:dyDescent="0.25">
      <c r="A3371" s="8">
        <v>41240</v>
      </c>
      <c r="B3371" s="9">
        <v>15.92</v>
      </c>
    </row>
    <row r="3372" spans="1:2" x14ac:dyDescent="0.25">
      <c r="A3372" s="8">
        <v>41241</v>
      </c>
      <c r="B3372" s="9">
        <v>15.51</v>
      </c>
    </row>
    <row r="3373" spans="1:2" x14ac:dyDescent="0.25">
      <c r="A3373" s="8">
        <v>41242</v>
      </c>
      <c r="B3373" s="9">
        <v>15.06</v>
      </c>
    </row>
    <row r="3374" spans="1:2" x14ac:dyDescent="0.25">
      <c r="A3374" s="8">
        <v>41243</v>
      </c>
      <c r="B3374" s="9">
        <v>15.87</v>
      </c>
    </row>
    <row r="3375" spans="1:2" x14ac:dyDescent="0.25">
      <c r="A3375" s="8">
        <v>41246</v>
      </c>
      <c r="B3375" s="9">
        <v>16.64</v>
      </c>
    </row>
    <row r="3376" spans="1:2" x14ac:dyDescent="0.25">
      <c r="A3376" s="8">
        <v>41247</v>
      </c>
      <c r="B3376" s="9">
        <v>17.12</v>
      </c>
    </row>
    <row r="3377" spans="1:2" x14ac:dyDescent="0.25">
      <c r="A3377" s="8">
        <v>41248</v>
      </c>
      <c r="B3377" s="9">
        <v>16.46</v>
      </c>
    </row>
    <row r="3378" spans="1:2" x14ac:dyDescent="0.25">
      <c r="A3378" s="8">
        <v>41249</v>
      </c>
      <c r="B3378" s="9">
        <v>16.579999999999998</v>
      </c>
    </row>
    <row r="3379" spans="1:2" x14ac:dyDescent="0.25">
      <c r="A3379" s="8">
        <v>41250</v>
      </c>
      <c r="B3379" s="9">
        <v>15.9</v>
      </c>
    </row>
    <row r="3380" spans="1:2" x14ac:dyDescent="0.25">
      <c r="A3380" s="8">
        <v>41253</v>
      </c>
      <c r="B3380" s="9">
        <v>16.05</v>
      </c>
    </row>
    <row r="3381" spans="1:2" x14ac:dyDescent="0.25">
      <c r="A3381" s="8">
        <v>41254</v>
      </c>
      <c r="B3381" s="9">
        <v>15.57</v>
      </c>
    </row>
    <row r="3382" spans="1:2" x14ac:dyDescent="0.25">
      <c r="A3382" s="8">
        <v>41255</v>
      </c>
      <c r="B3382" s="9">
        <v>15.95</v>
      </c>
    </row>
    <row r="3383" spans="1:2" x14ac:dyDescent="0.25">
      <c r="A3383" s="8">
        <v>41256</v>
      </c>
      <c r="B3383" s="9">
        <v>16.559999999999999</v>
      </c>
    </row>
    <row r="3384" spans="1:2" x14ac:dyDescent="0.25">
      <c r="A3384" s="8">
        <v>41257</v>
      </c>
      <c r="B3384" s="9">
        <v>17</v>
      </c>
    </row>
    <row r="3385" spans="1:2" x14ac:dyDescent="0.25">
      <c r="A3385" s="8">
        <v>41260</v>
      </c>
      <c r="B3385" s="9">
        <v>16.34</v>
      </c>
    </row>
    <row r="3386" spans="1:2" x14ac:dyDescent="0.25">
      <c r="A3386" s="8">
        <v>41261</v>
      </c>
      <c r="B3386" s="9">
        <v>15.57</v>
      </c>
    </row>
    <row r="3387" spans="1:2" x14ac:dyDescent="0.25">
      <c r="A3387" s="8">
        <v>41262</v>
      </c>
      <c r="B3387" s="9">
        <v>17.36</v>
      </c>
    </row>
    <row r="3388" spans="1:2" x14ac:dyDescent="0.25">
      <c r="A3388" s="8">
        <v>41263</v>
      </c>
      <c r="B3388" s="9">
        <v>17.670000000000002</v>
      </c>
    </row>
    <row r="3389" spans="1:2" x14ac:dyDescent="0.25">
      <c r="A3389" s="8">
        <v>41264</v>
      </c>
      <c r="B3389" s="9">
        <v>17.84</v>
      </c>
    </row>
    <row r="3390" spans="1:2" x14ac:dyDescent="0.25">
      <c r="A3390" s="8">
        <v>41267</v>
      </c>
      <c r="B3390" s="9">
        <v>17.84</v>
      </c>
    </row>
    <row r="3391" spans="1:2" x14ac:dyDescent="0.25">
      <c r="A3391" s="8">
        <v>41268</v>
      </c>
    </row>
    <row r="3392" spans="1:2" x14ac:dyDescent="0.25">
      <c r="A3392" s="8">
        <v>41269</v>
      </c>
      <c r="B3392" s="9">
        <v>19.48</v>
      </c>
    </row>
    <row r="3393" spans="1:2" x14ac:dyDescent="0.25">
      <c r="A3393" s="8">
        <v>41270</v>
      </c>
      <c r="B3393" s="9">
        <v>19.47</v>
      </c>
    </row>
    <row r="3394" spans="1:2" x14ac:dyDescent="0.25">
      <c r="A3394" s="8">
        <v>41271</v>
      </c>
      <c r="B3394" s="9">
        <v>22.72</v>
      </c>
    </row>
    <row r="3395" spans="1:2" x14ac:dyDescent="0.25">
      <c r="A3395" s="8">
        <v>41274</v>
      </c>
      <c r="B3395" s="9">
        <v>18.02</v>
      </c>
    </row>
    <row r="3396" spans="1:2" x14ac:dyDescent="0.25">
      <c r="A3396" s="8">
        <v>41275</v>
      </c>
    </row>
    <row r="3397" spans="1:2" x14ac:dyDescent="0.25">
      <c r="A3397" s="8">
        <v>41276</v>
      </c>
      <c r="B3397" s="9">
        <v>14.68</v>
      </c>
    </row>
    <row r="3398" spans="1:2" x14ac:dyDescent="0.25">
      <c r="A3398" s="8">
        <v>41277</v>
      </c>
      <c r="B3398" s="9">
        <v>14.56</v>
      </c>
    </row>
    <row r="3399" spans="1:2" x14ac:dyDescent="0.25">
      <c r="A3399" s="8">
        <v>41278</v>
      </c>
      <c r="B3399" s="9">
        <v>13.83</v>
      </c>
    </row>
    <row r="3400" spans="1:2" x14ac:dyDescent="0.25">
      <c r="A3400" s="8">
        <v>41281</v>
      </c>
      <c r="B3400" s="9">
        <v>13.79</v>
      </c>
    </row>
    <row r="3401" spans="1:2" x14ac:dyDescent="0.25">
      <c r="A3401" s="8">
        <v>41282</v>
      </c>
      <c r="B3401" s="9">
        <v>13.62</v>
      </c>
    </row>
    <row r="3402" spans="1:2" x14ac:dyDescent="0.25">
      <c r="A3402" s="8">
        <v>41283</v>
      </c>
      <c r="B3402" s="9">
        <v>13.81</v>
      </c>
    </row>
    <row r="3403" spans="1:2" x14ac:dyDescent="0.25">
      <c r="A3403" s="8">
        <v>41284</v>
      </c>
      <c r="B3403" s="9">
        <v>13.49</v>
      </c>
    </row>
    <row r="3404" spans="1:2" x14ac:dyDescent="0.25">
      <c r="A3404" s="8">
        <v>41285</v>
      </c>
      <c r="B3404" s="9">
        <v>13.36</v>
      </c>
    </row>
    <row r="3405" spans="1:2" x14ac:dyDescent="0.25">
      <c r="A3405" s="8">
        <v>41288</v>
      </c>
      <c r="B3405" s="9">
        <v>13.52</v>
      </c>
    </row>
    <row r="3406" spans="1:2" x14ac:dyDescent="0.25">
      <c r="A3406" s="8">
        <v>41289</v>
      </c>
      <c r="B3406" s="9">
        <v>13.55</v>
      </c>
    </row>
    <row r="3407" spans="1:2" x14ac:dyDescent="0.25">
      <c r="A3407" s="8">
        <v>41290</v>
      </c>
      <c r="B3407" s="9">
        <v>13.42</v>
      </c>
    </row>
    <row r="3408" spans="1:2" x14ac:dyDescent="0.25">
      <c r="A3408" s="8">
        <v>41291</v>
      </c>
      <c r="B3408" s="9">
        <v>13.57</v>
      </c>
    </row>
    <row r="3409" spans="1:2" x14ac:dyDescent="0.25">
      <c r="A3409" s="8">
        <v>41292</v>
      </c>
      <c r="B3409" s="9">
        <v>12.46</v>
      </c>
    </row>
    <row r="3410" spans="1:2" x14ac:dyDescent="0.25">
      <c r="A3410" s="8">
        <v>41295</v>
      </c>
    </row>
    <row r="3411" spans="1:2" x14ac:dyDescent="0.25">
      <c r="A3411" s="8">
        <v>41296</v>
      </c>
      <c r="B3411" s="9">
        <v>12.43</v>
      </c>
    </row>
    <row r="3412" spans="1:2" x14ac:dyDescent="0.25">
      <c r="A3412" s="8">
        <v>41297</v>
      </c>
      <c r="B3412" s="9">
        <v>12.46</v>
      </c>
    </row>
    <row r="3413" spans="1:2" x14ac:dyDescent="0.25">
      <c r="A3413" s="8">
        <v>41298</v>
      </c>
      <c r="B3413" s="9">
        <v>12.69</v>
      </c>
    </row>
    <row r="3414" spans="1:2" x14ac:dyDescent="0.25">
      <c r="A3414" s="8">
        <v>41299</v>
      </c>
      <c r="B3414" s="9">
        <v>12.89</v>
      </c>
    </row>
    <row r="3415" spans="1:2" x14ac:dyDescent="0.25">
      <c r="A3415" s="8">
        <v>41302</v>
      </c>
      <c r="B3415" s="9">
        <v>13.57</v>
      </c>
    </row>
    <row r="3416" spans="1:2" x14ac:dyDescent="0.25">
      <c r="A3416" s="8">
        <v>41303</v>
      </c>
      <c r="B3416" s="9">
        <v>13.31</v>
      </c>
    </row>
    <row r="3417" spans="1:2" x14ac:dyDescent="0.25">
      <c r="A3417" s="8">
        <v>41304</v>
      </c>
      <c r="B3417" s="9">
        <v>14.32</v>
      </c>
    </row>
    <row r="3418" spans="1:2" x14ac:dyDescent="0.25">
      <c r="A3418" s="8">
        <v>41305</v>
      </c>
      <c r="B3418" s="9">
        <v>14.28</v>
      </c>
    </row>
    <row r="3419" spans="1:2" x14ac:dyDescent="0.25">
      <c r="A3419" s="8">
        <v>41306</v>
      </c>
      <c r="B3419" s="9">
        <v>12.9</v>
      </c>
    </row>
    <row r="3420" spans="1:2" x14ac:dyDescent="0.25">
      <c r="A3420" s="8">
        <v>41309</v>
      </c>
      <c r="B3420" s="9">
        <v>14.67</v>
      </c>
    </row>
    <row r="3421" spans="1:2" x14ac:dyDescent="0.25">
      <c r="A3421" s="8">
        <v>41310</v>
      </c>
      <c r="B3421" s="9">
        <v>13.72</v>
      </c>
    </row>
    <row r="3422" spans="1:2" x14ac:dyDescent="0.25">
      <c r="A3422" s="8">
        <v>41311</v>
      </c>
      <c r="B3422" s="9">
        <v>13.41</v>
      </c>
    </row>
    <row r="3423" spans="1:2" x14ac:dyDescent="0.25">
      <c r="A3423" s="8">
        <v>41312</v>
      </c>
      <c r="B3423" s="9">
        <v>13.5</v>
      </c>
    </row>
    <row r="3424" spans="1:2" x14ac:dyDescent="0.25">
      <c r="A3424" s="8">
        <v>41313</v>
      </c>
      <c r="B3424" s="9">
        <v>13.02</v>
      </c>
    </row>
    <row r="3425" spans="1:2" x14ac:dyDescent="0.25">
      <c r="A3425" s="8">
        <v>41316</v>
      </c>
      <c r="B3425" s="9">
        <v>12.94</v>
      </c>
    </row>
    <row r="3426" spans="1:2" x14ac:dyDescent="0.25">
      <c r="A3426" s="8">
        <v>41317</v>
      </c>
      <c r="B3426" s="9">
        <v>12.64</v>
      </c>
    </row>
    <row r="3427" spans="1:2" x14ac:dyDescent="0.25">
      <c r="A3427" s="8">
        <v>41318</v>
      </c>
      <c r="B3427" s="9">
        <v>12.98</v>
      </c>
    </row>
    <row r="3428" spans="1:2" x14ac:dyDescent="0.25">
      <c r="A3428" s="8">
        <v>41319</v>
      </c>
      <c r="B3428" s="9">
        <v>12.66</v>
      </c>
    </row>
    <row r="3429" spans="1:2" x14ac:dyDescent="0.25">
      <c r="A3429" s="8">
        <v>41320</v>
      </c>
      <c r="B3429" s="9">
        <v>12.46</v>
      </c>
    </row>
    <row r="3430" spans="1:2" x14ac:dyDescent="0.25">
      <c r="A3430" s="8">
        <v>41323</v>
      </c>
    </row>
    <row r="3431" spans="1:2" x14ac:dyDescent="0.25">
      <c r="A3431" s="8">
        <v>41324</v>
      </c>
      <c r="B3431" s="9">
        <v>12.31</v>
      </c>
    </row>
    <row r="3432" spans="1:2" x14ac:dyDescent="0.25">
      <c r="A3432" s="8">
        <v>41325</v>
      </c>
      <c r="B3432" s="9">
        <v>14.68</v>
      </c>
    </row>
    <row r="3433" spans="1:2" x14ac:dyDescent="0.25">
      <c r="A3433" s="8">
        <v>41326</v>
      </c>
      <c r="B3433" s="9">
        <v>15.22</v>
      </c>
    </row>
    <row r="3434" spans="1:2" x14ac:dyDescent="0.25">
      <c r="A3434" s="8">
        <v>41327</v>
      </c>
      <c r="B3434" s="9">
        <v>14.17</v>
      </c>
    </row>
    <row r="3435" spans="1:2" x14ac:dyDescent="0.25">
      <c r="A3435" s="8">
        <v>41330</v>
      </c>
      <c r="B3435" s="9">
        <v>18.989999999999998</v>
      </c>
    </row>
    <row r="3436" spans="1:2" x14ac:dyDescent="0.25">
      <c r="A3436" s="8">
        <v>41331</v>
      </c>
      <c r="B3436" s="9">
        <v>16.87</v>
      </c>
    </row>
    <row r="3437" spans="1:2" x14ac:dyDescent="0.25">
      <c r="A3437" s="8">
        <v>41332</v>
      </c>
      <c r="B3437" s="9">
        <v>14.73</v>
      </c>
    </row>
    <row r="3438" spans="1:2" x14ac:dyDescent="0.25">
      <c r="A3438" s="8">
        <v>41333</v>
      </c>
      <c r="B3438" s="9">
        <v>15.51</v>
      </c>
    </row>
    <row r="3439" spans="1:2" x14ac:dyDescent="0.25">
      <c r="A3439" s="8">
        <v>41334</v>
      </c>
      <c r="B3439" s="9">
        <v>15.36</v>
      </c>
    </row>
    <row r="3440" spans="1:2" x14ac:dyDescent="0.25">
      <c r="A3440" s="8">
        <v>41337</v>
      </c>
      <c r="B3440" s="9">
        <v>14.01</v>
      </c>
    </row>
    <row r="3441" spans="1:2" x14ac:dyDescent="0.25">
      <c r="A3441" s="8">
        <v>41338</v>
      </c>
      <c r="B3441" s="9">
        <v>13.48</v>
      </c>
    </row>
    <row r="3442" spans="1:2" x14ac:dyDescent="0.25">
      <c r="A3442" s="8">
        <v>41339</v>
      </c>
      <c r="B3442" s="9">
        <v>13.53</v>
      </c>
    </row>
    <row r="3443" spans="1:2" x14ac:dyDescent="0.25">
      <c r="A3443" s="8">
        <v>41340</v>
      </c>
      <c r="B3443" s="9">
        <v>13.06</v>
      </c>
    </row>
    <row r="3444" spans="1:2" x14ac:dyDescent="0.25">
      <c r="A3444" s="8">
        <v>41341</v>
      </c>
      <c r="B3444" s="9">
        <v>12.59</v>
      </c>
    </row>
    <row r="3445" spans="1:2" x14ac:dyDescent="0.25">
      <c r="A3445" s="8">
        <v>41344</v>
      </c>
      <c r="B3445" s="9">
        <v>11.56</v>
      </c>
    </row>
    <row r="3446" spans="1:2" x14ac:dyDescent="0.25">
      <c r="A3446" s="8">
        <v>41345</v>
      </c>
      <c r="B3446" s="9">
        <v>12.27</v>
      </c>
    </row>
    <row r="3447" spans="1:2" x14ac:dyDescent="0.25">
      <c r="A3447" s="8">
        <v>41346</v>
      </c>
      <c r="B3447" s="9">
        <v>11.83</v>
      </c>
    </row>
    <row r="3448" spans="1:2" x14ac:dyDescent="0.25">
      <c r="A3448" s="8">
        <v>41347</v>
      </c>
      <c r="B3448" s="9">
        <v>11.3</v>
      </c>
    </row>
    <row r="3449" spans="1:2" x14ac:dyDescent="0.25">
      <c r="A3449" s="8">
        <v>41348</v>
      </c>
      <c r="B3449" s="9">
        <v>11.3</v>
      </c>
    </row>
    <row r="3450" spans="1:2" x14ac:dyDescent="0.25">
      <c r="A3450" s="8">
        <v>41351</v>
      </c>
      <c r="B3450" s="9">
        <v>13.36</v>
      </c>
    </row>
    <row r="3451" spans="1:2" x14ac:dyDescent="0.25">
      <c r="A3451" s="8">
        <v>41352</v>
      </c>
      <c r="B3451" s="9">
        <v>14.39</v>
      </c>
    </row>
    <row r="3452" spans="1:2" x14ac:dyDescent="0.25">
      <c r="A3452" s="8">
        <v>41353</v>
      </c>
      <c r="B3452" s="9">
        <v>12.67</v>
      </c>
    </row>
    <row r="3453" spans="1:2" x14ac:dyDescent="0.25">
      <c r="A3453" s="8">
        <v>41354</v>
      </c>
      <c r="B3453" s="9">
        <v>13.99</v>
      </c>
    </row>
    <row r="3454" spans="1:2" x14ac:dyDescent="0.25">
      <c r="A3454" s="8">
        <v>41355</v>
      </c>
      <c r="B3454" s="9">
        <v>13.57</v>
      </c>
    </row>
    <row r="3455" spans="1:2" x14ac:dyDescent="0.25">
      <c r="A3455" s="8">
        <v>41358</v>
      </c>
      <c r="B3455" s="9">
        <v>13.74</v>
      </c>
    </row>
    <row r="3456" spans="1:2" x14ac:dyDescent="0.25">
      <c r="A3456" s="8">
        <v>41359</v>
      </c>
      <c r="B3456" s="9">
        <v>12.77</v>
      </c>
    </row>
    <row r="3457" spans="1:2" x14ac:dyDescent="0.25">
      <c r="A3457" s="8">
        <v>41360</v>
      </c>
      <c r="B3457" s="9">
        <v>13.15</v>
      </c>
    </row>
    <row r="3458" spans="1:2" x14ac:dyDescent="0.25">
      <c r="A3458" s="8">
        <v>41361</v>
      </c>
      <c r="B3458" s="9">
        <v>12.7</v>
      </c>
    </row>
    <row r="3459" spans="1:2" x14ac:dyDescent="0.25">
      <c r="A3459" s="8">
        <v>41362</v>
      </c>
    </row>
    <row r="3460" spans="1:2" x14ac:dyDescent="0.25">
      <c r="A3460" s="8">
        <v>41365</v>
      </c>
      <c r="B3460" s="9">
        <v>13.58</v>
      </c>
    </row>
    <row r="3461" spans="1:2" x14ac:dyDescent="0.25">
      <c r="A3461" s="8">
        <v>41366</v>
      </c>
      <c r="B3461" s="9">
        <v>12.78</v>
      </c>
    </row>
    <row r="3462" spans="1:2" x14ac:dyDescent="0.25">
      <c r="A3462" s="8">
        <v>41367</v>
      </c>
      <c r="B3462" s="9">
        <v>14.21</v>
      </c>
    </row>
    <row r="3463" spans="1:2" x14ac:dyDescent="0.25">
      <c r="A3463" s="8">
        <v>41368</v>
      </c>
      <c r="B3463" s="9">
        <v>13.89</v>
      </c>
    </row>
    <row r="3464" spans="1:2" x14ac:dyDescent="0.25">
      <c r="A3464" s="8">
        <v>41369</v>
      </c>
      <c r="B3464" s="9">
        <v>13.92</v>
      </c>
    </row>
    <row r="3465" spans="1:2" x14ac:dyDescent="0.25">
      <c r="A3465" s="8">
        <v>41372</v>
      </c>
      <c r="B3465" s="9">
        <v>13.19</v>
      </c>
    </row>
    <row r="3466" spans="1:2" x14ac:dyDescent="0.25">
      <c r="A3466" s="8">
        <v>41373</v>
      </c>
      <c r="B3466" s="9">
        <v>12.84</v>
      </c>
    </row>
    <row r="3467" spans="1:2" x14ac:dyDescent="0.25">
      <c r="A3467" s="8">
        <v>41374</v>
      </c>
      <c r="B3467" s="9">
        <v>12.36</v>
      </c>
    </row>
    <row r="3468" spans="1:2" x14ac:dyDescent="0.25">
      <c r="A3468" s="8">
        <v>41375</v>
      </c>
      <c r="B3468" s="9">
        <v>12.24</v>
      </c>
    </row>
    <row r="3469" spans="1:2" x14ac:dyDescent="0.25">
      <c r="A3469" s="8">
        <v>41376</v>
      </c>
      <c r="B3469" s="9">
        <v>12.06</v>
      </c>
    </row>
    <row r="3470" spans="1:2" x14ac:dyDescent="0.25">
      <c r="A3470" s="8">
        <v>41379</v>
      </c>
      <c r="B3470" s="9">
        <v>17.27</v>
      </c>
    </row>
    <row r="3471" spans="1:2" x14ac:dyDescent="0.25">
      <c r="A3471" s="8">
        <v>41380</v>
      </c>
      <c r="B3471" s="9">
        <v>13.96</v>
      </c>
    </row>
    <row r="3472" spans="1:2" x14ac:dyDescent="0.25">
      <c r="A3472" s="8">
        <v>41381</v>
      </c>
      <c r="B3472" s="9">
        <v>16.510000000000002</v>
      </c>
    </row>
    <row r="3473" spans="1:2" x14ac:dyDescent="0.25">
      <c r="A3473" s="8">
        <v>41382</v>
      </c>
      <c r="B3473" s="9">
        <v>17.559999999999999</v>
      </c>
    </row>
    <row r="3474" spans="1:2" x14ac:dyDescent="0.25">
      <c r="A3474" s="8">
        <v>41383</v>
      </c>
      <c r="B3474" s="9">
        <v>14.97</v>
      </c>
    </row>
    <row r="3475" spans="1:2" x14ac:dyDescent="0.25">
      <c r="A3475" s="8">
        <v>41386</v>
      </c>
      <c r="B3475" s="9">
        <v>14.39</v>
      </c>
    </row>
    <row r="3476" spans="1:2" x14ac:dyDescent="0.25">
      <c r="A3476" s="8">
        <v>41387</v>
      </c>
      <c r="B3476" s="9">
        <v>13.48</v>
      </c>
    </row>
    <row r="3477" spans="1:2" x14ac:dyDescent="0.25">
      <c r="A3477" s="8">
        <v>41388</v>
      </c>
      <c r="B3477" s="9">
        <v>13.61</v>
      </c>
    </row>
    <row r="3478" spans="1:2" x14ac:dyDescent="0.25">
      <c r="A3478" s="8">
        <v>41389</v>
      </c>
      <c r="B3478" s="9">
        <v>13.62</v>
      </c>
    </row>
    <row r="3479" spans="1:2" x14ac:dyDescent="0.25">
      <c r="A3479" s="8">
        <v>41390</v>
      </c>
      <c r="B3479" s="9">
        <v>13.61</v>
      </c>
    </row>
    <row r="3480" spans="1:2" x14ac:dyDescent="0.25">
      <c r="A3480" s="8">
        <v>41393</v>
      </c>
      <c r="B3480" s="9">
        <v>13.71</v>
      </c>
    </row>
    <row r="3481" spans="1:2" x14ac:dyDescent="0.25">
      <c r="A3481" s="8">
        <v>41394</v>
      </c>
      <c r="B3481" s="9">
        <v>13.52</v>
      </c>
    </row>
    <row r="3482" spans="1:2" x14ac:dyDescent="0.25">
      <c r="A3482" s="8">
        <v>41395</v>
      </c>
      <c r="B3482" s="9">
        <v>14.49</v>
      </c>
    </row>
    <row r="3483" spans="1:2" x14ac:dyDescent="0.25">
      <c r="A3483" s="8">
        <v>41396</v>
      </c>
      <c r="B3483" s="9">
        <v>13.59</v>
      </c>
    </row>
    <row r="3484" spans="1:2" x14ac:dyDescent="0.25">
      <c r="A3484" s="8">
        <v>41397</v>
      </c>
      <c r="B3484" s="9">
        <v>12.85</v>
      </c>
    </row>
    <row r="3485" spans="1:2" x14ac:dyDescent="0.25">
      <c r="A3485" s="8">
        <v>41400</v>
      </c>
      <c r="B3485" s="9">
        <v>12.66</v>
      </c>
    </row>
    <row r="3486" spans="1:2" x14ac:dyDescent="0.25">
      <c r="A3486" s="8">
        <v>41401</v>
      </c>
      <c r="B3486" s="9">
        <v>12.83</v>
      </c>
    </row>
    <row r="3487" spans="1:2" x14ac:dyDescent="0.25">
      <c r="A3487" s="8">
        <v>41402</v>
      </c>
      <c r="B3487" s="9">
        <v>12.66</v>
      </c>
    </row>
    <row r="3488" spans="1:2" x14ac:dyDescent="0.25">
      <c r="A3488" s="8">
        <v>41403</v>
      </c>
      <c r="B3488" s="9">
        <v>13.13</v>
      </c>
    </row>
    <row r="3489" spans="1:2" x14ac:dyDescent="0.25">
      <c r="A3489" s="8">
        <v>41404</v>
      </c>
      <c r="B3489" s="9">
        <v>12.59</v>
      </c>
    </row>
    <row r="3490" spans="1:2" x14ac:dyDescent="0.25">
      <c r="A3490" s="8">
        <v>41407</v>
      </c>
      <c r="B3490" s="9">
        <v>12.55</v>
      </c>
    </row>
    <row r="3491" spans="1:2" x14ac:dyDescent="0.25">
      <c r="A3491" s="8">
        <v>41408</v>
      </c>
      <c r="B3491" s="9">
        <v>12.77</v>
      </c>
    </row>
    <row r="3492" spans="1:2" x14ac:dyDescent="0.25">
      <c r="A3492" s="8">
        <v>41409</v>
      </c>
      <c r="B3492" s="9">
        <v>12.81</v>
      </c>
    </row>
    <row r="3493" spans="1:2" x14ac:dyDescent="0.25">
      <c r="A3493" s="8">
        <v>41410</v>
      </c>
      <c r="B3493" s="9">
        <v>13.07</v>
      </c>
    </row>
    <row r="3494" spans="1:2" x14ac:dyDescent="0.25">
      <c r="A3494" s="8">
        <v>41411</v>
      </c>
      <c r="B3494" s="9">
        <v>12.45</v>
      </c>
    </row>
    <row r="3495" spans="1:2" x14ac:dyDescent="0.25">
      <c r="A3495" s="8">
        <v>41414</v>
      </c>
      <c r="B3495" s="9">
        <v>13.02</v>
      </c>
    </row>
    <row r="3496" spans="1:2" x14ac:dyDescent="0.25">
      <c r="A3496" s="8">
        <v>41415</v>
      </c>
      <c r="B3496" s="9">
        <v>13.37</v>
      </c>
    </row>
    <row r="3497" spans="1:2" x14ac:dyDescent="0.25">
      <c r="A3497" s="8">
        <v>41416</v>
      </c>
      <c r="B3497" s="9">
        <v>13.82</v>
      </c>
    </row>
    <row r="3498" spans="1:2" x14ac:dyDescent="0.25">
      <c r="A3498" s="8">
        <v>41417</v>
      </c>
      <c r="B3498" s="9">
        <v>14.07</v>
      </c>
    </row>
    <row r="3499" spans="1:2" x14ac:dyDescent="0.25">
      <c r="A3499" s="8">
        <v>41418</v>
      </c>
      <c r="B3499" s="9">
        <v>13.99</v>
      </c>
    </row>
    <row r="3500" spans="1:2" x14ac:dyDescent="0.25">
      <c r="A3500" s="8">
        <v>41421</v>
      </c>
    </row>
    <row r="3501" spans="1:2" x14ac:dyDescent="0.25">
      <c r="A3501" s="8">
        <v>41422</v>
      </c>
      <c r="B3501" s="9">
        <v>14.48</v>
      </c>
    </row>
    <row r="3502" spans="1:2" x14ac:dyDescent="0.25">
      <c r="A3502" s="8">
        <v>41423</v>
      </c>
      <c r="B3502" s="9">
        <v>14.83</v>
      </c>
    </row>
    <row r="3503" spans="1:2" x14ac:dyDescent="0.25">
      <c r="A3503" s="8">
        <v>41424</v>
      </c>
      <c r="B3503" s="9">
        <v>14.53</v>
      </c>
    </row>
    <row r="3504" spans="1:2" x14ac:dyDescent="0.25">
      <c r="A3504" s="8">
        <v>41425</v>
      </c>
      <c r="B3504" s="9">
        <v>16.3</v>
      </c>
    </row>
    <row r="3505" spans="1:2" x14ac:dyDescent="0.25">
      <c r="A3505" s="8">
        <v>41428</v>
      </c>
      <c r="B3505" s="9">
        <v>16.28</v>
      </c>
    </row>
    <row r="3506" spans="1:2" x14ac:dyDescent="0.25">
      <c r="A3506" s="8">
        <v>41429</v>
      </c>
      <c r="B3506" s="9">
        <v>16.27</v>
      </c>
    </row>
    <row r="3507" spans="1:2" x14ac:dyDescent="0.25">
      <c r="A3507" s="8">
        <v>41430</v>
      </c>
      <c r="B3507" s="9">
        <v>17.5</v>
      </c>
    </row>
    <row r="3508" spans="1:2" x14ac:dyDescent="0.25">
      <c r="A3508" s="8">
        <v>41431</v>
      </c>
      <c r="B3508" s="9">
        <v>16.63</v>
      </c>
    </row>
    <row r="3509" spans="1:2" x14ac:dyDescent="0.25">
      <c r="A3509" s="8">
        <v>41432</v>
      </c>
      <c r="B3509" s="9">
        <v>15.14</v>
      </c>
    </row>
    <row r="3510" spans="1:2" x14ac:dyDescent="0.25">
      <c r="A3510" s="8">
        <v>41435</v>
      </c>
      <c r="B3510" s="9">
        <v>15.44</v>
      </c>
    </row>
    <row r="3511" spans="1:2" x14ac:dyDescent="0.25">
      <c r="A3511" s="8">
        <v>41436</v>
      </c>
      <c r="B3511" s="9">
        <v>17.07</v>
      </c>
    </row>
    <row r="3512" spans="1:2" x14ac:dyDescent="0.25">
      <c r="A3512" s="8">
        <v>41437</v>
      </c>
      <c r="B3512" s="9">
        <v>18.59</v>
      </c>
    </row>
    <row r="3513" spans="1:2" x14ac:dyDescent="0.25">
      <c r="A3513" s="8">
        <v>41438</v>
      </c>
      <c r="B3513" s="9">
        <v>16.41</v>
      </c>
    </row>
    <row r="3514" spans="1:2" x14ac:dyDescent="0.25">
      <c r="A3514" s="8">
        <v>41439</v>
      </c>
      <c r="B3514" s="9">
        <v>17.149999999999999</v>
      </c>
    </row>
    <row r="3515" spans="1:2" x14ac:dyDescent="0.25">
      <c r="A3515" s="8">
        <v>41442</v>
      </c>
      <c r="B3515" s="9">
        <v>16.8</v>
      </c>
    </row>
    <row r="3516" spans="1:2" x14ac:dyDescent="0.25">
      <c r="A3516" s="8">
        <v>41443</v>
      </c>
      <c r="B3516" s="9">
        <v>16.61</v>
      </c>
    </row>
    <row r="3517" spans="1:2" x14ac:dyDescent="0.25">
      <c r="A3517" s="8">
        <v>41444</v>
      </c>
      <c r="B3517" s="9">
        <v>16.64</v>
      </c>
    </row>
    <row r="3518" spans="1:2" x14ac:dyDescent="0.25">
      <c r="A3518" s="8">
        <v>41445</v>
      </c>
      <c r="B3518" s="9">
        <v>20.49</v>
      </c>
    </row>
    <row r="3519" spans="1:2" x14ac:dyDescent="0.25">
      <c r="A3519" s="8">
        <v>41446</v>
      </c>
      <c r="B3519" s="9">
        <v>18.899999999999999</v>
      </c>
    </row>
    <row r="3520" spans="1:2" x14ac:dyDescent="0.25">
      <c r="A3520" s="8">
        <v>41449</v>
      </c>
      <c r="B3520" s="9">
        <v>20.11</v>
      </c>
    </row>
    <row r="3521" spans="1:2" x14ac:dyDescent="0.25">
      <c r="A3521" s="8">
        <v>41450</v>
      </c>
      <c r="B3521" s="9">
        <v>18.47</v>
      </c>
    </row>
    <row r="3522" spans="1:2" x14ac:dyDescent="0.25">
      <c r="A3522" s="8">
        <v>41451</v>
      </c>
      <c r="B3522" s="9">
        <v>17.21</v>
      </c>
    </row>
    <row r="3523" spans="1:2" x14ac:dyDescent="0.25">
      <c r="A3523" s="8">
        <v>41452</v>
      </c>
      <c r="B3523" s="9">
        <v>16.86</v>
      </c>
    </row>
    <row r="3524" spans="1:2" x14ac:dyDescent="0.25">
      <c r="A3524" s="8">
        <v>41453</v>
      </c>
      <c r="B3524" s="9">
        <v>16.86</v>
      </c>
    </row>
    <row r="3525" spans="1:2" x14ac:dyDescent="0.25">
      <c r="A3525" s="8">
        <v>41456</v>
      </c>
      <c r="B3525" s="9">
        <v>16.37</v>
      </c>
    </row>
    <row r="3526" spans="1:2" x14ac:dyDescent="0.25">
      <c r="A3526" s="8">
        <v>41457</v>
      </c>
      <c r="B3526" s="9">
        <v>16.440000000000001</v>
      </c>
    </row>
    <row r="3527" spans="1:2" x14ac:dyDescent="0.25">
      <c r="A3527" s="8">
        <v>41458</v>
      </c>
      <c r="B3527" s="9">
        <v>16.2</v>
      </c>
    </row>
    <row r="3528" spans="1:2" x14ac:dyDescent="0.25">
      <c r="A3528" s="8">
        <v>41459</v>
      </c>
    </row>
    <row r="3529" spans="1:2" x14ac:dyDescent="0.25">
      <c r="A3529" s="8">
        <v>41460</v>
      </c>
      <c r="B3529" s="9">
        <v>14.89</v>
      </c>
    </row>
    <row r="3530" spans="1:2" x14ac:dyDescent="0.25">
      <c r="A3530" s="8">
        <v>41463</v>
      </c>
      <c r="B3530" s="9">
        <v>14.78</v>
      </c>
    </row>
    <row r="3531" spans="1:2" x14ac:dyDescent="0.25">
      <c r="A3531" s="8">
        <v>41464</v>
      </c>
      <c r="B3531" s="9">
        <v>14.35</v>
      </c>
    </row>
    <row r="3532" spans="1:2" x14ac:dyDescent="0.25">
      <c r="A3532" s="8">
        <v>41465</v>
      </c>
      <c r="B3532" s="9">
        <v>14.21</v>
      </c>
    </row>
    <row r="3533" spans="1:2" x14ac:dyDescent="0.25">
      <c r="A3533" s="8">
        <v>41466</v>
      </c>
      <c r="B3533" s="9">
        <v>14.01</v>
      </c>
    </row>
    <row r="3534" spans="1:2" x14ac:dyDescent="0.25">
      <c r="A3534" s="8">
        <v>41467</v>
      </c>
      <c r="B3534" s="9">
        <v>13.84</v>
      </c>
    </row>
    <row r="3535" spans="1:2" x14ac:dyDescent="0.25">
      <c r="A3535" s="8">
        <v>41470</v>
      </c>
      <c r="B3535" s="9">
        <v>13.79</v>
      </c>
    </row>
    <row r="3536" spans="1:2" x14ac:dyDescent="0.25">
      <c r="A3536" s="8">
        <v>41471</v>
      </c>
      <c r="B3536" s="9">
        <v>14.42</v>
      </c>
    </row>
    <row r="3537" spans="1:2" x14ac:dyDescent="0.25">
      <c r="A3537" s="8">
        <v>41472</v>
      </c>
      <c r="B3537" s="9">
        <v>13.78</v>
      </c>
    </row>
    <row r="3538" spans="1:2" x14ac:dyDescent="0.25">
      <c r="A3538" s="8">
        <v>41473</v>
      </c>
      <c r="B3538" s="9">
        <v>13.77</v>
      </c>
    </row>
    <row r="3539" spans="1:2" x14ac:dyDescent="0.25">
      <c r="A3539" s="8">
        <v>41474</v>
      </c>
      <c r="B3539" s="9">
        <v>12.54</v>
      </c>
    </row>
    <row r="3540" spans="1:2" x14ac:dyDescent="0.25">
      <c r="A3540" s="8">
        <v>41477</v>
      </c>
      <c r="B3540" s="9">
        <v>12.29</v>
      </c>
    </row>
    <row r="3541" spans="1:2" x14ac:dyDescent="0.25">
      <c r="A3541" s="8">
        <v>41478</v>
      </c>
      <c r="B3541" s="9">
        <v>12.66</v>
      </c>
    </row>
    <row r="3542" spans="1:2" x14ac:dyDescent="0.25">
      <c r="A3542" s="8">
        <v>41479</v>
      </c>
      <c r="B3542" s="9">
        <v>13.18</v>
      </c>
    </row>
    <row r="3543" spans="1:2" x14ac:dyDescent="0.25">
      <c r="A3543" s="8">
        <v>41480</v>
      </c>
      <c r="B3543" s="9">
        <v>12.97</v>
      </c>
    </row>
    <row r="3544" spans="1:2" x14ac:dyDescent="0.25">
      <c r="A3544" s="8">
        <v>41481</v>
      </c>
      <c r="B3544" s="9">
        <v>12.72</v>
      </c>
    </row>
    <row r="3545" spans="1:2" x14ac:dyDescent="0.25">
      <c r="A3545" s="8">
        <v>41484</v>
      </c>
      <c r="B3545" s="9">
        <v>13.39</v>
      </c>
    </row>
    <row r="3546" spans="1:2" x14ac:dyDescent="0.25">
      <c r="A3546" s="8">
        <v>41485</v>
      </c>
      <c r="B3546" s="9">
        <v>13.39</v>
      </c>
    </row>
    <row r="3547" spans="1:2" x14ac:dyDescent="0.25">
      <c r="A3547" s="8">
        <v>41486</v>
      </c>
      <c r="B3547" s="9">
        <v>13.45</v>
      </c>
    </row>
    <row r="3548" spans="1:2" x14ac:dyDescent="0.25">
      <c r="A3548" s="8">
        <v>41487</v>
      </c>
      <c r="B3548" s="9">
        <v>12.94</v>
      </c>
    </row>
    <row r="3549" spans="1:2" x14ac:dyDescent="0.25">
      <c r="A3549" s="8">
        <v>41488</v>
      </c>
      <c r="B3549" s="9">
        <v>11.98</v>
      </c>
    </row>
    <row r="3550" spans="1:2" x14ac:dyDescent="0.25">
      <c r="A3550" s="8">
        <v>41491</v>
      </c>
      <c r="B3550" s="9">
        <v>11.84</v>
      </c>
    </row>
    <row r="3551" spans="1:2" x14ac:dyDescent="0.25">
      <c r="A3551" s="8">
        <v>41492</v>
      </c>
      <c r="B3551" s="9">
        <v>12.72</v>
      </c>
    </row>
    <row r="3552" spans="1:2" x14ac:dyDescent="0.25">
      <c r="A3552" s="8">
        <v>41493</v>
      </c>
      <c r="B3552" s="9">
        <v>12.98</v>
      </c>
    </row>
    <row r="3553" spans="1:2" x14ac:dyDescent="0.25">
      <c r="A3553" s="8">
        <v>41494</v>
      </c>
      <c r="B3553" s="9">
        <v>12.73</v>
      </c>
    </row>
    <row r="3554" spans="1:2" x14ac:dyDescent="0.25">
      <c r="A3554" s="8">
        <v>41495</v>
      </c>
      <c r="B3554" s="9">
        <v>13.41</v>
      </c>
    </row>
    <row r="3555" spans="1:2" x14ac:dyDescent="0.25">
      <c r="A3555" s="8">
        <v>41498</v>
      </c>
      <c r="B3555" s="9">
        <v>12.81</v>
      </c>
    </row>
    <row r="3556" spans="1:2" x14ac:dyDescent="0.25">
      <c r="A3556" s="8">
        <v>41499</v>
      </c>
      <c r="B3556" s="9">
        <v>12.31</v>
      </c>
    </row>
    <row r="3557" spans="1:2" x14ac:dyDescent="0.25">
      <c r="A3557" s="8">
        <v>41500</v>
      </c>
      <c r="B3557" s="9">
        <v>13.04</v>
      </c>
    </row>
    <row r="3558" spans="1:2" x14ac:dyDescent="0.25">
      <c r="A3558" s="8">
        <v>41501</v>
      </c>
      <c r="B3558" s="9">
        <v>14.73</v>
      </c>
    </row>
    <row r="3559" spans="1:2" x14ac:dyDescent="0.25">
      <c r="A3559" s="8">
        <v>41502</v>
      </c>
      <c r="B3559" s="9">
        <v>14.37</v>
      </c>
    </row>
    <row r="3560" spans="1:2" x14ac:dyDescent="0.25">
      <c r="A3560" s="8">
        <v>41505</v>
      </c>
      <c r="B3560" s="9">
        <v>15.1</v>
      </c>
    </row>
    <row r="3561" spans="1:2" x14ac:dyDescent="0.25">
      <c r="A3561" s="8">
        <v>41506</v>
      </c>
      <c r="B3561" s="9">
        <v>14.91</v>
      </c>
    </row>
    <row r="3562" spans="1:2" x14ac:dyDescent="0.25">
      <c r="A3562" s="8">
        <v>41507</v>
      </c>
      <c r="B3562" s="9">
        <v>15.94</v>
      </c>
    </row>
    <row r="3563" spans="1:2" x14ac:dyDescent="0.25">
      <c r="A3563" s="8">
        <v>41508</v>
      </c>
      <c r="B3563" s="9">
        <v>14.76</v>
      </c>
    </row>
    <row r="3564" spans="1:2" x14ac:dyDescent="0.25">
      <c r="A3564" s="8">
        <v>41509</v>
      </c>
      <c r="B3564" s="9">
        <v>13.98</v>
      </c>
    </row>
    <row r="3565" spans="1:2" x14ac:dyDescent="0.25">
      <c r="A3565" s="8">
        <v>41512</v>
      </c>
      <c r="B3565" s="9">
        <v>14.99</v>
      </c>
    </row>
    <row r="3566" spans="1:2" x14ac:dyDescent="0.25">
      <c r="A3566" s="8">
        <v>41513</v>
      </c>
      <c r="B3566" s="9">
        <v>16.77</v>
      </c>
    </row>
    <row r="3567" spans="1:2" x14ac:dyDescent="0.25">
      <c r="A3567" s="8">
        <v>41514</v>
      </c>
      <c r="B3567" s="9">
        <v>16.489999999999998</v>
      </c>
    </row>
    <row r="3568" spans="1:2" x14ac:dyDescent="0.25">
      <c r="A3568" s="8">
        <v>41515</v>
      </c>
      <c r="B3568" s="9">
        <v>16.809999999999999</v>
      </c>
    </row>
    <row r="3569" spans="1:2" x14ac:dyDescent="0.25">
      <c r="A3569" s="8">
        <v>41516</v>
      </c>
      <c r="B3569" s="9">
        <v>17.010000000000002</v>
      </c>
    </row>
    <row r="3570" spans="1:2" x14ac:dyDescent="0.25">
      <c r="A3570" s="8">
        <v>41519</v>
      </c>
    </row>
    <row r="3571" spans="1:2" x14ac:dyDescent="0.25">
      <c r="A3571" s="8">
        <v>41520</v>
      </c>
      <c r="B3571" s="9">
        <v>16.61</v>
      </c>
    </row>
    <row r="3572" spans="1:2" x14ac:dyDescent="0.25">
      <c r="A3572" s="8">
        <v>41521</v>
      </c>
      <c r="B3572" s="9">
        <v>15.88</v>
      </c>
    </row>
    <row r="3573" spans="1:2" x14ac:dyDescent="0.25">
      <c r="A3573" s="8">
        <v>41522</v>
      </c>
      <c r="B3573" s="9">
        <v>15.77</v>
      </c>
    </row>
    <row r="3574" spans="1:2" x14ac:dyDescent="0.25">
      <c r="A3574" s="8">
        <v>41523</v>
      </c>
      <c r="B3574" s="9">
        <v>15.85</v>
      </c>
    </row>
    <row r="3575" spans="1:2" x14ac:dyDescent="0.25">
      <c r="A3575" s="8">
        <v>41526</v>
      </c>
      <c r="B3575" s="9">
        <v>15.63</v>
      </c>
    </row>
    <row r="3576" spans="1:2" x14ac:dyDescent="0.25">
      <c r="A3576" s="8">
        <v>41527</v>
      </c>
      <c r="B3576" s="9">
        <v>14.53</v>
      </c>
    </row>
    <row r="3577" spans="1:2" x14ac:dyDescent="0.25">
      <c r="A3577" s="8">
        <v>41528</v>
      </c>
      <c r="B3577" s="9">
        <v>13.82</v>
      </c>
    </row>
    <row r="3578" spans="1:2" x14ac:dyDescent="0.25">
      <c r="A3578" s="8">
        <v>41529</v>
      </c>
      <c r="B3578" s="9">
        <v>14.29</v>
      </c>
    </row>
    <row r="3579" spans="1:2" x14ac:dyDescent="0.25">
      <c r="A3579" s="8">
        <v>41530</v>
      </c>
      <c r="B3579" s="9">
        <v>14.16</v>
      </c>
    </row>
    <row r="3580" spans="1:2" x14ac:dyDescent="0.25">
      <c r="A3580" s="8">
        <v>41533</v>
      </c>
      <c r="B3580" s="9">
        <v>14.38</v>
      </c>
    </row>
    <row r="3581" spans="1:2" x14ac:dyDescent="0.25">
      <c r="A3581" s="8">
        <v>41534</v>
      </c>
      <c r="B3581" s="9">
        <v>14.53</v>
      </c>
    </row>
    <row r="3582" spans="1:2" x14ac:dyDescent="0.25">
      <c r="A3582" s="8">
        <v>41535</v>
      </c>
      <c r="B3582" s="9">
        <v>13.59</v>
      </c>
    </row>
    <row r="3583" spans="1:2" x14ac:dyDescent="0.25">
      <c r="A3583" s="8">
        <v>41536</v>
      </c>
      <c r="B3583" s="9">
        <v>13.16</v>
      </c>
    </row>
    <row r="3584" spans="1:2" x14ac:dyDescent="0.25">
      <c r="A3584" s="8">
        <v>41537</v>
      </c>
      <c r="B3584" s="9">
        <v>13.12</v>
      </c>
    </row>
    <row r="3585" spans="1:2" x14ac:dyDescent="0.25">
      <c r="A3585" s="8">
        <v>41540</v>
      </c>
      <c r="B3585" s="9">
        <v>14.31</v>
      </c>
    </row>
    <row r="3586" spans="1:2" x14ac:dyDescent="0.25">
      <c r="A3586" s="8">
        <v>41541</v>
      </c>
      <c r="B3586" s="9">
        <v>14.08</v>
      </c>
    </row>
    <row r="3587" spans="1:2" x14ac:dyDescent="0.25">
      <c r="A3587" s="8">
        <v>41542</v>
      </c>
      <c r="B3587" s="9">
        <v>14.01</v>
      </c>
    </row>
    <row r="3588" spans="1:2" x14ac:dyDescent="0.25">
      <c r="A3588" s="8">
        <v>41543</v>
      </c>
      <c r="B3588" s="9">
        <v>14.06</v>
      </c>
    </row>
    <row r="3589" spans="1:2" x14ac:dyDescent="0.25">
      <c r="A3589" s="8">
        <v>41544</v>
      </c>
      <c r="B3589" s="9">
        <v>15.46</v>
      </c>
    </row>
    <row r="3590" spans="1:2" x14ac:dyDescent="0.25">
      <c r="A3590" s="8">
        <v>41547</v>
      </c>
      <c r="B3590" s="9">
        <v>16.600000000000001</v>
      </c>
    </row>
    <row r="3591" spans="1:2" x14ac:dyDescent="0.25">
      <c r="A3591" s="8">
        <v>41548</v>
      </c>
      <c r="B3591" s="9">
        <v>15.54</v>
      </c>
    </row>
    <row r="3592" spans="1:2" x14ac:dyDescent="0.25">
      <c r="A3592" s="8">
        <v>41549</v>
      </c>
      <c r="B3592" s="9">
        <v>16.600000000000001</v>
      </c>
    </row>
    <row r="3593" spans="1:2" x14ac:dyDescent="0.25">
      <c r="A3593" s="8">
        <v>41550</v>
      </c>
      <c r="B3593" s="9">
        <v>17.670000000000002</v>
      </c>
    </row>
    <row r="3594" spans="1:2" x14ac:dyDescent="0.25">
      <c r="A3594" s="8">
        <v>41551</v>
      </c>
      <c r="B3594" s="9">
        <v>16.739999999999998</v>
      </c>
    </row>
    <row r="3595" spans="1:2" x14ac:dyDescent="0.25">
      <c r="A3595" s="8">
        <v>41554</v>
      </c>
      <c r="B3595" s="9">
        <v>19.41</v>
      </c>
    </row>
    <row r="3596" spans="1:2" x14ac:dyDescent="0.25">
      <c r="A3596" s="8">
        <v>41555</v>
      </c>
      <c r="B3596" s="9">
        <v>20.34</v>
      </c>
    </row>
    <row r="3597" spans="1:2" x14ac:dyDescent="0.25">
      <c r="A3597" s="8">
        <v>41556</v>
      </c>
      <c r="B3597" s="9">
        <v>19.600000000000001</v>
      </c>
    </row>
    <row r="3598" spans="1:2" x14ac:dyDescent="0.25">
      <c r="A3598" s="8">
        <v>41557</v>
      </c>
      <c r="B3598" s="9">
        <v>16.48</v>
      </c>
    </row>
    <row r="3599" spans="1:2" x14ac:dyDescent="0.25">
      <c r="A3599" s="8">
        <v>41558</v>
      </c>
      <c r="B3599" s="9">
        <v>15.72</v>
      </c>
    </row>
    <row r="3600" spans="1:2" x14ac:dyDescent="0.25">
      <c r="A3600" s="8">
        <v>41561</v>
      </c>
      <c r="B3600" s="9">
        <v>16.07</v>
      </c>
    </row>
    <row r="3601" spans="1:2" x14ac:dyDescent="0.25">
      <c r="A3601" s="8">
        <v>41562</v>
      </c>
      <c r="B3601" s="9">
        <v>18.66</v>
      </c>
    </row>
    <row r="3602" spans="1:2" x14ac:dyDescent="0.25">
      <c r="A3602" s="8">
        <v>41563</v>
      </c>
      <c r="B3602" s="9">
        <v>14.71</v>
      </c>
    </row>
    <row r="3603" spans="1:2" x14ac:dyDescent="0.25">
      <c r="A3603" s="8">
        <v>41564</v>
      </c>
      <c r="B3603" s="9">
        <v>13.48</v>
      </c>
    </row>
    <row r="3604" spans="1:2" x14ac:dyDescent="0.25">
      <c r="A3604" s="8">
        <v>41565</v>
      </c>
      <c r="B3604" s="9">
        <v>13.04</v>
      </c>
    </row>
    <row r="3605" spans="1:2" x14ac:dyDescent="0.25">
      <c r="A3605" s="8">
        <v>41568</v>
      </c>
      <c r="B3605" s="9">
        <v>13.16</v>
      </c>
    </row>
    <row r="3606" spans="1:2" x14ac:dyDescent="0.25">
      <c r="A3606" s="8">
        <v>41569</v>
      </c>
      <c r="B3606" s="9">
        <v>13.33</v>
      </c>
    </row>
    <row r="3607" spans="1:2" x14ac:dyDescent="0.25">
      <c r="A3607" s="8">
        <v>41570</v>
      </c>
      <c r="B3607" s="9">
        <v>13.42</v>
      </c>
    </row>
    <row r="3608" spans="1:2" x14ac:dyDescent="0.25">
      <c r="A3608" s="8">
        <v>41571</v>
      </c>
      <c r="B3608" s="9">
        <v>13.2</v>
      </c>
    </row>
    <row r="3609" spans="1:2" x14ac:dyDescent="0.25">
      <c r="A3609" s="8">
        <v>41572</v>
      </c>
      <c r="B3609" s="9">
        <v>13.09</v>
      </c>
    </row>
    <row r="3610" spans="1:2" x14ac:dyDescent="0.25">
      <c r="A3610" s="8">
        <v>41575</v>
      </c>
      <c r="B3610" s="9">
        <v>13.31</v>
      </c>
    </row>
    <row r="3611" spans="1:2" x14ac:dyDescent="0.25">
      <c r="A3611" s="8">
        <v>41576</v>
      </c>
      <c r="B3611" s="9">
        <v>13.41</v>
      </c>
    </row>
    <row r="3612" spans="1:2" x14ac:dyDescent="0.25">
      <c r="A3612" s="8">
        <v>41577</v>
      </c>
      <c r="B3612" s="9">
        <v>13.65</v>
      </c>
    </row>
    <row r="3613" spans="1:2" x14ac:dyDescent="0.25">
      <c r="A3613" s="8">
        <v>41578</v>
      </c>
      <c r="B3613" s="9">
        <v>13.75</v>
      </c>
    </row>
    <row r="3614" spans="1:2" x14ac:dyDescent="0.25">
      <c r="A3614" s="8">
        <v>41579</v>
      </c>
      <c r="B3614" s="9">
        <v>13.28</v>
      </c>
    </row>
    <row r="3615" spans="1:2" x14ac:dyDescent="0.25">
      <c r="A3615" s="8">
        <v>41582</v>
      </c>
      <c r="B3615" s="9">
        <v>12.93</v>
      </c>
    </row>
    <row r="3616" spans="1:2" x14ac:dyDescent="0.25">
      <c r="A3616" s="8">
        <v>41583</v>
      </c>
      <c r="B3616" s="9">
        <v>13.27</v>
      </c>
    </row>
    <row r="3617" spans="1:2" x14ac:dyDescent="0.25">
      <c r="A3617" s="8">
        <v>41584</v>
      </c>
      <c r="B3617" s="9">
        <v>12.67</v>
      </c>
    </row>
    <row r="3618" spans="1:2" x14ac:dyDescent="0.25">
      <c r="A3618" s="8">
        <v>41585</v>
      </c>
      <c r="B3618" s="9">
        <v>13.91</v>
      </c>
    </row>
    <row r="3619" spans="1:2" x14ac:dyDescent="0.25">
      <c r="A3619" s="8">
        <v>41586</v>
      </c>
      <c r="B3619" s="9">
        <v>12.9</v>
      </c>
    </row>
    <row r="3620" spans="1:2" x14ac:dyDescent="0.25">
      <c r="A3620" s="8">
        <v>41589</v>
      </c>
      <c r="B3620" s="9">
        <v>12.53</v>
      </c>
    </row>
    <row r="3621" spans="1:2" x14ac:dyDescent="0.25">
      <c r="A3621" s="8">
        <v>41590</v>
      </c>
      <c r="B3621" s="9">
        <v>12.82</v>
      </c>
    </row>
    <row r="3622" spans="1:2" x14ac:dyDescent="0.25">
      <c r="A3622" s="8">
        <v>41591</v>
      </c>
      <c r="B3622" s="9">
        <v>12.52</v>
      </c>
    </row>
    <row r="3623" spans="1:2" x14ac:dyDescent="0.25">
      <c r="A3623" s="8">
        <v>41592</v>
      </c>
      <c r="B3623" s="9">
        <v>12.37</v>
      </c>
    </row>
    <row r="3624" spans="1:2" x14ac:dyDescent="0.25">
      <c r="A3624" s="8">
        <v>41593</v>
      </c>
      <c r="B3624" s="9">
        <v>12.19</v>
      </c>
    </row>
    <row r="3625" spans="1:2" x14ac:dyDescent="0.25">
      <c r="A3625" s="8">
        <v>41596</v>
      </c>
      <c r="B3625" s="9">
        <v>13.1</v>
      </c>
    </row>
    <row r="3626" spans="1:2" x14ac:dyDescent="0.25">
      <c r="A3626" s="8">
        <v>41597</v>
      </c>
      <c r="B3626" s="9">
        <v>13.39</v>
      </c>
    </row>
    <row r="3627" spans="1:2" x14ac:dyDescent="0.25">
      <c r="A3627" s="8">
        <v>41598</v>
      </c>
      <c r="B3627" s="9">
        <v>13.4</v>
      </c>
    </row>
    <row r="3628" spans="1:2" x14ac:dyDescent="0.25">
      <c r="A3628" s="8">
        <v>41599</v>
      </c>
      <c r="B3628" s="9">
        <v>12.66</v>
      </c>
    </row>
    <row r="3629" spans="1:2" x14ac:dyDescent="0.25">
      <c r="A3629" s="8">
        <v>41600</v>
      </c>
      <c r="B3629" s="9">
        <v>12.26</v>
      </c>
    </row>
    <row r="3630" spans="1:2" x14ac:dyDescent="0.25">
      <c r="A3630" s="8">
        <v>41603</v>
      </c>
      <c r="B3630" s="9">
        <v>12.79</v>
      </c>
    </row>
    <row r="3631" spans="1:2" x14ac:dyDescent="0.25">
      <c r="A3631" s="8">
        <v>41604</v>
      </c>
      <c r="B3631" s="9">
        <v>12.81</v>
      </c>
    </row>
    <row r="3632" spans="1:2" x14ac:dyDescent="0.25">
      <c r="A3632" s="8">
        <v>41605</v>
      </c>
      <c r="B3632" s="9">
        <v>12.98</v>
      </c>
    </row>
    <row r="3633" spans="1:2" x14ac:dyDescent="0.25">
      <c r="A3633" s="8">
        <v>41606</v>
      </c>
    </row>
    <row r="3634" spans="1:2" x14ac:dyDescent="0.25">
      <c r="A3634" s="8">
        <v>41607</v>
      </c>
      <c r="B3634" s="9">
        <v>13.7</v>
      </c>
    </row>
    <row r="3635" spans="1:2" x14ac:dyDescent="0.25">
      <c r="A3635" s="8">
        <v>41610</v>
      </c>
      <c r="B3635" s="9">
        <v>14.23</v>
      </c>
    </row>
    <row r="3636" spans="1:2" x14ac:dyDescent="0.25">
      <c r="A3636" s="8">
        <v>41611</v>
      </c>
      <c r="B3636" s="9">
        <v>14.55</v>
      </c>
    </row>
    <row r="3637" spans="1:2" x14ac:dyDescent="0.25">
      <c r="A3637" s="8">
        <v>41612</v>
      </c>
      <c r="B3637" s="9">
        <v>14.7</v>
      </c>
    </row>
    <row r="3638" spans="1:2" x14ac:dyDescent="0.25">
      <c r="A3638" s="8">
        <v>41613</v>
      </c>
      <c r="B3638" s="9">
        <v>15.08</v>
      </c>
    </row>
    <row r="3639" spans="1:2" x14ac:dyDescent="0.25">
      <c r="A3639" s="8">
        <v>41614</v>
      </c>
      <c r="B3639" s="9">
        <v>13.79</v>
      </c>
    </row>
    <row r="3640" spans="1:2" x14ac:dyDescent="0.25">
      <c r="A3640" s="8">
        <v>41617</v>
      </c>
      <c r="B3640" s="9">
        <v>13.49</v>
      </c>
    </row>
    <row r="3641" spans="1:2" x14ac:dyDescent="0.25">
      <c r="A3641" s="8">
        <v>41618</v>
      </c>
      <c r="B3641" s="9">
        <v>13.91</v>
      </c>
    </row>
    <row r="3642" spans="1:2" x14ac:dyDescent="0.25">
      <c r="A3642" s="8">
        <v>41619</v>
      </c>
      <c r="B3642" s="9">
        <v>15.42</v>
      </c>
    </row>
    <row r="3643" spans="1:2" x14ac:dyDescent="0.25">
      <c r="A3643" s="8">
        <v>41620</v>
      </c>
      <c r="B3643" s="9">
        <v>15.54</v>
      </c>
    </row>
    <row r="3644" spans="1:2" x14ac:dyDescent="0.25">
      <c r="A3644" s="8">
        <v>41621</v>
      </c>
      <c r="B3644" s="9">
        <v>15.76</v>
      </c>
    </row>
    <row r="3645" spans="1:2" x14ac:dyDescent="0.25">
      <c r="A3645" s="8">
        <v>41624</v>
      </c>
      <c r="B3645" s="9">
        <v>16.03</v>
      </c>
    </row>
    <row r="3646" spans="1:2" x14ac:dyDescent="0.25">
      <c r="A3646" s="8">
        <v>41625</v>
      </c>
      <c r="B3646" s="9">
        <v>16.21</v>
      </c>
    </row>
    <row r="3647" spans="1:2" x14ac:dyDescent="0.25">
      <c r="A3647" s="8">
        <v>41626</v>
      </c>
      <c r="B3647" s="9">
        <v>13.8</v>
      </c>
    </row>
    <row r="3648" spans="1:2" x14ac:dyDescent="0.25">
      <c r="A3648" s="8">
        <v>41627</v>
      </c>
      <c r="B3648" s="9">
        <v>14.15</v>
      </c>
    </row>
    <row r="3649" spans="1:2" x14ac:dyDescent="0.25">
      <c r="A3649" s="8">
        <v>41628</v>
      </c>
      <c r="B3649" s="9">
        <v>13.79</v>
      </c>
    </row>
    <row r="3650" spans="1:2" x14ac:dyDescent="0.25">
      <c r="A3650" s="8">
        <v>41631</v>
      </c>
      <c r="B3650" s="9">
        <v>13.04</v>
      </c>
    </row>
    <row r="3651" spans="1:2" x14ac:dyDescent="0.25">
      <c r="A3651" s="8">
        <v>41632</v>
      </c>
      <c r="B3651" s="9">
        <v>12.48</v>
      </c>
    </row>
    <row r="3652" spans="1:2" x14ac:dyDescent="0.25">
      <c r="A3652" s="8">
        <v>41633</v>
      </c>
    </row>
    <row r="3653" spans="1:2" x14ac:dyDescent="0.25">
      <c r="A3653" s="8">
        <v>41634</v>
      </c>
      <c r="B3653" s="9">
        <v>12.33</v>
      </c>
    </row>
    <row r="3654" spans="1:2" x14ac:dyDescent="0.25">
      <c r="A3654" s="8">
        <v>41635</v>
      </c>
      <c r="B3654" s="9">
        <v>12.46</v>
      </c>
    </row>
    <row r="3655" spans="1:2" x14ac:dyDescent="0.25">
      <c r="A3655" s="8">
        <v>41638</v>
      </c>
      <c r="B3655" s="9">
        <v>13.56</v>
      </c>
    </row>
    <row r="3656" spans="1:2" x14ac:dyDescent="0.25">
      <c r="A3656" s="8">
        <v>41639</v>
      </c>
      <c r="B3656" s="9">
        <v>13.72</v>
      </c>
    </row>
    <row r="3657" spans="1:2" x14ac:dyDescent="0.25">
      <c r="A3657" s="8">
        <v>41640</v>
      </c>
    </row>
    <row r="3658" spans="1:2" x14ac:dyDescent="0.25">
      <c r="A3658" s="8">
        <v>41641</v>
      </c>
      <c r="B3658" s="9">
        <v>14.23</v>
      </c>
    </row>
    <row r="3659" spans="1:2" x14ac:dyDescent="0.25">
      <c r="A3659" s="8">
        <v>41642</v>
      </c>
      <c r="B3659" s="9">
        <v>13.76</v>
      </c>
    </row>
    <row r="3660" spans="1:2" x14ac:dyDescent="0.25">
      <c r="A3660" s="8">
        <v>41645</v>
      </c>
      <c r="B3660" s="9">
        <v>13.55</v>
      </c>
    </row>
    <row r="3661" spans="1:2" x14ac:dyDescent="0.25">
      <c r="A3661" s="8">
        <v>41646</v>
      </c>
      <c r="B3661" s="9">
        <v>12.92</v>
      </c>
    </row>
    <row r="3662" spans="1:2" x14ac:dyDescent="0.25">
      <c r="A3662" s="8">
        <v>41647</v>
      </c>
      <c r="B3662" s="9">
        <v>12.87</v>
      </c>
    </row>
    <row r="3663" spans="1:2" x14ac:dyDescent="0.25">
      <c r="A3663" s="8">
        <v>41648</v>
      </c>
      <c r="B3663" s="9">
        <v>12.89</v>
      </c>
    </row>
    <row r="3664" spans="1:2" x14ac:dyDescent="0.25">
      <c r="A3664" s="8">
        <v>41649</v>
      </c>
      <c r="B3664" s="9">
        <v>12.14</v>
      </c>
    </row>
    <row r="3665" spans="1:2" x14ac:dyDescent="0.25">
      <c r="A3665" s="8">
        <v>41652</v>
      </c>
      <c r="B3665" s="9">
        <v>13.28</v>
      </c>
    </row>
    <row r="3666" spans="1:2" x14ac:dyDescent="0.25">
      <c r="A3666" s="8">
        <v>41653</v>
      </c>
      <c r="B3666" s="9">
        <v>12.28</v>
      </c>
    </row>
    <row r="3667" spans="1:2" x14ac:dyDescent="0.25">
      <c r="A3667" s="8">
        <v>41654</v>
      </c>
      <c r="B3667" s="9">
        <v>12.28</v>
      </c>
    </row>
    <row r="3668" spans="1:2" x14ac:dyDescent="0.25">
      <c r="A3668" s="8">
        <v>41655</v>
      </c>
      <c r="B3668" s="9">
        <v>12.53</v>
      </c>
    </row>
    <row r="3669" spans="1:2" x14ac:dyDescent="0.25">
      <c r="A3669" s="8">
        <v>41656</v>
      </c>
      <c r="B3669" s="9">
        <v>12.44</v>
      </c>
    </row>
    <row r="3670" spans="1:2" x14ac:dyDescent="0.25">
      <c r="A3670" s="8">
        <v>41659</v>
      </c>
    </row>
    <row r="3671" spans="1:2" x14ac:dyDescent="0.25">
      <c r="A3671" s="8">
        <v>41660</v>
      </c>
      <c r="B3671" s="9">
        <v>12.87</v>
      </c>
    </row>
    <row r="3672" spans="1:2" x14ac:dyDescent="0.25">
      <c r="A3672" s="8">
        <v>41661</v>
      </c>
      <c r="B3672" s="9">
        <v>12.84</v>
      </c>
    </row>
    <row r="3673" spans="1:2" x14ac:dyDescent="0.25">
      <c r="A3673" s="8">
        <v>41662</v>
      </c>
      <c r="B3673" s="9">
        <v>13.77</v>
      </c>
    </row>
    <row r="3674" spans="1:2" x14ac:dyDescent="0.25">
      <c r="A3674" s="8">
        <v>41663</v>
      </c>
      <c r="B3674" s="9">
        <v>18.14</v>
      </c>
    </row>
    <row r="3675" spans="1:2" x14ac:dyDescent="0.25">
      <c r="A3675" s="8">
        <v>41666</v>
      </c>
      <c r="B3675" s="9">
        <v>17.420000000000002</v>
      </c>
    </row>
    <row r="3676" spans="1:2" x14ac:dyDescent="0.25">
      <c r="A3676" s="8">
        <v>41667</v>
      </c>
      <c r="B3676" s="9">
        <v>15.8</v>
      </c>
    </row>
    <row r="3677" spans="1:2" x14ac:dyDescent="0.25">
      <c r="A3677" s="8">
        <v>41668</v>
      </c>
      <c r="B3677" s="9">
        <v>17.350000000000001</v>
      </c>
    </row>
    <row r="3678" spans="1:2" x14ac:dyDescent="0.25">
      <c r="A3678" s="8">
        <v>41669</v>
      </c>
      <c r="B3678" s="9">
        <v>17.29</v>
      </c>
    </row>
    <row r="3679" spans="1:2" x14ac:dyDescent="0.25">
      <c r="A3679" s="8">
        <v>41670</v>
      </c>
      <c r="B3679" s="9">
        <v>18.41</v>
      </c>
    </row>
    <row r="3680" spans="1:2" x14ac:dyDescent="0.25">
      <c r="A3680" s="8">
        <v>41673</v>
      </c>
      <c r="B3680" s="9">
        <v>21.44</v>
      </c>
    </row>
    <row r="3681" spans="1:2" x14ac:dyDescent="0.25">
      <c r="A3681" s="8">
        <v>41674</v>
      </c>
      <c r="B3681" s="9">
        <v>19.11</v>
      </c>
    </row>
    <row r="3682" spans="1:2" x14ac:dyDescent="0.25">
      <c r="A3682" s="8">
        <v>41675</v>
      </c>
      <c r="B3682" s="9">
        <v>19.95</v>
      </c>
    </row>
    <row r="3683" spans="1:2" x14ac:dyDescent="0.25">
      <c r="A3683" s="8">
        <v>41676</v>
      </c>
      <c r="B3683" s="9">
        <v>17.23</v>
      </c>
    </row>
    <row r="3684" spans="1:2" x14ac:dyDescent="0.25">
      <c r="A3684" s="8">
        <v>41677</v>
      </c>
      <c r="B3684" s="9">
        <v>15.29</v>
      </c>
    </row>
    <row r="3685" spans="1:2" x14ac:dyDescent="0.25">
      <c r="A3685" s="8">
        <v>41680</v>
      </c>
      <c r="B3685" s="9">
        <v>15.26</v>
      </c>
    </row>
    <row r="3686" spans="1:2" x14ac:dyDescent="0.25">
      <c r="A3686" s="8">
        <v>41681</v>
      </c>
      <c r="B3686" s="9">
        <v>14.51</v>
      </c>
    </row>
    <row r="3687" spans="1:2" x14ac:dyDescent="0.25">
      <c r="A3687" s="8">
        <v>41682</v>
      </c>
      <c r="B3687" s="9">
        <v>14.3</v>
      </c>
    </row>
    <row r="3688" spans="1:2" x14ac:dyDescent="0.25">
      <c r="A3688" s="8">
        <v>41683</v>
      </c>
      <c r="B3688" s="9">
        <v>14.14</v>
      </c>
    </row>
    <row r="3689" spans="1:2" x14ac:dyDescent="0.25">
      <c r="A3689" s="8">
        <v>41684</v>
      </c>
      <c r="B3689" s="9">
        <v>13.57</v>
      </c>
    </row>
    <row r="3690" spans="1:2" x14ac:dyDescent="0.25">
      <c r="A3690" s="8">
        <v>41687</v>
      </c>
    </row>
    <row r="3691" spans="1:2" x14ac:dyDescent="0.25">
      <c r="A3691" s="8">
        <v>41688</v>
      </c>
      <c r="B3691" s="9">
        <v>13.87</v>
      </c>
    </row>
    <row r="3692" spans="1:2" x14ac:dyDescent="0.25">
      <c r="A3692" s="8">
        <v>41689</v>
      </c>
      <c r="B3692" s="9">
        <v>15.5</v>
      </c>
    </row>
    <row r="3693" spans="1:2" x14ac:dyDescent="0.25">
      <c r="A3693" s="8">
        <v>41690</v>
      </c>
      <c r="B3693" s="9">
        <v>14.79</v>
      </c>
    </row>
    <row r="3694" spans="1:2" x14ac:dyDescent="0.25">
      <c r="A3694" s="8">
        <v>41691</v>
      </c>
      <c r="B3694" s="9">
        <v>14.68</v>
      </c>
    </row>
    <row r="3695" spans="1:2" x14ac:dyDescent="0.25">
      <c r="A3695" s="8">
        <v>41694</v>
      </c>
      <c r="B3695" s="9">
        <v>14.23</v>
      </c>
    </row>
    <row r="3696" spans="1:2" x14ac:dyDescent="0.25">
      <c r="A3696" s="8">
        <v>41695</v>
      </c>
      <c r="B3696" s="9">
        <v>13.67</v>
      </c>
    </row>
    <row r="3697" spans="1:2" x14ac:dyDescent="0.25">
      <c r="A3697" s="8">
        <v>41696</v>
      </c>
      <c r="B3697" s="9">
        <v>14.35</v>
      </c>
    </row>
    <row r="3698" spans="1:2" x14ac:dyDescent="0.25">
      <c r="A3698" s="8">
        <v>41697</v>
      </c>
      <c r="B3698" s="9">
        <v>14.04</v>
      </c>
    </row>
    <row r="3699" spans="1:2" x14ac:dyDescent="0.25">
      <c r="A3699" s="8">
        <v>41698</v>
      </c>
      <c r="B3699" s="9">
        <v>14</v>
      </c>
    </row>
    <row r="3700" spans="1:2" x14ac:dyDescent="0.25">
      <c r="A3700" s="8">
        <v>41701</v>
      </c>
      <c r="B3700" s="9">
        <v>16</v>
      </c>
    </row>
    <row r="3701" spans="1:2" x14ac:dyDescent="0.25">
      <c r="A3701" s="8">
        <v>41702</v>
      </c>
      <c r="B3701" s="9">
        <v>14.1</v>
      </c>
    </row>
    <row r="3702" spans="1:2" x14ac:dyDescent="0.25">
      <c r="A3702" s="8">
        <v>41703</v>
      </c>
      <c r="B3702" s="9">
        <v>13.89</v>
      </c>
    </row>
    <row r="3703" spans="1:2" x14ac:dyDescent="0.25">
      <c r="A3703" s="8">
        <v>41704</v>
      </c>
      <c r="B3703" s="9">
        <v>14.21</v>
      </c>
    </row>
    <row r="3704" spans="1:2" x14ac:dyDescent="0.25">
      <c r="A3704" s="8">
        <v>41705</v>
      </c>
      <c r="B3704" s="9">
        <v>14.11</v>
      </c>
    </row>
    <row r="3705" spans="1:2" x14ac:dyDescent="0.25">
      <c r="A3705" s="8">
        <v>41708</v>
      </c>
      <c r="B3705" s="9">
        <v>14.2</v>
      </c>
    </row>
    <row r="3706" spans="1:2" x14ac:dyDescent="0.25">
      <c r="A3706" s="8">
        <v>41709</v>
      </c>
      <c r="B3706" s="9">
        <v>14.8</v>
      </c>
    </row>
    <row r="3707" spans="1:2" x14ac:dyDescent="0.25">
      <c r="A3707" s="8">
        <v>41710</v>
      </c>
      <c r="B3707" s="9">
        <v>14.47</v>
      </c>
    </row>
    <row r="3708" spans="1:2" x14ac:dyDescent="0.25">
      <c r="A3708" s="8">
        <v>41711</v>
      </c>
      <c r="B3708" s="9">
        <v>16.22</v>
      </c>
    </row>
    <row r="3709" spans="1:2" x14ac:dyDescent="0.25">
      <c r="A3709" s="8">
        <v>41712</v>
      </c>
      <c r="B3709" s="9">
        <v>17.82</v>
      </c>
    </row>
    <row r="3710" spans="1:2" x14ac:dyDescent="0.25">
      <c r="A3710" s="8">
        <v>41715</v>
      </c>
      <c r="B3710" s="9">
        <v>15.64</v>
      </c>
    </row>
    <row r="3711" spans="1:2" x14ac:dyDescent="0.25">
      <c r="A3711" s="8">
        <v>41716</v>
      </c>
      <c r="B3711" s="9">
        <v>14.52</v>
      </c>
    </row>
    <row r="3712" spans="1:2" x14ac:dyDescent="0.25">
      <c r="A3712" s="8">
        <v>41717</v>
      </c>
      <c r="B3712" s="9">
        <v>15.12</v>
      </c>
    </row>
    <row r="3713" spans="1:2" x14ac:dyDescent="0.25">
      <c r="A3713" s="8">
        <v>41718</v>
      </c>
      <c r="B3713" s="9">
        <v>14.52</v>
      </c>
    </row>
    <row r="3714" spans="1:2" x14ac:dyDescent="0.25">
      <c r="A3714" s="8">
        <v>41719</v>
      </c>
      <c r="B3714" s="9">
        <v>15</v>
      </c>
    </row>
    <row r="3715" spans="1:2" x14ac:dyDescent="0.25">
      <c r="A3715" s="8">
        <v>41722</v>
      </c>
      <c r="B3715" s="9">
        <v>15.09</v>
      </c>
    </row>
    <row r="3716" spans="1:2" x14ac:dyDescent="0.25">
      <c r="A3716" s="8">
        <v>41723</v>
      </c>
      <c r="B3716" s="9">
        <v>14.02</v>
      </c>
    </row>
    <row r="3717" spans="1:2" x14ac:dyDescent="0.25">
      <c r="A3717" s="8">
        <v>41724</v>
      </c>
      <c r="B3717" s="9">
        <v>14.93</v>
      </c>
    </row>
    <row r="3718" spans="1:2" x14ac:dyDescent="0.25">
      <c r="A3718" s="8">
        <v>41725</v>
      </c>
      <c r="B3718" s="9">
        <v>14.62</v>
      </c>
    </row>
    <row r="3719" spans="1:2" x14ac:dyDescent="0.25">
      <c r="A3719" s="8">
        <v>41726</v>
      </c>
      <c r="B3719" s="9">
        <v>14.41</v>
      </c>
    </row>
    <row r="3720" spans="1:2" x14ac:dyDescent="0.25">
      <c r="A3720" s="8">
        <v>41729</v>
      </c>
      <c r="B3720" s="9">
        <v>13.88</v>
      </c>
    </row>
    <row r="3721" spans="1:2" x14ac:dyDescent="0.25">
      <c r="A3721" s="8">
        <v>41730</v>
      </c>
      <c r="B3721" s="9">
        <v>13.1</v>
      </c>
    </row>
    <row r="3722" spans="1:2" x14ac:dyDescent="0.25">
      <c r="A3722" s="8">
        <v>41731</v>
      </c>
      <c r="B3722" s="9">
        <v>13.09</v>
      </c>
    </row>
    <row r="3723" spans="1:2" x14ac:dyDescent="0.25">
      <c r="A3723" s="8">
        <v>41732</v>
      </c>
      <c r="B3723" s="9">
        <v>13.37</v>
      </c>
    </row>
    <row r="3724" spans="1:2" x14ac:dyDescent="0.25">
      <c r="A3724" s="8">
        <v>41733</v>
      </c>
      <c r="B3724" s="9">
        <v>13.96</v>
      </c>
    </row>
    <row r="3725" spans="1:2" x14ac:dyDescent="0.25">
      <c r="A3725" s="8">
        <v>41736</v>
      </c>
      <c r="B3725" s="9">
        <v>15.57</v>
      </c>
    </row>
    <row r="3726" spans="1:2" x14ac:dyDescent="0.25">
      <c r="A3726" s="8">
        <v>41737</v>
      </c>
      <c r="B3726" s="9">
        <v>14.89</v>
      </c>
    </row>
    <row r="3727" spans="1:2" x14ac:dyDescent="0.25">
      <c r="A3727" s="8">
        <v>41738</v>
      </c>
      <c r="B3727" s="9">
        <v>13.82</v>
      </c>
    </row>
    <row r="3728" spans="1:2" x14ac:dyDescent="0.25">
      <c r="A3728" s="8">
        <v>41739</v>
      </c>
      <c r="B3728" s="9">
        <v>15.89</v>
      </c>
    </row>
    <row r="3729" spans="1:2" x14ac:dyDescent="0.25">
      <c r="A3729" s="8">
        <v>41740</v>
      </c>
      <c r="B3729" s="9">
        <v>17.03</v>
      </c>
    </row>
    <row r="3730" spans="1:2" x14ac:dyDescent="0.25">
      <c r="A3730" s="8">
        <v>41743</v>
      </c>
      <c r="B3730" s="9">
        <v>16.11</v>
      </c>
    </row>
    <row r="3731" spans="1:2" x14ac:dyDescent="0.25">
      <c r="A3731" s="8">
        <v>41744</v>
      </c>
      <c r="B3731" s="9">
        <v>15.61</v>
      </c>
    </row>
    <row r="3732" spans="1:2" x14ac:dyDescent="0.25">
      <c r="A3732" s="8">
        <v>41745</v>
      </c>
      <c r="B3732" s="9">
        <v>14.18</v>
      </c>
    </row>
    <row r="3733" spans="1:2" x14ac:dyDescent="0.25">
      <c r="A3733" s="8">
        <v>41746</v>
      </c>
      <c r="B3733" s="9">
        <v>13.36</v>
      </c>
    </row>
    <row r="3734" spans="1:2" x14ac:dyDescent="0.25">
      <c r="A3734" s="8">
        <v>41747</v>
      </c>
    </row>
    <row r="3735" spans="1:2" x14ac:dyDescent="0.25">
      <c r="A3735" s="8">
        <v>41750</v>
      </c>
      <c r="B3735" s="9">
        <v>13.25</v>
      </c>
    </row>
    <row r="3736" spans="1:2" x14ac:dyDescent="0.25">
      <c r="A3736" s="8">
        <v>41751</v>
      </c>
      <c r="B3736" s="9">
        <v>13.19</v>
      </c>
    </row>
    <row r="3737" spans="1:2" x14ac:dyDescent="0.25">
      <c r="A3737" s="8">
        <v>41752</v>
      </c>
      <c r="B3737" s="9">
        <v>13.27</v>
      </c>
    </row>
    <row r="3738" spans="1:2" x14ac:dyDescent="0.25">
      <c r="A3738" s="8">
        <v>41753</v>
      </c>
      <c r="B3738" s="9">
        <v>13.32</v>
      </c>
    </row>
    <row r="3739" spans="1:2" x14ac:dyDescent="0.25">
      <c r="A3739" s="8">
        <v>41754</v>
      </c>
      <c r="B3739" s="9">
        <v>14.06</v>
      </c>
    </row>
    <row r="3740" spans="1:2" x14ac:dyDescent="0.25">
      <c r="A3740" s="8">
        <v>41757</v>
      </c>
      <c r="B3740" s="9">
        <v>13.97</v>
      </c>
    </row>
    <row r="3741" spans="1:2" x14ac:dyDescent="0.25">
      <c r="A3741" s="8">
        <v>41758</v>
      </c>
      <c r="B3741" s="9">
        <v>13.71</v>
      </c>
    </row>
    <row r="3742" spans="1:2" x14ac:dyDescent="0.25">
      <c r="A3742" s="8">
        <v>41759</v>
      </c>
      <c r="B3742" s="9">
        <v>13.41</v>
      </c>
    </row>
    <row r="3743" spans="1:2" x14ac:dyDescent="0.25">
      <c r="A3743" s="8">
        <v>41760</v>
      </c>
      <c r="B3743" s="9">
        <v>13.25</v>
      </c>
    </row>
    <row r="3744" spans="1:2" x14ac:dyDescent="0.25">
      <c r="A3744" s="8">
        <v>41761</v>
      </c>
      <c r="B3744" s="9">
        <v>12.91</v>
      </c>
    </row>
    <row r="3745" spans="1:2" x14ac:dyDescent="0.25">
      <c r="A3745" s="8">
        <v>41764</v>
      </c>
      <c r="B3745" s="9">
        <v>13.29</v>
      </c>
    </row>
    <row r="3746" spans="1:2" x14ac:dyDescent="0.25">
      <c r="A3746" s="8">
        <v>41765</v>
      </c>
      <c r="B3746" s="9">
        <v>13.8</v>
      </c>
    </row>
    <row r="3747" spans="1:2" x14ac:dyDescent="0.25">
      <c r="A3747" s="8">
        <v>41766</v>
      </c>
      <c r="B3747" s="9">
        <v>13.4</v>
      </c>
    </row>
    <row r="3748" spans="1:2" x14ac:dyDescent="0.25">
      <c r="A3748" s="8">
        <v>41767</v>
      </c>
      <c r="B3748" s="9">
        <v>13.43</v>
      </c>
    </row>
    <row r="3749" spans="1:2" x14ac:dyDescent="0.25">
      <c r="A3749" s="8">
        <v>41768</v>
      </c>
      <c r="B3749" s="9">
        <v>12.92</v>
      </c>
    </row>
    <row r="3750" spans="1:2" x14ac:dyDescent="0.25">
      <c r="A3750" s="8">
        <v>41771</v>
      </c>
      <c r="B3750" s="9">
        <v>12.23</v>
      </c>
    </row>
    <row r="3751" spans="1:2" x14ac:dyDescent="0.25">
      <c r="A3751" s="8">
        <v>41772</v>
      </c>
      <c r="B3751" s="9">
        <v>12.13</v>
      </c>
    </row>
    <row r="3752" spans="1:2" x14ac:dyDescent="0.25">
      <c r="A3752" s="8">
        <v>41773</v>
      </c>
      <c r="B3752" s="9">
        <v>12.17</v>
      </c>
    </row>
    <row r="3753" spans="1:2" x14ac:dyDescent="0.25">
      <c r="A3753" s="8">
        <v>41774</v>
      </c>
      <c r="B3753" s="9">
        <v>13.17</v>
      </c>
    </row>
    <row r="3754" spans="1:2" x14ac:dyDescent="0.25">
      <c r="A3754" s="8">
        <v>41775</v>
      </c>
      <c r="B3754" s="9">
        <v>12.44</v>
      </c>
    </row>
    <row r="3755" spans="1:2" x14ac:dyDescent="0.25">
      <c r="A3755" s="8">
        <v>41778</v>
      </c>
      <c r="B3755" s="9">
        <v>12.42</v>
      </c>
    </row>
    <row r="3756" spans="1:2" x14ac:dyDescent="0.25">
      <c r="A3756" s="8">
        <v>41779</v>
      </c>
      <c r="B3756" s="9">
        <v>12.96</v>
      </c>
    </row>
    <row r="3757" spans="1:2" x14ac:dyDescent="0.25">
      <c r="A3757" s="8">
        <v>41780</v>
      </c>
      <c r="B3757" s="9">
        <v>11.91</v>
      </c>
    </row>
    <row r="3758" spans="1:2" x14ac:dyDescent="0.25">
      <c r="A3758" s="8">
        <v>41781</v>
      </c>
      <c r="B3758" s="9">
        <v>12.03</v>
      </c>
    </row>
    <row r="3759" spans="1:2" x14ac:dyDescent="0.25">
      <c r="A3759" s="8">
        <v>41782</v>
      </c>
      <c r="B3759" s="9">
        <v>11.36</v>
      </c>
    </row>
    <row r="3760" spans="1:2" x14ac:dyDescent="0.25">
      <c r="A3760" s="8">
        <v>41785</v>
      </c>
    </row>
    <row r="3761" spans="1:2" x14ac:dyDescent="0.25">
      <c r="A3761" s="8">
        <v>41786</v>
      </c>
      <c r="B3761" s="9">
        <v>11.51</v>
      </c>
    </row>
    <row r="3762" spans="1:2" x14ac:dyDescent="0.25">
      <c r="A3762" s="8">
        <v>41787</v>
      </c>
      <c r="B3762" s="9">
        <v>11.68</v>
      </c>
    </row>
    <row r="3763" spans="1:2" x14ac:dyDescent="0.25">
      <c r="A3763" s="8">
        <v>41788</v>
      </c>
      <c r="B3763" s="9">
        <v>11.57</v>
      </c>
    </row>
    <row r="3764" spans="1:2" x14ac:dyDescent="0.25">
      <c r="A3764" s="8">
        <v>41789</v>
      </c>
      <c r="B3764" s="9">
        <v>11.4</v>
      </c>
    </row>
    <row r="3765" spans="1:2" x14ac:dyDescent="0.25">
      <c r="A3765" s="8">
        <v>41792</v>
      </c>
      <c r="B3765" s="9">
        <v>11.58</v>
      </c>
    </row>
    <row r="3766" spans="1:2" x14ac:dyDescent="0.25">
      <c r="A3766" s="8">
        <v>41793</v>
      </c>
      <c r="B3766" s="9">
        <v>11.87</v>
      </c>
    </row>
    <row r="3767" spans="1:2" x14ac:dyDescent="0.25">
      <c r="A3767" s="8">
        <v>41794</v>
      </c>
      <c r="B3767" s="9">
        <v>12.08</v>
      </c>
    </row>
    <row r="3768" spans="1:2" x14ac:dyDescent="0.25">
      <c r="A3768" s="8">
        <v>41795</v>
      </c>
      <c r="B3768" s="9">
        <v>11.68</v>
      </c>
    </row>
    <row r="3769" spans="1:2" x14ac:dyDescent="0.25">
      <c r="A3769" s="8">
        <v>41796</v>
      </c>
      <c r="B3769" s="9">
        <v>10.73</v>
      </c>
    </row>
    <row r="3770" spans="1:2" x14ac:dyDescent="0.25">
      <c r="A3770" s="8">
        <v>41799</v>
      </c>
      <c r="B3770" s="9">
        <v>11.15</v>
      </c>
    </row>
    <row r="3771" spans="1:2" x14ac:dyDescent="0.25">
      <c r="A3771" s="8">
        <v>41800</v>
      </c>
      <c r="B3771" s="9">
        <v>10.99</v>
      </c>
    </row>
    <row r="3772" spans="1:2" x14ac:dyDescent="0.25">
      <c r="A3772" s="8">
        <v>41801</v>
      </c>
      <c r="B3772" s="9">
        <v>11.6</v>
      </c>
    </row>
    <row r="3773" spans="1:2" x14ac:dyDescent="0.25">
      <c r="A3773" s="8">
        <v>41802</v>
      </c>
      <c r="B3773" s="9">
        <v>12.56</v>
      </c>
    </row>
    <row r="3774" spans="1:2" x14ac:dyDescent="0.25">
      <c r="A3774" s="8">
        <v>41803</v>
      </c>
      <c r="B3774" s="9">
        <v>12.18</v>
      </c>
    </row>
    <row r="3775" spans="1:2" x14ac:dyDescent="0.25">
      <c r="A3775" s="8">
        <v>41806</v>
      </c>
      <c r="B3775" s="9">
        <v>12.65</v>
      </c>
    </row>
    <row r="3776" spans="1:2" x14ac:dyDescent="0.25">
      <c r="A3776" s="8">
        <v>41807</v>
      </c>
      <c r="B3776" s="9">
        <v>12.06</v>
      </c>
    </row>
    <row r="3777" spans="1:2" x14ac:dyDescent="0.25">
      <c r="A3777" s="8">
        <v>41808</v>
      </c>
      <c r="B3777" s="9">
        <v>10.61</v>
      </c>
    </row>
    <row r="3778" spans="1:2" x14ac:dyDescent="0.25">
      <c r="A3778" s="8">
        <v>41809</v>
      </c>
      <c r="B3778" s="9">
        <v>10.62</v>
      </c>
    </row>
    <row r="3779" spans="1:2" x14ac:dyDescent="0.25">
      <c r="A3779" s="8">
        <v>41810</v>
      </c>
      <c r="B3779" s="9">
        <v>10.85</v>
      </c>
    </row>
    <row r="3780" spans="1:2" x14ac:dyDescent="0.25">
      <c r="A3780" s="8">
        <v>41813</v>
      </c>
      <c r="B3780" s="9">
        <v>10.98</v>
      </c>
    </row>
    <row r="3781" spans="1:2" x14ac:dyDescent="0.25">
      <c r="A3781" s="8">
        <v>41814</v>
      </c>
      <c r="B3781" s="9">
        <v>12.13</v>
      </c>
    </row>
    <row r="3782" spans="1:2" x14ac:dyDescent="0.25">
      <c r="A3782" s="8">
        <v>41815</v>
      </c>
      <c r="B3782" s="9">
        <v>11.59</v>
      </c>
    </row>
    <row r="3783" spans="1:2" x14ac:dyDescent="0.25">
      <c r="A3783" s="8">
        <v>41816</v>
      </c>
      <c r="B3783" s="9">
        <v>11.63</v>
      </c>
    </row>
    <row r="3784" spans="1:2" x14ac:dyDescent="0.25">
      <c r="A3784" s="8">
        <v>41817</v>
      </c>
      <c r="B3784" s="9">
        <v>11.26</v>
      </c>
    </row>
    <row r="3785" spans="1:2" x14ac:dyDescent="0.25">
      <c r="A3785" s="8">
        <v>41820</v>
      </c>
      <c r="B3785" s="9">
        <v>11.57</v>
      </c>
    </row>
    <row r="3786" spans="1:2" x14ac:dyDescent="0.25">
      <c r="A3786" s="8">
        <v>41821</v>
      </c>
      <c r="B3786" s="9">
        <v>11.15</v>
      </c>
    </row>
    <row r="3787" spans="1:2" x14ac:dyDescent="0.25">
      <c r="A3787" s="8">
        <v>41822</v>
      </c>
      <c r="B3787" s="9">
        <v>10.82</v>
      </c>
    </row>
    <row r="3788" spans="1:2" x14ac:dyDescent="0.25">
      <c r="A3788" s="8">
        <v>41823</v>
      </c>
      <c r="B3788" s="9">
        <v>10.32</v>
      </c>
    </row>
    <row r="3789" spans="1:2" x14ac:dyDescent="0.25">
      <c r="A3789" s="8">
        <v>41824</v>
      </c>
    </row>
    <row r="3790" spans="1:2" x14ac:dyDescent="0.25">
      <c r="A3790" s="8">
        <v>41827</v>
      </c>
      <c r="B3790" s="9">
        <v>11.33</v>
      </c>
    </row>
    <row r="3791" spans="1:2" x14ac:dyDescent="0.25">
      <c r="A3791" s="8">
        <v>41828</v>
      </c>
      <c r="B3791" s="9">
        <v>11.98</v>
      </c>
    </row>
    <row r="3792" spans="1:2" x14ac:dyDescent="0.25">
      <c r="A3792" s="8">
        <v>41829</v>
      </c>
      <c r="B3792" s="9">
        <v>11.65</v>
      </c>
    </row>
    <row r="3793" spans="1:2" x14ac:dyDescent="0.25">
      <c r="A3793" s="8">
        <v>41830</v>
      </c>
      <c r="B3793" s="9">
        <v>12.59</v>
      </c>
    </row>
    <row r="3794" spans="1:2" x14ac:dyDescent="0.25">
      <c r="A3794" s="8">
        <v>41831</v>
      </c>
      <c r="B3794" s="9">
        <v>12.08</v>
      </c>
    </row>
    <row r="3795" spans="1:2" x14ac:dyDescent="0.25">
      <c r="A3795" s="8">
        <v>41834</v>
      </c>
      <c r="B3795" s="9">
        <v>11.82</v>
      </c>
    </row>
    <row r="3796" spans="1:2" x14ac:dyDescent="0.25">
      <c r="A3796" s="8">
        <v>41835</v>
      </c>
      <c r="B3796" s="9">
        <v>11.96</v>
      </c>
    </row>
    <row r="3797" spans="1:2" x14ac:dyDescent="0.25">
      <c r="A3797" s="8">
        <v>41836</v>
      </c>
      <c r="B3797" s="9">
        <v>11</v>
      </c>
    </row>
    <row r="3798" spans="1:2" x14ac:dyDescent="0.25">
      <c r="A3798" s="8">
        <v>41837</v>
      </c>
      <c r="B3798" s="9">
        <v>14.54</v>
      </c>
    </row>
    <row r="3799" spans="1:2" x14ac:dyDescent="0.25">
      <c r="A3799" s="8">
        <v>41838</v>
      </c>
      <c r="B3799" s="9">
        <v>12.06</v>
      </c>
    </row>
    <row r="3800" spans="1:2" x14ac:dyDescent="0.25">
      <c r="A3800" s="8">
        <v>41841</v>
      </c>
      <c r="B3800" s="9">
        <v>12.81</v>
      </c>
    </row>
    <row r="3801" spans="1:2" x14ac:dyDescent="0.25">
      <c r="A3801" s="8">
        <v>41842</v>
      </c>
      <c r="B3801" s="9">
        <v>12.24</v>
      </c>
    </row>
    <row r="3802" spans="1:2" x14ac:dyDescent="0.25">
      <c r="A3802" s="8">
        <v>41843</v>
      </c>
      <c r="B3802" s="9">
        <v>11.52</v>
      </c>
    </row>
    <row r="3803" spans="1:2" x14ac:dyDescent="0.25">
      <c r="A3803" s="8">
        <v>41844</v>
      </c>
      <c r="B3803" s="9">
        <v>11.84</v>
      </c>
    </row>
    <row r="3804" spans="1:2" x14ac:dyDescent="0.25">
      <c r="A3804" s="8">
        <v>41845</v>
      </c>
      <c r="B3804" s="9">
        <v>12.69</v>
      </c>
    </row>
    <row r="3805" spans="1:2" x14ac:dyDescent="0.25">
      <c r="A3805" s="8">
        <v>41848</v>
      </c>
      <c r="B3805" s="9">
        <v>12.56</v>
      </c>
    </row>
    <row r="3806" spans="1:2" x14ac:dyDescent="0.25">
      <c r="A3806" s="8">
        <v>41849</v>
      </c>
      <c r="B3806" s="9">
        <v>13.28</v>
      </c>
    </row>
    <row r="3807" spans="1:2" x14ac:dyDescent="0.25">
      <c r="A3807" s="8">
        <v>41850</v>
      </c>
      <c r="B3807" s="9">
        <v>13.33</v>
      </c>
    </row>
    <row r="3808" spans="1:2" x14ac:dyDescent="0.25">
      <c r="A3808" s="8">
        <v>41851</v>
      </c>
      <c r="B3808" s="9">
        <v>16.95</v>
      </c>
    </row>
    <row r="3809" spans="1:2" x14ac:dyDescent="0.25">
      <c r="A3809" s="8">
        <v>41852</v>
      </c>
      <c r="B3809" s="9">
        <v>17.03</v>
      </c>
    </row>
    <row r="3810" spans="1:2" x14ac:dyDescent="0.25">
      <c r="A3810" s="8">
        <v>41855</v>
      </c>
      <c r="B3810" s="9">
        <v>15.12</v>
      </c>
    </row>
    <row r="3811" spans="1:2" x14ac:dyDescent="0.25">
      <c r="A3811" s="8">
        <v>41856</v>
      </c>
      <c r="B3811" s="9">
        <v>16.87</v>
      </c>
    </row>
    <row r="3812" spans="1:2" x14ac:dyDescent="0.25">
      <c r="A3812" s="8">
        <v>41857</v>
      </c>
      <c r="B3812" s="9">
        <v>16.37</v>
      </c>
    </row>
    <row r="3813" spans="1:2" x14ac:dyDescent="0.25">
      <c r="A3813" s="8">
        <v>41858</v>
      </c>
      <c r="B3813" s="9">
        <v>16.66</v>
      </c>
    </row>
    <row r="3814" spans="1:2" x14ac:dyDescent="0.25">
      <c r="A3814" s="8">
        <v>41859</v>
      </c>
      <c r="B3814" s="9">
        <v>15.77</v>
      </c>
    </row>
    <row r="3815" spans="1:2" x14ac:dyDescent="0.25">
      <c r="A3815" s="8">
        <v>41862</v>
      </c>
      <c r="B3815" s="9">
        <v>14.23</v>
      </c>
    </row>
    <row r="3816" spans="1:2" x14ac:dyDescent="0.25">
      <c r="A3816" s="8">
        <v>41863</v>
      </c>
      <c r="B3816" s="9">
        <v>14.13</v>
      </c>
    </row>
    <row r="3817" spans="1:2" x14ac:dyDescent="0.25">
      <c r="A3817" s="8">
        <v>41864</v>
      </c>
      <c r="B3817" s="9">
        <v>12.9</v>
      </c>
    </row>
    <row r="3818" spans="1:2" x14ac:dyDescent="0.25">
      <c r="A3818" s="8">
        <v>41865</v>
      </c>
      <c r="B3818" s="9">
        <v>12.42</v>
      </c>
    </row>
    <row r="3819" spans="1:2" x14ac:dyDescent="0.25">
      <c r="A3819" s="8">
        <v>41866</v>
      </c>
      <c r="B3819" s="9">
        <v>13.15</v>
      </c>
    </row>
    <row r="3820" spans="1:2" x14ac:dyDescent="0.25">
      <c r="A3820" s="8">
        <v>41869</v>
      </c>
      <c r="B3820" s="9">
        <v>12.32</v>
      </c>
    </row>
    <row r="3821" spans="1:2" x14ac:dyDescent="0.25">
      <c r="A3821" s="8">
        <v>41870</v>
      </c>
      <c r="B3821" s="9">
        <v>12.21</v>
      </c>
    </row>
    <row r="3822" spans="1:2" x14ac:dyDescent="0.25">
      <c r="A3822" s="8">
        <v>41871</v>
      </c>
      <c r="B3822" s="9">
        <v>11.78</v>
      </c>
    </row>
    <row r="3823" spans="1:2" x14ac:dyDescent="0.25">
      <c r="A3823" s="8">
        <v>41872</v>
      </c>
      <c r="B3823" s="9">
        <v>11.76</v>
      </c>
    </row>
    <row r="3824" spans="1:2" x14ac:dyDescent="0.25">
      <c r="A3824" s="8">
        <v>41873</v>
      </c>
      <c r="B3824" s="9">
        <v>11.47</v>
      </c>
    </row>
    <row r="3825" spans="1:2" x14ac:dyDescent="0.25">
      <c r="A3825" s="8">
        <v>41876</v>
      </c>
      <c r="B3825" s="9">
        <v>11.7</v>
      </c>
    </row>
    <row r="3826" spans="1:2" x14ac:dyDescent="0.25">
      <c r="A3826" s="8">
        <v>41877</v>
      </c>
      <c r="B3826" s="9">
        <v>11.63</v>
      </c>
    </row>
    <row r="3827" spans="1:2" x14ac:dyDescent="0.25">
      <c r="A3827" s="8">
        <v>41878</v>
      </c>
      <c r="B3827" s="9">
        <v>11.78</v>
      </c>
    </row>
    <row r="3828" spans="1:2" x14ac:dyDescent="0.25">
      <c r="A3828" s="8">
        <v>41879</v>
      </c>
      <c r="B3828" s="9">
        <v>12.05</v>
      </c>
    </row>
    <row r="3829" spans="1:2" x14ac:dyDescent="0.25">
      <c r="A3829" s="8">
        <v>41880</v>
      </c>
      <c r="B3829" s="9">
        <v>11.98</v>
      </c>
    </row>
    <row r="3830" spans="1:2" x14ac:dyDescent="0.25">
      <c r="A3830" s="8">
        <v>41883</v>
      </c>
    </row>
    <row r="3831" spans="1:2" x14ac:dyDescent="0.25">
      <c r="A3831" s="8">
        <v>41884</v>
      </c>
      <c r="B3831" s="9">
        <v>12.25</v>
      </c>
    </row>
    <row r="3832" spans="1:2" x14ac:dyDescent="0.25">
      <c r="A3832" s="8">
        <v>41885</v>
      </c>
      <c r="B3832" s="9">
        <v>12.36</v>
      </c>
    </row>
    <row r="3833" spans="1:2" x14ac:dyDescent="0.25">
      <c r="A3833" s="8">
        <v>41886</v>
      </c>
      <c r="B3833" s="9">
        <v>12.64</v>
      </c>
    </row>
    <row r="3834" spans="1:2" x14ac:dyDescent="0.25">
      <c r="A3834" s="8">
        <v>41887</v>
      </c>
      <c r="B3834" s="9">
        <v>12.09</v>
      </c>
    </row>
    <row r="3835" spans="1:2" x14ac:dyDescent="0.25">
      <c r="A3835" s="8">
        <v>41890</v>
      </c>
      <c r="B3835" s="9">
        <v>12.66</v>
      </c>
    </row>
    <row r="3836" spans="1:2" x14ac:dyDescent="0.25">
      <c r="A3836" s="8">
        <v>41891</v>
      </c>
      <c r="B3836" s="9">
        <v>13.5</v>
      </c>
    </row>
    <row r="3837" spans="1:2" x14ac:dyDescent="0.25">
      <c r="A3837" s="8">
        <v>41892</v>
      </c>
      <c r="B3837" s="9">
        <v>12.88</v>
      </c>
    </row>
    <row r="3838" spans="1:2" x14ac:dyDescent="0.25">
      <c r="A3838" s="8">
        <v>41893</v>
      </c>
      <c r="B3838" s="9">
        <v>12.8</v>
      </c>
    </row>
    <row r="3839" spans="1:2" x14ac:dyDescent="0.25">
      <c r="A3839" s="8">
        <v>41894</v>
      </c>
      <c r="B3839" s="9">
        <v>13.31</v>
      </c>
    </row>
    <row r="3840" spans="1:2" x14ac:dyDescent="0.25">
      <c r="A3840" s="8">
        <v>41897</v>
      </c>
      <c r="B3840" s="9">
        <v>14.12</v>
      </c>
    </row>
    <row r="3841" spans="1:2" x14ac:dyDescent="0.25">
      <c r="A3841" s="8">
        <v>41898</v>
      </c>
      <c r="B3841" s="9">
        <v>12.73</v>
      </c>
    </row>
    <row r="3842" spans="1:2" x14ac:dyDescent="0.25">
      <c r="A3842" s="8">
        <v>41899</v>
      </c>
      <c r="B3842" s="9">
        <v>12.65</v>
      </c>
    </row>
    <row r="3843" spans="1:2" x14ac:dyDescent="0.25">
      <c r="A3843" s="8">
        <v>41900</v>
      </c>
      <c r="B3843" s="9">
        <v>12.03</v>
      </c>
    </row>
    <row r="3844" spans="1:2" x14ac:dyDescent="0.25">
      <c r="A3844" s="8">
        <v>41901</v>
      </c>
      <c r="B3844" s="9">
        <v>12.11</v>
      </c>
    </row>
    <row r="3845" spans="1:2" x14ac:dyDescent="0.25">
      <c r="A3845" s="8">
        <v>41904</v>
      </c>
      <c r="B3845" s="9">
        <v>13.69</v>
      </c>
    </row>
    <row r="3846" spans="1:2" x14ac:dyDescent="0.25">
      <c r="A3846" s="8">
        <v>41905</v>
      </c>
      <c r="B3846" s="9">
        <v>14.93</v>
      </c>
    </row>
    <row r="3847" spans="1:2" x14ac:dyDescent="0.25">
      <c r="A3847" s="8">
        <v>41906</v>
      </c>
      <c r="B3847" s="9">
        <v>13.27</v>
      </c>
    </row>
    <row r="3848" spans="1:2" x14ac:dyDescent="0.25">
      <c r="A3848" s="8">
        <v>41907</v>
      </c>
      <c r="B3848" s="9">
        <v>15.64</v>
      </c>
    </row>
    <row r="3849" spans="1:2" x14ac:dyDescent="0.25">
      <c r="A3849" s="8">
        <v>41908</v>
      </c>
      <c r="B3849" s="9">
        <v>14.85</v>
      </c>
    </row>
    <row r="3850" spans="1:2" x14ac:dyDescent="0.25">
      <c r="A3850" s="8">
        <v>41911</v>
      </c>
      <c r="B3850" s="9">
        <v>15.98</v>
      </c>
    </row>
    <row r="3851" spans="1:2" x14ac:dyDescent="0.25">
      <c r="A3851" s="8">
        <v>41912</v>
      </c>
      <c r="B3851" s="9">
        <v>16.309999999999999</v>
      </c>
    </row>
    <row r="3852" spans="1:2" x14ac:dyDescent="0.25">
      <c r="A3852" s="8">
        <v>41913</v>
      </c>
      <c r="B3852" s="9">
        <v>16.71</v>
      </c>
    </row>
    <row r="3853" spans="1:2" x14ac:dyDescent="0.25">
      <c r="A3853" s="8">
        <v>41914</v>
      </c>
      <c r="B3853" s="9">
        <v>16.16</v>
      </c>
    </row>
    <row r="3854" spans="1:2" x14ac:dyDescent="0.25">
      <c r="A3854" s="8">
        <v>41915</v>
      </c>
      <c r="B3854" s="9">
        <v>14.55</v>
      </c>
    </row>
    <row r="3855" spans="1:2" x14ac:dyDescent="0.25">
      <c r="A3855" s="8">
        <v>41918</v>
      </c>
      <c r="B3855" s="9">
        <v>15.46</v>
      </c>
    </row>
    <row r="3856" spans="1:2" x14ac:dyDescent="0.25">
      <c r="A3856" s="8">
        <v>41919</v>
      </c>
      <c r="B3856" s="9">
        <v>17.2</v>
      </c>
    </row>
    <row r="3857" spans="1:2" x14ac:dyDescent="0.25">
      <c r="A3857" s="8">
        <v>41920</v>
      </c>
      <c r="B3857" s="9">
        <v>15.11</v>
      </c>
    </row>
    <row r="3858" spans="1:2" x14ac:dyDescent="0.25">
      <c r="A3858" s="8">
        <v>41921</v>
      </c>
      <c r="B3858" s="9">
        <v>18.760000000000002</v>
      </c>
    </row>
    <row r="3859" spans="1:2" x14ac:dyDescent="0.25">
      <c r="A3859" s="8">
        <v>41922</v>
      </c>
      <c r="B3859" s="9">
        <v>21.24</v>
      </c>
    </row>
    <row r="3860" spans="1:2" x14ac:dyDescent="0.25">
      <c r="A3860" s="8">
        <v>41925</v>
      </c>
      <c r="B3860" s="9">
        <v>24.64</v>
      </c>
    </row>
    <row r="3861" spans="1:2" x14ac:dyDescent="0.25">
      <c r="A3861" s="8">
        <v>41926</v>
      </c>
      <c r="B3861" s="9">
        <v>22.79</v>
      </c>
    </row>
    <row r="3862" spans="1:2" x14ac:dyDescent="0.25">
      <c r="A3862" s="8">
        <v>41927</v>
      </c>
      <c r="B3862" s="9">
        <v>26.25</v>
      </c>
    </row>
    <row r="3863" spans="1:2" x14ac:dyDescent="0.25">
      <c r="A3863" s="8">
        <v>41928</v>
      </c>
      <c r="B3863" s="9">
        <v>25.2</v>
      </c>
    </row>
    <row r="3864" spans="1:2" x14ac:dyDescent="0.25">
      <c r="A3864" s="8">
        <v>41929</v>
      </c>
      <c r="B3864" s="9">
        <v>21.99</v>
      </c>
    </row>
    <row r="3865" spans="1:2" x14ac:dyDescent="0.25">
      <c r="A3865" s="8">
        <v>41932</v>
      </c>
      <c r="B3865" s="9">
        <v>18.57</v>
      </c>
    </row>
    <row r="3866" spans="1:2" x14ac:dyDescent="0.25">
      <c r="A3866" s="8">
        <v>41933</v>
      </c>
      <c r="B3866" s="9">
        <v>16.079999999999998</v>
      </c>
    </row>
    <row r="3867" spans="1:2" x14ac:dyDescent="0.25">
      <c r="A3867" s="8">
        <v>41934</v>
      </c>
      <c r="B3867" s="9">
        <v>17.87</v>
      </c>
    </row>
    <row r="3868" spans="1:2" x14ac:dyDescent="0.25">
      <c r="A3868" s="8">
        <v>41935</v>
      </c>
      <c r="B3868" s="9">
        <v>16.53</v>
      </c>
    </row>
    <row r="3869" spans="1:2" x14ac:dyDescent="0.25">
      <c r="A3869" s="8">
        <v>41936</v>
      </c>
      <c r="B3869" s="9">
        <v>16.11</v>
      </c>
    </row>
    <row r="3870" spans="1:2" x14ac:dyDescent="0.25">
      <c r="A3870" s="8">
        <v>41939</v>
      </c>
      <c r="B3870" s="9">
        <v>16.04</v>
      </c>
    </row>
    <row r="3871" spans="1:2" x14ac:dyDescent="0.25">
      <c r="A3871" s="8">
        <v>41940</v>
      </c>
      <c r="B3871" s="9">
        <v>14.39</v>
      </c>
    </row>
    <row r="3872" spans="1:2" x14ac:dyDescent="0.25">
      <c r="A3872" s="8">
        <v>41941</v>
      </c>
      <c r="B3872" s="9">
        <v>15.15</v>
      </c>
    </row>
    <row r="3873" spans="1:2" x14ac:dyDescent="0.25">
      <c r="A3873" s="8">
        <v>41942</v>
      </c>
      <c r="B3873" s="9">
        <v>14.52</v>
      </c>
    </row>
    <row r="3874" spans="1:2" x14ac:dyDescent="0.25">
      <c r="A3874" s="8">
        <v>41943</v>
      </c>
      <c r="B3874" s="9">
        <v>14.03</v>
      </c>
    </row>
    <row r="3875" spans="1:2" x14ac:dyDescent="0.25">
      <c r="A3875" s="8">
        <v>41946</v>
      </c>
      <c r="B3875" s="9">
        <v>14.73</v>
      </c>
    </row>
    <row r="3876" spans="1:2" x14ac:dyDescent="0.25">
      <c r="A3876" s="8">
        <v>41947</v>
      </c>
      <c r="B3876" s="9">
        <v>14.89</v>
      </c>
    </row>
    <row r="3877" spans="1:2" x14ac:dyDescent="0.25">
      <c r="A3877" s="8">
        <v>41948</v>
      </c>
      <c r="B3877" s="9">
        <v>14.17</v>
      </c>
    </row>
    <row r="3878" spans="1:2" x14ac:dyDescent="0.25">
      <c r="A3878" s="8">
        <v>41949</v>
      </c>
      <c r="B3878" s="9">
        <v>13.67</v>
      </c>
    </row>
    <row r="3879" spans="1:2" x14ac:dyDescent="0.25">
      <c r="A3879" s="8">
        <v>41950</v>
      </c>
      <c r="B3879" s="9">
        <v>13.12</v>
      </c>
    </row>
    <row r="3880" spans="1:2" x14ac:dyDescent="0.25">
      <c r="A3880" s="8">
        <v>41953</v>
      </c>
      <c r="B3880" s="9">
        <v>12.67</v>
      </c>
    </row>
    <row r="3881" spans="1:2" x14ac:dyDescent="0.25">
      <c r="A3881" s="8">
        <v>41954</v>
      </c>
      <c r="B3881" s="9">
        <v>12.92</v>
      </c>
    </row>
    <row r="3882" spans="1:2" x14ac:dyDescent="0.25">
      <c r="A3882" s="8">
        <v>41955</v>
      </c>
      <c r="B3882" s="9">
        <v>13.02</v>
      </c>
    </row>
    <row r="3883" spans="1:2" x14ac:dyDescent="0.25">
      <c r="A3883" s="8">
        <v>41956</v>
      </c>
      <c r="B3883" s="9">
        <v>13.79</v>
      </c>
    </row>
    <row r="3884" spans="1:2" x14ac:dyDescent="0.25">
      <c r="A3884" s="8">
        <v>41957</v>
      </c>
      <c r="B3884" s="9">
        <v>13.31</v>
      </c>
    </row>
    <row r="3885" spans="1:2" x14ac:dyDescent="0.25">
      <c r="A3885" s="8">
        <v>41960</v>
      </c>
      <c r="B3885" s="9">
        <v>13.99</v>
      </c>
    </row>
    <row r="3886" spans="1:2" x14ac:dyDescent="0.25">
      <c r="A3886" s="8">
        <v>41961</v>
      </c>
      <c r="B3886" s="9">
        <v>13.86</v>
      </c>
    </row>
    <row r="3887" spans="1:2" x14ac:dyDescent="0.25">
      <c r="A3887" s="8">
        <v>41962</v>
      </c>
      <c r="B3887" s="9">
        <v>13.96</v>
      </c>
    </row>
    <row r="3888" spans="1:2" x14ac:dyDescent="0.25">
      <c r="A3888" s="8">
        <v>41963</v>
      </c>
      <c r="B3888" s="9">
        <v>13.58</v>
      </c>
    </row>
    <row r="3889" spans="1:2" x14ac:dyDescent="0.25">
      <c r="A3889" s="8">
        <v>41964</v>
      </c>
      <c r="B3889" s="9">
        <v>12.9</v>
      </c>
    </row>
    <row r="3890" spans="1:2" x14ac:dyDescent="0.25">
      <c r="A3890" s="8">
        <v>41967</v>
      </c>
      <c r="B3890" s="9">
        <v>12.62</v>
      </c>
    </row>
    <row r="3891" spans="1:2" x14ac:dyDescent="0.25">
      <c r="A3891" s="8">
        <v>41968</v>
      </c>
      <c r="B3891" s="9">
        <v>12.25</v>
      </c>
    </row>
    <row r="3892" spans="1:2" x14ac:dyDescent="0.25">
      <c r="A3892" s="8">
        <v>41969</v>
      </c>
      <c r="B3892" s="9">
        <v>12.07</v>
      </c>
    </row>
    <row r="3893" spans="1:2" x14ac:dyDescent="0.25">
      <c r="A3893" s="8">
        <v>41970</v>
      </c>
    </row>
    <row r="3894" spans="1:2" x14ac:dyDescent="0.25">
      <c r="A3894" s="8">
        <v>41971</v>
      </c>
      <c r="B3894" s="9">
        <v>13.33</v>
      </c>
    </row>
    <row r="3895" spans="1:2" x14ac:dyDescent="0.25">
      <c r="A3895" s="8">
        <v>41974</v>
      </c>
      <c r="B3895" s="9">
        <v>14.29</v>
      </c>
    </row>
    <row r="3896" spans="1:2" x14ac:dyDescent="0.25">
      <c r="A3896" s="8">
        <v>41975</v>
      </c>
      <c r="B3896" s="9">
        <v>12.85</v>
      </c>
    </row>
    <row r="3897" spans="1:2" x14ac:dyDescent="0.25">
      <c r="A3897" s="8">
        <v>41976</v>
      </c>
      <c r="B3897" s="9">
        <v>12.47</v>
      </c>
    </row>
    <row r="3898" spans="1:2" x14ac:dyDescent="0.25">
      <c r="A3898" s="8">
        <v>41977</v>
      </c>
      <c r="B3898" s="9">
        <v>12.38</v>
      </c>
    </row>
    <row r="3899" spans="1:2" x14ac:dyDescent="0.25">
      <c r="A3899" s="8">
        <v>41978</v>
      </c>
      <c r="B3899" s="9">
        <v>11.82</v>
      </c>
    </row>
    <row r="3900" spans="1:2" x14ac:dyDescent="0.25">
      <c r="A3900" s="8">
        <v>41981</v>
      </c>
      <c r="B3900" s="9">
        <v>14.21</v>
      </c>
    </row>
    <row r="3901" spans="1:2" x14ac:dyDescent="0.25">
      <c r="A3901" s="8">
        <v>41982</v>
      </c>
      <c r="B3901" s="9">
        <v>14.89</v>
      </c>
    </row>
    <row r="3902" spans="1:2" x14ac:dyDescent="0.25">
      <c r="A3902" s="8">
        <v>41983</v>
      </c>
      <c r="B3902" s="9">
        <v>18.53</v>
      </c>
    </row>
    <row r="3903" spans="1:2" x14ac:dyDescent="0.25">
      <c r="A3903" s="8">
        <v>41984</v>
      </c>
      <c r="B3903" s="9">
        <v>20.079999999999998</v>
      </c>
    </row>
    <row r="3904" spans="1:2" x14ac:dyDescent="0.25">
      <c r="A3904" s="8">
        <v>41985</v>
      </c>
      <c r="B3904" s="9">
        <v>21.08</v>
      </c>
    </row>
    <row r="3905" spans="1:2" x14ac:dyDescent="0.25">
      <c r="A3905" s="8">
        <v>41988</v>
      </c>
      <c r="B3905" s="9">
        <v>20.420000000000002</v>
      </c>
    </row>
    <row r="3906" spans="1:2" x14ac:dyDescent="0.25">
      <c r="A3906" s="8">
        <v>41989</v>
      </c>
      <c r="B3906" s="9">
        <v>23.57</v>
      </c>
    </row>
    <row r="3907" spans="1:2" x14ac:dyDescent="0.25">
      <c r="A3907" s="8">
        <v>41990</v>
      </c>
      <c r="B3907" s="9">
        <v>19.440000000000001</v>
      </c>
    </row>
    <row r="3908" spans="1:2" x14ac:dyDescent="0.25">
      <c r="A3908" s="8">
        <v>41991</v>
      </c>
      <c r="B3908" s="9">
        <v>16.809999999999999</v>
      </c>
    </row>
    <row r="3909" spans="1:2" x14ac:dyDescent="0.25">
      <c r="A3909" s="8">
        <v>41992</v>
      </c>
      <c r="B3909" s="9">
        <v>16.489999999999998</v>
      </c>
    </row>
    <row r="3910" spans="1:2" x14ac:dyDescent="0.25">
      <c r="A3910" s="8">
        <v>41995</v>
      </c>
      <c r="B3910" s="9">
        <v>15.25</v>
      </c>
    </row>
    <row r="3911" spans="1:2" x14ac:dyDescent="0.25">
      <c r="A3911" s="8">
        <v>41996</v>
      </c>
      <c r="B3911" s="9">
        <v>14.8</v>
      </c>
    </row>
    <row r="3912" spans="1:2" x14ac:dyDescent="0.25">
      <c r="A3912" s="8">
        <v>41997</v>
      </c>
      <c r="B3912" s="9">
        <v>14.37</v>
      </c>
    </row>
    <row r="3913" spans="1:2" x14ac:dyDescent="0.25">
      <c r="A3913" s="8">
        <v>41998</v>
      </c>
    </row>
    <row r="3914" spans="1:2" x14ac:dyDescent="0.25">
      <c r="A3914" s="8">
        <v>41999</v>
      </c>
      <c r="B3914" s="9">
        <v>14.5</v>
      </c>
    </row>
    <row r="3915" spans="1:2" x14ac:dyDescent="0.25">
      <c r="A3915" s="8">
        <v>42002</v>
      </c>
      <c r="B3915" s="9">
        <v>15.06</v>
      </c>
    </row>
    <row r="3916" spans="1:2" x14ac:dyDescent="0.25">
      <c r="A3916" s="8">
        <v>42003</v>
      </c>
      <c r="B3916" s="9">
        <v>15.92</v>
      </c>
    </row>
    <row r="3917" spans="1:2" x14ac:dyDescent="0.25">
      <c r="A3917" s="8">
        <v>42004</v>
      </c>
      <c r="B3917" s="9">
        <v>19.2</v>
      </c>
    </row>
    <row r="3918" spans="1:2" x14ac:dyDescent="0.25">
      <c r="A3918" s="8">
        <v>42005</v>
      </c>
    </row>
    <row r="3919" spans="1:2" x14ac:dyDescent="0.25">
      <c r="A3919" s="8">
        <v>42006</v>
      </c>
      <c r="B3919" s="9">
        <v>17.79</v>
      </c>
    </row>
    <row r="3920" spans="1:2" x14ac:dyDescent="0.25">
      <c r="A3920" s="8">
        <v>42009</v>
      </c>
      <c r="B3920" s="9">
        <v>19.920000000000002</v>
      </c>
    </row>
    <row r="3921" spans="1:2" x14ac:dyDescent="0.25">
      <c r="A3921" s="8">
        <v>42010</v>
      </c>
      <c r="B3921" s="9">
        <v>21.12</v>
      </c>
    </row>
    <row r="3922" spans="1:2" x14ac:dyDescent="0.25">
      <c r="A3922" s="8">
        <v>42011</v>
      </c>
      <c r="B3922" s="9">
        <v>19.309999999999999</v>
      </c>
    </row>
    <row r="3923" spans="1:2" x14ac:dyDescent="0.25">
      <c r="A3923" s="8">
        <v>42012</v>
      </c>
      <c r="B3923" s="9">
        <v>17.010000000000002</v>
      </c>
    </row>
    <row r="3924" spans="1:2" x14ac:dyDescent="0.25">
      <c r="A3924" s="8">
        <v>42013</v>
      </c>
      <c r="B3924" s="9">
        <v>17.55</v>
      </c>
    </row>
    <row r="3925" spans="1:2" x14ac:dyDescent="0.25">
      <c r="A3925" s="8">
        <v>42016</v>
      </c>
      <c r="B3925" s="9">
        <v>19.600000000000001</v>
      </c>
    </row>
    <row r="3926" spans="1:2" x14ac:dyDescent="0.25">
      <c r="A3926" s="8">
        <v>42017</v>
      </c>
      <c r="B3926" s="9">
        <v>20.56</v>
      </c>
    </row>
    <row r="3927" spans="1:2" x14ac:dyDescent="0.25">
      <c r="A3927" s="8">
        <v>42018</v>
      </c>
      <c r="B3927" s="9">
        <v>21.48</v>
      </c>
    </row>
    <row r="3928" spans="1:2" x14ac:dyDescent="0.25">
      <c r="A3928" s="8">
        <v>42019</v>
      </c>
      <c r="B3928" s="9">
        <v>22.39</v>
      </c>
    </row>
    <row r="3929" spans="1:2" x14ac:dyDescent="0.25">
      <c r="A3929" s="8">
        <v>42020</v>
      </c>
      <c r="B3929" s="9">
        <v>20.95</v>
      </c>
    </row>
    <row r="3930" spans="1:2" x14ac:dyDescent="0.25">
      <c r="A3930" s="8">
        <v>42023</v>
      </c>
    </row>
    <row r="3931" spans="1:2" x14ac:dyDescent="0.25">
      <c r="A3931" s="8">
        <v>42024</v>
      </c>
      <c r="B3931" s="9">
        <v>19.89</v>
      </c>
    </row>
    <row r="3932" spans="1:2" x14ac:dyDescent="0.25">
      <c r="A3932" s="8">
        <v>42025</v>
      </c>
      <c r="B3932" s="9">
        <v>18.850000000000001</v>
      </c>
    </row>
    <row r="3933" spans="1:2" x14ac:dyDescent="0.25">
      <c r="A3933" s="8">
        <v>42026</v>
      </c>
      <c r="B3933" s="9">
        <v>16.399999999999999</v>
      </c>
    </row>
    <row r="3934" spans="1:2" x14ac:dyDescent="0.25">
      <c r="A3934" s="8">
        <v>42027</v>
      </c>
      <c r="B3934" s="9">
        <v>16.66</v>
      </c>
    </row>
    <row r="3935" spans="1:2" x14ac:dyDescent="0.25">
      <c r="A3935" s="8">
        <v>42030</v>
      </c>
      <c r="B3935" s="9">
        <v>15.52</v>
      </c>
    </row>
    <row r="3936" spans="1:2" x14ac:dyDescent="0.25">
      <c r="A3936" s="8">
        <v>42031</v>
      </c>
      <c r="B3936" s="9">
        <v>17.22</v>
      </c>
    </row>
    <row r="3937" spans="1:2" x14ac:dyDescent="0.25">
      <c r="A3937" s="8">
        <v>42032</v>
      </c>
      <c r="B3937" s="9">
        <v>20.440000000000001</v>
      </c>
    </row>
    <row r="3938" spans="1:2" x14ac:dyDescent="0.25">
      <c r="A3938" s="8">
        <v>42033</v>
      </c>
      <c r="B3938" s="9">
        <v>18.760000000000002</v>
      </c>
    </row>
    <row r="3939" spans="1:2" x14ac:dyDescent="0.25">
      <c r="A3939" s="8">
        <v>42034</v>
      </c>
      <c r="B3939" s="9">
        <v>20.97</v>
      </c>
    </row>
    <row r="3940" spans="1:2" x14ac:dyDescent="0.25">
      <c r="A3940" s="8">
        <v>42037</v>
      </c>
      <c r="B3940" s="9">
        <v>19.43</v>
      </c>
    </row>
    <row r="3941" spans="1:2" x14ac:dyDescent="0.25">
      <c r="A3941" s="8">
        <v>42038</v>
      </c>
      <c r="B3941" s="9">
        <v>17.329999999999998</v>
      </c>
    </row>
    <row r="3942" spans="1:2" x14ac:dyDescent="0.25">
      <c r="A3942" s="8">
        <v>42039</v>
      </c>
      <c r="B3942" s="9">
        <v>18.329999999999998</v>
      </c>
    </row>
    <row r="3943" spans="1:2" x14ac:dyDescent="0.25">
      <c r="A3943" s="8">
        <v>42040</v>
      </c>
      <c r="B3943" s="9">
        <v>16.850000000000001</v>
      </c>
    </row>
    <row r="3944" spans="1:2" x14ac:dyDescent="0.25">
      <c r="A3944" s="8">
        <v>42041</v>
      </c>
      <c r="B3944" s="9">
        <v>17.29</v>
      </c>
    </row>
    <row r="3945" spans="1:2" x14ac:dyDescent="0.25">
      <c r="A3945" s="8">
        <v>42044</v>
      </c>
      <c r="B3945" s="9">
        <v>18.55</v>
      </c>
    </row>
    <row r="3946" spans="1:2" x14ac:dyDescent="0.25">
      <c r="A3946" s="8">
        <v>42045</v>
      </c>
      <c r="B3946" s="9">
        <v>17.23</v>
      </c>
    </row>
    <row r="3947" spans="1:2" x14ac:dyDescent="0.25">
      <c r="A3947" s="8">
        <v>42046</v>
      </c>
      <c r="B3947" s="9">
        <v>16.96</v>
      </c>
    </row>
    <row r="3948" spans="1:2" x14ac:dyDescent="0.25">
      <c r="A3948" s="8">
        <v>42047</v>
      </c>
      <c r="B3948" s="9">
        <v>15.34</v>
      </c>
    </row>
    <row r="3949" spans="1:2" x14ac:dyDescent="0.25">
      <c r="A3949" s="8">
        <v>42048</v>
      </c>
      <c r="B3949" s="9">
        <v>14.69</v>
      </c>
    </row>
    <row r="3950" spans="1:2" x14ac:dyDescent="0.25">
      <c r="A3950" s="8">
        <v>42051</v>
      </c>
    </row>
    <row r="3951" spans="1:2" x14ac:dyDescent="0.25">
      <c r="A3951" s="8">
        <v>42052</v>
      </c>
      <c r="B3951" s="9">
        <v>15.8</v>
      </c>
    </row>
    <row r="3952" spans="1:2" x14ac:dyDescent="0.25">
      <c r="A3952" s="8">
        <v>42053</v>
      </c>
      <c r="B3952" s="9">
        <v>15.45</v>
      </c>
    </row>
    <row r="3953" spans="1:2" x14ac:dyDescent="0.25">
      <c r="A3953" s="8">
        <v>42054</v>
      </c>
      <c r="B3953" s="9">
        <v>15.29</v>
      </c>
    </row>
    <row r="3954" spans="1:2" x14ac:dyDescent="0.25">
      <c r="A3954" s="8">
        <v>42055</v>
      </c>
      <c r="B3954" s="9">
        <v>14.3</v>
      </c>
    </row>
    <row r="3955" spans="1:2" x14ac:dyDescent="0.25">
      <c r="A3955" s="8">
        <v>42058</v>
      </c>
      <c r="B3955" s="9">
        <v>14.56</v>
      </c>
    </row>
    <row r="3956" spans="1:2" x14ac:dyDescent="0.25">
      <c r="A3956" s="8">
        <v>42059</v>
      </c>
      <c r="B3956" s="9">
        <v>13.69</v>
      </c>
    </row>
    <row r="3957" spans="1:2" x14ac:dyDescent="0.25">
      <c r="A3957" s="8">
        <v>42060</v>
      </c>
      <c r="B3957" s="9">
        <v>13.84</v>
      </c>
    </row>
    <row r="3958" spans="1:2" x14ac:dyDescent="0.25">
      <c r="A3958" s="8">
        <v>42061</v>
      </c>
      <c r="B3958" s="9">
        <v>13.91</v>
      </c>
    </row>
    <row r="3959" spans="1:2" x14ac:dyDescent="0.25">
      <c r="A3959" s="8">
        <v>42062</v>
      </c>
      <c r="B3959" s="9">
        <v>13.34</v>
      </c>
    </row>
    <row r="3960" spans="1:2" x14ac:dyDescent="0.25">
      <c r="A3960" s="8">
        <v>42065</v>
      </c>
      <c r="B3960" s="9">
        <v>13.04</v>
      </c>
    </row>
    <row r="3961" spans="1:2" x14ac:dyDescent="0.25">
      <c r="A3961" s="8">
        <v>42066</v>
      </c>
      <c r="B3961" s="9">
        <v>13.86</v>
      </c>
    </row>
    <row r="3962" spans="1:2" x14ac:dyDescent="0.25">
      <c r="A3962" s="8">
        <v>42067</v>
      </c>
      <c r="B3962" s="9">
        <v>14.23</v>
      </c>
    </row>
    <row r="3963" spans="1:2" x14ac:dyDescent="0.25">
      <c r="A3963" s="8">
        <v>42068</v>
      </c>
      <c r="B3963" s="9">
        <v>14.04</v>
      </c>
    </row>
    <row r="3964" spans="1:2" x14ac:dyDescent="0.25">
      <c r="A3964" s="8">
        <v>42069</v>
      </c>
      <c r="B3964" s="9">
        <v>15.2</v>
      </c>
    </row>
    <row r="3965" spans="1:2" x14ac:dyDescent="0.25">
      <c r="A3965" s="8">
        <v>42072</v>
      </c>
      <c r="B3965" s="9">
        <v>15.06</v>
      </c>
    </row>
    <row r="3966" spans="1:2" x14ac:dyDescent="0.25">
      <c r="A3966" s="8">
        <v>42073</v>
      </c>
      <c r="B3966" s="9">
        <v>16.690000000000001</v>
      </c>
    </row>
    <row r="3967" spans="1:2" x14ac:dyDescent="0.25">
      <c r="A3967" s="8">
        <v>42074</v>
      </c>
      <c r="B3967" s="9">
        <v>16.87</v>
      </c>
    </row>
    <row r="3968" spans="1:2" x14ac:dyDescent="0.25">
      <c r="A3968" s="8">
        <v>42075</v>
      </c>
      <c r="B3968" s="9">
        <v>15.42</v>
      </c>
    </row>
    <row r="3969" spans="1:2" x14ac:dyDescent="0.25">
      <c r="A3969" s="8">
        <v>42076</v>
      </c>
      <c r="B3969" s="9">
        <v>16</v>
      </c>
    </row>
    <row r="3970" spans="1:2" x14ac:dyDescent="0.25">
      <c r="A3970" s="8">
        <v>42079</v>
      </c>
      <c r="B3970" s="9">
        <v>15.61</v>
      </c>
    </row>
    <row r="3971" spans="1:2" x14ac:dyDescent="0.25">
      <c r="A3971" s="8">
        <v>42080</v>
      </c>
      <c r="B3971" s="9">
        <v>15.66</v>
      </c>
    </row>
    <row r="3972" spans="1:2" x14ac:dyDescent="0.25">
      <c r="A3972" s="8">
        <v>42081</v>
      </c>
      <c r="B3972" s="9">
        <v>13.97</v>
      </c>
    </row>
    <row r="3973" spans="1:2" x14ac:dyDescent="0.25">
      <c r="A3973" s="8">
        <v>42082</v>
      </c>
      <c r="B3973" s="9">
        <v>14.07</v>
      </c>
    </row>
    <row r="3974" spans="1:2" x14ac:dyDescent="0.25">
      <c r="A3974" s="8">
        <v>42083</v>
      </c>
      <c r="B3974" s="9">
        <v>13.02</v>
      </c>
    </row>
    <row r="3975" spans="1:2" x14ac:dyDescent="0.25">
      <c r="A3975" s="8">
        <v>42086</v>
      </c>
      <c r="B3975" s="9">
        <v>13.41</v>
      </c>
    </row>
    <row r="3976" spans="1:2" x14ac:dyDescent="0.25">
      <c r="A3976" s="8">
        <v>42087</v>
      </c>
      <c r="B3976" s="9">
        <v>13.62</v>
      </c>
    </row>
    <row r="3977" spans="1:2" x14ac:dyDescent="0.25">
      <c r="A3977" s="8">
        <v>42088</v>
      </c>
      <c r="B3977" s="9">
        <v>15.44</v>
      </c>
    </row>
    <row r="3978" spans="1:2" x14ac:dyDescent="0.25">
      <c r="A3978" s="8">
        <v>42089</v>
      </c>
      <c r="B3978" s="9">
        <v>15.8</v>
      </c>
    </row>
    <row r="3979" spans="1:2" x14ac:dyDescent="0.25">
      <c r="A3979" s="8">
        <v>42090</v>
      </c>
      <c r="B3979" s="9">
        <v>15.07</v>
      </c>
    </row>
    <row r="3980" spans="1:2" x14ac:dyDescent="0.25">
      <c r="A3980" s="8">
        <v>42093</v>
      </c>
      <c r="B3980" s="9">
        <v>14.51</v>
      </c>
    </row>
    <row r="3981" spans="1:2" x14ac:dyDescent="0.25">
      <c r="A3981" s="8">
        <v>42094</v>
      </c>
      <c r="B3981" s="9">
        <v>15.29</v>
      </c>
    </row>
    <row r="3982" spans="1:2" x14ac:dyDescent="0.25">
      <c r="A3982" s="8">
        <v>42095</v>
      </c>
      <c r="B3982" s="9">
        <v>15.11</v>
      </c>
    </row>
    <row r="3983" spans="1:2" x14ac:dyDescent="0.25">
      <c r="A3983" s="8">
        <v>42096</v>
      </c>
      <c r="B3983" s="9">
        <v>14.67</v>
      </c>
    </row>
    <row r="3984" spans="1:2" x14ac:dyDescent="0.25">
      <c r="A3984" s="8">
        <v>42097</v>
      </c>
    </row>
    <row r="3985" spans="1:2" x14ac:dyDescent="0.25">
      <c r="A3985" s="8">
        <v>42100</v>
      </c>
      <c r="B3985" s="9">
        <v>14.74</v>
      </c>
    </row>
    <row r="3986" spans="1:2" x14ac:dyDescent="0.25">
      <c r="A3986" s="8">
        <v>42101</v>
      </c>
      <c r="B3986" s="9">
        <v>14.78</v>
      </c>
    </row>
    <row r="3987" spans="1:2" x14ac:dyDescent="0.25">
      <c r="A3987" s="8">
        <v>42102</v>
      </c>
      <c r="B3987" s="9">
        <v>13.98</v>
      </c>
    </row>
    <row r="3988" spans="1:2" x14ac:dyDescent="0.25">
      <c r="A3988" s="8">
        <v>42103</v>
      </c>
      <c r="B3988" s="9">
        <v>13.09</v>
      </c>
    </row>
    <row r="3989" spans="1:2" x14ac:dyDescent="0.25">
      <c r="A3989" s="8">
        <v>42104</v>
      </c>
      <c r="B3989" s="9">
        <v>12.58</v>
      </c>
    </row>
    <row r="3990" spans="1:2" x14ac:dyDescent="0.25">
      <c r="A3990" s="8">
        <v>42107</v>
      </c>
      <c r="B3990" s="9">
        <v>13.94</v>
      </c>
    </row>
    <row r="3991" spans="1:2" x14ac:dyDescent="0.25">
      <c r="A3991" s="8">
        <v>42108</v>
      </c>
      <c r="B3991" s="9">
        <v>13.67</v>
      </c>
    </row>
    <row r="3992" spans="1:2" x14ac:dyDescent="0.25">
      <c r="A3992" s="8">
        <v>42109</v>
      </c>
      <c r="B3992" s="9">
        <v>12.84</v>
      </c>
    </row>
    <row r="3993" spans="1:2" x14ac:dyDescent="0.25">
      <c r="A3993" s="8">
        <v>42110</v>
      </c>
      <c r="B3993" s="9">
        <v>12.6</v>
      </c>
    </row>
    <row r="3994" spans="1:2" x14ac:dyDescent="0.25">
      <c r="A3994" s="8">
        <v>42111</v>
      </c>
      <c r="B3994" s="9">
        <v>13.89</v>
      </c>
    </row>
    <row r="3995" spans="1:2" x14ac:dyDescent="0.25">
      <c r="A3995" s="8">
        <v>42114</v>
      </c>
      <c r="B3995" s="9">
        <v>13.3</v>
      </c>
    </row>
    <row r="3996" spans="1:2" x14ac:dyDescent="0.25">
      <c r="A3996" s="8">
        <v>42115</v>
      </c>
      <c r="B3996" s="9">
        <v>13.25</v>
      </c>
    </row>
    <row r="3997" spans="1:2" x14ac:dyDescent="0.25">
      <c r="A3997" s="8">
        <v>42116</v>
      </c>
      <c r="B3997" s="9">
        <v>12.71</v>
      </c>
    </row>
    <row r="3998" spans="1:2" x14ac:dyDescent="0.25">
      <c r="A3998" s="8">
        <v>42117</v>
      </c>
      <c r="B3998" s="9">
        <v>12.48</v>
      </c>
    </row>
    <row r="3999" spans="1:2" x14ac:dyDescent="0.25">
      <c r="A3999" s="8">
        <v>42118</v>
      </c>
      <c r="B3999" s="9">
        <v>12.29</v>
      </c>
    </row>
    <row r="4000" spans="1:2" x14ac:dyDescent="0.25">
      <c r="A4000" s="8">
        <v>42121</v>
      </c>
      <c r="B4000" s="9">
        <v>13.12</v>
      </c>
    </row>
    <row r="4001" spans="1:2" x14ac:dyDescent="0.25">
      <c r="A4001" s="8">
        <v>42122</v>
      </c>
      <c r="B4001" s="9">
        <v>12.41</v>
      </c>
    </row>
    <row r="4002" spans="1:2" x14ac:dyDescent="0.25">
      <c r="A4002" s="8">
        <v>42123</v>
      </c>
      <c r="B4002" s="9">
        <v>13.39</v>
      </c>
    </row>
    <row r="4003" spans="1:2" x14ac:dyDescent="0.25">
      <c r="A4003" s="8">
        <v>42124</v>
      </c>
      <c r="B4003" s="9">
        <v>14.55</v>
      </c>
    </row>
    <row r="4004" spans="1:2" x14ac:dyDescent="0.25">
      <c r="A4004" s="8">
        <v>42125</v>
      </c>
      <c r="B4004" s="9">
        <v>12.7</v>
      </c>
    </row>
    <row r="4005" spans="1:2" x14ac:dyDescent="0.25">
      <c r="A4005" s="8">
        <v>42128</v>
      </c>
      <c r="B4005" s="9">
        <v>12.85</v>
      </c>
    </row>
    <row r="4006" spans="1:2" x14ac:dyDescent="0.25">
      <c r="A4006" s="8">
        <v>42129</v>
      </c>
      <c r="B4006" s="9">
        <v>14.31</v>
      </c>
    </row>
    <row r="4007" spans="1:2" x14ac:dyDescent="0.25">
      <c r="A4007" s="8">
        <v>42130</v>
      </c>
      <c r="B4007" s="9">
        <v>15.15</v>
      </c>
    </row>
    <row r="4008" spans="1:2" x14ac:dyDescent="0.25">
      <c r="A4008" s="8">
        <v>42131</v>
      </c>
      <c r="B4008" s="9">
        <v>15.13</v>
      </c>
    </row>
    <row r="4009" spans="1:2" x14ac:dyDescent="0.25">
      <c r="A4009" s="8">
        <v>42132</v>
      </c>
      <c r="B4009" s="9">
        <v>12.86</v>
      </c>
    </row>
    <row r="4010" spans="1:2" x14ac:dyDescent="0.25">
      <c r="A4010" s="8">
        <v>42135</v>
      </c>
      <c r="B4010" s="9">
        <v>13.85</v>
      </c>
    </row>
    <row r="4011" spans="1:2" x14ac:dyDescent="0.25">
      <c r="A4011" s="8">
        <v>42136</v>
      </c>
      <c r="B4011" s="9">
        <v>13.86</v>
      </c>
    </row>
    <row r="4012" spans="1:2" x14ac:dyDescent="0.25">
      <c r="A4012" s="8">
        <v>42137</v>
      </c>
      <c r="B4012" s="9">
        <v>13.76</v>
      </c>
    </row>
    <row r="4013" spans="1:2" x14ac:dyDescent="0.25">
      <c r="A4013" s="8">
        <v>42138</v>
      </c>
      <c r="B4013" s="9">
        <v>12.74</v>
      </c>
    </row>
    <row r="4014" spans="1:2" x14ac:dyDescent="0.25">
      <c r="A4014" s="8">
        <v>42139</v>
      </c>
      <c r="B4014" s="9">
        <v>12.38</v>
      </c>
    </row>
    <row r="4015" spans="1:2" x14ac:dyDescent="0.25">
      <c r="A4015" s="8">
        <v>42142</v>
      </c>
      <c r="B4015" s="9">
        <v>12.73</v>
      </c>
    </row>
    <row r="4016" spans="1:2" x14ac:dyDescent="0.25">
      <c r="A4016" s="8">
        <v>42143</v>
      </c>
      <c r="B4016" s="9">
        <v>12.85</v>
      </c>
    </row>
    <row r="4017" spans="1:2" x14ac:dyDescent="0.25">
      <c r="A4017" s="8">
        <v>42144</v>
      </c>
      <c r="B4017" s="9">
        <v>12.88</v>
      </c>
    </row>
    <row r="4018" spans="1:2" x14ac:dyDescent="0.25">
      <c r="A4018" s="8">
        <v>42145</v>
      </c>
      <c r="B4018" s="9">
        <v>12.11</v>
      </c>
    </row>
    <row r="4019" spans="1:2" x14ac:dyDescent="0.25">
      <c r="A4019" s="8">
        <v>42146</v>
      </c>
      <c r="B4019" s="9">
        <v>12.13</v>
      </c>
    </row>
    <row r="4020" spans="1:2" x14ac:dyDescent="0.25">
      <c r="A4020" s="8">
        <v>42149</v>
      </c>
    </row>
    <row r="4021" spans="1:2" x14ac:dyDescent="0.25">
      <c r="A4021" s="8">
        <v>42150</v>
      </c>
      <c r="B4021" s="9">
        <v>14.06</v>
      </c>
    </row>
    <row r="4022" spans="1:2" x14ac:dyDescent="0.25">
      <c r="A4022" s="8">
        <v>42151</v>
      </c>
      <c r="B4022" s="9">
        <v>13.27</v>
      </c>
    </row>
    <row r="4023" spans="1:2" x14ac:dyDescent="0.25">
      <c r="A4023" s="8">
        <v>42152</v>
      </c>
      <c r="B4023" s="9">
        <v>13.31</v>
      </c>
    </row>
    <row r="4024" spans="1:2" x14ac:dyDescent="0.25">
      <c r="A4024" s="8">
        <v>42153</v>
      </c>
      <c r="B4024" s="9">
        <v>13.84</v>
      </c>
    </row>
    <row r="4025" spans="1:2" x14ac:dyDescent="0.25">
      <c r="A4025" s="8">
        <v>42156</v>
      </c>
      <c r="B4025" s="9">
        <v>13.97</v>
      </c>
    </row>
    <row r="4026" spans="1:2" x14ac:dyDescent="0.25">
      <c r="A4026" s="8">
        <v>42157</v>
      </c>
      <c r="B4026" s="9">
        <v>14.24</v>
      </c>
    </row>
    <row r="4027" spans="1:2" x14ac:dyDescent="0.25">
      <c r="A4027" s="8">
        <v>42158</v>
      </c>
      <c r="B4027" s="9">
        <v>13.66</v>
      </c>
    </row>
    <row r="4028" spans="1:2" x14ac:dyDescent="0.25">
      <c r="A4028" s="8">
        <v>42159</v>
      </c>
      <c r="B4028" s="9">
        <v>14.71</v>
      </c>
    </row>
    <row r="4029" spans="1:2" x14ac:dyDescent="0.25">
      <c r="A4029" s="8">
        <v>42160</v>
      </c>
      <c r="B4029" s="9">
        <v>14.21</v>
      </c>
    </row>
    <row r="4030" spans="1:2" x14ac:dyDescent="0.25">
      <c r="A4030" s="8">
        <v>42163</v>
      </c>
      <c r="B4030" s="9">
        <v>15.29</v>
      </c>
    </row>
    <row r="4031" spans="1:2" x14ac:dyDescent="0.25">
      <c r="A4031" s="8">
        <v>42164</v>
      </c>
      <c r="B4031" s="9">
        <v>14.47</v>
      </c>
    </row>
    <row r="4032" spans="1:2" x14ac:dyDescent="0.25">
      <c r="A4032" s="8">
        <v>42165</v>
      </c>
      <c r="B4032" s="9">
        <v>13.22</v>
      </c>
    </row>
    <row r="4033" spans="1:2" x14ac:dyDescent="0.25">
      <c r="A4033" s="8">
        <v>42166</v>
      </c>
      <c r="B4033" s="9">
        <v>12.85</v>
      </c>
    </row>
    <row r="4034" spans="1:2" x14ac:dyDescent="0.25">
      <c r="A4034" s="8">
        <v>42167</v>
      </c>
      <c r="B4034" s="9">
        <v>13.78</v>
      </c>
    </row>
    <row r="4035" spans="1:2" x14ac:dyDescent="0.25">
      <c r="A4035" s="8">
        <v>42170</v>
      </c>
      <c r="B4035" s="9">
        <v>15.39</v>
      </c>
    </row>
    <row r="4036" spans="1:2" x14ac:dyDescent="0.25">
      <c r="A4036" s="8">
        <v>42171</v>
      </c>
      <c r="B4036" s="9">
        <v>14.81</v>
      </c>
    </row>
    <row r="4037" spans="1:2" x14ac:dyDescent="0.25">
      <c r="A4037" s="8">
        <v>42172</v>
      </c>
      <c r="B4037" s="9">
        <v>14.5</v>
      </c>
    </row>
    <row r="4038" spans="1:2" x14ac:dyDescent="0.25">
      <c r="A4038" s="8">
        <v>42173</v>
      </c>
      <c r="B4038" s="9">
        <v>13.19</v>
      </c>
    </row>
    <row r="4039" spans="1:2" x14ac:dyDescent="0.25">
      <c r="A4039" s="8">
        <v>42174</v>
      </c>
      <c r="B4039" s="9">
        <v>13.96</v>
      </c>
    </row>
    <row r="4040" spans="1:2" x14ac:dyDescent="0.25">
      <c r="A4040" s="8">
        <v>42177</v>
      </c>
      <c r="B4040" s="9">
        <v>12.74</v>
      </c>
    </row>
    <row r="4041" spans="1:2" x14ac:dyDescent="0.25">
      <c r="A4041" s="8">
        <v>42178</v>
      </c>
      <c r="B4041" s="9">
        <v>12.11</v>
      </c>
    </row>
    <row r="4042" spans="1:2" x14ac:dyDescent="0.25">
      <c r="A4042" s="8">
        <v>42179</v>
      </c>
      <c r="B4042" s="9">
        <v>13.26</v>
      </c>
    </row>
    <row r="4043" spans="1:2" x14ac:dyDescent="0.25">
      <c r="A4043" s="8">
        <v>42180</v>
      </c>
      <c r="B4043" s="9">
        <v>14.01</v>
      </c>
    </row>
    <row r="4044" spans="1:2" x14ac:dyDescent="0.25">
      <c r="A4044" s="8">
        <v>42181</v>
      </c>
      <c r="B4044" s="9">
        <v>14.02</v>
      </c>
    </row>
    <row r="4045" spans="1:2" x14ac:dyDescent="0.25">
      <c r="A4045" s="8">
        <v>42184</v>
      </c>
      <c r="B4045" s="9">
        <v>18.850000000000001</v>
      </c>
    </row>
    <row r="4046" spans="1:2" x14ac:dyDescent="0.25">
      <c r="A4046" s="8">
        <v>42185</v>
      </c>
      <c r="B4046" s="9">
        <v>18.23</v>
      </c>
    </row>
    <row r="4047" spans="1:2" x14ac:dyDescent="0.25">
      <c r="A4047" s="8">
        <v>42186</v>
      </c>
      <c r="B4047" s="9">
        <v>16.09</v>
      </c>
    </row>
    <row r="4048" spans="1:2" x14ac:dyDescent="0.25">
      <c r="A4048" s="8">
        <v>42187</v>
      </c>
      <c r="B4048" s="9">
        <v>16.79</v>
      </c>
    </row>
    <row r="4049" spans="1:2" x14ac:dyDescent="0.25">
      <c r="A4049" s="8">
        <v>42188</v>
      </c>
    </row>
    <row r="4050" spans="1:2" x14ac:dyDescent="0.25">
      <c r="A4050" s="8">
        <v>42191</v>
      </c>
      <c r="B4050" s="9">
        <v>17.010000000000002</v>
      </c>
    </row>
    <row r="4051" spans="1:2" x14ac:dyDescent="0.25">
      <c r="A4051" s="8">
        <v>42192</v>
      </c>
      <c r="B4051" s="9">
        <v>16.09</v>
      </c>
    </row>
    <row r="4052" spans="1:2" x14ac:dyDescent="0.25">
      <c r="A4052" s="8">
        <v>42193</v>
      </c>
      <c r="B4052" s="9">
        <v>19.66</v>
      </c>
    </row>
    <row r="4053" spans="1:2" x14ac:dyDescent="0.25">
      <c r="A4053" s="8">
        <v>42194</v>
      </c>
      <c r="B4053" s="9">
        <v>19.97</v>
      </c>
    </row>
    <row r="4054" spans="1:2" x14ac:dyDescent="0.25">
      <c r="A4054" s="8">
        <v>42195</v>
      </c>
      <c r="B4054" s="9">
        <v>16.829999999999998</v>
      </c>
    </row>
    <row r="4055" spans="1:2" x14ac:dyDescent="0.25">
      <c r="A4055" s="8">
        <v>42198</v>
      </c>
      <c r="B4055" s="9">
        <v>13.9</v>
      </c>
    </row>
    <row r="4056" spans="1:2" x14ac:dyDescent="0.25">
      <c r="A4056" s="8">
        <v>42199</v>
      </c>
      <c r="B4056" s="9">
        <v>13.37</v>
      </c>
    </row>
    <row r="4057" spans="1:2" x14ac:dyDescent="0.25">
      <c r="A4057" s="8">
        <v>42200</v>
      </c>
      <c r="B4057" s="9">
        <v>13.23</v>
      </c>
    </row>
    <row r="4058" spans="1:2" x14ac:dyDescent="0.25">
      <c r="A4058" s="8">
        <v>42201</v>
      </c>
      <c r="B4058" s="9">
        <v>12.11</v>
      </c>
    </row>
    <row r="4059" spans="1:2" x14ac:dyDescent="0.25">
      <c r="A4059" s="8">
        <v>42202</v>
      </c>
      <c r="B4059" s="9">
        <v>11.95</v>
      </c>
    </row>
    <row r="4060" spans="1:2" x14ac:dyDescent="0.25">
      <c r="A4060" s="8">
        <v>42205</v>
      </c>
      <c r="B4060" s="9">
        <v>12.25</v>
      </c>
    </row>
    <row r="4061" spans="1:2" x14ac:dyDescent="0.25">
      <c r="A4061" s="8">
        <v>42206</v>
      </c>
      <c r="B4061" s="9">
        <v>12.22</v>
      </c>
    </row>
    <row r="4062" spans="1:2" x14ac:dyDescent="0.25">
      <c r="A4062" s="8">
        <v>42207</v>
      </c>
      <c r="B4062" s="9">
        <v>12.12</v>
      </c>
    </row>
    <row r="4063" spans="1:2" x14ac:dyDescent="0.25">
      <c r="A4063" s="8">
        <v>42208</v>
      </c>
      <c r="B4063" s="9">
        <v>12.64</v>
      </c>
    </row>
    <row r="4064" spans="1:2" x14ac:dyDescent="0.25">
      <c r="A4064" s="8">
        <v>42209</v>
      </c>
      <c r="B4064" s="9">
        <v>13.74</v>
      </c>
    </row>
    <row r="4065" spans="1:2" x14ac:dyDescent="0.25">
      <c r="A4065" s="8">
        <v>42212</v>
      </c>
      <c r="B4065" s="9">
        <v>15.6</v>
      </c>
    </row>
    <row r="4066" spans="1:2" x14ac:dyDescent="0.25">
      <c r="A4066" s="8">
        <v>42213</v>
      </c>
      <c r="B4066" s="9">
        <v>13.44</v>
      </c>
    </row>
    <row r="4067" spans="1:2" x14ac:dyDescent="0.25">
      <c r="A4067" s="8">
        <v>42214</v>
      </c>
      <c r="B4067" s="9">
        <v>12.5</v>
      </c>
    </row>
    <row r="4068" spans="1:2" x14ac:dyDescent="0.25">
      <c r="A4068" s="8">
        <v>42215</v>
      </c>
      <c r="B4068" s="9">
        <v>12.13</v>
      </c>
    </row>
    <row r="4069" spans="1:2" x14ac:dyDescent="0.25">
      <c r="A4069" s="8">
        <v>42216</v>
      </c>
      <c r="B4069" s="9">
        <v>12.12</v>
      </c>
    </row>
    <row r="4070" spans="1:2" x14ac:dyDescent="0.25">
      <c r="A4070" s="8">
        <v>42219</v>
      </c>
      <c r="B4070" s="9">
        <v>12.56</v>
      </c>
    </row>
    <row r="4071" spans="1:2" x14ac:dyDescent="0.25">
      <c r="A4071" s="8">
        <v>42220</v>
      </c>
      <c r="B4071" s="9">
        <v>13</v>
      </c>
    </row>
    <row r="4072" spans="1:2" x14ac:dyDescent="0.25">
      <c r="A4072" s="8">
        <v>42221</v>
      </c>
      <c r="B4072" s="9">
        <v>12.51</v>
      </c>
    </row>
    <row r="4073" spans="1:2" x14ac:dyDescent="0.25">
      <c r="A4073" s="8">
        <v>42222</v>
      </c>
      <c r="B4073" s="9">
        <v>13.77</v>
      </c>
    </row>
    <row r="4074" spans="1:2" x14ac:dyDescent="0.25">
      <c r="A4074" s="8">
        <v>42223</v>
      </c>
      <c r="B4074" s="9">
        <v>13.39</v>
      </c>
    </row>
    <row r="4075" spans="1:2" x14ac:dyDescent="0.25">
      <c r="A4075" s="8">
        <v>42226</v>
      </c>
      <c r="B4075" s="9">
        <v>12.23</v>
      </c>
    </row>
    <row r="4076" spans="1:2" x14ac:dyDescent="0.25">
      <c r="A4076" s="8">
        <v>42227</v>
      </c>
      <c r="B4076" s="9">
        <v>13.71</v>
      </c>
    </row>
    <row r="4077" spans="1:2" x14ac:dyDescent="0.25">
      <c r="A4077" s="8">
        <v>42228</v>
      </c>
      <c r="B4077" s="9">
        <v>13.61</v>
      </c>
    </row>
    <row r="4078" spans="1:2" x14ac:dyDescent="0.25">
      <c r="A4078" s="8">
        <v>42229</v>
      </c>
      <c r="B4078" s="9">
        <v>13.49</v>
      </c>
    </row>
    <row r="4079" spans="1:2" x14ac:dyDescent="0.25">
      <c r="A4079" s="8">
        <v>42230</v>
      </c>
      <c r="B4079" s="9">
        <v>12.83</v>
      </c>
    </row>
    <row r="4080" spans="1:2" x14ac:dyDescent="0.25">
      <c r="A4080" s="8">
        <v>42233</v>
      </c>
      <c r="B4080" s="9">
        <v>13.02</v>
      </c>
    </row>
    <row r="4081" spans="1:2" x14ac:dyDescent="0.25">
      <c r="A4081" s="8">
        <v>42234</v>
      </c>
      <c r="B4081" s="9">
        <v>13.79</v>
      </c>
    </row>
    <row r="4082" spans="1:2" x14ac:dyDescent="0.25">
      <c r="A4082" s="8">
        <v>42235</v>
      </c>
      <c r="B4082" s="9">
        <v>15.25</v>
      </c>
    </row>
    <row r="4083" spans="1:2" x14ac:dyDescent="0.25">
      <c r="A4083" s="8">
        <v>42236</v>
      </c>
      <c r="B4083" s="9">
        <v>19.14</v>
      </c>
    </row>
    <row r="4084" spans="1:2" x14ac:dyDescent="0.25">
      <c r="A4084" s="8">
        <v>42237</v>
      </c>
      <c r="B4084" s="9">
        <v>28.03</v>
      </c>
    </row>
    <row r="4085" spans="1:2" x14ac:dyDescent="0.25">
      <c r="A4085" s="8">
        <v>42240</v>
      </c>
      <c r="B4085" s="9">
        <v>40.74</v>
      </c>
    </row>
    <row r="4086" spans="1:2" x14ac:dyDescent="0.25">
      <c r="A4086" s="8">
        <v>42241</v>
      </c>
      <c r="B4086" s="9">
        <v>36.020000000000003</v>
      </c>
    </row>
    <row r="4087" spans="1:2" x14ac:dyDescent="0.25">
      <c r="A4087" s="8">
        <v>42242</v>
      </c>
      <c r="B4087" s="9">
        <v>30.32</v>
      </c>
    </row>
    <row r="4088" spans="1:2" x14ac:dyDescent="0.25">
      <c r="A4088" s="8">
        <v>42243</v>
      </c>
      <c r="B4088" s="9">
        <v>26.1</v>
      </c>
    </row>
    <row r="4089" spans="1:2" x14ac:dyDescent="0.25">
      <c r="A4089" s="8">
        <v>42244</v>
      </c>
      <c r="B4089" s="9">
        <v>26.05</v>
      </c>
    </row>
    <row r="4090" spans="1:2" x14ac:dyDescent="0.25">
      <c r="A4090" s="8">
        <v>42247</v>
      </c>
      <c r="B4090" s="9">
        <v>28.43</v>
      </c>
    </row>
    <row r="4091" spans="1:2" x14ac:dyDescent="0.25">
      <c r="A4091" s="8">
        <v>42248</v>
      </c>
      <c r="B4091" s="9">
        <v>31.4</v>
      </c>
    </row>
    <row r="4092" spans="1:2" x14ac:dyDescent="0.25">
      <c r="A4092" s="8">
        <v>42249</v>
      </c>
      <c r="B4092" s="9">
        <v>26.09</v>
      </c>
    </row>
    <row r="4093" spans="1:2" x14ac:dyDescent="0.25">
      <c r="A4093" s="8">
        <v>42250</v>
      </c>
      <c r="B4093" s="9">
        <v>25.61</v>
      </c>
    </row>
    <row r="4094" spans="1:2" x14ac:dyDescent="0.25">
      <c r="A4094" s="8">
        <v>42251</v>
      </c>
      <c r="B4094" s="9">
        <v>27.8</v>
      </c>
    </row>
    <row r="4095" spans="1:2" x14ac:dyDescent="0.25">
      <c r="A4095" s="8">
        <v>42254</v>
      </c>
    </row>
    <row r="4096" spans="1:2" x14ac:dyDescent="0.25">
      <c r="A4096" s="8">
        <v>42255</v>
      </c>
      <c r="B4096" s="9">
        <v>24.9</v>
      </c>
    </row>
    <row r="4097" spans="1:2" x14ac:dyDescent="0.25">
      <c r="A4097" s="8">
        <v>42256</v>
      </c>
      <c r="B4097" s="9">
        <v>26.23</v>
      </c>
    </row>
    <row r="4098" spans="1:2" x14ac:dyDescent="0.25">
      <c r="A4098" s="8">
        <v>42257</v>
      </c>
      <c r="B4098" s="9">
        <v>24.37</v>
      </c>
    </row>
    <row r="4099" spans="1:2" x14ac:dyDescent="0.25">
      <c r="A4099" s="8">
        <v>42258</v>
      </c>
      <c r="B4099" s="9">
        <v>23.2</v>
      </c>
    </row>
    <row r="4100" spans="1:2" x14ac:dyDescent="0.25">
      <c r="A4100" s="8">
        <v>42261</v>
      </c>
      <c r="B4100" s="9">
        <v>24.25</v>
      </c>
    </row>
    <row r="4101" spans="1:2" x14ac:dyDescent="0.25">
      <c r="A4101" s="8">
        <v>42262</v>
      </c>
      <c r="B4101" s="9">
        <v>22.54</v>
      </c>
    </row>
    <row r="4102" spans="1:2" x14ac:dyDescent="0.25">
      <c r="A4102" s="8">
        <v>42263</v>
      </c>
      <c r="B4102" s="9">
        <v>21.35</v>
      </c>
    </row>
    <row r="4103" spans="1:2" x14ac:dyDescent="0.25">
      <c r="A4103" s="8">
        <v>42264</v>
      </c>
      <c r="B4103" s="9">
        <v>21.14</v>
      </c>
    </row>
    <row r="4104" spans="1:2" x14ac:dyDescent="0.25">
      <c r="A4104" s="8">
        <v>42265</v>
      </c>
      <c r="B4104" s="9">
        <v>22.28</v>
      </c>
    </row>
    <row r="4105" spans="1:2" x14ac:dyDescent="0.25">
      <c r="A4105" s="8">
        <v>42268</v>
      </c>
      <c r="B4105" s="9">
        <v>20.14</v>
      </c>
    </row>
    <row r="4106" spans="1:2" x14ac:dyDescent="0.25">
      <c r="A4106" s="8">
        <v>42269</v>
      </c>
      <c r="B4106" s="9">
        <v>22.44</v>
      </c>
    </row>
    <row r="4107" spans="1:2" x14ac:dyDescent="0.25">
      <c r="A4107" s="8">
        <v>42270</v>
      </c>
      <c r="B4107" s="9">
        <v>22.13</v>
      </c>
    </row>
    <row r="4108" spans="1:2" x14ac:dyDescent="0.25">
      <c r="A4108" s="8">
        <v>42271</v>
      </c>
      <c r="B4108" s="9">
        <v>23.47</v>
      </c>
    </row>
    <row r="4109" spans="1:2" x14ac:dyDescent="0.25">
      <c r="A4109" s="8">
        <v>42272</v>
      </c>
      <c r="B4109" s="9">
        <v>23.62</v>
      </c>
    </row>
    <row r="4110" spans="1:2" x14ac:dyDescent="0.25">
      <c r="A4110" s="8">
        <v>42275</v>
      </c>
      <c r="B4110" s="9">
        <v>27.63</v>
      </c>
    </row>
    <row r="4111" spans="1:2" x14ac:dyDescent="0.25">
      <c r="A4111" s="8">
        <v>42276</v>
      </c>
      <c r="B4111" s="9">
        <v>26.83</v>
      </c>
    </row>
    <row r="4112" spans="1:2" x14ac:dyDescent="0.25">
      <c r="A4112" s="8">
        <v>42277</v>
      </c>
      <c r="B4112" s="9">
        <v>24.5</v>
      </c>
    </row>
    <row r="4113" spans="1:2" x14ac:dyDescent="0.25">
      <c r="A4113" s="8">
        <v>42278</v>
      </c>
      <c r="B4113" s="9">
        <v>22.55</v>
      </c>
    </row>
    <row r="4114" spans="1:2" x14ac:dyDescent="0.25">
      <c r="A4114" s="8">
        <v>42279</v>
      </c>
      <c r="B4114" s="9">
        <v>20.94</v>
      </c>
    </row>
    <row r="4115" spans="1:2" x14ac:dyDescent="0.25">
      <c r="A4115" s="8">
        <v>42282</v>
      </c>
      <c r="B4115" s="9">
        <v>19.54</v>
      </c>
    </row>
    <row r="4116" spans="1:2" x14ac:dyDescent="0.25">
      <c r="A4116" s="8">
        <v>42283</v>
      </c>
      <c r="B4116" s="9">
        <v>19.399999999999999</v>
      </c>
    </row>
    <row r="4117" spans="1:2" x14ac:dyDescent="0.25">
      <c r="A4117" s="8">
        <v>42284</v>
      </c>
      <c r="B4117" s="9">
        <v>18.399999999999999</v>
      </c>
    </row>
    <row r="4118" spans="1:2" x14ac:dyDescent="0.25">
      <c r="A4118" s="8">
        <v>42285</v>
      </c>
      <c r="B4118" s="9">
        <v>17.420000000000002</v>
      </c>
    </row>
    <row r="4119" spans="1:2" x14ac:dyDescent="0.25">
      <c r="A4119" s="8">
        <v>42286</v>
      </c>
      <c r="B4119" s="9">
        <v>17.079999999999998</v>
      </c>
    </row>
    <row r="4120" spans="1:2" x14ac:dyDescent="0.25">
      <c r="A4120" s="8">
        <v>42289</v>
      </c>
      <c r="B4120" s="9">
        <v>16.170000000000002</v>
      </c>
    </row>
    <row r="4121" spans="1:2" x14ac:dyDescent="0.25">
      <c r="A4121" s="8">
        <v>42290</v>
      </c>
      <c r="B4121" s="9">
        <v>17.670000000000002</v>
      </c>
    </row>
    <row r="4122" spans="1:2" x14ac:dyDescent="0.25">
      <c r="A4122" s="8">
        <v>42291</v>
      </c>
      <c r="B4122" s="9">
        <v>18.03</v>
      </c>
    </row>
    <row r="4123" spans="1:2" x14ac:dyDescent="0.25">
      <c r="A4123" s="8">
        <v>42292</v>
      </c>
      <c r="B4123" s="9">
        <v>16.05</v>
      </c>
    </row>
    <row r="4124" spans="1:2" x14ac:dyDescent="0.25">
      <c r="A4124" s="8">
        <v>42293</v>
      </c>
      <c r="B4124" s="9">
        <v>15.05</v>
      </c>
    </row>
    <row r="4125" spans="1:2" x14ac:dyDescent="0.25">
      <c r="A4125" s="8">
        <v>42296</v>
      </c>
      <c r="B4125" s="9">
        <v>14.98</v>
      </c>
    </row>
    <row r="4126" spans="1:2" x14ac:dyDescent="0.25">
      <c r="A4126" s="8">
        <v>42297</v>
      </c>
      <c r="B4126" s="9">
        <v>15.75</v>
      </c>
    </row>
    <row r="4127" spans="1:2" x14ac:dyDescent="0.25">
      <c r="A4127" s="8">
        <v>42298</v>
      </c>
      <c r="B4127" s="9">
        <v>16.7</v>
      </c>
    </row>
    <row r="4128" spans="1:2" x14ac:dyDescent="0.25">
      <c r="A4128" s="8">
        <v>42299</v>
      </c>
      <c r="B4128" s="9">
        <v>14.45</v>
      </c>
    </row>
    <row r="4129" spans="1:2" x14ac:dyDescent="0.25">
      <c r="A4129" s="8">
        <v>42300</v>
      </c>
      <c r="B4129" s="9">
        <v>14.46</v>
      </c>
    </row>
    <row r="4130" spans="1:2" x14ac:dyDescent="0.25">
      <c r="A4130" s="8">
        <v>42303</v>
      </c>
      <c r="B4130" s="9">
        <v>15.29</v>
      </c>
    </row>
    <row r="4131" spans="1:2" x14ac:dyDescent="0.25">
      <c r="A4131" s="8">
        <v>42304</v>
      </c>
      <c r="B4131" s="9">
        <v>15.43</v>
      </c>
    </row>
    <row r="4132" spans="1:2" x14ac:dyDescent="0.25">
      <c r="A4132" s="8">
        <v>42305</v>
      </c>
      <c r="B4132" s="9">
        <v>14.33</v>
      </c>
    </row>
    <row r="4133" spans="1:2" x14ac:dyDescent="0.25">
      <c r="A4133" s="8">
        <v>42306</v>
      </c>
      <c r="B4133" s="9">
        <v>14.61</v>
      </c>
    </row>
    <row r="4134" spans="1:2" x14ac:dyDescent="0.25">
      <c r="A4134" s="8">
        <v>42307</v>
      </c>
      <c r="B4134" s="9">
        <v>15.07</v>
      </c>
    </row>
    <row r="4135" spans="1:2" x14ac:dyDescent="0.25">
      <c r="A4135" s="8">
        <v>42310</v>
      </c>
      <c r="B4135" s="9">
        <v>14.15</v>
      </c>
    </row>
    <row r="4136" spans="1:2" x14ac:dyDescent="0.25">
      <c r="A4136" s="8">
        <v>42311</v>
      </c>
      <c r="B4136" s="9">
        <v>14.54</v>
      </c>
    </row>
    <row r="4137" spans="1:2" x14ac:dyDescent="0.25">
      <c r="A4137" s="8">
        <v>42312</v>
      </c>
      <c r="B4137" s="9">
        <v>15.51</v>
      </c>
    </row>
    <row r="4138" spans="1:2" x14ac:dyDescent="0.25">
      <c r="A4138" s="8">
        <v>42313</v>
      </c>
      <c r="B4138" s="9">
        <v>15.05</v>
      </c>
    </row>
    <row r="4139" spans="1:2" x14ac:dyDescent="0.25">
      <c r="A4139" s="8">
        <v>42314</v>
      </c>
      <c r="B4139" s="9">
        <v>14.33</v>
      </c>
    </row>
    <row r="4140" spans="1:2" x14ac:dyDescent="0.25">
      <c r="A4140" s="8">
        <v>42317</v>
      </c>
      <c r="B4140" s="9">
        <v>16.52</v>
      </c>
    </row>
    <row r="4141" spans="1:2" x14ac:dyDescent="0.25">
      <c r="A4141" s="8">
        <v>42318</v>
      </c>
      <c r="B4141" s="9">
        <v>15.29</v>
      </c>
    </row>
    <row r="4142" spans="1:2" x14ac:dyDescent="0.25">
      <c r="A4142" s="8">
        <v>42319</v>
      </c>
      <c r="B4142" s="9">
        <v>16.059999999999999</v>
      </c>
    </row>
    <row r="4143" spans="1:2" x14ac:dyDescent="0.25">
      <c r="A4143" s="8">
        <v>42320</v>
      </c>
      <c r="B4143" s="9">
        <v>18.37</v>
      </c>
    </row>
    <row r="4144" spans="1:2" x14ac:dyDescent="0.25">
      <c r="A4144" s="8">
        <v>42321</v>
      </c>
      <c r="B4144" s="9">
        <v>20.079999999999998</v>
      </c>
    </row>
    <row r="4145" spans="1:2" x14ac:dyDescent="0.25">
      <c r="A4145" s="8">
        <v>42324</v>
      </c>
      <c r="B4145" s="9">
        <v>18.16</v>
      </c>
    </row>
    <row r="4146" spans="1:2" x14ac:dyDescent="0.25">
      <c r="A4146" s="8">
        <v>42325</v>
      </c>
      <c r="B4146" s="9">
        <v>18.84</v>
      </c>
    </row>
    <row r="4147" spans="1:2" x14ac:dyDescent="0.25">
      <c r="A4147" s="8">
        <v>42326</v>
      </c>
      <c r="B4147" s="9">
        <v>16.850000000000001</v>
      </c>
    </row>
    <row r="4148" spans="1:2" x14ac:dyDescent="0.25">
      <c r="A4148" s="8">
        <v>42327</v>
      </c>
      <c r="B4148" s="9">
        <v>16.989999999999998</v>
      </c>
    </row>
    <row r="4149" spans="1:2" x14ac:dyDescent="0.25">
      <c r="A4149" s="8">
        <v>42328</v>
      </c>
      <c r="B4149" s="9">
        <v>15.47</v>
      </c>
    </row>
    <row r="4150" spans="1:2" x14ac:dyDescent="0.25">
      <c r="A4150" s="8">
        <v>42331</v>
      </c>
      <c r="B4150" s="9">
        <v>15.62</v>
      </c>
    </row>
    <row r="4151" spans="1:2" x14ac:dyDescent="0.25">
      <c r="A4151" s="8">
        <v>42332</v>
      </c>
      <c r="B4151" s="9">
        <v>15.93</v>
      </c>
    </row>
    <row r="4152" spans="1:2" x14ac:dyDescent="0.25">
      <c r="A4152" s="8">
        <v>42333</v>
      </c>
      <c r="B4152" s="9">
        <v>15.19</v>
      </c>
    </row>
    <row r="4153" spans="1:2" x14ac:dyDescent="0.25">
      <c r="A4153" s="8">
        <v>42334</v>
      </c>
    </row>
    <row r="4154" spans="1:2" x14ac:dyDescent="0.25">
      <c r="A4154" s="8">
        <v>42335</v>
      </c>
      <c r="B4154" s="9">
        <v>15.12</v>
      </c>
    </row>
    <row r="4155" spans="1:2" x14ac:dyDescent="0.25">
      <c r="A4155" s="8">
        <v>42338</v>
      </c>
      <c r="B4155" s="9">
        <v>16.13</v>
      </c>
    </row>
    <row r="4156" spans="1:2" x14ac:dyDescent="0.25">
      <c r="A4156" s="8">
        <v>42339</v>
      </c>
      <c r="B4156" s="9">
        <v>14.67</v>
      </c>
    </row>
    <row r="4157" spans="1:2" x14ac:dyDescent="0.25">
      <c r="A4157" s="8">
        <v>42340</v>
      </c>
      <c r="B4157" s="9">
        <v>15.91</v>
      </c>
    </row>
    <row r="4158" spans="1:2" x14ac:dyDescent="0.25">
      <c r="A4158" s="8">
        <v>42341</v>
      </c>
      <c r="B4158" s="9">
        <v>18.11</v>
      </c>
    </row>
    <row r="4159" spans="1:2" x14ac:dyDescent="0.25">
      <c r="A4159" s="8">
        <v>42342</v>
      </c>
      <c r="B4159" s="9">
        <v>14.81</v>
      </c>
    </row>
    <row r="4160" spans="1:2" x14ac:dyDescent="0.25">
      <c r="A4160" s="8">
        <v>42345</v>
      </c>
      <c r="B4160" s="9">
        <v>15.84</v>
      </c>
    </row>
    <row r="4161" spans="1:2" x14ac:dyDescent="0.25">
      <c r="A4161" s="8">
        <v>42346</v>
      </c>
      <c r="B4161" s="9">
        <v>17.600000000000001</v>
      </c>
    </row>
    <row r="4162" spans="1:2" x14ac:dyDescent="0.25">
      <c r="A4162" s="8">
        <v>42347</v>
      </c>
      <c r="B4162" s="9">
        <v>19.61</v>
      </c>
    </row>
    <row r="4163" spans="1:2" x14ac:dyDescent="0.25">
      <c r="A4163" s="8">
        <v>42348</v>
      </c>
      <c r="B4163" s="9">
        <v>19.34</v>
      </c>
    </row>
    <row r="4164" spans="1:2" x14ac:dyDescent="0.25">
      <c r="A4164" s="8">
        <v>42349</v>
      </c>
      <c r="B4164" s="9">
        <v>24.39</v>
      </c>
    </row>
    <row r="4165" spans="1:2" x14ac:dyDescent="0.25">
      <c r="A4165" s="8">
        <v>42352</v>
      </c>
      <c r="B4165" s="9">
        <v>22.73</v>
      </c>
    </row>
    <row r="4166" spans="1:2" x14ac:dyDescent="0.25">
      <c r="A4166" s="8">
        <v>42353</v>
      </c>
      <c r="B4166" s="9">
        <v>20.95</v>
      </c>
    </row>
    <row r="4167" spans="1:2" x14ac:dyDescent="0.25">
      <c r="A4167" s="8">
        <v>42354</v>
      </c>
      <c r="B4167" s="9">
        <v>17.86</v>
      </c>
    </row>
    <row r="4168" spans="1:2" x14ac:dyDescent="0.25">
      <c r="A4168" s="8">
        <v>42355</v>
      </c>
      <c r="B4168" s="9">
        <v>18.940000000000001</v>
      </c>
    </row>
    <row r="4169" spans="1:2" x14ac:dyDescent="0.25">
      <c r="A4169" s="8">
        <v>42356</v>
      </c>
      <c r="B4169" s="9">
        <v>20.7</v>
      </c>
    </row>
    <row r="4170" spans="1:2" x14ac:dyDescent="0.25">
      <c r="A4170" s="8">
        <v>42359</v>
      </c>
      <c r="B4170" s="9">
        <v>18.7</v>
      </c>
    </row>
    <row r="4171" spans="1:2" x14ac:dyDescent="0.25">
      <c r="A4171" s="8">
        <v>42360</v>
      </c>
      <c r="B4171" s="9">
        <v>16.600000000000001</v>
      </c>
    </row>
    <row r="4172" spans="1:2" x14ac:dyDescent="0.25">
      <c r="A4172" s="8">
        <v>42361</v>
      </c>
      <c r="B4172" s="9">
        <v>15.57</v>
      </c>
    </row>
    <row r="4173" spans="1:2" x14ac:dyDescent="0.25">
      <c r="A4173" s="8">
        <v>42362</v>
      </c>
      <c r="B4173" s="9">
        <v>15.74</v>
      </c>
    </row>
    <row r="4174" spans="1:2" x14ac:dyDescent="0.25">
      <c r="A4174" s="8">
        <v>42363</v>
      </c>
    </row>
    <row r="4175" spans="1:2" x14ac:dyDescent="0.25">
      <c r="A4175" s="8">
        <v>42366</v>
      </c>
      <c r="B4175" s="9">
        <v>16.91</v>
      </c>
    </row>
    <row r="4176" spans="1:2" x14ac:dyDescent="0.25">
      <c r="A4176" s="8">
        <v>42367</v>
      </c>
      <c r="B4176" s="9">
        <v>16.079999999999998</v>
      </c>
    </row>
    <row r="4177" spans="1:2" x14ac:dyDescent="0.25">
      <c r="A4177" s="8">
        <v>42368</v>
      </c>
      <c r="B4177" s="9">
        <v>17.29</v>
      </c>
    </row>
    <row r="4178" spans="1:2" x14ac:dyDescent="0.25">
      <c r="A4178" s="8">
        <v>42369</v>
      </c>
      <c r="B4178" s="9">
        <v>18.21</v>
      </c>
    </row>
    <row r="4179" spans="1:2" x14ac:dyDescent="0.25">
      <c r="A4179" s="8">
        <v>42370</v>
      </c>
    </row>
    <row r="4180" spans="1:2" x14ac:dyDescent="0.25">
      <c r="A4180" s="8">
        <v>42373</v>
      </c>
      <c r="B4180" s="9">
        <v>20.7</v>
      </c>
    </row>
    <row r="4181" spans="1:2" x14ac:dyDescent="0.25">
      <c r="A4181" s="8">
        <v>42374</v>
      </c>
      <c r="B4181" s="9">
        <v>19.34</v>
      </c>
    </row>
    <row r="4182" spans="1:2" x14ac:dyDescent="0.25">
      <c r="A4182" s="8">
        <v>42375</v>
      </c>
      <c r="B4182" s="9">
        <v>20.59</v>
      </c>
    </row>
    <row r="4183" spans="1:2" x14ac:dyDescent="0.25">
      <c r="A4183" s="8">
        <v>42376</v>
      </c>
      <c r="B4183" s="9">
        <v>24.99</v>
      </c>
    </row>
    <row r="4184" spans="1:2" x14ac:dyDescent="0.25">
      <c r="A4184" s="8">
        <v>42377</v>
      </c>
      <c r="B4184" s="9">
        <v>27.01</v>
      </c>
    </row>
    <row r="4185" spans="1:2" x14ac:dyDescent="0.25">
      <c r="A4185" s="8">
        <v>42380</v>
      </c>
      <c r="B4185" s="9">
        <v>24.3</v>
      </c>
    </row>
    <row r="4186" spans="1:2" x14ac:dyDescent="0.25">
      <c r="A4186" s="8">
        <v>42381</v>
      </c>
      <c r="B4186" s="9">
        <v>22.47</v>
      </c>
    </row>
    <row r="4187" spans="1:2" x14ac:dyDescent="0.25">
      <c r="A4187" s="8">
        <v>42382</v>
      </c>
      <c r="B4187" s="9">
        <v>25.22</v>
      </c>
    </row>
    <row r="4188" spans="1:2" x14ac:dyDescent="0.25">
      <c r="A4188" s="8">
        <v>42383</v>
      </c>
      <c r="B4188" s="9">
        <v>23.95</v>
      </c>
    </row>
    <row r="4189" spans="1:2" x14ac:dyDescent="0.25">
      <c r="A4189" s="8">
        <v>42384</v>
      </c>
      <c r="B4189" s="9">
        <v>27.02</v>
      </c>
    </row>
    <row r="4190" spans="1:2" x14ac:dyDescent="0.25">
      <c r="A4190" s="8">
        <v>42387</v>
      </c>
    </row>
    <row r="4191" spans="1:2" x14ac:dyDescent="0.25">
      <c r="A4191" s="8">
        <v>42388</v>
      </c>
      <c r="B4191" s="9">
        <v>26.05</v>
      </c>
    </row>
    <row r="4192" spans="1:2" x14ac:dyDescent="0.25">
      <c r="A4192" s="8">
        <v>42389</v>
      </c>
      <c r="B4192" s="9">
        <v>27.59</v>
      </c>
    </row>
    <row r="4193" spans="1:2" x14ac:dyDescent="0.25">
      <c r="A4193" s="8">
        <v>42390</v>
      </c>
      <c r="B4193" s="9">
        <v>26.69</v>
      </c>
    </row>
    <row r="4194" spans="1:2" x14ac:dyDescent="0.25">
      <c r="A4194" s="8">
        <v>42391</v>
      </c>
      <c r="B4194" s="9">
        <v>22.34</v>
      </c>
    </row>
    <row r="4195" spans="1:2" x14ac:dyDescent="0.25">
      <c r="A4195" s="8">
        <v>42394</v>
      </c>
      <c r="B4195" s="9">
        <v>24.15</v>
      </c>
    </row>
    <row r="4196" spans="1:2" x14ac:dyDescent="0.25">
      <c r="A4196" s="8">
        <v>42395</v>
      </c>
      <c r="B4196" s="9">
        <v>22.5</v>
      </c>
    </row>
    <row r="4197" spans="1:2" x14ac:dyDescent="0.25">
      <c r="A4197" s="8">
        <v>42396</v>
      </c>
      <c r="B4197" s="9">
        <v>23.11</v>
      </c>
    </row>
    <row r="4198" spans="1:2" x14ac:dyDescent="0.25">
      <c r="A4198" s="8">
        <v>42397</v>
      </c>
      <c r="B4198" s="9">
        <v>22.42</v>
      </c>
    </row>
    <row r="4199" spans="1:2" x14ac:dyDescent="0.25">
      <c r="A4199" s="8">
        <v>42398</v>
      </c>
      <c r="B4199" s="9">
        <v>20.2</v>
      </c>
    </row>
    <row r="4200" spans="1:2" x14ac:dyDescent="0.25">
      <c r="A4200" s="8">
        <v>42401</v>
      </c>
      <c r="B4200" s="9">
        <v>19.98</v>
      </c>
    </row>
    <row r="4201" spans="1:2" x14ac:dyDescent="0.25">
      <c r="A4201" s="8">
        <v>42402</v>
      </c>
      <c r="B4201" s="9">
        <v>21.98</v>
      </c>
    </row>
    <row r="4202" spans="1:2" x14ac:dyDescent="0.25">
      <c r="A4202" s="8">
        <v>42403</v>
      </c>
      <c r="B4202" s="9">
        <v>21.65</v>
      </c>
    </row>
    <row r="4203" spans="1:2" x14ac:dyDescent="0.25">
      <c r="A4203" s="8">
        <v>42404</v>
      </c>
      <c r="B4203" s="9">
        <v>21.84</v>
      </c>
    </row>
    <row r="4204" spans="1:2" x14ac:dyDescent="0.25">
      <c r="A4204" s="8">
        <v>42405</v>
      </c>
      <c r="B4204" s="9">
        <v>23.38</v>
      </c>
    </row>
    <row r="4205" spans="1:2" x14ac:dyDescent="0.25">
      <c r="A4205" s="8">
        <v>42408</v>
      </c>
      <c r="B4205" s="9">
        <v>26</v>
      </c>
    </row>
    <row r="4206" spans="1:2" x14ac:dyDescent="0.25">
      <c r="A4206" s="8">
        <v>42409</v>
      </c>
      <c r="B4206" s="9">
        <v>26.54</v>
      </c>
    </row>
    <row r="4207" spans="1:2" x14ac:dyDescent="0.25">
      <c r="A4207" s="8">
        <v>42410</v>
      </c>
      <c r="B4207" s="9">
        <v>26.29</v>
      </c>
    </row>
    <row r="4208" spans="1:2" x14ac:dyDescent="0.25">
      <c r="A4208" s="8">
        <v>42411</v>
      </c>
      <c r="B4208" s="9">
        <v>28.14</v>
      </c>
    </row>
    <row r="4209" spans="1:2" x14ac:dyDescent="0.25">
      <c r="A4209" s="8">
        <v>42412</v>
      </c>
      <c r="B4209" s="9">
        <v>25.4</v>
      </c>
    </row>
    <row r="4210" spans="1:2" x14ac:dyDescent="0.25">
      <c r="A4210" s="8">
        <v>42415</v>
      </c>
    </row>
    <row r="4211" spans="1:2" x14ac:dyDescent="0.25">
      <c r="A4211" s="8">
        <v>42416</v>
      </c>
      <c r="B4211" s="9">
        <v>24.11</v>
      </c>
    </row>
    <row r="4212" spans="1:2" x14ac:dyDescent="0.25">
      <c r="A4212" s="8">
        <v>42417</v>
      </c>
      <c r="B4212" s="9">
        <v>22.31</v>
      </c>
    </row>
    <row r="4213" spans="1:2" x14ac:dyDescent="0.25">
      <c r="A4213" s="8">
        <v>42418</v>
      </c>
      <c r="B4213" s="9">
        <v>21.64</v>
      </c>
    </row>
    <row r="4214" spans="1:2" x14ac:dyDescent="0.25">
      <c r="A4214" s="8">
        <v>42419</v>
      </c>
      <c r="B4214" s="9">
        <v>20.53</v>
      </c>
    </row>
    <row r="4215" spans="1:2" x14ac:dyDescent="0.25">
      <c r="A4215" s="8">
        <v>42422</v>
      </c>
      <c r="B4215" s="9">
        <v>19.38</v>
      </c>
    </row>
    <row r="4216" spans="1:2" x14ac:dyDescent="0.25">
      <c r="A4216" s="8">
        <v>42423</v>
      </c>
      <c r="B4216" s="9">
        <v>20.98</v>
      </c>
    </row>
    <row r="4217" spans="1:2" x14ac:dyDescent="0.25">
      <c r="A4217" s="8">
        <v>42424</v>
      </c>
      <c r="B4217" s="9">
        <v>20.72</v>
      </c>
    </row>
    <row r="4218" spans="1:2" x14ac:dyDescent="0.25">
      <c r="A4218" s="8">
        <v>42425</v>
      </c>
      <c r="B4218" s="9">
        <v>19.11</v>
      </c>
    </row>
    <row r="4219" spans="1:2" x14ac:dyDescent="0.25">
      <c r="A4219" s="8">
        <v>42426</v>
      </c>
      <c r="B4219" s="9">
        <v>19.809999999999999</v>
      </c>
    </row>
    <row r="4220" spans="1:2" x14ac:dyDescent="0.25">
      <c r="A4220" s="8">
        <v>42429</v>
      </c>
      <c r="B4220" s="9">
        <v>20.55</v>
      </c>
    </row>
    <row r="4221" spans="1:2" x14ac:dyDescent="0.25">
      <c r="A4221" s="8">
        <v>42430</v>
      </c>
      <c r="B4221" s="9">
        <v>17.7</v>
      </c>
    </row>
    <row r="4222" spans="1:2" x14ac:dyDescent="0.25">
      <c r="A4222" s="8">
        <v>42431</v>
      </c>
      <c r="B4222" s="9">
        <v>17.09</v>
      </c>
    </row>
    <row r="4223" spans="1:2" x14ac:dyDescent="0.25">
      <c r="A4223" s="8">
        <v>42432</v>
      </c>
      <c r="B4223" s="9">
        <v>16.7</v>
      </c>
    </row>
    <row r="4224" spans="1:2" x14ac:dyDescent="0.25">
      <c r="A4224" s="8">
        <v>42433</v>
      </c>
      <c r="B4224" s="9">
        <v>16.86</v>
      </c>
    </row>
    <row r="4225" spans="1:2" x14ac:dyDescent="0.25">
      <c r="A4225" s="8">
        <v>42436</v>
      </c>
      <c r="B4225" s="9">
        <v>17.350000000000001</v>
      </c>
    </row>
    <row r="4226" spans="1:2" x14ac:dyDescent="0.25">
      <c r="A4226" s="8">
        <v>42437</v>
      </c>
      <c r="B4226" s="9">
        <v>18.670000000000002</v>
      </c>
    </row>
    <row r="4227" spans="1:2" x14ac:dyDescent="0.25">
      <c r="A4227" s="8">
        <v>42438</v>
      </c>
      <c r="B4227" s="9">
        <v>18.34</v>
      </c>
    </row>
    <row r="4228" spans="1:2" x14ac:dyDescent="0.25">
      <c r="A4228" s="8">
        <v>42439</v>
      </c>
      <c r="B4228" s="9">
        <v>18.05</v>
      </c>
    </row>
    <row r="4229" spans="1:2" x14ac:dyDescent="0.25">
      <c r="A4229" s="8">
        <v>42440</v>
      </c>
      <c r="B4229" s="9">
        <v>16.5</v>
      </c>
    </row>
    <row r="4230" spans="1:2" x14ac:dyDescent="0.25">
      <c r="A4230" s="8">
        <v>42443</v>
      </c>
      <c r="B4230" s="9">
        <v>16.920000000000002</v>
      </c>
    </row>
    <row r="4231" spans="1:2" x14ac:dyDescent="0.25">
      <c r="A4231" s="8">
        <v>42444</v>
      </c>
      <c r="B4231" s="9">
        <v>16.84</v>
      </c>
    </row>
    <row r="4232" spans="1:2" x14ac:dyDescent="0.25">
      <c r="A4232" s="8">
        <v>42445</v>
      </c>
      <c r="B4232" s="9">
        <v>14.99</v>
      </c>
    </row>
    <row r="4233" spans="1:2" x14ac:dyDescent="0.25">
      <c r="A4233" s="8">
        <v>42446</v>
      </c>
      <c r="B4233" s="9">
        <v>14.44</v>
      </c>
    </row>
    <row r="4234" spans="1:2" x14ac:dyDescent="0.25">
      <c r="A4234" s="8">
        <v>42447</v>
      </c>
      <c r="B4234" s="9">
        <v>14.02</v>
      </c>
    </row>
    <row r="4235" spans="1:2" x14ac:dyDescent="0.25">
      <c r="A4235" s="8">
        <v>42450</v>
      </c>
      <c r="B4235" s="9">
        <v>13.79</v>
      </c>
    </row>
    <row r="4236" spans="1:2" x14ac:dyDescent="0.25">
      <c r="A4236" s="8">
        <v>42451</v>
      </c>
      <c r="B4236" s="9">
        <v>14.17</v>
      </c>
    </row>
    <row r="4237" spans="1:2" x14ac:dyDescent="0.25">
      <c r="A4237" s="8">
        <v>42452</v>
      </c>
      <c r="B4237" s="9">
        <v>14.94</v>
      </c>
    </row>
    <row r="4238" spans="1:2" x14ac:dyDescent="0.25">
      <c r="A4238" s="8">
        <v>42453</v>
      </c>
      <c r="B4238" s="9">
        <v>14.74</v>
      </c>
    </row>
    <row r="4239" spans="1:2" x14ac:dyDescent="0.25">
      <c r="A4239" s="8">
        <v>42454</v>
      </c>
    </row>
    <row r="4240" spans="1:2" x14ac:dyDescent="0.25">
      <c r="A4240" s="8">
        <v>42457</v>
      </c>
      <c r="B4240" s="9">
        <v>15.24</v>
      </c>
    </row>
    <row r="4241" spans="1:2" x14ac:dyDescent="0.25">
      <c r="A4241" s="8">
        <v>42458</v>
      </c>
      <c r="B4241" s="9">
        <v>13.82</v>
      </c>
    </row>
    <row r="4242" spans="1:2" x14ac:dyDescent="0.25">
      <c r="A4242" s="8">
        <v>42459</v>
      </c>
      <c r="B4242" s="9">
        <v>13.56</v>
      </c>
    </row>
    <row r="4243" spans="1:2" x14ac:dyDescent="0.25">
      <c r="A4243" s="8">
        <v>42460</v>
      </c>
      <c r="B4243" s="9">
        <v>13.95</v>
      </c>
    </row>
    <row r="4244" spans="1:2" x14ac:dyDescent="0.25">
      <c r="A4244" s="8">
        <v>42461</v>
      </c>
      <c r="B4244" s="9">
        <v>13.1</v>
      </c>
    </row>
    <row r="4245" spans="1:2" x14ac:dyDescent="0.25">
      <c r="A4245" s="8">
        <v>42464</v>
      </c>
      <c r="B4245" s="9">
        <v>14.12</v>
      </c>
    </row>
    <row r="4246" spans="1:2" x14ac:dyDescent="0.25">
      <c r="A4246" s="8">
        <v>42465</v>
      </c>
      <c r="B4246" s="9">
        <v>15.42</v>
      </c>
    </row>
    <row r="4247" spans="1:2" x14ac:dyDescent="0.25">
      <c r="A4247" s="8">
        <v>42466</v>
      </c>
      <c r="B4247" s="9">
        <v>14.09</v>
      </c>
    </row>
    <row r="4248" spans="1:2" x14ac:dyDescent="0.25">
      <c r="A4248" s="8">
        <v>42467</v>
      </c>
      <c r="B4248" s="9">
        <v>16.16</v>
      </c>
    </row>
    <row r="4249" spans="1:2" x14ac:dyDescent="0.25">
      <c r="A4249" s="8">
        <v>42468</v>
      </c>
      <c r="B4249" s="9">
        <v>15.36</v>
      </c>
    </row>
    <row r="4250" spans="1:2" x14ac:dyDescent="0.25">
      <c r="A4250" s="8">
        <v>42471</v>
      </c>
      <c r="B4250" s="9">
        <v>16.260000000000002</v>
      </c>
    </row>
    <row r="4251" spans="1:2" x14ac:dyDescent="0.25">
      <c r="A4251" s="8">
        <v>42472</v>
      </c>
      <c r="B4251" s="9">
        <v>14.85</v>
      </c>
    </row>
    <row r="4252" spans="1:2" x14ac:dyDescent="0.25">
      <c r="A4252" s="8">
        <v>42473</v>
      </c>
      <c r="B4252" s="9">
        <v>13.84</v>
      </c>
    </row>
    <row r="4253" spans="1:2" x14ac:dyDescent="0.25">
      <c r="A4253" s="8">
        <v>42474</v>
      </c>
      <c r="B4253" s="9">
        <v>13.72</v>
      </c>
    </row>
    <row r="4254" spans="1:2" x14ac:dyDescent="0.25">
      <c r="A4254" s="8">
        <v>42475</v>
      </c>
      <c r="B4254" s="9">
        <v>13.62</v>
      </c>
    </row>
    <row r="4255" spans="1:2" x14ac:dyDescent="0.25">
      <c r="A4255" s="8">
        <v>42478</v>
      </c>
      <c r="B4255" s="9">
        <v>13.35</v>
      </c>
    </row>
    <row r="4256" spans="1:2" x14ac:dyDescent="0.25">
      <c r="A4256" s="8">
        <v>42479</v>
      </c>
      <c r="B4256" s="9">
        <v>13.24</v>
      </c>
    </row>
    <row r="4257" spans="1:2" x14ac:dyDescent="0.25">
      <c r="A4257" s="8">
        <v>42480</v>
      </c>
      <c r="B4257" s="9">
        <v>13.28</v>
      </c>
    </row>
    <row r="4258" spans="1:2" x14ac:dyDescent="0.25">
      <c r="A4258" s="8">
        <v>42481</v>
      </c>
      <c r="B4258" s="9">
        <v>13.95</v>
      </c>
    </row>
    <row r="4259" spans="1:2" x14ac:dyDescent="0.25">
      <c r="A4259" s="8">
        <v>42482</v>
      </c>
      <c r="B4259" s="9">
        <v>13.22</v>
      </c>
    </row>
    <row r="4260" spans="1:2" x14ac:dyDescent="0.25">
      <c r="A4260" s="8">
        <v>42485</v>
      </c>
      <c r="B4260" s="9">
        <v>14.08</v>
      </c>
    </row>
    <row r="4261" spans="1:2" x14ac:dyDescent="0.25">
      <c r="A4261" s="8">
        <v>42486</v>
      </c>
      <c r="B4261" s="9">
        <v>13.96</v>
      </c>
    </row>
    <row r="4262" spans="1:2" x14ac:dyDescent="0.25">
      <c r="A4262" s="8">
        <v>42487</v>
      </c>
      <c r="B4262" s="9">
        <v>13.77</v>
      </c>
    </row>
    <row r="4263" spans="1:2" x14ac:dyDescent="0.25">
      <c r="A4263" s="8">
        <v>42488</v>
      </c>
      <c r="B4263" s="9">
        <v>15.22</v>
      </c>
    </row>
    <row r="4264" spans="1:2" x14ac:dyDescent="0.25">
      <c r="A4264" s="8">
        <v>42489</v>
      </c>
      <c r="B4264" s="9">
        <v>15.7</v>
      </c>
    </row>
    <row r="4265" spans="1:2" x14ac:dyDescent="0.25">
      <c r="A4265" s="8">
        <v>42492</v>
      </c>
      <c r="B4265" s="9">
        <v>14.68</v>
      </c>
    </row>
    <row r="4266" spans="1:2" x14ac:dyDescent="0.25">
      <c r="A4266" s="8">
        <v>42493</v>
      </c>
      <c r="B4266" s="9">
        <v>15.6</v>
      </c>
    </row>
    <row r="4267" spans="1:2" x14ac:dyDescent="0.25">
      <c r="A4267" s="8">
        <v>42494</v>
      </c>
      <c r="B4267" s="9">
        <v>16.05</v>
      </c>
    </row>
    <row r="4268" spans="1:2" x14ac:dyDescent="0.25">
      <c r="A4268" s="8">
        <v>42495</v>
      </c>
      <c r="B4268" s="9">
        <v>15.91</v>
      </c>
    </row>
    <row r="4269" spans="1:2" x14ac:dyDescent="0.25">
      <c r="A4269" s="8">
        <v>42496</v>
      </c>
      <c r="B4269" s="9">
        <v>14.72</v>
      </c>
    </row>
    <row r="4270" spans="1:2" x14ac:dyDescent="0.25">
      <c r="A4270" s="8">
        <v>42499</v>
      </c>
      <c r="B4270" s="9">
        <v>14.57</v>
      </c>
    </row>
    <row r="4271" spans="1:2" x14ac:dyDescent="0.25">
      <c r="A4271" s="8">
        <v>42500</v>
      </c>
      <c r="B4271" s="9">
        <v>13.63</v>
      </c>
    </row>
    <row r="4272" spans="1:2" x14ac:dyDescent="0.25">
      <c r="A4272" s="8">
        <v>42501</v>
      </c>
      <c r="B4272" s="9">
        <v>14.69</v>
      </c>
    </row>
    <row r="4273" spans="1:2" x14ac:dyDescent="0.25">
      <c r="A4273" s="8">
        <v>42502</v>
      </c>
      <c r="B4273" s="9">
        <v>14.41</v>
      </c>
    </row>
    <row r="4274" spans="1:2" x14ac:dyDescent="0.25">
      <c r="A4274" s="8">
        <v>42503</v>
      </c>
      <c r="B4274" s="9">
        <v>15.04</v>
      </c>
    </row>
    <row r="4275" spans="1:2" x14ac:dyDescent="0.25">
      <c r="A4275" s="8">
        <v>42506</v>
      </c>
      <c r="B4275" s="9">
        <v>14.68</v>
      </c>
    </row>
    <row r="4276" spans="1:2" x14ac:dyDescent="0.25">
      <c r="A4276" s="8">
        <v>42507</v>
      </c>
      <c r="B4276" s="9">
        <v>15.57</v>
      </c>
    </row>
    <row r="4277" spans="1:2" x14ac:dyDescent="0.25">
      <c r="A4277" s="8">
        <v>42508</v>
      </c>
      <c r="B4277" s="9">
        <v>15.95</v>
      </c>
    </row>
    <row r="4278" spans="1:2" x14ac:dyDescent="0.25">
      <c r="A4278" s="8">
        <v>42509</v>
      </c>
      <c r="B4278" s="9">
        <v>16.329999999999998</v>
      </c>
    </row>
    <row r="4279" spans="1:2" x14ac:dyDescent="0.25">
      <c r="A4279" s="8">
        <v>42510</v>
      </c>
      <c r="B4279" s="9">
        <v>15.2</v>
      </c>
    </row>
    <row r="4280" spans="1:2" x14ac:dyDescent="0.25">
      <c r="A4280" s="8">
        <v>42513</v>
      </c>
      <c r="B4280" s="9">
        <v>15.82</v>
      </c>
    </row>
    <row r="4281" spans="1:2" x14ac:dyDescent="0.25">
      <c r="A4281" s="8">
        <v>42514</v>
      </c>
      <c r="B4281" s="9">
        <v>14.42</v>
      </c>
    </row>
    <row r="4282" spans="1:2" x14ac:dyDescent="0.25">
      <c r="A4282" s="8">
        <v>42515</v>
      </c>
      <c r="B4282" s="9">
        <v>13.9</v>
      </c>
    </row>
    <row r="4283" spans="1:2" x14ac:dyDescent="0.25">
      <c r="A4283" s="8">
        <v>42516</v>
      </c>
      <c r="B4283" s="9">
        <v>13.43</v>
      </c>
    </row>
    <row r="4284" spans="1:2" x14ac:dyDescent="0.25">
      <c r="A4284" s="8">
        <v>42517</v>
      </c>
      <c r="B4284" s="9">
        <v>13.12</v>
      </c>
    </row>
    <row r="4285" spans="1:2" x14ac:dyDescent="0.25">
      <c r="A4285" s="8">
        <v>42520</v>
      </c>
    </row>
    <row r="4286" spans="1:2" x14ac:dyDescent="0.25">
      <c r="A4286" s="8">
        <v>42521</v>
      </c>
      <c r="B4286" s="9">
        <v>14.19</v>
      </c>
    </row>
    <row r="4287" spans="1:2" x14ac:dyDescent="0.25">
      <c r="A4287" s="8">
        <v>42522</v>
      </c>
      <c r="B4287" s="9">
        <v>14.2</v>
      </c>
    </row>
    <row r="4288" spans="1:2" x14ac:dyDescent="0.25">
      <c r="A4288" s="8">
        <v>42523</v>
      </c>
      <c r="B4288" s="9">
        <v>13.63</v>
      </c>
    </row>
    <row r="4289" spans="1:2" x14ac:dyDescent="0.25">
      <c r="A4289" s="8">
        <v>42524</v>
      </c>
      <c r="B4289" s="9">
        <v>13.47</v>
      </c>
    </row>
    <row r="4290" spans="1:2" x14ac:dyDescent="0.25">
      <c r="A4290" s="8">
        <v>42527</v>
      </c>
      <c r="B4290" s="9">
        <v>13.65</v>
      </c>
    </row>
    <row r="4291" spans="1:2" x14ac:dyDescent="0.25">
      <c r="A4291" s="8">
        <v>42528</v>
      </c>
      <c r="B4291" s="9">
        <v>14.05</v>
      </c>
    </row>
    <row r="4292" spans="1:2" x14ac:dyDescent="0.25">
      <c r="A4292" s="8">
        <v>42529</v>
      </c>
      <c r="B4292" s="9">
        <v>14.08</v>
      </c>
    </row>
    <row r="4293" spans="1:2" x14ac:dyDescent="0.25">
      <c r="A4293" s="8">
        <v>42530</v>
      </c>
      <c r="B4293" s="9">
        <v>14.64</v>
      </c>
    </row>
    <row r="4294" spans="1:2" x14ac:dyDescent="0.25">
      <c r="A4294" s="8">
        <v>42531</v>
      </c>
      <c r="B4294" s="9">
        <v>17.03</v>
      </c>
    </row>
    <row r="4295" spans="1:2" x14ac:dyDescent="0.25">
      <c r="A4295" s="8">
        <v>42534</v>
      </c>
      <c r="B4295" s="9">
        <v>20.97</v>
      </c>
    </row>
    <row r="4296" spans="1:2" x14ac:dyDescent="0.25">
      <c r="A4296" s="8">
        <v>42535</v>
      </c>
      <c r="B4296" s="9">
        <v>20.5</v>
      </c>
    </row>
    <row r="4297" spans="1:2" x14ac:dyDescent="0.25">
      <c r="A4297" s="8">
        <v>42536</v>
      </c>
      <c r="B4297" s="9">
        <v>20.14</v>
      </c>
    </row>
    <row r="4298" spans="1:2" x14ac:dyDescent="0.25">
      <c r="A4298" s="8">
        <v>42537</v>
      </c>
      <c r="B4298" s="9">
        <v>19.37</v>
      </c>
    </row>
    <row r="4299" spans="1:2" x14ac:dyDescent="0.25">
      <c r="A4299" s="8">
        <v>42538</v>
      </c>
      <c r="B4299" s="9">
        <v>19.41</v>
      </c>
    </row>
    <row r="4300" spans="1:2" x14ac:dyDescent="0.25">
      <c r="A4300" s="8">
        <v>42541</v>
      </c>
      <c r="B4300" s="9">
        <v>18.37</v>
      </c>
    </row>
    <row r="4301" spans="1:2" x14ac:dyDescent="0.25">
      <c r="A4301" s="8">
        <v>42542</v>
      </c>
      <c r="B4301" s="9">
        <v>18.48</v>
      </c>
    </row>
    <row r="4302" spans="1:2" x14ac:dyDescent="0.25">
      <c r="A4302" s="8">
        <v>42543</v>
      </c>
      <c r="B4302" s="9">
        <v>21.17</v>
      </c>
    </row>
    <row r="4303" spans="1:2" x14ac:dyDescent="0.25">
      <c r="A4303" s="8">
        <v>42544</v>
      </c>
      <c r="B4303" s="9">
        <v>17.25</v>
      </c>
    </row>
    <row r="4304" spans="1:2" x14ac:dyDescent="0.25">
      <c r="A4304" s="8">
        <v>42545</v>
      </c>
      <c r="B4304" s="9">
        <v>25.76</v>
      </c>
    </row>
    <row r="4305" spans="1:2" x14ac:dyDescent="0.25">
      <c r="A4305" s="8">
        <v>42548</v>
      </c>
      <c r="B4305" s="9">
        <v>23.85</v>
      </c>
    </row>
    <row r="4306" spans="1:2" x14ac:dyDescent="0.25">
      <c r="A4306" s="8">
        <v>42549</v>
      </c>
      <c r="B4306" s="9">
        <v>18.75</v>
      </c>
    </row>
    <row r="4307" spans="1:2" x14ac:dyDescent="0.25">
      <c r="A4307" s="8">
        <v>42550</v>
      </c>
      <c r="B4307" s="9">
        <v>16.64</v>
      </c>
    </row>
    <row r="4308" spans="1:2" x14ac:dyDescent="0.25">
      <c r="A4308" s="8">
        <v>42551</v>
      </c>
      <c r="B4308" s="9">
        <v>15.63</v>
      </c>
    </row>
    <row r="4309" spans="1:2" x14ac:dyDescent="0.25">
      <c r="A4309" s="8">
        <v>42552</v>
      </c>
      <c r="B4309" s="9">
        <v>14.77</v>
      </c>
    </row>
    <row r="4310" spans="1:2" x14ac:dyDescent="0.25">
      <c r="A4310" s="8">
        <v>42555</v>
      </c>
    </row>
    <row r="4311" spans="1:2" x14ac:dyDescent="0.25">
      <c r="A4311" s="8">
        <v>42556</v>
      </c>
      <c r="B4311" s="9">
        <v>15.58</v>
      </c>
    </row>
    <row r="4312" spans="1:2" x14ac:dyDescent="0.25">
      <c r="A4312" s="8">
        <v>42557</v>
      </c>
      <c r="B4312" s="9">
        <v>14.96</v>
      </c>
    </row>
    <row r="4313" spans="1:2" x14ac:dyDescent="0.25">
      <c r="A4313" s="8">
        <v>42558</v>
      </c>
      <c r="B4313" s="9">
        <v>14.76</v>
      </c>
    </row>
    <row r="4314" spans="1:2" x14ac:dyDescent="0.25">
      <c r="A4314" s="8">
        <v>42559</v>
      </c>
      <c r="B4314" s="9">
        <v>13.2</v>
      </c>
    </row>
    <row r="4315" spans="1:2" x14ac:dyDescent="0.25">
      <c r="A4315" s="8">
        <v>42562</v>
      </c>
      <c r="B4315" s="9">
        <v>13.54</v>
      </c>
    </row>
    <row r="4316" spans="1:2" x14ac:dyDescent="0.25">
      <c r="A4316" s="8">
        <v>42563</v>
      </c>
      <c r="B4316" s="9">
        <v>13.55</v>
      </c>
    </row>
    <row r="4317" spans="1:2" x14ac:dyDescent="0.25">
      <c r="A4317" s="8">
        <v>42564</v>
      </c>
      <c r="B4317" s="9">
        <v>13.04</v>
      </c>
    </row>
    <row r="4318" spans="1:2" x14ac:dyDescent="0.25">
      <c r="A4318" s="8">
        <v>42565</v>
      </c>
      <c r="B4318" s="9">
        <v>12.82</v>
      </c>
    </row>
    <row r="4319" spans="1:2" x14ac:dyDescent="0.25">
      <c r="A4319" s="8">
        <v>42566</v>
      </c>
      <c r="B4319" s="9">
        <v>12.67</v>
      </c>
    </row>
    <row r="4320" spans="1:2" x14ac:dyDescent="0.25">
      <c r="A4320" s="8">
        <v>42569</v>
      </c>
      <c r="B4320" s="9">
        <v>12.44</v>
      </c>
    </row>
    <row r="4321" spans="1:2" x14ac:dyDescent="0.25">
      <c r="A4321" s="8">
        <v>42570</v>
      </c>
      <c r="B4321" s="9">
        <v>11.97</v>
      </c>
    </row>
    <row r="4322" spans="1:2" x14ac:dyDescent="0.25">
      <c r="A4322" s="8">
        <v>42571</v>
      </c>
      <c r="B4322" s="9">
        <v>11.77</v>
      </c>
    </row>
    <row r="4323" spans="1:2" x14ac:dyDescent="0.25">
      <c r="A4323" s="8">
        <v>42572</v>
      </c>
      <c r="B4323" s="9">
        <v>12.74</v>
      </c>
    </row>
    <row r="4324" spans="1:2" x14ac:dyDescent="0.25">
      <c r="A4324" s="8">
        <v>42573</v>
      </c>
      <c r="B4324" s="9">
        <v>12.02</v>
      </c>
    </row>
    <row r="4325" spans="1:2" x14ac:dyDescent="0.25">
      <c r="A4325" s="8">
        <v>42576</v>
      </c>
      <c r="B4325" s="9">
        <v>12.87</v>
      </c>
    </row>
    <row r="4326" spans="1:2" x14ac:dyDescent="0.25">
      <c r="A4326" s="8">
        <v>42577</v>
      </c>
      <c r="B4326" s="9">
        <v>13.05</v>
      </c>
    </row>
    <row r="4327" spans="1:2" x14ac:dyDescent="0.25">
      <c r="A4327" s="8">
        <v>42578</v>
      </c>
      <c r="B4327" s="9">
        <v>12.83</v>
      </c>
    </row>
    <row r="4328" spans="1:2" x14ac:dyDescent="0.25">
      <c r="A4328" s="8">
        <v>42579</v>
      </c>
      <c r="B4328" s="9">
        <v>12.72</v>
      </c>
    </row>
    <row r="4329" spans="1:2" x14ac:dyDescent="0.25">
      <c r="A4329" s="8">
        <v>42580</v>
      </c>
      <c r="B4329" s="9">
        <v>11.87</v>
      </c>
    </row>
    <row r="4330" spans="1:2" x14ac:dyDescent="0.25">
      <c r="A4330" s="8">
        <v>42583</v>
      </c>
      <c r="B4330" s="9">
        <v>12.44</v>
      </c>
    </row>
    <row r="4331" spans="1:2" x14ac:dyDescent="0.25">
      <c r="A4331" s="8">
        <v>42584</v>
      </c>
      <c r="B4331" s="9">
        <v>13.37</v>
      </c>
    </row>
    <row r="4332" spans="1:2" x14ac:dyDescent="0.25">
      <c r="A4332" s="8">
        <v>42585</v>
      </c>
      <c r="B4332" s="9">
        <v>12.86</v>
      </c>
    </row>
    <row r="4333" spans="1:2" x14ac:dyDescent="0.25">
      <c r="A4333" s="8">
        <v>42586</v>
      </c>
      <c r="B4333" s="9">
        <v>12.42</v>
      </c>
    </row>
    <row r="4334" spans="1:2" x14ac:dyDescent="0.25">
      <c r="A4334" s="8">
        <v>42587</v>
      </c>
      <c r="B4334" s="9">
        <v>11.39</v>
      </c>
    </row>
    <row r="4335" spans="1:2" x14ac:dyDescent="0.25">
      <c r="A4335" s="8">
        <v>42590</v>
      </c>
      <c r="B4335" s="9">
        <v>11.5</v>
      </c>
    </row>
    <row r="4336" spans="1:2" x14ac:dyDescent="0.25">
      <c r="A4336" s="8">
        <v>42591</v>
      </c>
      <c r="B4336" s="9">
        <v>11.66</v>
      </c>
    </row>
    <row r="4337" spans="1:2" x14ac:dyDescent="0.25">
      <c r="A4337" s="8">
        <v>42592</v>
      </c>
      <c r="B4337" s="9">
        <v>12.05</v>
      </c>
    </row>
    <row r="4338" spans="1:2" x14ac:dyDescent="0.25">
      <c r="A4338" s="8">
        <v>42593</v>
      </c>
      <c r="B4338" s="9">
        <v>11.68</v>
      </c>
    </row>
    <row r="4339" spans="1:2" x14ac:dyDescent="0.25">
      <c r="A4339" s="8">
        <v>42594</v>
      </c>
      <c r="B4339" s="9">
        <v>11.55</v>
      </c>
    </row>
    <row r="4340" spans="1:2" x14ac:dyDescent="0.25">
      <c r="A4340" s="8">
        <v>42597</v>
      </c>
      <c r="B4340" s="9">
        <v>11.81</v>
      </c>
    </row>
    <row r="4341" spans="1:2" x14ac:dyDescent="0.25">
      <c r="A4341" s="8">
        <v>42598</v>
      </c>
      <c r="B4341" s="9">
        <v>12.64</v>
      </c>
    </row>
    <row r="4342" spans="1:2" x14ac:dyDescent="0.25">
      <c r="A4342" s="8">
        <v>42599</v>
      </c>
      <c r="B4342" s="9">
        <v>12.19</v>
      </c>
    </row>
    <row r="4343" spans="1:2" x14ac:dyDescent="0.25">
      <c r="A4343" s="8">
        <v>42600</v>
      </c>
      <c r="B4343" s="9">
        <v>11.43</v>
      </c>
    </row>
    <row r="4344" spans="1:2" x14ac:dyDescent="0.25">
      <c r="A4344" s="8">
        <v>42601</v>
      </c>
      <c r="B4344" s="9">
        <v>11.34</v>
      </c>
    </row>
    <row r="4345" spans="1:2" x14ac:dyDescent="0.25">
      <c r="A4345" s="8">
        <v>42604</v>
      </c>
      <c r="B4345" s="9">
        <v>12.27</v>
      </c>
    </row>
    <row r="4346" spans="1:2" x14ac:dyDescent="0.25">
      <c r="A4346" s="8">
        <v>42605</v>
      </c>
      <c r="B4346" s="9">
        <v>12.38</v>
      </c>
    </row>
    <row r="4347" spans="1:2" x14ac:dyDescent="0.25">
      <c r="A4347" s="8">
        <v>42606</v>
      </c>
      <c r="B4347" s="9">
        <v>13.45</v>
      </c>
    </row>
    <row r="4348" spans="1:2" x14ac:dyDescent="0.25">
      <c r="A4348" s="8">
        <v>42607</v>
      </c>
      <c r="B4348" s="9">
        <v>13.63</v>
      </c>
    </row>
    <row r="4349" spans="1:2" x14ac:dyDescent="0.25">
      <c r="A4349" s="8">
        <v>42608</v>
      </c>
      <c r="B4349" s="9">
        <v>13.65</v>
      </c>
    </row>
    <row r="4350" spans="1:2" x14ac:dyDescent="0.25">
      <c r="A4350" s="8">
        <v>42611</v>
      </c>
      <c r="B4350" s="9">
        <v>12.94</v>
      </c>
    </row>
    <row r="4351" spans="1:2" x14ac:dyDescent="0.25">
      <c r="A4351" s="8">
        <v>42612</v>
      </c>
      <c r="B4351" s="9">
        <v>13.12</v>
      </c>
    </row>
    <row r="4352" spans="1:2" x14ac:dyDescent="0.25">
      <c r="A4352" s="8">
        <v>42613</v>
      </c>
      <c r="B4352" s="9">
        <v>13.42</v>
      </c>
    </row>
    <row r="4353" spans="1:2" x14ac:dyDescent="0.25">
      <c r="A4353" s="8">
        <v>42614</v>
      </c>
      <c r="B4353" s="9">
        <v>13.48</v>
      </c>
    </row>
    <row r="4354" spans="1:2" x14ac:dyDescent="0.25">
      <c r="A4354" s="8">
        <v>42615</v>
      </c>
      <c r="B4354" s="9">
        <v>11.98</v>
      </c>
    </row>
    <row r="4355" spans="1:2" x14ac:dyDescent="0.25">
      <c r="A4355" s="8">
        <v>42618</v>
      </c>
    </row>
    <row r="4356" spans="1:2" x14ac:dyDescent="0.25">
      <c r="A4356" s="8">
        <v>42619</v>
      </c>
      <c r="B4356" s="9">
        <v>12.02</v>
      </c>
    </row>
    <row r="4357" spans="1:2" x14ac:dyDescent="0.25">
      <c r="A4357" s="8">
        <v>42620</v>
      </c>
      <c r="B4357" s="9">
        <v>11.94</v>
      </c>
    </row>
    <row r="4358" spans="1:2" x14ac:dyDescent="0.25">
      <c r="A4358" s="8">
        <v>42621</v>
      </c>
      <c r="B4358" s="9">
        <v>12.51</v>
      </c>
    </row>
    <row r="4359" spans="1:2" x14ac:dyDescent="0.25">
      <c r="A4359" s="8">
        <v>42622</v>
      </c>
      <c r="B4359" s="9">
        <v>17.5</v>
      </c>
    </row>
    <row r="4360" spans="1:2" x14ac:dyDescent="0.25">
      <c r="A4360" s="8">
        <v>42625</v>
      </c>
      <c r="B4360" s="9">
        <v>15.16</v>
      </c>
    </row>
    <row r="4361" spans="1:2" x14ac:dyDescent="0.25">
      <c r="A4361" s="8">
        <v>42626</v>
      </c>
      <c r="B4361" s="9">
        <v>17.850000000000001</v>
      </c>
    </row>
    <row r="4362" spans="1:2" x14ac:dyDescent="0.25">
      <c r="A4362" s="8">
        <v>42627</v>
      </c>
      <c r="B4362" s="9">
        <v>18.14</v>
      </c>
    </row>
    <row r="4363" spans="1:2" x14ac:dyDescent="0.25">
      <c r="A4363" s="8">
        <v>42628</v>
      </c>
      <c r="B4363" s="9">
        <v>16.3</v>
      </c>
    </row>
    <row r="4364" spans="1:2" x14ac:dyDescent="0.25">
      <c r="A4364" s="8">
        <v>42629</v>
      </c>
      <c r="B4364" s="9">
        <v>15.37</v>
      </c>
    </row>
    <row r="4365" spans="1:2" x14ac:dyDescent="0.25">
      <c r="A4365" s="8">
        <v>42632</v>
      </c>
      <c r="B4365" s="9">
        <v>15.53</v>
      </c>
    </row>
    <row r="4366" spans="1:2" x14ac:dyDescent="0.25">
      <c r="A4366" s="8">
        <v>42633</v>
      </c>
      <c r="B4366" s="9">
        <v>15.92</v>
      </c>
    </row>
    <row r="4367" spans="1:2" x14ac:dyDescent="0.25">
      <c r="A4367" s="8">
        <v>42634</v>
      </c>
      <c r="B4367" s="9">
        <v>13.3</v>
      </c>
    </row>
    <row r="4368" spans="1:2" x14ac:dyDescent="0.25">
      <c r="A4368" s="8">
        <v>42635</v>
      </c>
      <c r="B4368" s="9">
        <v>12.02</v>
      </c>
    </row>
    <row r="4369" spans="1:2" x14ac:dyDescent="0.25">
      <c r="A4369" s="8">
        <v>42636</v>
      </c>
      <c r="B4369" s="9">
        <v>12.29</v>
      </c>
    </row>
    <row r="4370" spans="1:2" x14ac:dyDescent="0.25">
      <c r="A4370" s="8">
        <v>42639</v>
      </c>
      <c r="B4370" s="9">
        <v>14.5</v>
      </c>
    </row>
    <row r="4371" spans="1:2" x14ac:dyDescent="0.25">
      <c r="A4371" s="8">
        <v>42640</v>
      </c>
      <c r="B4371" s="9">
        <v>13.1</v>
      </c>
    </row>
    <row r="4372" spans="1:2" x14ac:dyDescent="0.25">
      <c r="A4372" s="8">
        <v>42641</v>
      </c>
      <c r="B4372" s="9">
        <v>12.39</v>
      </c>
    </row>
    <row r="4373" spans="1:2" x14ac:dyDescent="0.25">
      <c r="A4373" s="8">
        <v>42642</v>
      </c>
      <c r="B4373" s="9">
        <v>14.02</v>
      </c>
    </row>
    <row r="4374" spans="1:2" x14ac:dyDescent="0.25">
      <c r="A4374" s="8">
        <v>42643</v>
      </c>
      <c r="B4374" s="9">
        <v>13.29</v>
      </c>
    </row>
    <row r="4375" spans="1:2" x14ac:dyDescent="0.25">
      <c r="A4375" s="8">
        <v>42646</v>
      </c>
      <c r="B4375" s="9">
        <v>13.57</v>
      </c>
    </row>
    <row r="4376" spans="1:2" x14ac:dyDescent="0.25">
      <c r="A4376" s="8">
        <v>42647</v>
      </c>
      <c r="B4376" s="9">
        <v>13.63</v>
      </c>
    </row>
    <row r="4377" spans="1:2" x14ac:dyDescent="0.25">
      <c r="A4377" s="8">
        <v>42648</v>
      </c>
      <c r="B4377" s="9">
        <v>12.99</v>
      </c>
    </row>
    <row r="4378" spans="1:2" x14ac:dyDescent="0.25">
      <c r="A4378" s="8">
        <v>42649</v>
      </c>
      <c r="B4378" s="9">
        <v>12.84</v>
      </c>
    </row>
    <row r="4379" spans="1:2" x14ac:dyDescent="0.25">
      <c r="A4379" s="8">
        <v>42650</v>
      </c>
      <c r="B4379" s="9">
        <v>13.48</v>
      </c>
    </row>
    <row r="4380" spans="1:2" x14ac:dyDescent="0.25">
      <c r="A4380" s="8">
        <v>42653</v>
      </c>
      <c r="B4380" s="9">
        <v>13.38</v>
      </c>
    </row>
    <row r="4381" spans="1:2" x14ac:dyDescent="0.25">
      <c r="A4381" s="8">
        <v>42654</v>
      </c>
      <c r="B4381" s="9">
        <v>15.36</v>
      </c>
    </row>
    <row r="4382" spans="1:2" x14ac:dyDescent="0.25">
      <c r="A4382" s="8">
        <v>42655</v>
      </c>
      <c r="B4382" s="9">
        <v>15.91</v>
      </c>
    </row>
    <row r="4383" spans="1:2" x14ac:dyDescent="0.25">
      <c r="A4383" s="8">
        <v>42656</v>
      </c>
      <c r="B4383" s="9">
        <v>16.690000000000001</v>
      </c>
    </row>
    <row r="4384" spans="1:2" x14ac:dyDescent="0.25">
      <c r="A4384" s="8">
        <v>42657</v>
      </c>
      <c r="B4384" s="9">
        <v>16.12</v>
      </c>
    </row>
    <row r="4385" spans="1:2" x14ac:dyDescent="0.25">
      <c r="A4385" s="8">
        <v>42660</v>
      </c>
      <c r="B4385" s="9">
        <v>16.21</v>
      </c>
    </row>
    <row r="4386" spans="1:2" x14ac:dyDescent="0.25">
      <c r="A4386" s="8">
        <v>42661</v>
      </c>
      <c r="B4386" s="9">
        <v>15.28</v>
      </c>
    </row>
    <row r="4387" spans="1:2" x14ac:dyDescent="0.25">
      <c r="A4387" s="8">
        <v>42662</v>
      </c>
      <c r="B4387" s="9">
        <v>14.41</v>
      </c>
    </row>
    <row r="4388" spans="1:2" x14ac:dyDescent="0.25">
      <c r="A4388" s="8">
        <v>42663</v>
      </c>
      <c r="B4388" s="9">
        <v>13.75</v>
      </c>
    </row>
    <row r="4389" spans="1:2" x14ac:dyDescent="0.25">
      <c r="A4389" s="8">
        <v>42664</v>
      </c>
      <c r="B4389" s="9">
        <v>13.34</v>
      </c>
    </row>
    <row r="4390" spans="1:2" x14ac:dyDescent="0.25">
      <c r="A4390" s="8">
        <v>42667</v>
      </c>
      <c r="B4390" s="9">
        <v>13.02</v>
      </c>
    </row>
    <row r="4391" spans="1:2" x14ac:dyDescent="0.25">
      <c r="A4391" s="8">
        <v>42668</v>
      </c>
      <c r="B4391" s="9">
        <v>13.46</v>
      </c>
    </row>
    <row r="4392" spans="1:2" x14ac:dyDescent="0.25">
      <c r="A4392" s="8">
        <v>42669</v>
      </c>
      <c r="B4392" s="9">
        <v>14.24</v>
      </c>
    </row>
    <row r="4393" spans="1:2" x14ac:dyDescent="0.25">
      <c r="A4393" s="8">
        <v>42670</v>
      </c>
      <c r="B4393" s="9">
        <v>15.36</v>
      </c>
    </row>
    <row r="4394" spans="1:2" x14ac:dyDescent="0.25">
      <c r="A4394" s="8">
        <v>42671</v>
      </c>
      <c r="B4394" s="9">
        <v>16.190000000000001</v>
      </c>
    </row>
    <row r="4395" spans="1:2" x14ac:dyDescent="0.25">
      <c r="A4395" s="8">
        <v>42674</v>
      </c>
      <c r="B4395" s="9">
        <v>17.059999999999999</v>
      </c>
    </row>
    <row r="4396" spans="1:2" x14ac:dyDescent="0.25">
      <c r="A4396" s="8">
        <v>42675</v>
      </c>
      <c r="B4396" s="9">
        <v>18.559999999999999</v>
      </c>
    </row>
    <row r="4397" spans="1:2" x14ac:dyDescent="0.25">
      <c r="A4397" s="8">
        <v>42676</v>
      </c>
      <c r="B4397" s="9">
        <v>19.32</v>
      </c>
    </row>
    <row r="4398" spans="1:2" x14ac:dyDescent="0.25">
      <c r="A4398" s="8">
        <v>42677</v>
      </c>
      <c r="B4398" s="9">
        <v>22.08</v>
      </c>
    </row>
    <row r="4399" spans="1:2" x14ac:dyDescent="0.25">
      <c r="A4399" s="8">
        <v>42678</v>
      </c>
      <c r="B4399" s="9">
        <v>22.51</v>
      </c>
    </row>
    <row r="4400" spans="1:2" x14ac:dyDescent="0.25">
      <c r="A4400" s="8">
        <v>42681</v>
      </c>
      <c r="B4400" s="9">
        <v>18.71</v>
      </c>
    </row>
    <row r="4401" spans="1:2" x14ac:dyDescent="0.25">
      <c r="A4401" s="8">
        <v>42682</v>
      </c>
      <c r="B4401" s="9">
        <v>18.739999999999998</v>
      </c>
    </row>
    <row r="4402" spans="1:2" x14ac:dyDescent="0.25">
      <c r="A4402" s="8">
        <v>42683</v>
      </c>
      <c r="B4402" s="9">
        <v>14.38</v>
      </c>
    </row>
    <row r="4403" spans="1:2" x14ac:dyDescent="0.25">
      <c r="A4403" s="8">
        <v>42684</v>
      </c>
      <c r="B4403" s="9">
        <v>14.74</v>
      </c>
    </row>
    <row r="4404" spans="1:2" x14ac:dyDescent="0.25">
      <c r="A4404" s="8">
        <v>42685</v>
      </c>
      <c r="B4404" s="9">
        <v>14.17</v>
      </c>
    </row>
    <row r="4405" spans="1:2" x14ac:dyDescent="0.25">
      <c r="A4405" s="8">
        <v>42688</v>
      </c>
      <c r="B4405" s="9">
        <v>14.48</v>
      </c>
    </row>
    <row r="4406" spans="1:2" x14ac:dyDescent="0.25">
      <c r="A4406" s="8">
        <v>42689</v>
      </c>
      <c r="B4406" s="9">
        <v>13.37</v>
      </c>
    </row>
    <row r="4407" spans="1:2" x14ac:dyDescent="0.25">
      <c r="A4407" s="8">
        <v>42690</v>
      </c>
      <c r="B4407" s="9">
        <v>13.72</v>
      </c>
    </row>
    <row r="4408" spans="1:2" x14ac:dyDescent="0.25">
      <c r="A4408" s="8">
        <v>42691</v>
      </c>
      <c r="B4408" s="9">
        <v>13.35</v>
      </c>
    </row>
    <row r="4409" spans="1:2" x14ac:dyDescent="0.25">
      <c r="A4409" s="8">
        <v>42692</v>
      </c>
      <c r="B4409" s="9">
        <v>12.85</v>
      </c>
    </row>
    <row r="4410" spans="1:2" x14ac:dyDescent="0.25">
      <c r="A4410" s="8">
        <v>42695</v>
      </c>
      <c r="B4410" s="9">
        <v>12.42</v>
      </c>
    </row>
    <row r="4411" spans="1:2" x14ac:dyDescent="0.25">
      <c r="A4411" s="8">
        <v>42696</v>
      </c>
      <c r="B4411" s="9">
        <v>12.41</v>
      </c>
    </row>
    <row r="4412" spans="1:2" x14ac:dyDescent="0.25">
      <c r="A4412" s="8">
        <v>42697</v>
      </c>
      <c r="B4412" s="9">
        <v>12.43</v>
      </c>
    </row>
    <row r="4413" spans="1:2" x14ac:dyDescent="0.25">
      <c r="A4413" s="8">
        <v>42698</v>
      </c>
    </row>
    <row r="4414" spans="1:2" x14ac:dyDescent="0.25">
      <c r="A4414" s="8">
        <v>42699</v>
      </c>
      <c r="B4414" s="9">
        <v>12.34</v>
      </c>
    </row>
    <row r="4415" spans="1:2" x14ac:dyDescent="0.25">
      <c r="A4415" s="8">
        <v>42702</v>
      </c>
      <c r="B4415" s="9">
        <v>13.15</v>
      </c>
    </row>
    <row r="4416" spans="1:2" x14ac:dyDescent="0.25">
      <c r="A4416" s="8">
        <v>42703</v>
      </c>
      <c r="B4416" s="9">
        <v>12.9</v>
      </c>
    </row>
    <row r="4417" spans="1:2" x14ac:dyDescent="0.25">
      <c r="A4417" s="8">
        <v>42704</v>
      </c>
      <c r="B4417" s="9">
        <v>13.33</v>
      </c>
    </row>
    <row r="4418" spans="1:2" x14ac:dyDescent="0.25">
      <c r="A4418" s="8">
        <v>42705</v>
      </c>
      <c r="B4418" s="9">
        <v>14.07</v>
      </c>
    </row>
    <row r="4419" spans="1:2" x14ac:dyDescent="0.25">
      <c r="A4419" s="8">
        <v>42706</v>
      </c>
      <c r="B4419" s="9">
        <v>14.12</v>
      </c>
    </row>
    <row r="4420" spans="1:2" x14ac:dyDescent="0.25">
      <c r="A4420" s="8">
        <v>42709</v>
      </c>
      <c r="B4420" s="9">
        <v>12.14</v>
      </c>
    </row>
    <row r="4421" spans="1:2" x14ac:dyDescent="0.25">
      <c r="A4421" s="8">
        <v>42710</v>
      </c>
      <c r="B4421" s="9">
        <v>11.79</v>
      </c>
    </row>
    <row r="4422" spans="1:2" x14ac:dyDescent="0.25">
      <c r="A4422" s="8">
        <v>42711</v>
      </c>
      <c r="B4422" s="9">
        <v>12.22</v>
      </c>
    </row>
    <row r="4423" spans="1:2" x14ac:dyDescent="0.25">
      <c r="A4423" s="8">
        <v>42712</v>
      </c>
      <c r="B4423" s="9">
        <v>12.64</v>
      </c>
    </row>
    <row r="4424" spans="1:2" x14ac:dyDescent="0.25">
      <c r="A4424" s="8">
        <v>42713</v>
      </c>
      <c r="B4424" s="9">
        <v>11.75</v>
      </c>
    </row>
    <row r="4425" spans="1:2" x14ac:dyDescent="0.25">
      <c r="A4425" s="8">
        <v>42716</v>
      </c>
      <c r="B4425" s="9">
        <v>12.64</v>
      </c>
    </row>
    <row r="4426" spans="1:2" x14ac:dyDescent="0.25">
      <c r="A4426" s="8">
        <v>42717</v>
      </c>
      <c r="B4426" s="9">
        <v>12.72</v>
      </c>
    </row>
    <row r="4427" spans="1:2" x14ac:dyDescent="0.25">
      <c r="A4427" s="8">
        <v>42718</v>
      </c>
      <c r="B4427" s="9">
        <v>13.19</v>
      </c>
    </row>
    <row r="4428" spans="1:2" x14ac:dyDescent="0.25">
      <c r="A4428" s="8">
        <v>42719</v>
      </c>
      <c r="B4428" s="9">
        <v>12.79</v>
      </c>
    </row>
    <row r="4429" spans="1:2" x14ac:dyDescent="0.25">
      <c r="A4429" s="8">
        <v>42720</v>
      </c>
      <c r="B4429" s="9">
        <v>12.2</v>
      </c>
    </row>
    <row r="4430" spans="1:2" x14ac:dyDescent="0.25">
      <c r="A4430" s="8">
        <v>42723</v>
      </c>
      <c r="B4430" s="9">
        <v>11.71</v>
      </c>
    </row>
    <row r="4431" spans="1:2" x14ac:dyDescent="0.25">
      <c r="A4431" s="8">
        <v>42724</v>
      </c>
      <c r="B4431" s="9">
        <v>11.45</v>
      </c>
    </row>
    <row r="4432" spans="1:2" x14ac:dyDescent="0.25">
      <c r="A4432" s="8">
        <v>42725</v>
      </c>
      <c r="B4432" s="9">
        <v>11.27</v>
      </c>
    </row>
    <row r="4433" spans="1:2" x14ac:dyDescent="0.25">
      <c r="A4433" s="8">
        <v>42726</v>
      </c>
      <c r="B4433" s="9">
        <v>11.43</v>
      </c>
    </row>
    <row r="4434" spans="1:2" x14ac:dyDescent="0.25">
      <c r="A4434" s="8">
        <v>42727</v>
      </c>
      <c r="B4434" s="9">
        <v>11.44</v>
      </c>
    </row>
    <row r="4435" spans="1:2" x14ac:dyDescent="0.25">
      <c r="A4435" s="8">
        <v>42730</v>
      </c>
    </row>
    <row r="4436" spans="1:2" x14ac:dyDescent="0.25">
      <c r="A4436" s="8">
        <v>42731</v>
      </c>
      <c r="B4436" s="9">
        <v>11.99</v>
      </c>
    </row>
    <row r="4437" spans="1:2" x14ac:dyDescent="0.25">
      <c r="A4437" s="8">
        <v>42732</v>
      </c>
      <c r="B4437" s="9">
        <v>12.95</v>
      </c>
    </row>
    <row r="4438" spans="1:2" x14ac:dyDescent="0.25">
      <c r="A4438" s="8">
        <v>42733</v>
      </c>
      <c r="B4438" s="9">
        <v>13.37</v>
      </c>
    </row>
    <row r="4439" spans="1:2" x14ac:dyDescent="0.25">
      <c r="A4439" s="8">
        <v>42734</v>
      </c>
      <c r="B4439" s="9">
        <v>14.04</v>
      </c>
    </row>
    <row r="4440" spans="1:2" x14ac:dyDescent="0.25">
      <c r="A4440" s="8">
        <v>42737</v>
      </c>
    </row>
    <row r="4441" spans="1:2" x14ac:dyDescent="0.25">
      <c r="A4441" s="8">
        <v>42738</v>
      </c>
      <c r="B4441" s="9">
        <v>12.85</v>
      </c>
    </row>
    <row r="4442" spans="1:2" x14ac:dyDescent="0.25">
      <c r="A4442" s="8">
        <v>42739</v>
      </c>
      <c r="B4442" s="9">
        <v>11.85</v>
      </c>
    </row>
    <row r="4443" spans="1:2" x14ac:dyDescent="0.25">
      <c r="A4443" s="8">
        <v>42740</v>
      </c>
      <c r="B4443" s="9">
        <v>11.67</v>
      </c>
    </row>
    <row r="4444" spans="1:2" x14ac:dyDescent="0.25">
      <c r="A4444" s="8">
        <v>42741</v>
      </c>
      <c r="B4444" s="9">
        <v>11.32</v>
      </c>
    </row>
    <row r="4445" spans="1:2" x14ac:dyDescent="0.25">
      <c r="A4445" s="8">
        <v>42744</v>
      </c>
      <c r="B4445" s="9">
        <v>11.56</v>
      </c>
    </row>
    <row r="4446" spans="1:2" x14ac:dyDescent="0.25">
      <c r="A4446" s="8">
        <v>42745</v>
      </c>
      <c r="B4446" s="9">
        <v>11.49</v>
      </c>
    </row>
    <row r="4447" spans="1:2" x14ac:dyDescent="0.25">
      <c r="A4447" s="8">
        <v>42746</v>
      </c>
      <c r="B4447" s="9">
        <v>11.26</v>
      </c>
    </row>
    <row r="4448" spans="1:2" x14ac:dyDescent="0.25">
      <c r="A4448" s="8">
        <v>42747</v>
      </c>
      <c r="B4448" s="9">
        <v>11.54</v>
      </c>
    </row>
    <row r="4449" spans="1:2" x14ac:dyDescent="0.25">
      <c r="A4449" s="8">
        <v>42748</v>
      </c>
      <c r="B4449" s="9">
        <v>11.23</v>
      </c>
    </row>
    <row r="4450" spans="1:2" x14ac:dyDescent="0.25">
      <c r="A4450" s="8">
        <v>42751</v>
      </c>
    </row>
    <row r="4451" spans="1:2" x14ac:dyDescent="0.25">
      <c r="A4451" s="8">
        <v>42752</v>
      </c>
      <c r="B4451" s="9">
        <v>11.87</v>
      </c>
    </row>
    <row r="4452" spans="1:2" x14ac:dyDescent="0.25">
      <c r="A4452" s="8">
        <v>42753</v>
      </c>
      <c r="B4452" s="9">
        <v>12.48</v>
      </c>
    </row>
    <row r="4453" spans="1:2" x14ac:dyDescent="0.25">
      <c r="A4453" s="8">
        <v>42754</v>
      </c>
      <c r="B4453" s="9">
        <v>12.78</v>
      </c>
    </row>
    <row r="4454" spans="1:2" x14ac:dyDescent="0.25">
      <c r="A4454" s="8">
        <v>42755</v>
      </c>
      <c r="B4454" s="9">
        <v>11.54</v>
      </c>
    </row>
    <row r="4455" spans="1:2" x14ac:dyDescent="0.25">
      <c r="A4455" s="8">
        <v>42758</v>
      </c>
      <c r="B4455" s="9">
        <v>11.77</v>
      </c>
    </row>
    <row r="4456" spans="1:2" x14ac:dyDescent="0.25">
      <c r="A4456" s="8">
        <v>42759</v>
      </c>
      <c r="B4456" s="9">
        <v>11.07</v>
      </c>
    </row>
    <row r="4457" spans="1:2" x14ac:dyDescent="0.25">
      <c r="A4457" s="8">
        <v>42760</v>
      </c>
      <c r="B4457" s="9">
        <v>10.81</v>
      </c>
    </row>
    <row r="4458" spans="1:2" x14ac:dyDescent="0.25">
      <c r="A4458" s="8">
        <v>42761</v>
      </c>
      <c r="B4458" s="9">
        <v>10.63</v>
      </c>
    </row>
    <row r="4459" spans="1:2" x14ac:dyDescent="0.25">
      <c r="A4459" s="8">
        <v>42762</v>
      </c>
      <c r="B4459" s="9">
        <v>10.58</v>
      </c>
    </row>
    <row r="4460" spans="1:2" x14ac:dyDescent="0.25">
      <c r="A4460" s="8">
        <v>42765</v>
      </c>
      <c r="B4460" s="9">
        <v>11.88</v>
      </c>
    </row>
    <row r="4461" spans="1:2" x14ac:dyDescent="0.25">
      <c r="A4461" s="8">
        <v>42766</v>
      </c>
      <c r="B4461" s="9">
        <v>11.99</v>
      </c>
    </row>
    <row r="4462" spans="1:2" x14ac:dyDescent="0.25">
      <c r="A4462" s="8">
        <v>42767</v>
      </c>
      <c r="B4462" s="9">
        <v>11.81</v>
      </c>
    </row>
    <row r="4463" spans="1:2" x14ac:dyDescent="0.25">
      <c r="A4463" s="8">
        <v>42768</v>
      </c>
      <c r="B4463" s="9">
        <v>11.93</v>
      </c>
    </row>
    <row r="4464" spans="1:2" x14ac:dyDescent="0.25">
      <c r="A4464" s="8">
        <v>42769</v>
      </c>
      <c r="B4464" s="9">
        <v>10.97</v>
      </c>
    </row>
    <row r="4465" spans="1:2" x14ac:dyDescent="0.25">
      <c r="A4465" s="8">
        <v>42772</v>
      </c>
      <c r="B4465" s="9">
        <v>11.37</v>
      </c>
    </row>
    <row r="4466" spans="1:2" x14ac:dyDescent="0.25">
      <c r="A4466" s="8">
        <v>42773</v>
      </c>
      <c r="B4466" s="9">
        <v>11.29</v>
      </c>
    </row>
    <row r="4467" spans="1:2" x14ac:dyDescent="0.25">
      <c r="A4467" s="8">
        <v>42774</v>
      </c>
      <c r="B4467" s="9">
        <v>11.45</v>
      </c>
    </row>
    <row r="4468" spans="1:2" x14ac:dyDescent="0.25">
      <c r="A4468" s="8">
        <v>42775</v>
      </c>
      <c r="B4468" s="9">
        <v>10.88</v>
      </c>
    </row>
    <row r="4469" spans="1:2" x14ac:dyDescent="0.25">
      <c r="A4469" s="8">
        <v>42776</v>
      </c>
      <c r="B4469" s="9">
        <v>10.85</v>
      </c>
    </row>
    <row r="4470" spans="1:2" x14ac:dyDescent="0.25">
      <c r="A4470" s="8">
        <v>42779</v>
      </c>
      <c r="B4470" s="9">
        <v>11.07</v>
      </c>
    </row>
    <row r="4471" spans="1:2" x14ac:dyDescent="0.25">
      <c r="A4471" s="8">
        <v>42780</v>
      </c>
      <c r="B4471" s="9">
        <v>10.74</v>
      </c>
    </row>
    <row r="4472" spans="1:2" x14ac:dyDescent="0.25">
      <c r="A4472" s="8">
        <v>42781</v>
      </c>
      <c r="B4472" s="9">
        <v>11.97</v>
      </c>
    </row>
    <row r="4473" spans="1:2" x14ac:dyDescent="0.25">
      <c r="A4473" s="8">
        <v>42782</v>
      </c>
      <c r="B4473" s="9">
        <v>11.76</v>
      </c>
    </row>
    <row r="4474" spans="1:2" x14ac:dyDescent="0.25">
      <c r="A4474" s="8">
        <v>42783</v>
      </c>
      <c r="B4474" s="9">
        <v>11.49</v>
      </c>
    </row>
    <row r="4475" spans="1:2" x14ac:dyDescent="0.25">
      <c r="A4475" s="8">
        <v>42786</v>
      </c>
    </row>
    <row r="4476" spans="1:2" x14ac:dyDescent="0.25">
      <c r="A4476" s="8">
        <v>42787</v>
      </c>
      <c r="B4476" s="9">
        <v>11.57</v>
      </c>
    </row>
    <row r="4477" spans="1:2" x14ac:dyDescent="0.25">
      <c r="A4477" s="8">
        <v>42788</v>
      </c>
      <c r="B4477" s="9">
        <v>11.74</v>
      </c>
    </row>
    <row r="4478" spans="1:2" x14ac:dyDescent="0.25">
      <c r="A4478" s="8">
        <v>42789</v>
      </c>
      <c r="B4478" s="9">
        <v>11.71</v>
      </c>
    </row>
    <row r="4479" spans="1:2" x14ac:dyDescent="0.25">
      <c r="A4479" s="8">
        <v>42790</v>
      </c>
      <c r="B4479" s="9">
        <v>11.47</v>
      </c>
    </row>
    <row r="4480" spans="1:2" x14ac:dyDescent="0.25">
      <c r="A4480" s="8">
        <v>42793</v>
      </c>
      <c r="B4480" s="9">
        <v>12.09</v>
      </c>
    </row>
    <row r="4481" spans="1:2" x14ac:dyDescent="0.25">
      <c r="A4481" s="8">
        <v>42794</v>
      </c>
      <c r="B4481" s="9">
        <v>12.92</v>
      </c>
    </row>
    <row r="4482" spans="1:2" x14ac:dyDescent="0.25">
      <c r="A4482" s="8">
        <v>42795</v>
      </c>
      <c r="B4482" s="9">
        <v>12.54</v>
      </c>
    </row>
    <row r="4483" spans="1:2" x14ac:dyDescent="0.25">
      <c r="A4483" s="8">
        <v>42796</v>
      </c>
      <c r="B4483" s="9">
        <v>11.81</v>
      </c>
    </row>
    <row r="4484" spans="1:2" x14ac:dyDescent="0.25">
      <c r="A4484" s="8">
        <v>42797</v>
      </c>
      <c r="B4484" s="9">
        <v>10.96</v>
      </c>
    </row>
    <row r="4485" spans="1:2" x14ac:dyDescent="0.25">
      <c r="A4485" s="8">
        <v>42800</v>
      </c>
      <c r="B4485" s="9">
        <v>11.24</v>
      </c>
    </row>
    <row r="4486" spans="1:2" x14ac:dyDescent="0.25">
      <c r="A4486" s="8">
        <v>42801</v>
      </c>
      <c r="B4486" s="9">
        <v>11.45</v>
      </c>
    </row>
    <row r="4487" spans="1:2" x14ac:dyDescent="0.25">
      <c r="A4487" s="8">
        <v>42802</v>
      </c>
      <c r="B4487" s="9">
        <v>11.86</v>
      </c>
    </row>
    <row r="4488" spans="1:2" x14ac:dyDescent="0.25">
      <c r="A4488" s="8">
        <v>42803</v>
      </c>
      <c r="B4488" s="9">
        <v>12.3</v>
      </c>
    </row>
    <row r="4489" spans="1:2" x14ac:dyDescent="0.25">
      <c r="A4489" s="8">
        <v>42804</v>
      </c>
      <c r="B4489" s="9">
        <v>11.66</v>
      </c>
    </row>
    <row r="4490" spans="1:2" x14ac:dyDescent="0.25">
      <c r="A4490" s="8">
        <v>42807</v>
      </c>
      <c r="B4490" s="9">
        <v>11.35</v>
      </c>
    </row>
    <row r="4491" spans="1:2" x14ac:dyDescent="0.25">
      <c r="A4491" s="8">
        <v>42808</v>
      </c>
      <c r="B4491" s="9">
        <v>12.3</v>
      </c>
    </row>
    <row r="4492" spans="1:2" x14ac:dyDescent="0.25">
      <c r="A4492" s="8">
        <v>42809</v>
      </c>
      <c r="B4492" s="9">
        <v>11.63</v>
      </c>
    </row>
    <row r="4493" spans="1:2" x14ac:dyDescent="0.25">
      <c r="A4493" s="8">
        <v>42810</v>
      </c>
      <c r="B4493" s="9">
        <v>11.21</v>
      </c>
    </row>
    <row r="4494" spans="1:2" x14ac:dyDescent="0.25">
      <c r="A4494" s="8">
        <v>42811</v>
      </c>
      <c r="B4494" s="9">
        <v>11.28</v>
      </c>
    </row>
    <row r="4495" spans="1:2" x14ac:dyDescent="0.25">
      <c r="A4495" s="8">
        <v>42814</v>
      </c>
      <c r="B4495" s="9">
        <v>11.34</v>
      </c>
    </row>
    <row r="4496" spans="1:2" x14ac:dyDescent="0.25">
      <c r="A4496" s="8">
        <v>42815</v>
      </c>
      <c r="B4496" s="9">
        <v>12.47</v>
      </c>
    </row>
    <row r="4497" spans="1:2" x14ac:dyDescent="0.25">
      <c r="A4497" s="8">
        <v>42816</v>
      </c>
      <c r="B4497" s="9">
        <v>12.81</v>
      </c>
    </row>
    <row r="4498" spans="1:2" x14ac:dyDescent="0.25">
      <c r="A4498" s="8">
        <v>42817</v>
      </c>
      <c r="B4498" s="9">
        <v>13.12</v>
      </c>
    </row>
    <row r="4499" spans="1:2" x14ac:dyDescent="0.25">
      <c r="A4499" s="8">
        <v>42818</v>
      </c>
      <c r="B4499" s="9">
        <v>12.96</v>
      </c>
    </row>
    <row r="4500" spans="1:2" x14ac:dyDescent="0.25">
      <c r="A4500" s="8">
        <v>42821</v>
      </c>
      <c r="B4500" s="9">
        <v>12.5</v>
      </c>
    </row>
    <row r="4501" spans="1:2" x14ac:dyDescent="0.25">
      <c r="A4501" s="8">
        <v>42822</v>
      </c>
      <c r="B4501" s="9">
        <v>11.53</v>
      </c>
    </row>
    <row r="4502" spans="1:2" x14ac:dyDescent="0.25">
      <c r="A4502" s="8">
        <v>42823</v>
      </c>
      <c r="B4502" s="9">
        <v>11.42</v>
      </c>
    </row>
    <row r="4503" spans="1:2" x14ac:dyDescent="0.25">
      <c r="A4503" s="8">
        <v>42824</v>
      </c>
      <c r="B4503" s="9">
        <v>11.54</v>
      </c>
    </row>
    <row r="4504" spans="1:2" x14ac:dyDescent="0.25">
      <c r="A4504" s="8">
        <v>42825</v>
      </c>
      <c r="B4504" s="9">
        <v>12.37</v>
      </c>
    </row>
    <row r="4505" spans="1:2" x14ac:dyDescent="0.25">
      <c r="A4505" s="8">
        <v>42828</v>
      </c>
      <c r="B4505" s="9">
        <v>12.38</v>
      </c>
    </row>
    <row r="4506" spans="1:2" x14ac:dyDescent="0.25">
      <c r="A4506" s="8">
        <v>42829</v>
      </c>
      <c r="B4506" s="9">
        <v>11.79</v>
      </c>
    </row>
    <row r="4507" spans="1:2" x14ac:dyDescent="0.25">
      <c r="A4507" s="8">
        <v>42830</v>
      </c>
      <c r="B4507" s="9">
        <v>12.89</v>
      </c>
    </row>
    <row r="4508" spans="1:2" x14ac:dyDescent="0.25">
      <c r="A4508" s="8">
        <v>42831</v>
      </c>
      <c r="B4508" s="9">
        <v>12.39</v>
      </c>
    </row>
    <row r="4509" spans="1:2" x14ac:dyDescent="0.25">
      <c r="A4509" s="8">
        <v>42832</v>
      </c>
      <c r="B4509" s="9">
        <v>12.87</v>
      </c>
    </row>
    <row r="4510" spans="1:2" x14ac:dyDescent="0.25">
      <c r="A4510" s="8">
        <v>42835</v>
      </c>
      <c r="B4510" s="9">
        <v>14.05</v>
      </c>
    </row>
    <row r="4511" spans="1:2" x14ac:dyDescent="0.25">
      <c r="A4511" s="8">
        <v>42836</v>
      </c>
      <c r="B4511" s="9">
        <v>15.07</v>
      </c>
    </row>
    <row r="4512" spans="1:2" x14ac:dyDescent="0.25">
      <c r="A4512" s="8">
        <v>42837</v>
      </c>
      <c r="B4512" s="9">
        <v>15.77</v>
      </c>
    </row>
    <row r="4513" spans="1:2" x14ac:dyDescent="0.25">
      <c r="A4513" s="8">
        <v>42838</v>
      </c>
      <c r="B4513" s="9">
        <v>15.96</v>
      </c>
    </row>
    <row r="4514" spans="1:2" x14ac:dyDescent="0.25">
      <c r="A4514" s="8">
        <v>42839</v>
      </c>
    </row>
    <row r="4515" spans="1:2" x14ac:dyDescent="0.25">
      <c r="A4515" s="8">
        <v>42842</v>
      </c>
      <c r="B4515" s="9">
        <v>14.66</v>
      </c>
    </row>
    <row r="4516" spans="1:2" x14ac:dyDescent="0.25">
      <c r="A4516" s="8">
        <v>42843</v>
      </c>
      <c r="B4516" s="9">
        <v>14.42</v>
      </c>
    </row>
    <row r="4517" spans="1:2" x14ac:dyDescent="0.25">
      <c r="A4517" s="8">
        <v>42844</v>
      </c>
      <c r="B4517" s="9">
        <v>14.93</v>
      </c>
    </row>
    <row r="4518" spans="1:2" x14ac:dyDescent="0.25">
      <c r="A4518" s="8">
        <v>42845</v>
      </c>
      <c r="B4518" s="9">
        <v>14.15</v>
      </c>
    </row>
    <row r="4519" spans="1:2" x14ac:dyDescent="0.25">
      <c r="A4519" s="8">
        <v>42846</v>
      </c>
      <c r="B4519" s="9">
        <v>14.63</v>
      </c>
    </row>
    <row r="4520" spans="1:2" x14ac:dyDescent="0.25">
      <c r="A4520" s="8">
        <v>42849</v>
      </c>
      <c r="B4520" s="9">
        <v>10.84</v>
      </c>
    </row>
    <row r="4521" spans="1:2" x14ac:dyDescent="0.25">
      <c r="A4521" s="8">
        <v>42850</v>
      </c>
      <c r="B4521" s="9">
        <v>10.76</v>
      </c>
    </row>
    <row r="4522" spans="1:2" x14ac:dyDescent="0.25">
      <c r="A4522" s="8">
        <v>42851</v>
      </c>
      <c r="B4522" s="9">
        <v>10.85</v>
      </c>
    </row>
    <row r="4523" spans="1:2" x14ac:dyDescent="0.25">
      <c r="A4523" s="8">
        <v>42852</v>
      </c>
      <c r="B4523" s="9">
        <v>10.36</v>
      </c>
    </row>
    <row r="4524" spans="1:2" x14ac:dyDescent="0.25">
      <c r="A4524" s="8">
        <v>42853</v>
      </c>
      <c r="B4524" s="9">
        <v>10.82</v>
      </c>
    </row>
    <row r="4525" spans="1:2" x14ac:dyDescent="0.25">
      <c r="A4525" s="8">
        <v>42856</v>
      </c>
      <c r="B4525" s="9">
        <v>10.11</v>
      </c>
    </row>
    <row r="4526" spans="1:2" x14ac:dyDescent="0.25">
      <c r="A4526" s="8">
        <v>42857</v>
      </c>
      <c r="B4526" s="9">
        <v>10.59</v>
      </c>
    </row>
    <row r="4527" spans="1:2" x14ac:dyDescent="0.25">
      <c r="A4527" s="8">
        <v>42858</v>
      </c>
      <c r="B4527" s="9">
        <v>10.68</v>
      </c>
    </row>
    <row r="4528" spans="1:2" x14ac:dyDescent="0.25">
      <c r="A4528" s="8">
        <v>42859</v>
      </c>
      <c r="B4528" s="9">
        <v>10.46</v>
      </c>
    </row>
    <row r="4529" spans="1:2" x14ac:dyDescent="0.25">
      <c r="A4529" s="8">
        <v>42860</v>
      </c>
      <c r="B4529" s="9">
        <v>10.57</v>
      </c>
    </row>
    <row r="4530" spans="1:2" x14ac:dyDescent="0.25">
      <c r="A4530" s="8">
        <v>42863</v>
      </c>
      <c r="B4530" s="9">
        <v>9.77</v>
      </c>
    </row>
    <row r="4531" spans="1:2" x14ac:dyDescent="0.25">
      <c r="A4531" s="8">
        <v>42864</v>
      </c>
      <c r="B4531" s="9">
        <v>9.9600000000000009</v>
      </c>
    </row>
    <row r="4532" spans="1:2" x14ac:dyDescent="0.25">
      <c r="A4532" s="8">
        <v>42865</v>
      </c>
      <c r="B4532" s="9">
        <v>10.210000000000001</v>
      </c>
    </row>
    <row r="4533" spans="1:2" x14ac:dyDescent="0.25">
      <c r="A4533" s="8">
        <v>42866</v>
      </c>
      <c r="B4533" s="9">
        <v>10.6</v>
      </c>
    </row>
    <row r="4534" spans="1:2" x14ac:dyDescent="0.25">
      <c r="A4534" s="8">
        <v>42867</v>
      </c>
      <c r="B4534" s="9">
        <v>10.4</v>
      </c>
    </row>
    <row r="4535" spans="1:2" x14ac:dyDescent="0.25">
      <c r="A4535" s="8">
        <v>42870</v>
      </c>
      <c r="B4535" s="9">
        <v>10.42</v>
      </c>
    </row>
    <row r="4536" spans="1:2" x14ac:dyDescent="0.25">
      <c r="A4536" s="8">
        <v>42871</v>
      </c>
      <c r="B4536" s="9">
        <v>10.65</v>
      </c>
    </row>
    <row r="4537" spans="1:2" x14ac:dyDescent="0.25">
      <c r="A4537" s="8">
        <v>42872</v>
      </c>
      <c r="B4537" s="9">
        <v>15.59</v>
      </c>
    </row>
    <row r="4538" spans="1:2" x14ac:dyDescent="0.25">
      <c r="A4538" s="8">
        <v>42873</v>
      </c>
      <c r="B4538" s="9">
        <v>14.66</v>
      </c>
    </row>
    <row r="4539" spans="1:2" x14ac:dyDescent="0.25">
      <c r="A4539" s="8">
        <v>42874</v>
      </c>
      <c r="B4539" s="9">
        <v>12.04</v>
      </c>
    </row>
    <row r="4540" spans="1:2" x14ac:dyDescent="0.25">
      <c r="A4540" s="8">
        <v>42877</v>
      </c>
      <c r="B4540" s="9">
        <v>10.93</v>
      </c>
    </row>
    <row r="4541" spans="1:2" x14ac:dyDescent="0.25">
      <c r="A4541" s="8">
        <v>42878</v>
      </c>
      <c r="B4541" s="9">
        <v>10.72</v>
      </c>
    </row>
    <row r="4542" spans="1:2" x14ac:dyDescent="0.25">
      <c r="A4542" s="8">
        <v>42879</v>
      </c>
      <c r="B4542" s="9">
        <v>10.02</v>
      </c>
    </row>
    <row r="4543" spans="1:2" x14ac:dyDescent="0.25">
      <c r="A4543" s="8">
        <v>42880</v>
      </c>
      <c r="B4543" s="9">
        <v>9.99</v>
      </c>
    </row>
    <row r="4544" spans="1:2" x14ac:dyDescent="0.25">
      <c r="A4544" s="8">
        <v>42881</v>
      </c>
      <c r="B4544" s="9">
        <v>9.81</v>
      </c>
    </row>
    <row r="4545" spans="1:2" x14ac:dyDescent="0.25">
      <c r="A4545" s="8">
        <v>42884</v>
      </c>
    </row>
    <row r="4546" spans="1:2" x14ac:dyDescent="0.25">
      <c r="A4546" s="8">
        <v>42885</v>
      </c>
      <c r="B4546" s="9">
        <v>10.38</v>
      </c>
    </row>
    <row r="4547" spans="1:2" x14ac:dyDescent="0.25">
      <c r="A4547" s="8">
        <v>42886</v>
      </c>
      <c r="B4547" s="9">
        <v>10.41</v>
      </c>
    </row>
    <row r="4548" spans="1:2" x14ac:dyDescent="0.25">
      <c r="A4548" s="8">
        <v>42887</v>
      </c>
      <c r="B4548" s="9">
        <v>9.89</v>
      </c>
    </row>
    <row r="4549" spans="1:2" x14ac:dyDescent="0.25">
      <c r="A4549" s="8">
        <v>42888</v>
      </c>
      <c r="B4549" s="9">
        <v>9.75</v>
      </c>
    </row>
    <row r="4550" spans="1:2" x14ac:dyDescent="0.25">
      <c r="A4550" s="8">
        <v>42891</v>
      </c>
      <c r="B4550" s="9">
        <v>10.07</v>
      </c>
    </row>
    <row r="4551" spans="1:2" x14ac:dyDescent="0.25">
      <c r="A4551" s="8">
        <v>42892</v>
      </c>
      <c r="B4551" s="9">
        <v>10.45</v>
      </c>
    </row>
    <row r="4552" spans="1:2" x14ac:dyDescent="0.25">
      <c r="A4552" s="8">
        <v>42893</v>
      </c>
      <c r="B4552" s="9">
        <v>10.39</v>
      </c>
    </row>
    <row r="4553" spans="1:2" x14ac:dyDescent="0.25">
      <c r="A4553" s="8">
        <v>42894</v>
      </c>
      <c r="B4553" s="9">
        <v>10.16</v>
      </c>
    </row>
    <row r="4554" spans="1:2" x14ac:dyDescent="0.25">
      <c r="A4554" s="8">
        <v>42895</v>
      </c>
      <c r="B4554" s="9">
        <v>10.7</v>
      </c>
    </row>
    <row r="4555" spans="1:2" x14ac:dyDescent="0.25">
      <c r="A4555" s="8">
        <v>42898</v>
      </c>
      <c r="B4555" s="9">
        <v>11.46</v>
      </c>
    </row>
    <row r="4556" spans="1:2" x14ac:dyDescent="0.25">
      <c r="A4556" s="8">
        <v>42899</v>
      </c>
      <c r="B4556" s="9">
        <v>10.42</v>
      </c>
    </row>
    <row r="4557" spans="1:2" x14ac:dyDescent="0.25">
      <c r="A4557" s="8">
        <v>42900</v>
      </c>
      <c r="B4557" s="9">
        <v>10.64</v>
      </c>
    </row>
    <row r="4558" spans="1:2" x14ac:dyDescent="0.25">
      <c r="A4558" s="8">
        <v>42901</v>
      </c>
      <c r="B4558" s="9">
        <v>10.9</v>
      </c>
    </row>
    <row r="4559" spans="1:2" x14ac:dyDescent="0.25">
      <c r="A4559" s="8">
        <v>42902</v>
      </c>
      <c r="B4559" s="9">
        <v>10.38</v>
      </c>
    </row>
    <row r="4560" spans="1:2" x14ac:dyDescent="0.25">
      <c r="A4560" s="8">
        <v>42905</v>
      </c>
      <c r="B4560" s="9">
        <v>10.37</v>
      </c>
    </row>
    <row r="4561" spans="1:2" x14ac:dyDescent="0.25">
      <c r="A4561" s="8">
        <v>42906</v>
      </c>
      <c r="B4561" s="9">
        <v>10.86</v>
      </c>
    </row>
    <row r="4562" spans="1:2" x14ac:dyDescent="0.25">
      <c r="A4562" s="8">
        <v>42907</v>
      </c>
      <c r="B4562" s="9">
        <v>10.75</v>
      </c>
    </row>
    <row r="4563" spans="1:2" x14ac:dyDescent="0.25">
      <c r="A4563" s="8">
        <v>42908</v>
      </c>
      <c r="B4563" s="9">
        <v>10.48</v>
      </c>
    </row>
    <row r="4564" spans="1:2" x14ac:dyDescent="0.25">
      <c r="A4564" s="8">
        <v>42909</v>
      </c>
      <c r="B4564" s="9">
        <v>10.02</v>
      </c>
    </row>
    <row r="4565" spans="1:2" x14ac:dyDescent="0.25">
      <c r="A4565" s="8">
        <v>42912</v>
      </c>
      <c r="B4565" s="9">
        <v>9.9</v>
      </c>
    </row>
    <row r="4566" spans="1:2" x14ac:dyDescent="0.25">
      <c r="A4566" s="8">
        <v>42913</v>
      </c>
      <c r="B4566" s="9">
        <v>11.06</v>
      </c>
    </row>
    <row r="4567" spans="1:2" x14ac:dyDescent="0.25">
      <c r="A4567" s="8">
        <v>42914</v>
      </c>
      <c r="B4567" s="9">
        <v>10.029999999999999</v>
      </c>
    </row>
    <row r="4568" spans="1:2" x14ac:dyDescent="0.25">
      <c r="A4568" s="8">
        <v>42915</v>
      </c>
      <c r="B4568" s="9">
        <v>11.44</v>
      </c>
    </row>
    <row r="4569" spans="1:2" x14ac:dyDescent="0.25">
      <c r="A4569" s="8">
        <v>42916</v>
      </c>
      <c r="B4569" s="9">
        <v>11.18</v>
      </c>
    </row>
    <row r="4570" spans="1:2" x14ac:dyDescent="0.25">
      <c r="A4570" s="8">
        <v>42919</v>
      </c>
      <c r="B4570" s="9">
        <v>11.22</v>
      </c>
    </row>
    <row r="4571" spans="1:2" x14ac:dyDescent="0.25">
      <c r="A4571" s="8">
        <v>42920</v>
      </c>
    </row>
    <row r="4572" spans="1:2" x14ac:dyDescent="0.25">
      <c r="A4572" s="8">
        <v>42921</v>
      </c>
      <c r="B4572" s="9">
        <v>11.07</v>
      </c>
    </row>
    <row r="4573" spans="1:2" x14ac:dyDescent="0.25">
      <c r="A4573" s="8">
        <v>42922</v>
      </c>
      <c r="B4573" s="9">
        <v>12.54</v>
      </c>
    </row>
    <row r="4574" spans="1:2" x14ac:dyDescent="0.25">
      <c r="A4574" s="8">
        <v>42923</v>
      </c>
      <c r="B4574" s="9">
        <v>11.19</v>
      </c>
    </row>
    <row r="4575" spans="1:2" x14ac:dyDescent="0.25">
      <c r="A4575" s="8">
        <v>42926</v>
      </c>
      <c r="B4575" s="9">
        <v>11.11</v>
      </c>
    </row>
    <row r="4576" spans="1:2" x14ac:dyDescent="0.25">
      <c r="A4576" s="8">
        <v>42927</v>
      </c>
      <c r="B4576" s="9">
        <v>10.89</v>
      </c>
    </row>
    <row r="4577" spans="1:2" x14ac:dyDescent="0.25">
      <c r="A4577" s="8">
        <v>42928</v>
      </c>
      <c r="B4577" s="9">
        <v>10.3</v>
      </c>
    </row>
    <row r="4578" spans="1:2" x14ac:dyDescent="0.25">
      <c r="A4578" s="8">
        <v>42929</v>
      </c>
      <c r="B4578" s="9">
        <v>9.9</v>
      </c>
    </row>
    <row r="4579" spans="1:2" x14ac:dyDescent="0.25">
      <c r="A4579" s="8">
        <v>42930</v>
      </c>
      <c r="B4579" s="9">
        <v>9.51</v>
      </c>
    </row>
    <row r="4580" spans="1:2" x14ac:dyDescent="0.25">
      <c r="A4580" s="8">
        <v>42933</v>
      </c>
      <c r="B4580" s="9">
        <v>9.82</v>
      </c>
    </row>
    <row r="4581" spans="1:2" x14ac:dyDescent="0.25">
      <c r="A4581" s="8">
        <v>42934</v>
      </c>
      <c r="B4581" s="9">
        <v>9.89</v>
      </c>
    </row>
    <row r="4582" spans="1:2" x14ac:dyDescent="0.25">
      <c r="A4582" s="8">
        <v>42935</v>
      </c>
      <c r="B4582" s="9">
        <v>9.7899999999999991</v>
      </c>
    </row>
    <row r="4583" spans="1:2" x14ac:dyDescent="0.25">
      <c r="A4583" s="8">
        <v>42936</v>
      </c>
      <c r="B4583" s="9">
        <v>9.58</v>
      </c>
    </row>
    <row r="4584" spans="1:2" x14ac:dyDescent="0.25">
      <c r="A4584" s="8">
        <v>42937</v>
      </c>
      <c r="B4584" s="9">
        <v>9.36</v>
      </c>
    </row>
    <row r="4585" spans="1:2" x14ac:dyDescent="0.25">
      <c r="A4585" s="8">
        <v>42940</v>
      </c>
      <c r="B4585" s="9">
        <v>9.43</v>
      </c>
    </row>
    <row r="4586" spans="1:2" x14ac:dyDescent="0.25">
      <c r="A4586" s="8">
        <v>42941</v>
      </c>
      <c r="B4586" s="9">
        <v>9.43</v>
      </c>
    </row>
    <row r="4587" spans="1:2" x14ac:dyDescent="0.25">
      <c r="A4587" s="8">
        <v>42942</v>
      </c>
      <c r="B4587" s="9">
        <v>9.6</v>
      </c>
    </row>
    <row r="4588" spans="1:2" x14ac:dyDescent="0.25">
      <c r="A4588" s="8">
        <v>42943</v>
      </c>
      <c r="B4588" s="9">
        <v>10.11</v>
      </c>
    </row>
    <row r="4589" spans="1:2" x14ac:dyDescent="0.25">
      <c r="A4589" s="8">
        <v>42944</v>
      </c>
      <c r="B4589" s="9">
        <v>10.29</v>
      </c>
    </row>
    <row r="4590" spans="1:2" x14ac:dyDescent="0.25">
      <c r="A4590" s="8">
        <v>42947</v>
      </c>
      <c r="B4590" s="9">
        <v>10.26</v>
      </c>
    </row>
    <row r="4591" spans="1:2" x14ac:dyDescent="0.25">
      <c r="A4591" s="8">
        <v>42948</v>
      </c>
      <c r="B4591" s="9">
        <v>10.09</v>
      </c>
    </row>
    <row r="4592" spans="1:2" x14ac:dyDescent="0.25">
      <c r="A4592" s="8">
        <v>42949</v>
      </c>
      <c r="B4592" s="9">
        <v>10.28</v>
      </c>
    </row>
    <row r="4593" spans="1:2" x14ac:dyDescent="0.25">
      <c r="A4593" s="8">
        <v>42950</v>
      </c>
      <c r="B4593" s="9">
        <v>10.44</v>
      </c>
    </row>
    <row r="4594" spans="1:2" x14ac:dyDescent="0.25">
      <c r="A4594" s="8">
        <v>42951</v>
      </c>
      <c r="B4594" s="9">
        <v>10.029999999999999</v>
      </c>
    </row>
    <row r="4595" spans="1:2" x14ac:dyDescent="0.25">
      <c r="A4595" s="8">
        <v>42954</v>
      </c>
      <c r="B4595" s="9">
        <v>9.93</v>
      </c>
    </row>
    <row r="4596" spans="1:2" x14ac:dyDescent="0.25">
      <c r="A4596" s="8">
        <v>42955</v>
      </c>
      <c r="B4596" s="9">
        <v>10.96</v>
      </c>
    </row>
    <row r="4597" spans="1:2" x14ac:dyDescent="0.25">
      <c r="A4597" s="8">
        <v>42956</v>
      </c>
      <c r="B4597" s="9">
        <v>11.11</v>
      </c>
    </row>
    <row r="4598" spans="1:2" x14ac:dyDescent="0.25">
      <c r="A4598" s="8">
        <v>42957</v>
      </c>
      <c r="B4598" s="9">
        <v>16.04</v>
      </c>
    </row>
    <row r="4599" spans="1:2" x14ac:dyDescent="0.25">
      <c r="A4599" s="8">
        <v>42958</v>
      </c>
      <c r="B4599" s="9">
        <v>15.51</v>
      </c>
    </row>
    <row r="4600" spans="1:2" x14ac:dyDescent="0.25">
      <c r="A4600" s="8">
        <v>42961</v>
      </c>
      <c r="B4600" s="9">
        <v>12.33</v>
      </c>
    </row>
    <row r="4601" spans="1:2" x14ac:dyDescent="0.25">
      <c r="A4601" s="8">
        <v>42962</v>
      </c>
      <c r="B4601" s="9">
        <v>12.04</v>
      </c>
    </row>
    <row r="4602" spans="1:2" x14ac:dyDescent="0.25">
      <c r="A4602" s="8">
        <v>42963</v>
      </c>
      <c r="B4602" s="9">
        <v>11.74</v>
      </c>
    </row>
    <row r="4603" spans="1:2" x14ac:dyDescent="0.25">
      <c r="A4603" s="8">
        <v>42964</v>
      </c>
      <c r="B4603" s="9">
        <v>15.55</v>
      </c>
    </row>
    <row r="4604" spans="1:2" x14ac:dyDescent="0.25">
      <c r="A4604" s="8">
        <v>42965</v>
      </c>
      <c r="B4604" s="9">
        <v>14.26</v>
      </c>
    </row>
    <row r="4605" spans="1:2" x14ac:dyDescent="0.25">
      <c r="A4605" s="8">
        <v>42968</v>
      </c>
      <c r="B4605" s="9">
        <v>13.19</v>
      </c>
    </row>
    <row r="4606" spans="1:2" x14ac:dyDescent="0.25">
      <c r="A4606" s="8">
        <v>42969</v>
      </c>
      <c r="B4606" s="9">
        <v>11.35</v>
      </c>
    </row>
    <row r="4607" spans="1:2" x14ac:dyDescent="0.25">
      <c r="A4607" s="8">
        <v>42970</v>
      </c>
      <c r="B4607" s="9">
        <v>12.25</v>
      </c>
    </row>
    <row r="4608" spans="1:2" x14ac:dyDescent="0.25">
      <c r="A4608" s="8">
        <v>42971</v>
      </c>
      <c r="B4608" s="9">
        <v>12.23</v>
      </c>
    </row>
    <row r="4609" spans="1:2" x14ac:dyDescent="0.25">
      <c r="A4609" s="8">
        <v>42972</v>
      </c>
      <c r="B4609" s="9">
        <v>11.28</v>
      </c>
    </row>
    <row r="4610" spans="1:2" x14ac:dyDescent="0.25">
      <c r="A4610" s="8">
        <v>42975</v>
      </c>
      <c r="B4610" s="9">
        <v>11.32</v>
      </c>
    </row>
    <row r="4611" spans="1:2" x14ac:dyDescent="0.25">
      <c r="A4611" s="8">
        <v>42976</v>
      </c>
      <c r="B4611" s="9">
        <v>11.7</v>
      </c>
    </row>
    <row r="4612" spans="1:2" x14ac:dyDescent="0.25">
      <c r="A4612" s="8">
        <v>42977</v>
      </c>
      <c r="B4612" s="9">
        <v>11.22</v>
      </c>
    </row>
    <row r="4613" spans="1:2" x14ac:dyDescent="0.25">
      <c r="A4613" s="8">
        <v>42978</v>
      </c>
      <c r="B4613" s="9">
        <v>10.59</v>
      </c>
    </row>
    <row r="4614" spans="1:2" x14ac:dyDescent="0.25">
      <c r="A4614" s="8">
        <v>42979</v>
      </c>
      <c r="B4614" s="9">
        <v>10.130000000000001</v>
      </c>
    </row>
    <row r="4615" spans="1:2" x14ac:dyDescent="0.25">
      <c r="A4615" s="8">
        <v>42982</v>
      </c>
    </row>
    <row r="4616" spans="1:2" x14ac:dyDescent="0.25">
      <c r="A4616" s="8">
        <v>42983</v>
      </c>
      <c r="B4616" s="9">
        <v>12.23</v>
      </c>
    </row>
    <row r="4617" spans="1:2" x14ac:dyDescent="0.25">
      <c r="A4617" s="8">
        <v>42984</v>
      </c>
      <c r="B4617" s="9">
        <v>11.63</v>
      </c>
    </row>
    <row r="4618" spans="1:2" x14ac:dyDescent="0.25">
      <c r="A4618" s="8">
        <v>42985</v>
      </c>
      <c r="B4618" s="9">
        <v>11.55</v>
      </c>
    </row>
    <row r="4619" spans="1:2" x14ac:dyDescent="0.25">
      <c r="A4619" s="8">
        <v>42986</v>
      </c>
      <c r="B4619" s="9">
        <v>12.12</v>
      </c>
    </row>
    <row r="4620" spans="1:2" x14ac:dyDescent="0.25">
      <c r="A4620" s="8">
        <v>42989</v>
      </c>
      <c r="B4620" s="9">
        <v>10.73</v>
      </c>
    </row>
    <row r="4621" spans="1:2" x14ac:dyDescent="0.25">
      <c r="A4621" s="8">
        <v>42990</v>
      </c>
      <c r="B4621" s="9">
        <v>10.58</v>
      </c>
    </row>
    <row r="4622" spans="1:2" x14ac:dyDescent="0.25">
      <c r="A4622" s="8">
        <v>42991</v>
      </c>
      <c r="B4622" s="9">
        <v>10.5</v>
      </c>
    </row>
    <row r="4623" spans="1:2" x14ac:dyDescent="0.25">
      <c r="A4623" s="8">
        <v>42992</v>
      </c>
      <c r="B4623" s="9">
        <v>10.44</v>
      </c>
    </row>
    <row r="4624" spans="1:2" x14ac:dyDescent="0.25">
      <c r="A4624" s="8">
        <v>42993</v>
      </c>
      <c r="B4624" s="9">
        <v>10.17</v>
      </c>
    </row>
    <row r="4625" spans="1:2" x14ac:dyDescent="0.25">
      <c r="A4625" s="8">
        <v>42996</v>
      </c>
      <c r="B4625" s="9">
        <v>10.15</v>
      </c>
    </row>
    <row r="4626" spans="1:2" x14ac:dyDescent="0.25">
      <c r="A4626" s="8">
        <v>42997</v>
      </c>
      <c r="B4626" s="9">
        <v>10.18</v>
      </c>
    </row>
    <row r="4627" spans="1:2" x14ac:dyDescent="0.25">
      <c r="A4627" s="8">
        <v>42998</v>
      </c>
      <c r="B4627" s="9">
        <v>9.7799999999999994</v>
      </c>
    </row>
    <row r="4628" spans="1:2" x14ac:dyDescent="0.25">
      <c r="A4628" s="8">
        <v>42999</v>
      </c>
      <c r="B4628" s="9">
        <v>9.67</v>
      </c>
    </row>
    <row r="4629" spans="1:2" x14ac:dyDescent="0.25">
      <c r="A4629" s="8">
        <v>43000</v>
      </c>
      <c r="B4629" s="9">
        <v>9.59</v>
      </c>
    </row>
    <row r="4630" spans="1:2" x14ac:dyDescent="0.25">
      <c r="A4630" s="8">
        <v>43003</v>
      </c>
      <c r="B4630" s="9">
        <v>10.210000000000001</v>
      </c>
    </row>
    <row r="4631" spans="1:2" x14ac:dyDescent="0.25">
      <c r="A4631" s="8">
        <v>43004</v>
      </c>
      <c r="B4631" s="9">
        <v>10.17</v>
      </c>
    </row>
    <row r="4632" spans="1:2" x14ac:dyDescent="0.25">
      <c r="A4632" s="8">
        <v>43005</v>
      </c>
      <c r="B4632" s="9">
        <v>9.8699999999999992</v>
      </c>
    </row>
    <row r="4633" spans="1:2" x14ac:dyDescent="0.25">
      <c r="A4633" s="8">
        <v>43006</v>
      </c>
      <c r="B4633" s="9">
        <v>9.5500000000000007</v>
      </c>
    </row>
    <row r="4634" spans="1:2" x14ac:dyDescent="0.25">
      <c r="A4634" s="8">
        <v>43007</v>
      </c>
      <c r="B4634" s="9">
        <v>9.51</v>
      </c>
    </row>
    <row r="4635" spans="1:2" x14ac:dyDescent="0.25">
      <c r="A4635" s="8">
        <v>43010</v>
      </c>
      <c r="B4635" s="9">
        <v>9.4499999999999993</v>
      </c>
    </row>
    <row r="4636" spans="1:2" x14ac:dyDescent="0.25">
      <c r="A4636" s="8">
        <v>43011</v>
      </c>
      <c r="B4636" s="9">
        <v>9.51</v>
      </c>
    </row>
    <row r="4637" spans="1:2" x14ac:dyDescent="0.25">
      <c r="A4637" s="8">
        <v>43012</v>
      </c>
      <c r="B4637" s="9">
        <v>9.6300000000000008</v>
      </c>
    </row>
    <row r="4638" spans="1:2" x14ac:dyDescent="0.25">
      <c r="A4638" s="8">
        <v>43013</v>
      </c>
      <c r="B4638" s="9">
        <v>9.19</v>
      </c>
    </row>
    <row r="4639" spans="1:2" x14ac:dyDescent="0.25">
      <c r="A4639" s="8">
        <v>43014</v>
      </c>
      <c r="B4639" s="9">
        <v>9.65</v>
      </c>
    </row>
    <row r="4640" spans="1:2" x14ac:dyDescent="0.25">
      <c r="A4640" s="8">
        <v>43017</v>
      </c>
      <c r="B4640" s="9">
        <v>10.33</v>
      </c>
    </row>
    <row r="4641" spans="1:2" x14ac:dyDescent="0.25">
      <c r="A4641" s="8">
        <v>43018</v>
      </c>
      <c r="B4641" s="9">
        <v>10.08</v>
      </c>
    </row>
    <row r="4642" spans="1:2" x14ac:dyDescent="0.25">
      <c r="A4642" s="8">
        <v>43019</v>
      </c>
      <c r="B4642" s="9">
        <v>9.85</v>
      </c>
    </row>
    <row r="4643" spans="1:2" x14ac:dyDescent="0.25">
      <c r="A4643" s="8">
        <v>43020</v>
      </c>
      <c r="B4643" s="9">
        <v>9.91</v>
      </c>
    </row>
    <row r="4644" spans="1:2" x14ac:dyDescent="0.25">
      <c r="A4644" s="8">
        <v>43021</v>
      </c>
      <c r="B4644" s="9">
        <v>9.61</v>
      </c>
    </row>
    <row r="4645" spans="1:2" x14ac:dyDescent="0.25">
      <c r="A4645" s="8">
        <v>43024</v>
      </c>
      <c r="B4645" s="9">
        <v>9.91</v>
      </c>
    </row>
    <row r="4646" spans="1:2" x14ac:dyDescent="0.25">
      <c r="A4646" s="8">
        <v>43025</v>
      </c>
      <c r="B4646" s="9">
        <v>10.31</v>
      </c>
    </row>
    <row r="4647" spans="1:2" x14ac:dyDescent="0.25">
      <c r="A4647" s="8">
        <v>43026</v>
      </c>
      <c r="B4647" s="9">
        <v>10.07</v>
      </c>
    </row>
    <row r="4648" spans="1:2" x14ac:dyDescent="0.25">
      <c r="A4648" s="8">
        <v>43027</v>
      </c>
      <c r="B4648" s="9">
        <v>10.050000000000001</v>
      </c>
    </row>
    <row r="4649" spans="1:2" x14ac:dyDescent="0.25">
      <c r="A4649" s="8">
        <v>43028</v>
      </c>
      <c r="B4649" s="9">
        <v>9.9700000000000006</v>
      </c>
    </row>
    <row r="4650" spans="1:2" x14ac:dyDescent="0.25">
      <c r="A4650" s="8">
        <v>43031</v>
      </c>
      <c r="B4650" s="9">
        <v>11.07</v>
      </c>
    </row>
    <row r="4651" spans="1:2" x14ac:dyDescent="0.25">
      <c r="A4651" s="8">
        <v>43032</v>
      </c>
      <c r="B4651" s="9">
        <v>11.16</v>
      </c>
    </row>
    <row r="4652" spans="1:2" x14ac:dyDescent="0.25">
      <c r="A4652" s="8">
        <v>43033</v>
      </c>
      <c r="B4652" s="9">
        <v>11.23</v>
      </c>
    </row>
    <row r="4653" spans="1:2" x14ac:dyDescent="0.25">
      <c r="A4653" s="8">
        <v>43034</v>
      </c>
      <c r="B4653" s="9">
        <v>11.3</v>
      </c>
    </row>
    <row r="4654" spans="1:2" x14ac:dyDescent="0.25">
      <c r="A4654" s="8">
        <v>43035</v>
      </c>
      <c r="B4654" s="9">
        <v>9.8000000000000007</v>
      </c>
    </row>
    <row r="4655" spans="1:2" x14ac:dyDescent="0.25">
      <c r="A4655" s="8">
        <v>43038</v>
      </c>
      <c r="B4655" s="9">
        <v>10.5</v>
      </c>
    </row>
    <row r="4656" spans="1:2" x14ac:dyDescent="0.25">
      <c r="A4656" s="8">
        <v>43039</v>
      </c>
      <c r="B4656" s="9">
        <v>10.18</v>
      </c>
    </row>
    <row r="4657" spans="1:2" x14ac:dyDescent="0.25">
      <c r="A4657" s="8">
        <v>43040</v>
      </c>
      <c r="B4657" s="9">
        <v>10.199999999999999</v>
      </c>
    </row>
    <row r="4658" spans="1:2" x14ac:dyDescent="0.25">
      <c r="A4658" s="8">
        <v>43041</v>
      </c>
      <c r="B4658" s="9">
        <v>9.93</v>
      </c>
    </row>
    <row r="4659" spans="1:2" x14ac:dyDescent="0.25">
      <c r="A4659" s="8">
        <v>43042</v>
      </c>
      <c r="B4659" s="9">
        <v>9.14</v>
      </c>
    </row>
    <row r="4660" spans="1:2" x14ac:dyDescent="0.25">
      <c r="A4660" s="8">
        <v>43045</v>
      </c>
      <c r="B4660" s="9">
        <v>9.4</v>
      </c>
    </row>
    <row r="4661" spans="1:2" x14ac:dyDescent="0.25">
      <c r="A4661" s="8">
        <v>43046</v>
      </c>
      <c r="B4661" s="9">
        <v>9.89</v>
      </c>
    </row>
    <row r="4662" spans="1:2" x14ac:dyDescent="0.25">
      <c r="A4662" s="8">
        <v>43047</v>
      </c>
      <c r="B4662" s="9">
        <v>9.7799999999999994</v>
      </c>
    </row>
    <row r="4663" spans="1:2" x14ac:dyDescent="0.25">
      <c r="A4663" s="8">
        <v>43048</v>
      </c>
      <c r="B4663" s="9">
        <v>10.5</v>
      </c>
    </row>
    <row r="4664" spans="1:2" x14ac:dyDescent="0.25">
      <c r="A4664" s="8">
        <v>43049</v>
      </c>
      <c r="B4664" s="9">
        <v>11.29</v>
      </c>
    </row>
    <row r="4665" spans="1:2" x14ac:dyDescent="0.25">
      <c r="A4665" s="8">
        <v>43052</v>
      </c>
      <c r="B4665" s="9">
        <v>11.5</v>
      </c>
    </row>
    <row r="4666" spans="1:2" x14ac:dyDescent="0.25">
      <c r="A4666" s="8">
        <v>43053</v>
      </c>
      <c r="B4666" s="9">
        <v>11.59</v>
      </c>
    </row>
    <row r="4667" spans="1:2" x14ac:dyDescent="0.25">
      <c r="A4667" s="8">
        <v>43054</v>
      </c>
      <c r="B4667" s="9">
        <v>13.13</v>
      </c>
    </row>
    <row r="4668" spans="1:2" x14ac:dyDescent="0.25">
      <c r="A4668" s="8">
        <v>43055</v>
      </c>
      <c r="B4668" s="9">
        <v>11.76</v>
      </c>
    </row>
    <row r="4669" spans="1:2" x14ac:dyDescent="0.25">
      <c r="A4669" s="8">
        <v>43056</v>
      </c>
      <c r="B4669" s="9">
        <v>11.43</v>
      </c>
    </row>
    <row r="4670" spans="1:2" x14ac:dyDescent="0.25">
      <c r="A4670" s="8">
        <v>43059</v>
      </c>
      <c r="B4670" s="9">
        <v>10.65</v>
      </c>
    </row>
    <row r="4671" spans="1:2" x14ac:dyDescent="0.25">
      <c r="A4671" s="8">
        <v>43060</v>
      </c>
      <c r="B4671" s="9">
        <v>9.73</v>
      </c>
    </row>
    <row r="4672" spans="1:2" x14ac:dyDescent="0.25">
      <c r="A4672" s="8">
        <v>43061</v>
      </c>
      <c r="B4672" s="9">
        <v>9.8800000000000008</v>
      </c>
    </row>
    <row r="4673" spans="1:2" x14ac:dyDescent="0.25">
      <c r="A4673" s="8">
        <v>43062</v>
      </c>
    </row>
    <row r="4674" spans="1:2" x14ac:dyDescent="0.25">
      <c r="A4674" s="8">
        <v>43063</v>
      </c>
      <c r="B4674" s="9">
        <v>9.67</v>
      </c>
    </row>
    <row r="4675" spans="1:2" x14ac:dyDescent="0.25">
      <c r="A4675" s="8">
        <v>43066</v>
      </c>
      <c r="B4675" s="9">
        <v>9.8699999999999992</v>
      </c>
    </row>
    <row r="4676" spans="1:2" x14ac:dyDescent="0.25">
      <c r="A4676" s="8">
        <v>43067</v>
      </c>
      <c r="B4676" s="9">
        <v>10.029999999999999</v>
      </c>
    </row>
    <row r="4677" spans="1:2" x14ac:dyDescent="0.25">
      <c r="A4677" s="8">
        <v>43068</v>
      </c>
      <c r="B4677" s="9">
        <v>10.7</v>
      </c>
    </row>
    <row r="4678" spans="1:2" x14ac:dyDescent="0.25">
      <c r="A4678" s="8">
        <v>43069</v>
      </c>
      <c r="B4678" s="9">
        <v>11.28</v>
      </c>
    </row>
    <row r="4679" spans="1:2" x14ac:dyDescent="0.25">
      <c r="A4679" s="8">
        <v>43070</v>
      </c>
      <c r="B4679" s="9">
        <v>11.43</v>
      </c>
    </row>
    <row r="4680" spans="1:2" x14ac:dyDescent="0.25">
      <c r="A4680" s="8">
        <v>43073</v>
      </c>
      <c r="B4680" s="9">
        <v>11.68</v>
      </c>
    </row>
    <row r="4681" spans="1:2" x14ac:dyDescent="0.25">
      <c r="A4681" s="8">
        <v>43074</v>
      </c>
      <c r="B4681" s="9">
        <v>11.33</v>
      </c>
    </row>
    <row r="4682" spans="1:2" x14ac:dyDescent="0.25">
      <c r="A4682" s="8">
        <v>43075</v>
      </c>
      <c r="B4682" s="9">
        <v>11.02</v>
      </c>
    </row>
    <row r="4683" spans="1:2" x14ac:dyDescent="0.25">
      <c r="A4683" s="8">
        <v>43076</v>
      </c>
      <c r="B4683" s="9">
        <v>10.16</v>
      </c>
    </row>
    <row r="4684" spans="1:2" x14ac:dyDescent="0.25">
      <c r="A4684" s="8">
        <v>43077</v>
      </c>
      <c r="B4684" s="9">
        <v>9.58</v>
      </c>
    </row>
    <row r="4685" spans="1:2" x14ac:dyDescent="0.25">
      <c r="A4685" s="8">
        <v>43080</v>
      </c>
      <c r="B4685" s="9">
        <v>9.34</v>
      </c>
    </row>
    <row r="4686" spans="1:2" x14ac:dyDescent="0.25">
      <c r="A4686" s="8">
        <v>43081</v>
      </c>
      <c r="B4686" s="9">
        <v>9.92</v>
      </c>
    </row>
    <row r="4687" spans="1:2" x14ac:dyDescent="0.25">
      <c r="A4687" s="8">
        <v>43082</v>
      </c>
      <c r="B4687" s="9">
        <v>10.18</v>
      </c>
    </row>
    <row r="4688" spans="1:2" x14ac:dyDescent="0.25">
      <c r="A4688" s="8">
        <v>43083</v>
      </c>
      <c r="B4688" s="9">
        <v>10.49</v>
      </c>
    </row>
    <row r="4689" spans="1:2" x14ac:dyDescent="0.25">
      <c r="A4689" s="8">
        <v>43084</v>
      </c>
      <c r="B4689" s="9">
        <v>9.42</v>
      </c>
    </row>
    <row r="4690" spans="1:2" x14ac:dyDescent="0.25">
      <c r="A4690" s="8">
        <v>43087</v>
      </c>
      <c r="B4690" s="9">
        <v>9.5299999999999994</v>
      </c>
    </row>
    <row r="4691" spans="1:2" x14ac:dyDescent="0.25">
      <c r="A4691" s="8">
        <v>43088</v>
      </c>
      <c r="B4691" s="9">
        <v>10.029999999999999</v>
      </c>
    </row>
    <row r="4692" spans="1:2" x14ac:dyDescent="0.25">
      <c r="A4692" s="8">
        <v>43089</v>
      </c>
      <c r="B4692" s="9">
        <v>9.7200000000000006</v>
      </c>
    </row>
    <row r="4693" spans="1:2" x14ac:dyDescent="0.25">
      <c r="A4693" s="8">
        <v>43090</v>
      </c>
      <c r="B4693" s="9">
        <v>9.6199999999999992</v>
      </c>
    </row>
    <row r="4694" spans="1:2" x14ac:dyDescent="0.25">
      <c r="A4694" s="8">
        <v>43091</v>
      </c>
      <c r="B4694" s="9">
        <v>9.9</v>
      </c>
    </row>
    <row r="4695" spans="1:2" x14ac:dyDescent="0.25">
      <c r="A4695" s="8">
        <v>43094</v>
      </c>
    </row>
    <row r="4696" spans="1:2" x14ac:dyDescent="0.25">
      <c r="A4696" s="8">
        <v>43095</v>
      </c>
      <c r="B4696" s="9">
        <v>10.25</v>
      </c>
    </row>
    <row r="4697" spans="1:2" x14ac:dyDescent="0.25">
      <c r="A4697" s="8">
        <v>43096</v>
      </c>
      <c r="B4697" s="9">
        <v>10.47</v>
      </c>
    </row>
    <row r="4698" spans="1:2" x14ac:dyDescent="0.25">
      <c r="A4698" s="8">
        <v>43097</v>
      </c>
      <c r="B4698" s="9">
        <v>10.18</v>
      </c>
    </row>
    <row r="4699" spans="1:2" x14ac:dyDescent="0.25">
      <c r="A4699" s="8">
        <v>43098</v>
      </c>
      <c r="B4699" s="9">
        <v>11.04</v>
      </c>
    </row>
    <row r="4700" spans="1:2" x14ac:dyDescent="0.25">
      <c r="A4700" s="8">
        <v>43101</v>
      </c>
    </row>
    <row r="4701" spans="1:2" x14ac:dyDescent="0.25">
      <c r="A4701" s="8">
        <v>43102</v>
      </c>
      <c r="B4701" s="9">
        <v>9.77</v>
      </c>
    </row>
    <row r="4702" spans="1:2" x14ac:dyDescent="0.25">
      <c r="A4702" s="8">
        <v>43103</v>
      </c>
      <c r="B4702" s="9">
        <v>9.15</v>
      </c>
    </row>
    <row r="4703" spans="1:2" x14ac:dyDescent="0.25">
      <c r="A4703" s="8">
        <v>43104</v>
      </c>
      <c r="B4703" s="9">
        <v>9.2200000000000006</v>
      </c>
    </row>
    <row r="4704" spans="1:2" x14ac:dyDescent="0.25">
      <c r="A4704" s="8">
        <v>43105</v>
      </c>
      <c r="B4704" s="9">
        <v>9.2200000000000006</v>
      </c>
    </row>
    <row r="4705" spans="1:2" x14ac:dyDescent="0.25">
      <c r="A4705" s="8">
        <v>43108</v>
      </c>
      <c r="B4705" s="9">
        <v>9.52</v>
      </c>
    </row>
    <row r="4706" spans="1:2" x14ac:dyDescent="0.25">
      <c r="A4706" s="8">
        <v>43109</v>
      </c>
      <c r="B4706" s="9">
        <v>10.08</v>
      </c>
    </row>
    <row r="4707" spans="1:2" x14ac:dyDescent="0.25">
      <c r="A4707" s="8">
        <v>43110</v>
      </c>
      <c r="B4707" s="9">
        <v>9.82</v>
      </c>
    </row>
    <row r="4708" spans="1:2" x14ac:dyDescent="0.25">
      <c r="A4708" s="8">
        <v>43111</v>
      </c>
      <c r="B4708" s="9">
        <v>9.8800000000000008</v>
      </c>
    </row>
    <row r="4709" spans="1:2" x14ac:dyDescent="0.25">
      <c r="A4709" s="8">
        <v>43112</v>
      </c>
      <c r="B4709" s="9">
        <v>10.16</v>
      </c>
    </row>
    <row r="4710" spans="1:2" x14ac:dyDescent="0.25">
      <c r="A4710" s="8">
        <v>43115</v>
      </c>
    </row>
    <row r="4711" spans="1:2" x14ac:dyDescent="0.25">
      <c r="A4711" s="8">
        <v>43116</v>
      </c>
      <c r="B4711" s="9">
        <v>11.66</v>
      </c>
    </row>
    <row r="4712" spans="1:2" x14ac:dyDescent="0.25">
      <c r="A4712" s="8">
        <v>43117</v>
      </c>
      <c r="B4712" s="9">
        <v>11.91</v>
      </c>
    </row>
    <row r="4713" spans="1:2" x14ac:dyDescent="0.25">
      <c r="A4713" s="8">
        <v>43118</v>
      </c>
      <c r="B4713" s="9">
        <v>12.22</v>
      </c>
    </row>
    <row r="4714" spans="1:2" x14ac:dyDescent="0.25">
      <c r="A4714" s="8">
        <v>43119</v>
      </c>
      <c r="B4714" s="9">
        <v>11.27</v>
      </c>
    </row>
    <row r="4715" spans="1:2" x14ac:dyDescent="0.25">
      <c r="A4715" s="8">
        <v>43122</v>
      </c>
      <c r="B4715" s="9">
        <v>11.03</v>
      </c>
    </row>
    <row r="4716" spans="1:2" x14ac:dyDescent="0.25">
      <c r="A4716" s="8">
        <v>43123</v>
      </c>
      <c r="B4716" s="9">
        <v>11.1</v>
      </c>
    </row>
    <row r="4717" spans="1:2" x14ac:dyDescent="0.25">
      <c r="A4717" s="8">
        <v>43124</v>
      </c>
      <c r="B4717" s="9">
        <v>11.47</v>
      </c>
    </row>
    <row r="4718" spans="1:2" x14ac:dyDescent="0.25">
      <c r="A4718" s="8">
        <v>43125</v>
      </c>
      <c r="B4718" s="9">
        <v>11.58</v>
      </c>
    </row>
    <row r="4719" spans="1:2" x14ac:dyDescent="0.25">
      <c r="A4719" s="8">
        <v>43126</v>
      </c>
      <c r="B4719" s="9">
        <v>11.08</v>
      </c>
    </row>
    <row r="4720" spans="1:2" x14ac:dyDescent="0.25">
      <c r="A4720" s="8">
        <v>43129</v>
      </c>
      <c r="B4720" s="9">
        <v>13.84</v>
      </c>
    </row>
    <row r="4721" spans="1:2" x14ac:dyDescent="0.25">
      <c r="A4721" s="8">
        <v>43130</v>
      </c>
      <c r="B4721" s="9">
        <v>14.79</v>
      </c>
    </row>
    <row r="4722" spans="1:2" x14ac:dyDescent="0.25">
      <c r="A4722" s="8">
        <v>43131</v>
      </c>
      <c r="B4722" s="9">
        <v>13.54</v>
      </c>
    </row>
    <row r="4723" spans="1:2" x14ac:dyDescent="0.25">
      <c r="A4723" s="8">
        <v>43132</v>
      </c>
      <c r="B4723" s="9">
        <v>13.47</v>
      </c>
    </row>
    <row r="4724" spans="1:2" x14ac:dyDescent="0.25">
      <c r="A4724" s="8">
        <v>43133</v>
      </c>
      <c r="B4724" s="9">
        <v>17.309999999999999</v>
      </c>
    </row>
    <row r="4725" spans="1:2" x14ac:dyDescent="0.25">
      <c r="A4725" s="8">
        <v>43136</v>
      </c>
      <c r="B4725" s="9">
        <v>37.32</v>
      </c>
    </row>
    <row r="4726" spans="1:2" x14ac:dyDescent="0.25">
      <c r="A4726" s="8">
        <v>43137</v>
      </c>
      <c r="B4726" s="9">
        <v>29.98</v>
      </c>
    </row>
    <row r="4727" spans="1:2" x14ac:dyDescent="0.25">
      <c r="A4727" s="8">
        <v>43138</v>
      </c>
      <c r="B4727" s="9">
        <v>27.73</v>
      </c>
    </row>
    <row r="4728" spans="1:2" x14ac:dyDescent="0.25">
      <c r="A4728" s="8">
        <v>43139</v>
      </c>
      <c r="B4728" s="9">
        <v>33.46</v>
      </c>
    </row>
    <row r="4729" spans="1:2" x14ac:dyDescent="0.25">
      <c r="A4729" s="8">
        <v>43140</v>
      </c>
      <c r="B4729" s="9">
        <v>29.06</v>
      </c>
    </row>
    <row r="4730" spans="1:2" x14ac:dyDescent="0.25">
      <c r="A4730" s="8">
        <v>43143</v>
      </c>
      <c r="B4730" s="9">
        <v>25.61</v>
      </c>
    </row>
    <row r="4731" spans="1:2" x14ac:dyDescent="0.25">
      <c r="A4731" s="8">
        <v>43144</v>
      </c>
      <c r="B4731" s="9">
        <v>24.97</v>
      </c>
    </row>
    <row r="4732" spans="1:2" x14ac:dyDescent="0.25">
      <c r="A4732" s="8">
        <v>43145</v>
      </c>
      <c r="B4732" s="9">
        <v>19.260000000000002</v>
      </c>
    </row>
    <row r="4733" spans="1:2" x14ac:dyDescent="0.25">
      <c r="A4733" s="8">
        <v>43146</v>
      </c>
      <c r="B4733" s="9">
        <v>19.13</v>
      </c>
    </row>
    <row r="4734" spans="1:2" x14ac:dyDescent="0.25">
      <c r="A4734" s="8">
        <v>43147</v>
      </c>
      <c r="B4734" s="9">
        <v>19.46</v>
      </c>
    </row>
    <row r="4735" spans="1:2" x14ac:dyDescent="0.25">
      <c r="A4735" s="8">
        <v>43150</v>
      </c>
    </row>
    <row r="4736" spans="1:2" x14ac:dyDescent="0.25">
      <c r="A4736" s="8">
        <v>43151</v>
      </c>
      <c r="B4736" s="9">
        <v>20.6</v>
      </c>
    </row>
    <row r="4737" spans="1:2" x14ac:dyDescent="0.25">
      <c r="A4737" s="8">
        <v>43152</v>
      </c>
      <c r="B4737" s="9">
        <v>20.02</v>
      </c>
    </row>
    <row r="4738" spans="1:2" x14ac:dyDescent="0.25">
      <c r="A4738" s="8">
        <v>43153</v>
      </c>
      <c r="B4738" s="9">
        <v>18.72</v>
      </c>
    </row>
    <row r="4739" spans="1:2" x14ac:dyDescent="0.25">
      <c r="A4739" s="8">
        <v>43154</v>
      </c>
      <c r="B4739" s="9">
        <v>16.489999999999998</v>
      </c>
    </row>
    <row r="4740" spans="1:2" x14ac:dyDescent="0.25">
      <c r="A4740" s="8">
        <v>43157</v>
      </c>
      <c r="B4740" s="9">
        <v>15.8</v>
      </c>
    </row>
    <row r="4741" spans="1:2" x14ac:dyDescent="0.25">
      <c r="A4741" s="8">
        <v>43158</v>
      </c>
      <c r="B4741" s="9">
        <v>18.59</v>
      </c>
    </row>
    <row r="4742" spans="1:2" x14ac:dyDescent="0.25">
      <c r="A4742" s="8">
        <v>43159</v>
      </c>
      <c r="B4742" s="9">
        <v>19.850000000000001</v>
      </c>
    </row>
    <row r="4743" spans="1:2" x14ac:dyDescent="0.25">
      <c r="A4743" s="8">
        <v>43160</v>
      </c>
      <c r="B4743" s="9">
        <v>22.47</v>
      </c>
    </row>
    <row r="4744" spans="1:2" x14ac:dyDescent="0.25">
      <c r="A4744" s="8">
        <v>43161</v>
      </c>
      <c r="B4744" s="9">
        <v>19.59</v>
      </c>
    </row>
    <row r="4745" spans="1:2" x14ac:dyDescent="0.25">
      <c r="A4745" s="8">
        <v>43164</v>
      </c>
      <c r="B4745" s="9">
        <v>18.73</v>
      </c>
    </row>
    <row r="4746" spans="1:2" x14ac:dyDescent="0.25">
      <c r="A4746" s="8">
        <v>43165</v>
      </c>
      <c r="B4746" s="9">
        <v>18.36</v>
      </c>
    </row>
    <row r="4747" spans="1:2" x14ac:dyDescent="0.25">
      <c r="A4747" s="8">
        <v>43166</v>
      </c>
      <c r="B4747" s="9">
        <v>17.760000000000002</v>
      </c>
    </row>
    <row r="4748" spans="1:2" x14ac:dyDescent="0.25">
      <c r="A4748" s="8">
        <v>43167</v>
      </c>
      <c r="B4748" s="9">
        <v>16.54</v>
      </c>
    </row>
    <row r="4749" spans="1:2" x14ac:dyDescent="0.25">
      <c r="A4749" s="8">
        <v>43168</v>
      </c>
      <c r="B4749" s="9">
        <v>14.64</v>
      </c>
    </row>
    <row r="4750" spans="1:2" x14ac:dyDescent="0.25">
      <c r="A4750" s="8">
        <v>43171</v>
      </c>
      <c r="B4750" s="9">
        <v>15.78</v>
      </c>
    </row>
    <row r="4751" spans="1:2" x14ac:dyDescent="0.25">
      <c r="A4751" s="8">
        <v>43172</v>
      </c>
      <c r="B4751" s="9">
        <v>16.350000000000001</v>
      </c>
    </row>
    <row r="4752" spans="1:2" x14ac:dyDescent="0.25">
      <c r="A4752" s="8">
        <v>43173</v>
      </c>
      <c r="B4752" s="9">
        <v>17.23</v>
      </c>
    </row>
    <row r="4753" spans="1:2" x14ac:dyDescent="0.25">
      <c r="A4753" s="8">
        <v>43174</v>
      </c>
      <c r="B4753" s="9">
        <v>16.59</v>
      </c>
    </row>
    <row r="4754" spans="1:2" x14ac:dyDescent="0.25">
      <c r="A4754" s="8">
        <v>43175</v>
      </c>
      <c r="B4754" s="9">
        <v>15.8</v>
      </c>
    </row>
    <row r="4755" spans="1:2" x14ac:dyDescent="0.25">
      <c r="A4755" s="8">
        <v>43178</v>
      </c>
      <c r="B4755" s="9">
        <v>19.02</v>
      </c>
    </row>
    <row r="4756" spans="1:2" x14ac:dyDescent="0.25">
      <c r="A4756" s="8">
        <v>43179</v>
      </c>
      <c r="B4756" s="9">
        <v>18.2</v>
      </c>
    </row>
    <row r="4757" spans="1:2" x14ac:dyDescent="0.25">
      <c r="A4757" s="8">
        <v>43180</v>
      </c>
      <c r="B4757" s="9">
        <v>17.86</v>
      </c>
    </row>
    <row r="4758" spans="1:2" x14ac:dyDescent="0.25">
      <c r="A4758" s="8">
        <v>43181</v>
      </c>
      <c r="B4758" s="9">
        <v>23.34</v>
      </c>
    </row>
    <row r="4759" spans="1:2" x14ac:dyDescent="0.25">
      <c r="A4759" s="8">
        <v>43182</v>
      </c>
      <c r="B4759" s="9">
        <v>24.87</v>
      </c>
    </row>
    <row r="4760" spans="1:2" x14ac:dyDescent="0.25">
      <c r="A4760" s="8">
        <v>43185</v>
      </c>
      <c r="B4760" s="9">
        <v>21.03</v>
      </c>
    </row>
    <row r="4761" spans="1:2" x14ac:dyDescent="0.25">
      <c r="A4761" s="8">
        <v>43186</v>
      </c>
      <c r="B4761" s="9">
        <v>22.5</v>
      </c>
    </row>
    <row r="4762" spans="1:2" x14ac:dyDescent="0.25">
      <c r="A4762" s="8">
        <v>43187</v>
      </c>
      <c r="B4762" s="9">
        <v>22.87</v>
      </c>
    </row>
    <row r="4763" spans="1:2" x14ac:dyDescent="0.25">
      <c r="A4763" s="8">
        <v>43188</v>
      </c>
      <c r="B4763" s="9">
        <v>19.97</v>
      </c>
    </row>
    <row r="4764" spans="1:2" x14ac:dyDescent="0.25">
      <c r="A4764" s="8">
        <v>43189</v>
      </c>
    </row>
    <row r="4765" spans="1:2" x14ac:dyDescent="0.25">
      <c r="A4765" s="8">
        <v>43192</v>
      </c>
      <c r="B4765" s="9">
        <v>23.62</v>
      </c>
    </row>
    <row r="4766" spans="1:2" x14ac:dyDescent="0.25">
      <c r="A4766" s="8">
        <v>43193</v>
      </c>
      <c r="B4766" s="9">
        <v>21.1</v>
      </c>
    </row>
    <row r="4767" spans="1:2" x14ac:dyDescent="0.25">
      <c r="A4767" s="8">
        <v>43194</v>
      </c>
      <c r="B4767" s="9">
        <v>20.059999999999999</v>
      </c>
    </row>
    <row r="4768" spans="1:2" x14ac:dyDescent="0.25">
      <c r="A4768" s="8">
        <v>43195</v>
      </c>
      <c r="B4768" s="9">
        <v>18.940000000000001</v>
      </c>
    </row>
    <row r="4769" spans="1:2" x14ac:dyDescent="0.25">
      <c r="A4769" s="8">
        <v>43196</v>
      </c>
      <c r="B4769" s="9">
        <v>21.49</v>
      </c>
    </row>
    <row r="4770" spans="1:2" x14ac:dyDescent="0.25">
      <c r="A4770" s="8">
        <v>43199</v>
      </c>
      <c r="B4770" s="9">
        <v>21.77</v>
      </c>
    </row>
    <row r="4771" spans="1:2" x14ac:dyDescent="0.25">
      <c r="A4771" s="8">
        <v>43200</v>
      </c>
      <c r="B4771" s="9">
        <v>20.47</v>
      </c>
    </row>
    <row r="4772" spans="1:2" x14ac:dyDescent="0.25">
      <c r="A4772" s="8">
        <v>43201</v>
      </c>
      <c r="B4772" s="9">
        <v>20.239999999999998</v>
      </c>
    </row>
    <row r="4773" spans="1:2" x14ac:dyDescent="0.25">
      <c r="A4773" s="8">
        <v>43202</v>
      </c>
      <c r="B4773" s="9">
        <v>18.489999999999998</v>
      </c>
    </row>
    <row r="4774" spans="1:2" x14ac:dyDescent="0.25">
      <c r="A4774" s="8">
        <v>43203</v>
      </c>
      <c r="B4774" s="9">
        <v>17.41</v>
      </c>
    </row>
    <row r="4775" spans="1:2" x14ac:dyDescent="0.25">
      <c r="A4775" s="8">
        <v>43206</v>
      </c>
      <c r="B4775" s="9">
        <v>16.559999999999999</v>
      </c>
    </row>
    <row r="4776" spans="1:2" x14ac:dyDescent="0.25">
      <c r="A4776" s="8">
        <v>43207</v>
      </c>
      <c r="B4776" s="9">
        <v>15.25</v>
      </c>
    </row>
    <row r="4777" spans="1:2" x14ac:dyDescent="0.25">
      <c r="A4777" s="8">
        <v>43208</v>
      </c>
      <c r="B4777" s="9">
        <v>15.6</v>
      </c>
    </row>
    <row r="4778" spans="1:2" x14ac:dyDescent="0.25">
      <c r="A4778" s="8">
        <v>43209</v>
      </c>
      <c r="B4778" s="9">
        <v>15.96</v>
      </c>
    </row>
    <row r="4779" spans="1:2" x14ac:dyDescent="0.25">
      <c r="A4779" s="8">
        <v>43210</v>
      </c>
      <c r="B4779" s="9">
        <v>16.88</v>
      </c>
    </row>
    <row r="4780" spans="1:2" x14ac:dyDescent="0.25">
      <c r="A4780" s="8">
        <v>43213</v>
      </c>
      <c r="B4780" s="9">
        <v>16.34</v>
      </c>
    </row>
    <row r="4781" spans="1:2" x14ac:dyDescent="0.25">
      <c r="A4781" s="8">
        <v>43214</v>
      </c>
      <c r="B4781" s="9">
        <v>18.02</v>
      </c>
    </row>
    <row r="4782" spans="1:2" x14ac:dyDescent="0.25">
      <c r="A4782" s="8">
        <v>43215</v>
      </c>
      <c r="B4782" s="9">
        <v>17.84</v>
      </c>
    </row>
    <row r="4783" spans="1:2" x14ac:dyDescent="0.25">
      <c r="A4783" s="8">
        <v>43216</v>
      </c>
      <c r="B4783" s="9">
        <v>16.239999999999998</v>
      </c>
    </row>
    <row r="4784" spans="1:2" x14ac:dyDescent="0.25">
      <c r="A4784" s="8">
        <v>43217</v>
      </c>
      <c r="B4784" s="9">
        <v>15.41</v>
      </c>
    </row>
    <row r="4785" spans="1:2" x14ac:dyDescent="0.25">
      <c r="A4785" s="8">
        <v>43220</v>
      </c>
      <c r="B4785" s="9">
        <v>15.93</v>
      </c>
    </row>
    <row r="4786" spans="1:2" x14ac:dyDescent="0.25">
      <c r="A4786" s="8">
        <v>43221</v>
      </c>
      <c r="B4786" s="9">
        <v>15.49</v>
      </c>
    </row>
    <row r="4787" spans="1:2" x14ac:dyDescent="0.25">
      <c r="A4787" s="8">
        <v>43222</v>
      </c>
      <c r="B4787" s="9">
        <v>15.97</v>
      </c>
    </row>
    <row r="4788" spans="1:2" x14ac:dyDescent="0.25">
      <c r="A4788" s="8">
        <v>43223</v>
      </c>
      <c r="B4788" s="9">
        <v>15.9</v>
      </c>
    </row>
    <row r="4789" spans="1:2" x14ac:dyDescent="0.25">
      <c r="A4789" s="8">
        <v>43224</v>
      </c>
      <c r="B4789" s="9">
        <v>14.77</v>
      </c>
    </row>
    <row r="4790" spans="1:2" x14ac:dyDescent="0.25">
      <c r="A4790" s="8">
        <v>43227</v>
      </c>
      <c r="B4790" s="9">
        <v>14.75</v>
      </c>
    </row>
    <row r="4791" spans="1:2" x14ac:dyDescent="0.25">
      <c r="A4791" s="8">
        <v>43228</v>
      </c>
      <c r="B4791" s="9">
        <v>14.71</v>
      </c>
    </row>
    <row r="4792" spans="1:2" x14ac:dyDescent="0.25">
      <c r="A4792" s="8">
        <v>43229</v>
      </c>
      <c r="B4792" s="9">
        <v>13.42</v>
      </c>
    </row>
    <row r="4793" spans="1:2" x14ac:dyDescent="0.25">
      <c r="A4793" s="8">
        <v>43230</v>
      </c>
      <c r="B4793" s="9">
        <v>13.23</v>
      </c>
    </row>
    <row r="4794" spans="1:2" x14ac:dyDescent="0.25">
      <c r="A4794" s="8">
        <v>43231</v>
      </c>
      <c r="B4794" s="9">
        <v>12.65</v>
      </c>
    </row>
    <row r="4795" spans="1:2" x14ac:dyDescent="0.25">
      <c r="A4795" s="8">
        <v>43234</v>
      </c>
      <c r="B4795" s="9">
        <v>12.93</v>
      </c>
    </row>
    <row r="4796" spans="1:2" x14ac:dyDescent="0.25">
      <c r="A4796" s="8">
        <v>43235</v>
      </c>
      <c r="B4796" s="9">
        <v>14.63</v>
      </c>
    </row>
    <row r="4797" spans="1:2" x14ac:dyDescent="0.25">
      <c r="A4797" s="8">
        <v>43236</v>
      </c>
      <c r="B4797" s="9">
        <v>13.42</v>
      </c>
    </row>
    <row r="4798" spans="1:2" x14ac:dyDescent="0.25">
      <c r="A4798" s="8">
        <v>43237</v>
      </c>
      <c r="B4798" s="9">
        <v>13.43</v>
      </c>
    </row>
    <row r="4799" spans="1:2" x14ac:dyDescent="0.25">
      <c r="A4799" s="8">
        <v>43238</v>
      </c>
      <c r="B4799" s="9">
        <v>13.42</v>
      </c>
    </row>
    <row r="4800" spans="1:2" x14ac:dyDescent="0.25">
      <c r="A4800" s="8">
        <v>43241</v>
      </c>
      <c r="B4800" s="9">
        <v>13.08</v>
      </c>
    </row>
    <row r="4801" spans="1:2" x14ac:dyDescent="0.25">
      <c r="A4801" s="8">
        <v>43242</v>
      </c>
      <c r="B4801" s="9">
        <v>13.22</v>
      </c>
    </row>
    <row r="4802" spans="1:2" x14ac:dyDescent="0.25">
      <c r="A4802" s="8">
        <v>43243</v>
      </c>
      <c r="B4802" s="9">
        <v>12.58</v>
      </c>
    </row>
    <row r="4803" spans="1:2" x14ac:dyDescent="0.25">
      <c r="A4803" s="8">
        <v>43244</v>
      </c>
      <c r="B4803" s="9">
        <v>12.53</v>
      </c>
    </row>
    <row r="4804" spans="1:2" x14ac:dyDescent="0.25">
      <c r="A4804" s="8">
        <v>43245</v>
      </c>
      <c r="B4804" s="9">
        <v>13.22</v>
      </c>
    </row>
    <row r="4805" spans="1:2" x14ac:dyDescent="0.25">
      <c r="A4805" s="8">
        <v>43248</v>
      </c>
    </row>
    <row r="4806" spans="1:2" x14ac:dyDescent="0.25">
      <c r="A4806" s="8">
        <v>43249</v>
      </c>
      <c r="B4806" s="9">
        <v>17.02</v>
      </c>
    </row>
    <row r="4807" spans="1:2" x14ac:dyDescent="0.25">
      <c r="A4807" s="8">
        <v>43250</v>
      </c>
      <c r="B4807" s="9">
        <v>14.94</v>
      </c>
    </row>
    <row r="4808" spans="1:2" x14ac:dyDescent="0.25">
      <c r="A4808" s="8">
        <v>43251</v>
      </c>
      <c r="B4808" s="9">
        <v>15.43</v>
      </c>
    </row>
    <row r="4809" spans="1:2" x14ac:dyDescent="0.25">
      <c r="A4809" s="8">
        <v>43252</v>
      </c>
      <c r="B4809" s="9">
        <v>13.46</v>
      </c>
    </row>
    <row r="4810" spans="1:2" x14ac:dyDescent="0.25">
      <c r="A4810" s="8">
        <v>43255</v>
      </c>
      <c r="B4810" s="9">
        <v>12.74</v>
      </c>
    </row>
    <row r="4811" spans="1:2" x14ac:dyDescent="0.25">
      <c r="A4811" s="8">
        <v>43256</v>
      </c>
      <c r="B4811" s="9">
        <v>12.4</v>
      </c>
    </row>
    <row r="4812" spans="1:2" x14ac:dyDescent="0.25">
      <c r="A4812" s="8">
        <v>43257</v>
      </c>
      <c r="B4812" s="9">
        <v>11.64</v>
      </c>
    </row>
    <row r="4813" spans="1:2" x14ac:dyDescent="0.25">
      <c r="A4813" s="8">
        <v>43258</v>
      </c>
      <c r="B4813" s="9">
        <v>12.13</v>
      </c>
    </row>
    <row r="4814" spans="1:2" x14ac:dyDescent="0.25">
      <c r="A4814" s="8">
        <v>43259</v>
      </c>
      <c r="B4814" s="9">
        <v>12.18</v>
      </c>
    </row>
    <row r="4815" spans="1:2" x14ac:dyDescent="0.25">
      <c r="A4815" s="8">
        <v>43262</v>
      </c>
      <c r="B4815" s="9">
        <v>12.35</v>
      </c>
    </row>
    <row r="4816" spans="1:2" x14ac:dyDescent="0.25">
      <c r="A4816" s="8">
        <v>43263</v>
      </c>
      <c r="B4816" s="9">
        <v>12.34</v>
      </c>
    </row>
    <row r="4817" spans="1:2" x14ac:dyDescent="0.25">
      <c r="A4817" s="8">
        <v>43264</v>
      </c>
      <c r="B4817" s="9">
        <v>12.94</v>
      </c>
    </row>
    <row r="4818" spans="1:2" x14ac:dyDescent="0.25">
      <c r="A4818" s="8">
        <v>43265</v>
      </c>
      <c r="B4818" s="9">
        <v>12.12</v>
      </c>
    </row>
    <row r="4819" spans="1:2" x14ac:dyDescent="0.25">
      <c r="A4819" s="8">
        <v>43266</v>
      </c>
      <c r="B4819" s="9">
        <v>11.98</v>
      </c>
    </row>
    <row r="4820" spans="1:2" x14ac:dyDescent="0.25">
      <c r="A4820" s="8">
        <v>43269</v>
      </c>
      <c r="B4820" s="9">
        <v>12.31</v>
      </c>
    </row>
    <row r="4821" spans="1:2" x14ac:dyDescent="0.25">
      <c r="A4821" s="8">
        <v>43270</v>
      </c>
      <c r="B4821" s="9">
        <v>13.35</v>
      </c>
    </row>
    <row r="4822" spans="1:2" x14ac:dyDescent="0.25">
      <c r="A4822" s="8">
        <v>43271</v>
      </c>
      <c r="B4822" s="9">
        <v>12.79</v>
      </c>
    </row>
    <row r="4823" spans="1:2" x14ac:dyDescent="0.25">
      <c r="A4823" s="8">
        <v>43272</v>
      </c>
      <c r="B4823" s="9">
        <v>14.64</v>
      </c>
    </row>
    <row r="4824" spans="1:2" x14ac:dyDescent="0.25">
      <c r="A4824" s="8">
        <v>43273</v>
      </c>
      <c r="B4824" s="9">
        <v>13.77</v>
      </c>
    </row>
    <row r="4825" spans="1:2" x14ac:dyDescent="0.25">
      <c r="A4825" s="8">
        <v>43276</v>
      </c>
      <c r="B4825" s="9">
        <v>17.329999999999998</v>
      </c>
    </row>
    <row r="4826" spans="1:2" x14ac:dyDescent="0.25">
      <c r="A4826" s="8">
        <v>43277</v>
      </c>
      <c r="B4826" s="9">
        <v>15.92</v>
      </c>
    </row>
    <row r="4827" spans="1:2" x14ac:dyDescent="0.25">
      <c r="A4827" s="8">
        <v>43278</v>
      </c>
      <c r="B4827" s="9">
        <v>17.91</v>
      </c>
    </row>
    <row r="4828" spans="1:2" x14ac:dyDescent="0.25">
      <c r="A4828" s="8">
        <v>43279</v>
      </c>
      <c r="B4828" s="9">
        <v>16.850000000000001</v>
      </c>
    </row>
    <row r="4829" spans="1:2" x14ac:dyDescent="0.25">
      <c r="A4829" s="8">
        <v>43280</v>
      </c>
      <c r="B4829" s="9">
        <v>16.09</v>
      </c>
    </row>
    <row r="4830" spans="1:2" x14ac:dyDescent="0.25">
      <c r="A4830" s="8">
        <v>43283</v>
      </c>
      <c r="B4830" s="9">
        <v>15.6</v>
      </c>
    </row>
    <row r="4831" spans="1:2" x14ac:dyDescent="0.25">
      <c r="A4831" s="8">
        <v>43284</v>
      </c>
      <c r="B4831" s="9">
        <v>16.14</v>
      </c>
    </row>
    <row r="4832" spans="1:2" x14ac:dyDescent="0.25">
      <c r="A4832" s="8">
        <v>43285</v>
      </c>
    </row>
    <row r="4833" spans="1:2" x14ac:dyDescent="0.25">
      <c r="A4833" s="8">
        <v>43286</v>
      </c>
      <c r="B4833" s="9">
        <v>14.97</v>
      </c>
    </row>
    <row r="4834" spans="1:2" x14ac:dyDescent="0.25">
      <c r="A4834" s="8">
        <v>43287</v>
      </c>
      <c r="B4834" s="9">
        <v>13.37</v>
      </c>
    </row>
    <row r="4835" spans="1:2" x14ac:dyDescent="0.25">
      <c r="A4835" s="8">
        <v>43290</v>
      </c>
      <c r="B4835" s="9">
        <v>12.69</v>
      </c>
    </row>
    <row r="4836" spans="1:2" x14ac:dyDescent="0.25">
      <c r="A4836" s="8">
        <v>43291</v>
      </c>
      <c r="B4836" s="9">
        <v>12.64</v>
      </c>
    </row>
    <row r="4837" spans="1:2" x14ac:dyDescent="0.25">
      <c r="A4837" s="8">
        <v>43292</v>
      </c>
      <c r="B4837" s="9">
        <v>13.63</v>
      </c>
    </row>
    <row r="4838" spans="1:2" x14ac:dyDescent="0.25">
      <c r="A4838" s="8">
        <v>43293</v>
      </c>
      <c r="B4838" s="9">
        <v>12.58</v>
      </c>
    </row>
    <row r="4839" spans="1:2" x14ac:dyDescent="0.25">
      <c r="A4839" s="8">
        <v>43294</v>
      </c>
      <c r="B4839" s="9">
        <v>12.18</v>
      </c>
    </row>
    <row r="4840" spans="1:2" x14ac:dyDescent="0.25">
      <c r="A4840" s="8">
        <v>43297</v>
      </c>
      <c r="B4840" s="9">
        <v>12.83</v>
      </c>
    </row>
    <row r="4841" spans="1:2" x14ac:dyDescent="0.25">
      <c r="A4841" s="8">
        <v>43298</v>
      </c>
      <c r="B4841" s="9">
        <v>12.06</v>
      </c>
    </row>
    <row r="4842" spans="1:2" x14ac:dyDescent="0.25">
      <c r="A4842" s="8">
        <v>43299</v>
      </c>
      <c r="B4842" s="9">
        <v>12.1</v>
      </c>
    </row>
    <row r="4843" spans="1:2" x14ac:dyDescent="0.25">
      <c r="A4843" s="8">
        <v>43300</v>
      </c>
      <c r="B4843" s="9">
        <v>12.87</v>
      </c>
    </row>
    <row r="4844" spans="1:2" x14ac:dyDescent="0.25">
      <c r="A4844" s="8">
        <v>43301</v>
      </c>
      <c r="B4844" s="9">
        <v>12.86</v>
      </c>
    </row>
    <row r="4845" spans="1:2" x14ac:dyDescent="0.25">
      <c r="A4845" s="8">
        <v>43304</v>
      </c>
      <c r="B4845" s="9">
        <v>12.62</v>
      </c>
    </row>
    <row r="4846" spans="1:2" x14ac:dyDescent="0.25">
      <c r="A4846" s="8">
        <v>43305</v>
      </c>
      <c r="B4846" s="9">
        <v>12.41</v>
      </c>
    </row>
    <row r="4847" spans="1:2" x14ac:dyDescent="0.25">
      <c r="A4847" s="8">
        <v>43306</v>
      </c>
      <c r="B4847" s="9">
        <v>12.29</v>
      </c>
    </row>
    <row r="4848" spans="1:2" x14ac:dyDescent="0.25">
      <c r="A4848" s="8">
        <v>43307</v>
      </c>
      <c r="B4848" s="9">
        <v>12.14</v>
      </c>
    </row>
    <row r="4849" spans="1:2" x14ac:dyDescent="0.25">
      <c r="A4849" s="8">
        <v>43308</v>
      </c>
      <c r="B4849" s="9">
        <v>13.03</v>
      </c>
    </row>
    <row r="4850" spans="1:2" x14ac:dyDescent="0.25">
      <c r="A4850" s="8">
        <v>43311</v>
      </c>
      <c r="B4850" s="9">
        <v>14.26</v>
      </c>
    </row>
    <row r="4851" spans="1:2" x14ac:dyDescent="0.25">
      <c r="A4851" s="8">
        <v>43312</v>
      </c>
      <c r="B4851" s="9">
        <v>12.83</v>
      </c>
    </row>
    <row r="4852" spans="1:2" x14ac:dyDescent="0.25">
      <c r="A4852" s="8">
        <v>43313</v>
      </c>
      <c r="B4852" s="9">
        <v>13.15</v>
      </c>
    </row>
    <row r="4853" spans="1:2" x14ac:dyDescent="0.25">
      <c r="A4853" s="8">
        <v>43314</v>
      </c>
      <c r="B4853" s="9">
        <v>12.19</v>
      </c>
    </row>
    <row r="4854" spans="1:2" x14ac:dyDescent="0.25">
      <c r="A4854" s="8">
        <v>43315</v>
      </c>
      <c r="B4854" s="9">
        <v>11.64</v>
      </c>
    </row>
    <row r="4855" spans="1:2" x14ac:dyDescent="0.25">
      <c r="A4855" s="8">
        <v>43318</v>
      </c>
      <c r="B4855" s="9">
        <v>11.27</v>
      </c>
    </row>
    <row r="4856" spans="1:2" x14ac:dyDescent="0.25">
      <c r="A4856" s="8">
        <v>43319</v>
      </c>
      <c r="B4856" s="9">
        <v>10.93</v>
      </c>
    </row>
    <row r="4857" spans="1:2" x14ac:dyDescent="0.25">
      <c r="A4857" s="8">
        <v>43320</v>
      </c>
      <c r="B4857" s="9">
        <v>10.85</v>
      </c>
    </row>
    <row r="4858" spans="1:2" x14ac:dyDescent="0.25">
      <c r="A4858" s="8">
        <v>43321</v>
      </c>
      <c r="B4858" s="9">
        <v>11.27</v>
      </c>
    </row>
    <row r="4859" spans="1:2" x14ac:dyDescent="0.25">
      <c r="A4859" s="8">
        <v>43322</v>
      </c>
      <c r="B4859" s="9">
        <v>13.16</v>
      </c>
    </row>
    <row r="4860" spans="1:2" x14ac:dyDescent="0.25">
      <c r="A4860" s="8">
        <v>43325</v>
      </c>
      <c r="B4860" s="9">
        <v>14.78</v>
      </c>
    </row>
    <row r="4861" spans="1:2" x14ac:dyDescent="0.25">
      <c r="A4861" s="8">
        <v>43326</v>
      </c>
      <c r="B4861" s="9">
        <v>13.31</v>
      </c>
    </row>
    <row r="4862" spans="1:2" x14ac:dyDescent="0.25">
      <c r="A4862" s="8">
        <v>43327</v>
      </c>
      <c r="B4862" s="9">
        <v>14.64</v>
      </c>
    </row>
    <row r="4863" spans="1:2" x14ac:dyDescent="0.25">
      <c r="A4863" s="8">
        <v>43328</v>
      </c>
      <c r="B4863" s="9">
        <v>13.45</v>
      </c>
    </row>
    <row r="4864" spans="1:2" x14ac:dyDescent="0.25">
      <c r="A4864" s="8">
        <v>43329</v>
      </c>
      <c r="B4864" s="9">
        <v>12.64</v>
      </c>
    </row>
    <row r="4865" spans="1:2" x14ac:dyDescent="0.25">
      <c r="A4865" s="8">
        <v>43332</v>
      </c>
      <c r="B4865" s="9">
        <v>12.49</v>
      </c>
    </row>
    <row r="4866" spans="1:2" x14ac:dyDescent="0.25">
      <c r="A4866" s="8">
        <v>43333</v>
      </c>
      <c r="B4866" s="9">
        <v>12.86</v>
      </c>
    </row>
    <row r="4867" spans="1:2" x14ac:dyDescent="0.25">
      <c r="A4867" s="8">
        <v>43334</v>
      </c>
      <c r="B4867" s="9">
        <v>12.25</v>
      </c>
    </row>
    <row r="4868" spans="1:2" x14ac:dyDescent="0.25">
      <c r="A4868" s="8">
        <v>43335</v>
      </c>
      <c r="B4868" s="9">
        <v>12.41</v>
      </c>
    </row>
    <row r="4869" spans="1:2" x14ac:dyDescent="0.25">
      <c r="A4869" s="8">
        <v>43336</v>
      </c>
      <c r="B4869" s="9">
        <v>11.99</v>
      </c>
    </row>
    <row r="4870" spans="1:2" x14ac:dyDescent="0.25">
      <c r="A4870" s="8">
        <v>43339</v>
      </c>
      <c r="B4870" s="9">
        <v>12.16</v>
      </c>
    </row>
    <row r="4871" spans="1:2" x14ac:dyDescent="0.25">
      <c r="A4871" s="8">
        <v>43340</v>
      </c>
      <c r="B4871" s="9">
        <v>12.5</v>
      </c>
    </row>
    <row r="4872" spans="1:2" x14ac:dyDescent="0.25">
      <c r="A4872" s="8">
        <v>43341</v>
      </c>
      <c r="B4872" s="9">
        <v>12.25</v>
      </c>
    </row>
    <row r="4873" spans="1:2" x14ac:dyDescent="0.25">
      <c r="A4873" s="8">
        <v>43342</v>
      </c>
      <c r="B4873" s="9">
        <v>13.53</v>
      </c>
    </row>
    <row r="4874" spans="1:2" x14ac:dyDescent="0.25">
      <c r="A4874" s="8">
        <v>43343</v>
      </c>
      <c r="B4874" s="9">
        <v>12.86</v>
      </c>
    </row>
    <row r="4875" spans="1:2" x14ac:dyDescent="0.25">
      <c r="A4875" s="8">
        <v>43346</v>
      </c>
    </row>
    <row r="4876" spans="1:2" x14ac:dyDescent="0.25">
      <c r="A4876" s="8">
        <v>43347</v>
      </c>
      <c r="B4876" s="9">
        <v>13.16</v>
      </c>
    </row>
    <row r="4877" spans="1:2" x14ac:dyDescent="0.25">
      <c r="A4877" s="8">
        <v>43348</v>
      </c>
      <c r="B4877" s="9">
        <v>13.91</v>
      </c>
    </row>
    <row r="4878" spans="1:2" x14ac:dyDescent="0.25">
      <c r="A4878" s="8">
        <v>43349</v>
      </c>
      <c r="B4878" s="9">
        <v>14.65</v>
      </c>
    </row>
    <row r="4879" spans="1:2" x14ac:dyDescent="0.25">
      <c r="A4879" s="8">
        <v>43350</v>
      </c>
      <c r="B4879" s="9">
        <v>14.88</v>
      </c>
    </row>
    <row r="4880" spans="1:2" x14ac:dyDescent="0.25">
      <c r="A4880" s="8">
        <v>43353</v>
      </c>
      <c r="B4880" s="9">
        <v>14.16</v>
      </c>
    </row>
    <row r="4881" spans="1:2" x14ac:dyDescent="0.25">
      <c r="A4881" s="8">
        <v>43354</v>
      </c>
      <c r="B4881" s="9">
        <v>13.22</v>
      </c>
    </row>
    <row r="4882" spans="1:2" x14ac:dyDescent="0.25">
      <c r="A4882" s="8">
        <v>43355</v>
      </c>
      <c r="B4882" s="9">
        <v>13.14</v>
      </c>
    </row>
    <row r="4883" spans="1:2" x14ac:dyDescent="0.25">
      <c r="A4883" s="8">
        <v>43356</v>
      </c>
      <c r="B4883" s="9">
        <v>12.37</v>
      </c>
    </row>
    <row r="4884" spans="1:2" x14ac:dyDescent="0.25">
      <c r="A4884" s="8">
        <v>43357</v>
      </c>
      <c r="B4884" s="9">
        <v>12.07</v>
      </c>
    </row>
    <row r="4885" spans="1:2" x14ac:dyDescent="0.25">
      <c r="A4885" s="8">
        <v>43360</v>
      </c>
      <c r="B4885" s="9">
        <v>13.68</v>
      </c>
    </row>
    <row r="4886" spans="1:2" x14ac:dyDescent="0.25">
      <c r="A4886" s="8">
        <v>43361</v>
      </c>
      <c r="B4886" s="9">
        <v>12.79</v>
      </c>
    </row>
    <row r="4887" spans="1:2" x14ac:dyDescent="0.25">
      <c r="A4887" s="8">
        <v>43362</v>
      </c>
      <c r="B4887" s="9">
        <v>11.75</v>
      </c>
    </row>
    <row r="4888" spans="1:2" x14ac:dyDescent="0.25">
      <c r="A4888" s="8">
        <v>43363</v>
      </c>
      <c r="B4888" s="9">
        <v>11.8</v>
      </c>
    </row>
    <row r="4889" spans="1:2" x14ac:dyDescent="0.25">
      <c r="A4889" s="8">
        <v>43364</v>
      </c>
      <c r="B4889" s="9">
        <v>11.68</v>
      </c>
    </row>
    <row r="4890" spans="1:2" x14ac:dyDescent="0.25">
      <c r="A4890" s="8">
        <v>43367</v>
      </c>
      <c r="B4890" s="9">
        <v>12.2</v>
      </c>
    </row>
    <row r="4891" spans="1:2" x14ac:dyDescent="0.25">
      <c r="A4891" s="8">
        <v>43368</v>
      </c>
      <c r="B4891" s="9">
        <v>12.42</v>
      </c>
    </row>
    <row r="4892" spans="1:2" x14ac:dyDescent="0.25">
      <c r="A4892" s="8">
        <v>43369</v>
      </c>
      <c r="B4892" s="9">
        <v>12.89</v>
      </c>
    </row>
    <row r="4893" spans="1:2" x14ac:dyDescent="0.25">
      <c r="A4893" s="8">
        <v>43370</v>
      </c>
      <c r="B4893" s="9">
        <v>12.41</v>
      </c>
    </row>
    <row r="4894" spans="1:2" x14ac:dyDescent="0.25">
      <c r="A4894" s="8">
        <v>43371</v>
      </c>
      <c r="B4894" s="9">
        <v>12.12</v>
      </c>
    </row>
    <row r="4895" spans="1:2" x14ac:dyDescent="0.25">
      <c r="A4895" s="8">
        <v>43374</v>
      </c>
      <c r="B4895" s="9">
        <v>12</v>
      </c>
    </row>
    <row r="4896" spans="1:2" x14ac:dyDescent="0.25">
      <c r="A4896" s="8">
        <v>43375</v>
      </c>
      <c r="B4896" s="9">
        <v>12.05</v>
      </c>
    </row>
    <row r="4897" spans="1:2" x14ac:dyDescent="0.25">
      <c r="A4897" s="8">
        <v>43376</v>
      </c>
      <c r="B4897" s="9">
        <v>11.61</v>
      </c>
    </row>
    <row r="4898" spans="1:2" x14ac:dyDescent="0.25">
      <c r="A4898" s="8">
        <v>43377</v>
      </c>
      <c r="B4898" s="9">
        <v>14.22</v>
      </c>
    </row>
    <row r="4899" spans="1:2" x14ac:dyDescent="0.25">
      <c r="A4899" s="8">
        <v>43378</v>
      </c>
      <c r="B4899" s="9">
        <v>14.82</v>
      </c>
    </row>
    <row r="4900" spans="1:2" x14ac:dyDescent="0.25">
      <c r="A4900" s="8">
        <v>43381</v>
      </c>
      <c r="B4900" s="9">
        <v>15.69</v>
      </c>
    </row>
    <row r="4901" spans="1:2" x14ac:dyDescent="0.25">
      <c r="A4901" s="8">
        <v>43382</v>
      </c>
      <c r="B4901" s="9">
        <v>15.95</v>
      </c>
    </row>
    <row r="4902" spans="1:2" x14ac:dyDescent="0.25">
      <c r="A4902" s="8">
        <v>43383</v>
      </c>
      <c r="B4902" s="9">
        <v>22.96</v>
      </c>
    </row>
    <row r="4903" spans="1:2" x14ac:dyDescent="0.25">
      <c r="A4903" s="8">
        <v>43384</v>
      </c>
      <c r="B4903" s="9">
        <v>24.98</v>
      </c>
    </row>
    <row r="4904" spans="1:2" x14ac:dyDescent="0.25">
      <c r="A4904" s="8">
        <v>43385</v>
      </c>
      <c r="B4904" s="9">
        <v>21.31</v>
      </c>
    </row>
    <row r="4905" spans="1:2" x14ac:dyDescent="0.25">
      <c r="A4905" s="8">
        <v>43388</v>
      </c>
      <c r="B4905" s="9">
        <v>21.3</v>
      </c>
    </row>
    <row r="4906" spans="1:2" x14ac:dyDescent="0.25">
      <c r="A4906" s="8">
        <v>43389</v>
      </c>
      <c r="B4906" s="9">
        <v>17.62</v>
      </c>
    </row>
    <row r="4907" spans="1:2" x14ac:dyDescent="0.25">
      <c r="A4907" s="8">
        <v>43390</v>
      </c>
      <c r="B4907" s="9">
        <v>17.399999999999999</v>
      </c>
    </row>
    <row r="4908" spans="1:2" x14ac:dyDescent="0.25">
      <c r="A4908" s="8">
        <v>43391</v>
      </c>
      <c r="B4908" s="9">
        <v>20.059999999999999</v>
      </c>
    </row>
    <row r="4909" spans="1:2" x14ac:dyDescent="0.25">
      <c r="A4909" s="8">
        <v>43392</v>
      </c>
      <c r="B4909" s="9">
        <v>19.89</v>
      </c>
    </row>
    <row r="4910" spans="1:2" x14ac:dyDescent="0.25">
      <c r="A4910" s="8">
        <v>43395</v>
      </c>
      <c r="B4910" s="9">
        <v>19.64</v>
      </c>
    </row>
    <row r="4911" spans="1:2" x14ac:dyDescent="0.25">
      <c r="A4911" s="8">
        <v>43396</v>
      </c>
      <c r="B4911" s="9">
        <v>20.71</v>
      </c>
    </row>
    <row r="4912" spans="1:2" x14ac:dyDescent="0.25">
      <c r="A4912" s="8">
        <v>43397</v>
      </c>
      <c r="B4912" s="9">
        <v>25.23</v>
      </c>
    </row>
    <row r="4913" spans="1:2" x14ac:dyDescent="0.25">
      <c r="A4913" s="8">
        <v>43398</v>
      </c>
      <c r="B4913" s="9">
        <v>24.22</v>
      </c>
    </row>
    <row r="4914" spans="1:2" x14ac:dyDescent="0.25">
      <c r="A4914" s="8">
        <v>43399</v>
      </c>
      <c r="B4914" s="9">
        <v>24.16</v>
      </c>
    </row>
    <row r="4915" spans="1:2" x14ac:dyDescent="0.25">
      <c r="A4915" s="8">
        <v>43402</v>
      </c>
      <c r="B4915" s="9">
        <v>24.7</v>
      </c>
    </row>
    <row r="4916" spans="1:2" x14ac:dyDescent="0.25">
      <c r="A4916" s="8">
        <v>43403</v>
      </c>
      <c r="B4916" s="9">
        <v>23.35</v>
      </c>
    </row>
    <row r="4917" spans="1:2" x14ac:dyDescent="0.25">
      <c r="A4917" s="8">
        <v>43404</v>
      </c>
      <c r="B4917" s="9">
        <v>21.23</v>
      </c>
    </row>
    <row r="4918" spans="1:2" x14ac:dyDescent="0.25">
      <c r="A4918" s="8">
        <v>43405</v>
      </c>
      <c r="B4918" s="9">
        <v>19.34</v>
      </c>
    </row>
    <row r="4919" spans="1:2" x14ac:dyDescent="0.25">
      <c r="A4919" s="8">
        <v>43406</v>
      </c>
      <c r="B4919" s="9">
        <v>19.510000000000002</v>
      </c>
    </row>
    <row r="4920" spans="1:2" x14ac:dyDescent="0.25">
      <c r="A4920" s="8">
        <v>43409</v>
      </c>
      <c r="B4920" s="9">
        <v>19.96</v>
      </c>
    </row>
    <row r="4921" spans="1:2" x14ac:dyDescent="0.25">
      <c r="A4921" s="8">
        <v>43410</v>
      </c>
      <c r="B4921" s="9">
        <v>19.91</v>
      </c>
    </row>
    <row r="4922" spans="1:2" x14ac:dyDescent="0.25">
      <c r="A4922" s="8">
        <v>43411</v>
      </c>
      <c r="B4922" s="9">
        <v>16.36</v>
      </c>
    </row>
    <row r="4923" spans="1:2" x14ac:dyDescent="0.25">
      <c r="A4923" s="8">
        <v>43412</v>
      </c>
      <c r="B4923" s="9">
        <v>16.72</v>
      </c>
    </row>
    <row r="4924" spans="1:2" x14ac:dyDescent="0.25">
      <c r="A4924" s="8">
        <v>43413</v>
      </c>
      <c r="B4924" s="9">
        <v>17.36</v>
      </c>
    </row>
    <row r="4925" spans="1:2" x14ac:dyDescent="0.25">
      <c r="A4925" s="8">
        <v>43416</v>
      </c>
      <c r="B4925" s="9">
        <v>20.45</v>
      </c>
    </row>
    <row r="4926" spans="1:2" x14ac:dyDescent="0.25">
      <c r="A4926" s="8">
        <v>43417</v>
      </c>
      <c r="B4926" s="9">
        <v>20.02</v>
      </c>
    </row>
    <row r="4927" spans="1:2" x14ac:dyDescent="0.25">
      <c r="A4927" s="8">
        <v>43418</v>
      </c>
      <c r="B4927" s="9">
        <v>21.25</v>
      </c>
    </row>
    <row r="4928" spans="1:2" x14ac:dyDescent="0.25">
      <c r="A4928" s="8">
        <v>43419</v>
      </c>
      <c r="B4928" s="9">
        <v>19.98</v>
      </c>
    </row>
    <row r="4929" spans="1:2" x14ac:dyDescent="0.25">
      <c r="A4929" s="8">
        <v>43420</v>
      </c>
      <c r="B4929" s="9">
        <v>18.14</v>
      </c>
    </row>
    <row r="4930" spans="1:2" x14ac:dyDescent="0.25">
      <c r="A4930" s="8">
        <v>43423</v>
      </c>
      <c r="B4930" s="9">
        <v>20.100000000000001</v>
      </c>
    </row>
    <row r="4931" spans="1:2" x14ac:dyDescent="0.25">
      <c r="A4931" s="8">
        <v>43424</v>
      </c>
      <c r="B4931" s="9">
        <v>22.48</v>
      </c>
    </row>
    <row r="4932" spans="1:2" x14ac:dyDescent="0.25">
      <c r="A4932" s="8">
        <v>43425</v>
      </c>
      <c r="B4932" s="9">
        <v>20.8</v>
      </c>
    </row>
    <row r="4933" spans="1:2" x14ac:dyDescent="0.25">
      <c r="A4933" s="8">
        <v>43426</v>
      </c>
    </row>
    <row r="4934" spans="1:2" x14ac:dyDescent="0.25">
      <c r="A4934" s="8">
        <v>43427</v>
      </c>
      <c r="B4934" s="9">
        <v>21.52</v>
      </c>
    </row>
    <row r="4935" spans="1:2" x14ac:dyDescent="0.25">
      <c r="A4935" s="8">
        <v>43430</v>
      </c>
      <c r="B4935" s="9">
        <v>18.899999999999999</v>
      </c>
    </row>
    <row r="4936" spans="1:2" x14ac:dyDescent="0.25">
      <c r="A4936" s="8">
        <v>43431</v>
      </c>
      <c r="B4936" s="9">
        <v>19.02</v>
      </c>
    </row>
    <row r="4937" spans="1:2" x14ac:dyDescent="0.25">
      <c r="A4937" s="8">
        <v>43432</v>
      </c>
      <c r="B4937" s="9">
        <v>18.489999999999998</v>
      </c>
    </row>
    <row r="4938" spans="1:2" x14ac:dyDescent="0.25">
      <c r="A4938" s="8">
        <v>43433</v>
      </c>
      <c r="B4938" s="9">
        <v>18.79</v>
      </c>
    </row>
    <row r="4939" spans="1:2" x14ac:dyDescent="0.25">
      <c r="A4939" s="8">
        <v>43434</v>
      </c>
      <c r="B4939" s="9">
        <v>18.07</v>
      </c>
    </row>
    <row r="4940" spans="1:2" x14ac:dyDescent="0.25">
      <c r="A4940" s="8">
        <v>43437</v>
      </c>
      <c r="B4940" s="9">
        <v>16.440000000000001</v>
      </c>
    </row>
    <row r="4941" spans="1:2" x14ac:dyDescent="0.25">
      <c r="A4941" s="8">
        <v>43438</v>
      </c>
      <c r="B4941" s="9">
        <v>20.74</v>
      </c>
    </row>
    <row r="4942" spans="1:2" x14ac:dyDescent="0.25">
      <c r="A4942" s="8">
        <v>43439</v>
      </c>
    </row>
    <row r="4943" spans="1:2" x14ac:dyDescent="0.25">
      <c r="A4943" s="8">
        <v>43440</v>
      </c>
      <c r="B4943" s="9">
        <v>21.19</v>
      </c>
    </row>
    <row r="4944" spans="1:2" x14ac:dyDescent="0.25">
      <c r="A4944" s="8">
        <v>43441</v>
      </c>
      <c r="B4944" s="9">
        <v>23.23</v>
      </c>
    </row>
    <row r="4945" spans="1:2" x14ac:dyDescent="0.25">
      <c r="A4945" s="8">
        <v>43444</v>
      </c>
      <c r="B4945" s="9">
        <v>22.64</v>
      </c>
    </row>
    <row r="4946" spans="1:2" x14ac:dyDescent="0.25">
      <c r="A4946" s="8">
        <v>43445</v>
      </c>
      <c r="B4946" s="9">
        <v>21.76</v>
      </c>
    </row>
    <row r="4947" spans="1:2" x14ac:dyDescent="0.25">
      <c r="A4947" s="8">
        <v>43446</v>
      </c>
      <c r="B4947" s="9">
        <v>21.46</v>
      </c>
    </row>
    <row r="4948" spans="1:2" x14ac:dyDescent="0.25">
      <c r="A4948" s="8">
        <v>43447</v>
      </c>
      <c r="B4948" s="9">
        <v>20.65</v>
      </c>
    </row>
    <row r="4949" spans="1:2" x14ac:dyDescent="0.25">
      <c r="A4949" s="8">
        <v>43448</v>
      </c>
      <c r="B4949" s="9">
        <v>21.63</v>
      </c>
    </row>
    <row r="4950" spans="1:2" x14ac:dyDescent="0.25">
      <c r="A4950" s="8">
        <v>43451</v>
      </c>
      <c r="B4950" s="9">
        <v>24.52</v>
      </c>
    </row>
    <row r="4951" spans="1:2" x14ac:dyDescent="0.25">
      <c r="A4951" s="8">
        <v>43452</v>
      </c>
      <c r="B4951" s="9">
        <v>25.58</v>
      </c>
    </row>
    <row r="4952" spans="1:2" x14ac:dyDescent="0.25">
      <c r="A4952" s="8">
        <v>43453</v>
      </c>
      <c r="B4952" s="9">
        <v>25.58</v>
      </c>
    </row>
    <row r="4953" spans="1:2" x14ac:dyDescent="0.25">
      <c r="A4953" s="8">
        <v>43454</v>
      </c>
      <c r="B4953" s="9">
        <v>28.38</v>
      </c>
    </row>
    <row r="4954" spans="1:2" x14ac:dyDescent="0.25">
      <c r="A4954" s="8">
        <v>43455</v>
      </c>
      <c r="B4954" s="9">
        <v>30.11</v>
      </c>
    </row>
    <row r="4955" spans="1:2" x14ac:dyDescent="0.25">
      <c r="A4955" s="8">
        <v>43458</v>
      </c>
      <c r="B4955" s="9">
        <v>36.07</v>
      </c>
    </row>
    <row r="4956" spans="1:2" x14ac:dyDescent="0.25">
      <c r="A4956" s="8">
        <v>43459</v>
      </c>
    </row>
    <row r="4957" spans="1:2" x14ac:dyDescent="0.25">
      <c r="A4957" s="8">
        <v>43460</v>
      </c>
      <c r="B4957" s="9">
        <v>30.41</v>
      </c>
    </row>
    <row r="4958" spans="1:2" x14ac:dyDescent="0.25">
      <c r="A4958" s="8">
        <v>43461</v>
      </c>
      <c r="B4958" s="9">
        <v>29.96</v>
      </c>
    </row>
    <row r="4959" spans="1:2" x14ac:dyDescent="0.25">
      <c r="A4959" s="8">
        <v>43462</v>
      </c>
      <c r="B4959" s="9">
        <v>28.34</v>
      </c>
    </row>
    <row r="4960" spans="1:2" x14ac:dyDescent="0.25">
      <c r="A4960" s="8">
        <v>43465</v>
      </c>
      <c r="B4960" s="9">
        <v>25.42</v>
      </c>
    </row>
    <row r="4961" spans="1:2" x14ac:dyDescent="0.25">
      <c r="A4961" s="8">
        <v>43466</v>
      </c>
    </row>
    <row r="4962" spans="1:2" x14ac:dyDescent="0.25">
      <c r="A4962" s="8">
        <v>43467</v>
      </c>
      <c r="B4962" s="9">
        <v>23.22</v>
      </c>
    </row>
    <row r="4963" spans="1:2" x14ac:dyDescent="0.25">
      <c r="A4963" s="8">
        <v>43468</v>
      </c>
      <c r="B4963" s="9">
        <v>25.45</v>
      </c>
    </row>
    <row r="4964" spans="1:2" x14ac:dyDescent="0.25">
      <c r="A4964" s="8">
        <v>43469</v>
      </c>
      <c r="B4964" s="9">
        <v>21.38</v>
      </c>
    </row>
    <row r="4965" spans="1:2" x14ac:dyDescent="0.25">
      <c r="A4965" s="8">
        <v>43472</v>
      </c>
      <c r="B4965" s="9">
        <v>21.4</v>
      </c>
    </row>
    <row r="4966" spans="1:2" x14ac:dyDescent="0.25">
      <c r="A4966" s="8">
        <v>43473</v>
      </c>
      <c r="B4966" s="9">
        <v>20.47</v>
      </c>
    </row>
    <row r="4967" spans="1:2" x14ac:dyDescent="0.25">
      <c r="A4967" s="8">
        <v>43474</v>
      </c>
      <c r="B4967" s="9">
        <v>19.98</v>
      </c>
    </row>
    <row r="4968" spans="1:2" x14ac:dyDescent="0.25">
      <c r="A4968" s="8">
        <v>43475</v>
      </c>
      <c r="B4968" s="9">
        <v>19.5</v>
      </c>
    </row>
    <row r="4969" spans="1:2" x14ac:dyDescent="0.25">
      <c r="A4969" s="8">
        <v>43476</v>
      </c>
      <c r="B4969" s="9">
        <v>18.190000000000001</v>
      </c>
    </row>
    <row r="4970" spans="1:2" x14ac:dyDescent="0.25">
      <c r="A4970" s="8">
        <v>43479</v>
      </c>
      <c r="B4970" s="9">
        <v>19.07</v>
      </c>
    </row>
    <row r="4971" spans="1:2" x14ac:dyDescent="0.25">
      <c r="A4971" s="8">
        <v>43480</v>
      </c>
      <c r="B4971" s="9">
        <v>18.600000000000001</v>
      </c>
    </row>
    <row r="4972" spans="1:2" x14ac:dyDescent="0.25">
      <c r="A4972" s="8">
        <v>43481</v>
      </c>
      <c r="B4972" s="9">
        <v>19.04</v>
      </c>
    </row>
    <row r="4973" spans="1:2" x14ac:dyDescent="0.25">
      <c r="A4973" s="8">
        <v>43482</v>
      </c>
      <c r="B4973" s="9">
        <v>18.059999999999999</v>
      </c>
    </row>
    <row r="4974" spans="1:2" x14ac:dyDescent="0.25">
      <c r="A4974" s="8">
        <v>43483</v>
      </c>
      <c r="B4974" s="9">
        <v>17.8</v>
      </c>
    </row>
    <row r="4975" spans="1:2" x14ac:dyDescent="0.25">
      <c r="A4975" s="8">
        <v>43486</v>
      </c>
    </row>
    <row r="4976" spans="1:2" x14ac:dyDescent="0.25">
      <c r="A4976" s="8">
        <v>43487</v>
      </c>
      <c r="B4976" s="9">
        <v>20.8</v>
      </c>
    </row>
    <row r="4977" spans="1:2" x14ac:dyDescent="0.25">
      <c r="A4977" s="8">
        <v>43488</v>
      </c>
      <c r="B4977" s="9">
        <v>19.52</v>
      </c>
    </row>
    <row r="4978" spans="1:2" x14ac:dyDescent="0.25">
      <c r="A4978" s="8">
        <v>43489</v>
      </c>
      <c r="B4978" s="9">
        <v>18.89</v>
      </c>
    </row>
    <row r="4979" spans="1:2" x14ac:dyDescent="0.25">
      <c r="A4979" s="8">
        <v>43490</v>
      </c>
      <c r="B4979" s="9">
        <v>17.420000000000002</v>
      </c>
    </row>
    <row r="4980" spans="1:2" x14ac:dyDescent="0.25">
      <c r="A4980" s="8">
        <v>43493</v>
      </c>
      <c r="B4980" s="9">
        <v>18.87</v>
      </c>
    </row>
    <row r="4981" spans="1:2" x14ac:dyDescent="0.25">
      <c r="A4981" s="8">
        <v>43494</v>
      </c>
      <c r="B4981" s="9">
        <v>19.13</v>
      </c>
    </row>
    <row r="4982" spans="1:2" x14ac:dyDescent="0.25">
      <c r="A4982" s="8">
        <v>43495</v>
      </c>
      <c r="B4982" s="9">
        <v>17.66</v>
      </c>
    </row>
    <row r="4983" spans="1:2" x14ac:dyDescent="0.25">
      <c r="A4983" s="8">
        <v>43496</v>
      </c>
      <c r="B4983" s="9">
        <v>16.57</v>
      </c>
    </row>
    <row r="4984" spans="1:2" x14ac:dyDescent="0.25">
      <c r="A4984" s="8">
        <v>43497</v>
      </c>
      <c r="B4984" s="9">
        <v>16.14</v>
      </c>
    </row>
    <row r="4985" spans="1:2" x14ac:dyDescent="0.25">
      <c r="A4985" s="8">
        <v>43500</v>
      </c>
      <c r="B4985" s="9">
        <v>15.73</v>
      </c>
    </row>
    <row r="4986" spans="1:2" x14ac:dyDescent="0.25">
      <c r="A4986" s="8">
        <v>43501</v>
      </c>
      <c r="B4986" s="9">
        <v>15.57</v>
      </c>
    </row>
    <row r="4987" spans="1:2" x14ac:dyDescent="0.25">
      <c r="A4987" s="8">
        <v>43502</v>
      </c>
      <c r="B4987" s="9">
        <v>15.38</v>
      </c>
    </row>
    <row r="4988" spans="1:2" x14ac:dyDescent="0.25">
      <c r="A4988" s="8">
        <v>43503</v>
      </c>
      <c r="B4988" s="9">
        <v>16.37</v>
      </c>
    </row>
    <row r="4989" spans="1:2" x14ac:dyDescent="0.25">
      <c r="A4989" s="8">
        <v>43504</v>
      </c>
      <c r="B4989" s="9">
        <v>15.72</v>
      </c>
    </row>
    <row r="4990" spans="1:2" x14ac:dyDescent="0.25">
      <c r="A4990" s="8">
        <v>43507</v>
      </c>
      <c r="B4990" s="9">
        <v>15.97</v>
      </c>
    </row>
    <row r="4991" spans="1:2" x14ac:dyDescent="0.25">
      <c r="A4991" s="8">
        <v>43508</v>
      </c>
      <c r="B4991" s="9">
        <v>15.43</v>
      </c>
    </row>
    <row r="4992" spans="1:2" x14ac:dyDescent="0.25">
      <c r="A4992" s="8">
        <v>43509</v>
      </c>
      <c r="B4992" s="9">
        <v>15.65</v>
      </c>
    </row>
    <row r="4993" spans="1:2" x14ac:dyDescent="0.25">
      <c r="A4993" s="8">
        <v>43510</v>
      </c>
      <c r="B4993" s="9">
        <v>16.22</v>
      </c>
    </row>
    <row r="4994" spans="1:2" x14ac:dyDescent="0.25">
      <c r="A4994" s="8">
        <v>43511</v>
      </c>
      <c r="B4994" s="9">
        <v>14.91</v>
      </c>
    </row>
    <row r="4995" spans="1:2" x14ac:dyDescent="0.25">
      <c r="A4995" s="8">
        <v>43514</v>
      </c>
    </row>
    <row r="4996" spans="1:2" x14ac:dyDescent="0.25">
      <c r="A4996" s="8">
        <v>43515</v>
      </c>
      <c r="B4996" s="9">
        <v>14.88</v>
      </c>
    </row>
    <row r="4997" spans="1:2" x14ac:dyDescent="0.25">
      <c r="A4997" s="8">
        <v>43516</v>
      </c>
      <c r="B4997" s="9">
        <v>14.02</v>
      </c>
    </row>
    <row r="4998" spans="1:2" x14ac:dyDescent="0.25">
      <c r="A4998" s="8">
        <v>43517</v>
      </c>
      <c r="B4998" s="9">
        <v>14.46</v>
      </c>
    </row>
    <row r="4999" spans="1:2" x14ac:dyDescent="0.25">
      <c r="A4999" s="8">
        <v>43518</v>
      </c>
      <c r="B4999" s="9">
        <v>13.51</v>
      </c>
    </row>
    <row r="5000" spans="1:2" x14ac:dyDescent="0.25">
      <c r="A5000" s="8">
        <v>43521</v>
      </c>
      <c r="B5000" s="9">
        <v>14.85</v>
      </c>
    </row>
    <row r="5001" spans="1:2" x14ac:dyDescent="0.25">
      <c r="A5001" s="8">
        <v>43522</v>
      </c>
      <c r="B5001" s="9">
        <v>15.17</v>
      </c>
    </row>
    <row r="5002" spans="1:2" x14ac:dyDescent="0.25">
      <c r="A5002" s="8">
        <v>43523</v>
      </c>
      <c r="B5002" s="9">
        <v>14.7</v>
      </c>
    </row>
    <row r="5003" spans="1:2" x14ac:dyDescent="0.25">
      <c r="A5003" s="8">
        <v>43524</v>
      </c>
      <c r="B5003" s="9">
        <v>14.78</v>
      </c>
    </row>
    <row r="5004" spans="1:2" x14ac:dyDescent="0.25">
      <c r="A5004" s="8">
        <v>43525</v>
      </c>
      <c r="B5004" s="9">
        <v>13.57</v>
      </c>
    </row>
    <row r="5005" spans="1:2" x14ac:dyDescent="0.25">
      <c r="A5005" s="8">
        <v>43528</v>
      </c>
      <c r="B5005" s="9">
        <v>14.63</v>
      </c>
    </row>
    <row r="5006" spans="1:2" x14ac:dyDescent="0.25">
      <c r="A5006" s="8">
        <v>43529</v>
      </c>
      <c r="B5006" s="9">
        <v>14.74</v>
      </c>
    </row>
    <row r="5007" spans="1:2" x14ac:dyDescent="0.25">
      <c r="A5007" s="8">
        <v>43530</v>
      </c>
      <c r="B5007" s="9">
        <v>15.74</v>
      </c>
    </row>
    <row r="5008" spans="1:2" x14ac:dyDescent="0.25">
      <c r="A5008" s="8">
        <v>43531</v>
      </c>
      <c r="B5008" s="9">
        <v>16.59</v>
      </c>
    </row>
    <row r="5009" spans="1:2" x14ac:dyDescent="0.25">
      <c r="A5009" s="8">
        <v>43532</v>
      </c>
      <c r="B5009" s="9">
        <v>16.05</v>
      </c>
    </row>
    <row r="5010" spans="1:2" x14ac:dyDescent="0.25">
      <c r="A5010" s="8">
        <v>43535</v>
      </c>
      <c r="B5010" s="9">
        <v>14.33</v>
      </c>
    </row>
    <row r="5011" spans="1:2" x14ac:dyDescent="0.25">
      <c r="A5011" s="8">
        <v>43536</v>
      </c>
      <c r="B5011" s="9">
        <v>13.77</v>
      </c>
    </row>
    <row r="5012" spans="1:2" x14ac:dyDescent="0.25">
      <c r="A5012" s="8">
        <v>43537</v>
      </c>
      <c r="B5012" s="9">
        <v>13.41</v>
      </c>
    </row>
    <row r="5013" spans="1:2" x14ac:dyDescent="0.25">
      <c r="A5013" s="8">
        <v>43538</v>
      </c>
      <c r="B5013" s="9">
        <v>13.5</v>
      </c>
    </row>
    <row r="5014" spans="1:2" x14ac:dyDescent="0.25">
      <c r="A5014" s="8">
        <v>43539</v>
      </c>
      <c r="B5014" s="9">
        <v>12.88</v>
      </c>
    </row>
    <row r="5015" spans="1:2" x14ac:dyDescent="0.25">
      <c r="A5015" s="8">
        <v>43542</v>
      </c>
      <c r="B5015" s="9">
        <v>13.1</v>
      </c>
    </row>
    <row r="5016" spans="1:2" x14ac:dyDescent="0.25">
      <c r="A5016" s="8">
        <v>43543</v>
      </c>
      <c r="B5016" s="9">
        <v>13.56</v>
      </c>
    </row>
    <row r="5017" spans="1:2" x14ac:dyDescent="0.25">
      <c r="A5017" s="8">
        <v>43544</v>
      </c>
      <c r="B5017" s="9">
        <v>13.91</v>
      </c>
    </row>
    <row r="5018" spans="1:2" x14ac:dyDescent="0.25">
      <c r="A5018" s="8">
        <v>43545</v>
      </c>
      <c r="B5018" s="9">
        <v>13.63</v>
      </c>
    </row>
    <row r="5019" spans="1:2" x14ac:dyDescent="0.25">
      <c r="A5019" s="8">
        <v>43546</v>
      </c>
      <c r="B5019" s="9">
        <v>16.48</v>
      </c>
    </row>
    <row r="5020" spans="1:2" x14ac:dyDescent="0.25">
      <c r="A5020" s="8">
        <v>43549</v>
      </c>
      <c r="B5020" s="9">
        <v>16.329999999999998</v>
      </c>
    </row>
    <row r="5021" spans="1:2" x14ac:dyDescent="0.25">
      <c r="A5021" s="8">
        <v>43550</v>
      </c>
      <c r="B5021" s="9">
        <v>14.68</v>
      </c>
    </row>
    <row r="5022" spans="1:2" x14ac:dyDescent="0.25">
      <c r="A5022" s="8">
        <v>43551</v>
      </c>
      <c r="B5022" s="9">
        <v>15.15</v>
      </c>
    </row>
    <row r="5023" spans="1:2" x14ac:dyDescent="0.25">
      <c r="A5023" s="8">
        <v>43552</v>
      </c>
      <c r="B5023" s="9">
        <v>14.43</v>
      </c>
    </row>
    <row r="5024" spans="1:2" x14ac:dyDescent="0.25">
      <c r="A5024" s="8">
        <v>43553</v>
      </c>
      <c r="B5024" s="9">
        <v>13.71</v>
      </c>
    </row>
    <row r="5025" spans="1:2" x14ac:dyDescent="0.25">
      <c r="A5025" s="8">
        <v>43556</v>
      </c>
      <c r="B5025" s="9">
        <v>13.4</v>
      </c>
    </row>
    <row r="5026" spans="1:2" x14ac:dyDescent="0.25">
      <c r="A5026" s="8">
        <v>43557</v>
      </c>
      <c r="B5026" s="9">
        <v>13.36</v>
      </c>
    </row>
    <row r="5027" spans="1:2" x14ac:dyDescent="0.25">
      <c r="A5027" s="8">
        <v>43558</v>
      </c>
      <c r="B5027" s="9">
        <v>13.74</v>
      </c>
    </row>
    <row r="5028" spans="1:2" x14ac:dyDescent="0.25">
      <c r="A5028" s="8">
        <v>43559</v>
      </c>
      <c r="B5028" s="9">
        <v>13.58</v>
      </c>
    </row>
    <row r="5029" spans="1:2" x14ac:dyDescent="0.25">
      <c r="A5029" s="8">
        <v>43560</v>
      </c>
      <c r="B5029" s="9">
        <v>12.82</v>
      </c>
    </row>
    <row r="5030" spans="1:2" x14ac:dyDescent="0.25">
      <c r="A5030" s="8">
        <v>43563</v>
      </c>
      <c r="B5030" s="9">
        <v>13.18</v>
      </c>
    </row>
    <row r="5031" spans="1:2" x14ac:dyDescent="0.25">
      <c r="A5031" s="8">
        <v>43564</v>
      </c>
      <c r="B5031" s="9">
        <v>14.28</v>
      </c>
    </row>
    <row r="5032" spans="1:2" x14ac:dyDescent="0.25">
      <c r="A5032" s="8">
        <v>43565</v>
      </c>
      <c r="B5032" s="9">
        <v>13.3</v>
      </c>
    </row>
    <row r="5033" spans="1:2" x14ac:dyDescent="0.25">
      <c r="A5033" s="8">
        <v>43566</v>
      </c>
      <c r="B5033" s="9">
        <v>13.02</v>
      </c>
    </row>
    <row r="5034" spans="1:2" x14ac:dyDescent="0.25">
      <c r="A5034" s="8">
        <v>43567</v>
      </c>
      <c r="B5034" s="9">
        <v>12.01</v>
      </c>
    </row>
    <row r="5035" spans="1:2" x14ac:dyDescent="0.25">
      <c r="A5035" s="8">
        <v>43570</v>
      </c>
      <c r="B5035" s="9">
        <v>12.32</v>
      </c>
    </row>
    <row r="5036" spans="1:2" x14ac:dyDescent="0.25">
      <c r="A5036" s="8">
        <v>43571</v>
      </c>
      <c r="B5036" s="9">
        <v>12.18</v>
      </c>
    </row>
    <row r="5037" spans="1:2" x14ac:dyDescent="0.25">
      <c r="A5037" s="8">
        <v>43572</v>
      </c>
      <c r="B5037" s="9">
        <v>12.6</v>
      </c>
    </row>
    <row r="5038" spans="1:2" x14ac:dyDescent="0.25">
      <c r="A5038" s="8">
        <v>43573</v>
      </c>
      <c r="B5038" s="9">
        <v>12.09</v>
      </c>
    </row>
    <row r="5039" spans="1:2" x14ac:dyDescent="0.25">
      <c r="A5039" s="8">
        <v>43574</v>
      </c>
    </row>
    <row r="5040" spans="1:2" x14ac:dyDescent="0.25">
      <c r="A5040" s="8">
        <v>43577</v>
      </c>
      <c r="B5040" s="9">
        <v>12.42</v>
      </c>
    </row>
    <row r="5041" spans="1:2" x14ac:dyDescent="0.25">
      <c r="A5041" s="8">
        <v>43578</v>
      </c>
      <c r="B5041" s="9">
        <v>12.28</v>
      </c>
    </row>
    <row r="5042" spans="1:2" x14ac:dyDescent="0.25">
      <c r="A5042" s="8">
        <v>43579</v>
      </c>
      <c r="B5042" s="9">
        <v>13.14</v>
      </c>
    </row>
    <row r="5043" spans="1:2" x14ac:dyDescent="0.25">
      <c r="A5043" s="8">
        <v>43580</v>
      </c>
      <c r="B5043" s="9">
        <v>13.25</v>
      </c>
    </row>
    <row r="5044" spans="1:2" x14ac:dyDescent="0.25">
      <c r="A5044" s="8">
        <v>43581</v>
      </c>
      <c r="B5044" s="9">
        <v>12.73</v>
      </c>
    </row>
    <row r="5045" spans="1:2" x14ac:dyDescent="0.25">
      <c r="A5045" s="8">
        <v>43584</v>
      </c>
      <c r="B5045" s="9">
        <v>13.11</v>
      </c>
    </row>
    <row r="5046" spans="1:2" x14ac:dyDescent="0.25">
      <c r="A5046" s="8">
        <v>43585</v>
      </c>
      <c r="B5046" s="9">
        <v>13.12</v>
      </c>
    </row>
    <row r="5047" spans="1:2" x14ac:dyDescent="0.25">
      <c r="A5047" s="8">
        <v>43586</v>
      </c>
      <c r="B5047" s="9">
        <v>14.8</v>
      </c>
    </row>
    <row r="5048" spans="1:2" x14ac:dyDescent="0.25">
      <c r="A5048" s="8">
        <v>43587</v>
      </c>
      <c r="B5048" s="9">
        <v>14.42</v>
      </c>
    </row>
    <row r="5049" spans="1:2" x14ac:dyDescent="0.25">
      <c r="A5049" s="8">
        <v>43588</v>
      </c>
      <c r="B5049" s="9">
        <v>12.87</v>
      </c>
    </row>
    <row r="5050" spans="1:2" x14ac:dyDescent="0.25">
      <c r="A5050" s="8">
        <v>43591</v>
      </c>
      <c r="B5050" s="9">
        <v>15.44</v>
      </c>
    </row>
    <row r="5051" spans="1:2" x14ac:dyDescent="0.25">
      <c r="A5051" s="8">
        <v>43592</v>
      </c>
      <c r="B5051" s="9">
        <v>19.32</v>
      </c>
    </row>
    <row r="5052" spans="1:2" x14ac:dyDescent="0.25">
      <c r="A5052" s="8">
        <v>43593</v>
      </c>
      <c r="B5052" s="9">
        <v>19.399999999999999</v>
      </c>
    </row>
    <row r="5053" spans="1:2" x14ac:dyDescent="0.25">
      <c r="A5053" s="8">
        <v>43594</v>
      </c>
      <c r="B5053" s="9">
        <v>19.100000000000001</v>
      </c>
    </row>
    <row r="5054" spans="1:2" x14ac:dyDescent="0.25">
      <c r="A5054" s="8">
        <v>43595</v>
      </c>
      <c r="B5054" s="9">
        <v>16.04</v>
      </c>
    </row>
    <row r="5055" spans="1:2" x14ac:dyDescent="0.25">
      <c r="A5055" s="8">
        <v>43598</v>
      </c>
      <c r="B5055" s="9">
        <v>20.55</v>
      </c>
    </row>
    <row r="5056" spans="1:2" x14ac:dyDescent="0.25">
      <c r="A5056" s="8">
        <v>43599</v>
      </c>
      <c r="B5056" s="9">
        <v>18.059999999999999</v>
      </c>
    </row>
    <row r="5057" spans="1:2" x14ac:dyDescent="0.25">
      <c r="A5057" s="8">
        <v>43600</v>
      </c>
      <c r="B5057" s="9">
        <v>16.440000000000001</v>
      </c>
    </row>
    <row r="5058" spans="1:2" x14ac:dyDescent="0.25">
      <c r="A5058" s="8">
        <v>43601</v>
      </c>
      <c r="B5058" s="9">
        <v>15.29</v>
      </c>
    </row>
    <row r="5059" spans="1:2" x14ac:dyDescent="0.25">
      <c r="A5059" s="8">
        <v>43602</v>
      </c>
      <c r="B5059" s="9">
        <v>15.96</v>
      </c>
    </row>
    <row r="5060" spans="1:2" x14ac:dyDescent="0.25">
      <c r="A5060" s="8">
        <v>43605</v>
      </c>
      <c r="B5060" s="9">
        <v>16.309999999999999</v>
      </c>
    </row>
    <row r="5061" spans="1:2" x14ac:dyDescent="0.25">
      <c r="A5061" s="8">
        <v>43606</v>
      </c>
      <c r="B5061" s="9">
        <v>14.95</v>
      </c>
    </row>
    <row r="5062" spans="1:2" x14ac:dyDescent="0.25">
      <c r="A5062" s="8">
        <v>43607</v>
      </c>
      <c r="B5062" s="9">
        <v>14.75</v>
      </c>
    </row>
    <row r="5063" spans="1:2" x14ac:dyDescent="0.25">
      <c r="A5063" s="8">
        <v>43608</v>
      </c>
      <c r="B5063" s="9">
        <v>16.920000000000002</v>
      </c>
    </row>
    <row r="5064" spans="1:2" x14ac:dyDescent="0.25">
      <c r="A5064" s="8">
        <v>43609</v>
      </c>
      <c r="B5064" s="9">
        <v>15.85</v>
      </c>
    </row>
    <row r="5065" spans="1:2" x14ac:dyDescent="0.25">
      <c r="A5065" s="8">
        <v>43612</v>
      </c>
    </row>
    <row r="5066" spans="1:2" x14ac:dyDescent="0.25">
      <c r="A5066" s="8">
        <v>43613</v>
      </c>
      <c r="B5066" s="9">
        <v>17.5</v>
      </c>
    </row>
    <row r="5067" spans="1:2" x14ac:dyDescent="0.25">
      <c r="A5067" s="8">
        <v>43614</v>
      </c>
      <c r="B5067" s="9">
        <v>17.899999999999999</v>
      </c>
    </row>
    <row r="5068" spans="1:2" x14ac:dyDescent="0.25">
      <c r="A5068" s="8">
        <v>43615</v>
      </c>
      <c r="B5068" s="9">
        <v>17.3</v>
      </c>
    </row>
    <row r="5069" spans="1:2" x14ac:dyDescent="0.25">
      <c r="A5069" s="8">
        <v>43616</v>
      </c>
      <c r="B5069" s="9">
        <v>18.71</v>
      </c>
    </row>
    <row r="5070" spans="1:2" x14ac:dyDescent="0.25">
      <c r="A5070" s="8">
        <v>43619</v>
      </c>
      <c r="B5070" s="9">
        <v>18.86</v>
      </c>
    </row>
    <row r="5071" spans="1:2" x14ac:dyDescent="0.25">
      <c r="A5071" s="8">
        <v>43620</v>
      </c>
      <c r="B5071" s="9">
        <v>16.97</v>
      </c>
    </row>
    <row r="5072" spans="1:2" x14ac:dyDescent="0.25">
      <c r="A5072" s="8">
        <v>43621</v>
      </c>
      <c r="B5072" s="9">
        <v>16.09</v>
      </c>
    </row>
    <row r="5073" spans="1:2" x14ac:dyDescent="0.25">
      <c r="A5073" s="8">
        <v>43622</v>
      </c>
      <c r="B5073" s="9">
        <v>15.93</v>
      </c>
    </row>
    <row r="5074" spans="1:2" x14ac:dyDescent="0.25">
      <c r="A5074" s="8">
        <v>43623</v>
      </c>
      <c r="B5074" s="9">
        <v>16.3</v>
      </c>
    </row>
    <row r="5075" spans="1:2" x14ac:dyDescent="0.25">
      <c r="A5075" s="8">
        <v>43626</v>
      </c>
      <c r="B5075" s="9">
        <v>15.94</v>
      </c>
    </row>
    <row r="5076" spans="1:2" x14ac:dyDescent="0.25">
      <c r="A5076" s="8">
        <v>43627</v>
      </c>
      <c r="B5076" s="9">
        <v>15.99</v>
      </c>
    </row>
    <row r="5077" spans="1:2" x14ac:dyDescent="0.25">
      <c r="A5077" s="8">
        <v>43628</v>
      </c>
      <c r="B5077" s="9">
        <v>15.91</v>
      </c>
    </row>
    <row r="5078" spans="1:2" x14ac:dyDescent="0.25">
      <c r="A5078" s="8">
        <v>43629</v>
      </c>
      <c r="B5078" s="9">
        <v>15.82</v>
      </c>
    </row>
    <row r="5079" spans="1:2" x14ac:dyDescent="0.25">
      <c r="A5079" s="8">
        <v>43630</v>
      </c>
      <c r="B5079" s="9">
        <v>15.28</v>
      </c>
    </row>
    <row r="5080" spans="1:2" x14ac:dyDescent="0.25">
      <c r="A5080" s="8">
        <v>43633</v>
      </c>
      <c r="B5080" s="9">
        <v>15.35</v>
      </c>
    </row>
    <row r="5081" spans="1:2" x14ac:dyDescent="0.25">
      <c r="A5081" s="8">
        <v>43634</v>
      </c>
      <c r="B5081" s="9">
        <v>15.15</v>
      </c>
    </row>
    <row r="5082" spans="1:2" x14ac:dyDescent="0.25">
      <c r="A5082" s="8">
        <v>43635</v>
      </c>
      <c r="B5082" s="9">
        <v>14.33</v>
      </c>
    </row>
    <row r="5083" spans="1:2" x14ac:dyDescent="0.25">
      <c r="A5083" s="8">
        <v>43636</v>
      </c>
      <c r="B5083" s="9">
        <v>14.75</v>
      </c>
    </row>
    <row r="5084" spans="1:2" x14ac:dyDescent="0.25">
      <c r="A5084" s="8">
        <v>43637</v>
      </c>
      <c r="B5084" s="9">
        <v>15.4</v>
      </c>
    </row>
    <row r="5085" spans="1:2" x14ac:dyDescent="0.25">
      <c r="A5085" s="8">
        <v>43640</v>
      </c>
      <c r="B5085" s="9">
        <v>15.26</v>
      </c>
    </row>
    <row r="5086" spans="1:2" x14ac:dyDescent="0.25">
      <c r="A5086" s="8">
        <v>43641</v>
      </c>
      <c r="B5086" s="9">
        <v>16.28</v>
      </c>
    </row>
    <row r="5087" spans="1:2" x14ac:dyDescent="0.25">
      <c r="A5087" s="8">
        <v>43642</v>
      </c>
      <c r="B5087" s="9">
        <v>16.21</v>
      </c>
    </row>
    <row r="5088" spans="1:2" x14ac:dyDescent="0.25">
      <c r="A5088" s="8">
        <v>43643</v>
      </c>
      <c r="B5088" s="9">
        <v>15.82</v>
      </c>
    </row>
    <row r="5089" spans="1:2" x14ac:dyDescent="0.25">
      <c r="A5089" s="8">
        <v>43644</v>
      </c>
      <c r="B5089" s="9">
        <v>15.08</v>
      </c>
    </row>
    <row r="5090" spans="1:2" x14ac:dyDescent="0.25">
      <c r="A5090" s="8">
        <v>43647</v>
      </c>
      <c r="B5090" s="9">
        <v>14.06</v>
      </c>
    </row>
    <row r="5091" spans="1:2" x14ac:dyDescent="0.25">
      <c r="A5091" s="8">
        <v>43648</v>
      </c>
      <c r="B5091" s="9">
        <v>12.93</v>
      </c>
    </row>
    <row r="5092" spans="1:2" x14ac:dyDescent="0.25">
      <c r="A5092" s="8">
        <v>43649</v>
      </c>
      <c r="B5092" s="9">
        <v>12.57</v>
      </c>
    </row>
    <row r="5093" spans="1:2" x14ac:dyDescent="0.25">
      <c r="A5093" s="8">
        <v>43650</v>
      </c>
    </row>
    <row r="5094" spans="1:2" x14ac:dyDescent="0.25">
      <c r="A5094" s="8">
        <v>43651</v>
      </c>
      <c r="B5094" s="9">
        <v>13.28</v>
      </c>
    </row>
    <row r="5095" spans="1:2" x14ac:dyDescent="0.25">
      <c r="A5095" s="8">
        <v>43654</v>
      </c>
      <c r="B5095" s="9">
        <v>13.96</v>
      </c>
    </row>
    <row r="5096" spans="1:2" x14ac:dyDescent="0.25">
      <c r="A5096" s="8">
        <v>43655</v>
      </c>
      <c r="B5096" s="9">
        <v>14.09</v>
      </c>
    </row>
    <row r="5097" spans="1:2" x14ac:dyDescent="0.25">
      <c r="A5097" s="8">
        <v>43656</v>
      </c>
      <c r="B5097" s="9">
        <v>13.03</v>
      </c>
    </row>
    <row r="5098" spans="1:2" x14ac:dyDescent="0.25">
      <c r="A5098" s="8">
        <v>43657</v>
      </c>
      <c r="B5098" s="9">
        <v>12.93</v>
      </c>
    </row>
    <row r="5099" spans="1:2" x14ac:dyDescent="0.25">
      <c r="A5099" s="8">
        <v>43658</v>
      </c>
      <c r="B5099" s="9">
        <v>12.39</v>
      </c>
    </row>
    <row r="5100" spans="1:2" x14ac:dyDescent="0.25">
      <c r="A5100" s="8">
        <v>43661</v>
      </c>
      <c r="B5100" s="9">
        <v>12.68</v>
      </c>
    </row>
    <row r="5101" spans="1:2" x14ac:dyDescent="0.25">
      <c r="A5101" s="8">
        <v>43662</v>
      </c>
      <c r="B5101" s="9">
        <v>12.86</v>
      </c>
    </row>
    <row r="5102" spans="1:2" x14ac:dyDescent="0.25">
      <c r="A5102" s="8">
        <v>43663</v>
      </c>
      <c r="B5102" s="9">
        <v>13.97</v>
      </c>
    </row>
    <row r="5103" spans="1:2" x14ac:dyDescent="0.25">
      <c r="A5103" s="8">
        <v>43664</v>
      </c>
      <c r="B5103" s="9">
        <v>13.53</v>
      </c>
    </row>
    <row r="5104" spans="1:2" x14ac:dyDescent="0.25">
      <c r="A5104" s="8">
        <v>43665</v>
      </c>
      <c r="B5104" s="9">
        <v>14.45</v>
      </c>
    </row>
    <row r="5105" spans="1:2" x14ac:dyDescent="0.25">
      <c r="A5105" s="8">
        <v>43668</v>
      </c>
      <c r="B5105" s="9">
        <v>13.53</v>
      </c>
    </row>
    <row r="5106" spans="1:2" x14ac:dyDescent="0.25">
      <c r="A5106" s="8">
        <v>43669</v>
      </c>
      <c r="B5106" s="9">
        <v>12.61</v>
      </c>
    </row>
    <row r="5107" spans="1:2" x14ac:dyDescent="0.25">
      <c r="A5107" s="8">
        <v>43670</v>
      </c>
      <c r="B5107" s="9">
        <v>12.07</v>
      </c>
    </row>
    <row r="5108" spans="1:2" x14ac:dyDescent="0.25">
      <c r="A5108" s="8">
        <v>43671</v>
      </c>
      <c r="B5108" s="9">
        <v>12.74</v>
      </c>
    </row>
    <row r="5109" spans="1:2" x14ac:dyDescent="0.25">
      <c r="A5109" s="8">
        <v>43672</v>
      </c>
      <c r="B5109" s="9">
        <v>12.16</v>
      </c>
    </row>
    <row r="5110" spans="1:2" x14ac:dyDescent="0.25">
      <c r="A5110" s="8">
        <v>43675</v>
      </c>
      <c r="B5110" s="9">
        <v>12.83</v>
      </c>
    </row>
    <row r="5111" spans="1:2" x14ac:dyDescent="0.25">
      <c r="A5111" s="8">
        <v>43676</v>
      </c>
      <c r="B5111" s="9">
        <v>13.94</v>
      </c>
    </row>
    <row r="5112" spans="1:2" x14ac:dyDescent="0.25">
      <c r="A5112" s="8">
        <v>43677</v>
      </c>
      <c r="B5112" s="9">
        <v>16.12</v>
      </c>
    </row>
    <row r="5113" spans="1:2" x14ac:dyDescent="0.25">
      <c r="A5113" s="8">
        <v>43678</v>
      </c>
      <c r="B5113" s="9">
        <v>17.87</v>
      </c>
    </row>
    <row r="5114" spans="1:2" x14ac:dyDescent="0.25">
      <c r="A5114" s="8">
        <v>43679</v>
      </c>
      <c r="B5114" s="9">
        <v>17.61</v>
      </c>
    </row>
    <row r="5115" spans="1:2" x14ac:dyDescent="0.25">
      <c r="A5115" s="8">
        <v>43682</v>
      </c>
      <c r="B5115" s="9">
        <v>24.59</v>
      </c>
    </row>
    <row r="5116" spans="1:2" x14ac:dyDescent="0.25">
      <c r="A5116" s="8">
        <v>43683</v>
      </c>
      <c r="B5116" s="9">
        <v>20.170000000000002</v>
      </c>
    </row>
    <row r="5117" spans="1:2" x14ac:dyDescent="0.25">
      <c r="A5117" s="8">
        <v>43684</v>
      </c>
      <c r="B5117" s="9">
        <v>19.489999999999998</v>
      </c>
    </row>
    <row r="5118" spans="1:2" x14ac:dyDescent="0.25">
      <c r="A5118" s="8">
        <v>43685</v>
      </c>
      <c r="B5118" s="9">
        <v>16.91</v>
      </c>
    </row>
    <row r="5119" spans="1:2" x14ac:dyDescent="0.25">
      <c r="A5119" s="8">
        <v>43686</v>
      </c>
      <c r="B5119" s="9">
        <v>17.97</v>
      </c>
    </row>
    <row r="5120" spans="1:2" x14ac:dyDescent="0.25">
      <c r="A5120" s="8">
        <v>43689</v>
      </c>
      <c r="B5120" s="9">
        <v>21.09</v>
      </c>
    </row>
    <row r="5121" spans="1:2" x14ac:dyDescent="0.25">
      <c r="A5121" s="8">
        <v>43690</v>
      </c>
      <c r="B5121" s="9">
        <v>17.52</v>
      </c>
    </row>
    <row r="5122" spans="1:2" x14ac:dyDescent="0.25">
      <c r="A5122" s="8">
        <v>43691</v>
      </c>
      <c r="B5122" s="9">
        <v>22.1</v>
      </c>
    </row>
    <row r="5123" spans="1:2" x14ac:dyDescent="0.25">
      <c r="A5123" s="8">
        <v>43692</v>
      </c>
      <c r="B5123" s="9">
        <v>21.18</v>
      </c>
    </row>
    <row r="5124" spans="1:2" x14ac:dyDescent="0.25">
      <c r="A5124" s="8">
        <v>43693</v>
      </c>
      <c r="B5124" s="9">
        <v>18.47</v>
      </c>
    </row>
    <row r="5125" spans="1:2" x14ac:dyDescent="0.25">
      <c r="A5125" s="8">
        <v>43696</v>
      </c>
      <c r="B5125" s="9">
        <v>16.88</v>
      </c>
    </row>
    <row r="5126" spans="1:2" x14ac:dyDescent="0.25">
      <c r="A5126" s="8">
        <v>43697</v>
      </c>
      <c r="B5126" s="9">
        <v>17.5</v>
      </c>
    </row>
    <row r="5127" spans="1:2" x14ac:dyDescent="0.25">
      <c r="A5127" s="8">
        <v>43698</v>
      </c>
      <c r="B5127" s="9">
        <v>15.8</v>
      </c>
    </row>
    <row r="5128" spans="1:2" x14ac:dyDescent="0.25">
      <c r="A5128" s="8">
        <v>43699</v>
      </c>
      <c r="B5128" s="9">
        <v>16.68</v>
      </c>
    </row>
    <row r="5129" spans="1:2" x14ac:dyDescent="0.25">
      <c r="A5129" s="8">
        <v>43700</v>
      </c>
      <c r="B5129" s="9">
        <v>19.87</v>
      </c>
    </row>
    <row r="5130" spans="1:2" x14ac:dyDescent="0.25">
      <c r="A5130" s="8">
        <v>43703</v>
      </c>
      <c r="B5130" s="9">
        <v>19.32</v>
      </c>
    </row>
    <row r="5131" spans="1:2" x14ac:dyDescent="0.25">
      <c r="A5131" s="8">
        <v>43704</v>
      </c>
      <c r="B5131" s="9">
        <v>20.309999999999999</v>
      </c>
    </row>
    <row r="5132" spans="1:2" x14ac:dyDescent="0.25">
      <c r="A5132" s="8">
        <v>43705</v>
      </c>
      <c r="B5132" s="9">
        <v>19.350000000000001</v>
      </c>
    </row>
    <row r="5133" spans="1:2" x14ac:dyDescent="0.25">
      <c r="A5133" s="8">
        <v>43706</v>
      </c>
      <c r="B5133" s="9">
        <v>17.88</v>
      </c>
    </row>
    <row r="5134" spans="1:2" x14ac:dyDescent="0.25">
      <c r="A5134" s="8">
        <v>43707</v>
      </c>
      <c r="B5134" s="9">
        <v>18.98</v>
      </c>
    </row>
    <row r="5135" spans="1:2" x14ac:dyDescent="0.25">
      <c r="A5135" s="8">
        <v>43710</v>
      </c>
    </row>
    <row r="5136" spans="1:2" x14ac:dyDescent="0.25">
      <c r="A5136" s="8">
        <v>43711</v>
      </c>
      <c r="B5136" s="9">
        <v>19.66</v>
      </c>
    </row>
    <row r="5137" spans="1:2" x14ac:dyDescent="0.25">
      <c r="A5137" s="8">
        <v>43712</v>
      </c>
      <c r="B5137" s="9">
        <v>17.329999999999998</v>
      </c>
    </row>
    <row r="5138" spans="1:2" x14ac:dyDescent="0.25">
      <c r="A5138" s="8">
        <v>43713</v>
      </c>
      <c r="B5138" s="9">
        <v>16.27</v>
      </c>
    </row>
    <row r="5139" spans="1:2" x14ac:dyDescent="0.25">
      <c r="A5139" s="8">
        <v>43714</v>
      </c>
      <c r="B5139" s="9">
        <v>15</v>
      </c>
    </row>
    <row r="5140" spans="1:2" x14ac:dyDescent="0.25">
      <c r="A5140" s="8">
        <v>43717</v>
      </c>
      <c r="B5140" s="9">
        <v>15.27</v>
      </c>
    </row>
    <row r="5141" spans="1:2" x14ac:dyDescent="0.25">
      <c r="A5141" s="8">
        <v>43718</v>
      </c>
      <c r="B5141" s="9">
        <v>15.2</v>
      </c>
    </row>
    <row r="5142" spans="1:2" x14ac:dyDescent="0.25">
      <c r="A5142" s="8">
        <v>43719</v>
      </c>
      <c r="B5142" s="9">
        <v>14.61</v>
      </c>
    </row>
    <row r="5143" spans="1:2" x14ac:dyDescent="0.25">
      <c r="A5143" s="8">
        <v>43720</v>
      </c>
      <c r="B5143" s="9">
        <v>14.22</v>
      </c>
    </row>
    <row r="5144" spans="1:2" x14ac:dyDescent="0.25">
      <c r="A5144" s="8">
        <v>43721</v>
      </c>
      <c r="B5144" s="9">
        <v>13.74</v>
      </c>
    </row>
    <row r="5145" spans="1:2" x14ac:dyDescent="0.25">
      <c r="A5145" s="8">
        <v>43724</v>
      </c>
      <c r="B5145" s="9">
        <v>14.67</v>
      </c>
    </row>
    <row r="5146" spans="1:2" x14ac:dyDescent="0.25">
      <c r="A5146" s="8">
        <v>43725</v>
      </c>
      <c r="B5146" s="9">
        <v>14.44</v>
      </c>
    </row>
    <row r="5147" spans="1:2" x14ac:dyDescent="0.25">
      <c r="A5147" s="8">
        <v>43726</v>
      </c>
      <c r="B5147" s="9">
        <v>13.95</v>
      </c>
    </row>
    <row r="5148" spans="1:2" x14ac:dyDescent="0.25">
      <c r="A5148" s="8">
        <v>43727</v>
      </c>
      <c r="B5148" s="9">
        <v>14.05</v>
      </c>
    </row>
    <row r="5149" spans="1:2" x14ac:dyDescent="0.25">
      <c r="A5149" s="8">
        <v>43728</v>
      </c>
      <c r="B5149" s="9">
        <v>15.32</v>
      </c>
    </row>
    <row r="5150" spans="1:2" x14ac:dyDescent="0.25">
      <c r="A5150" s="8">
        <v>43731</v>
      </c>
      <c r="B5150" s="9">
        <v>14.91</v>
      </c>
    </row>
    <row r="5151" spans="1:2" x14ac:dyDescent="0.25">
      <c r="A5151" s="8">
        <v>43732</v>
      </c>
      <c r="B5151" s="9">
        <v>17.05</v>
      </c>
    </row>
    <row r="5152" spans="1:2" x14ac:dyDescent="0.25">
      <c r="A5152" s="8">
        <v>43733</v>
      </c>
      <c r="B5152" s="9">
        <v>15.96</v>
      </c>
    </row>
    <row r="5153" spans="1:2" x14ac:dyDescent="0.25">
      <c r="A5153" s="8">
        <v>43734</v>
      </c>
      <c r="B5153" s="9">
        <v>16.07</v>
      </c>
    </row>
    <row r="5154" spans="1:2" x14ac:dyDescent="0.25">
      <c r="A5154" s="8">
        <v>43735</v>
      </c>
      <c r="B5154" s="9">
        <v>17.22</v>
      </c>
    </row>
    <row r="5155" spans="1:2" x14ac:dyDescent="0.25">
      <c r="A5155" s="8">
        <v>43738</v>
      </c>
      <c r="B5155" s="9">
        <v>16.239999999999998</v>
      </c>
    </row>
    <row r="5156" spans="1:2" x14ac:dyDescent="0.25">
      <c r="A5156" s="8">
        <v>43739</v>
      </c>
      <c r="B5156" s="9">
        <v>18.559999999999999</v>
      </c>
    </row>
    <row r="5157" spans="1:2" x14ac:dyDescent="0.25">
      <c r="A5157" s="8">
        <v>43740</v>
      </c>
      <c r="B5157" s="9">
        <v>20.56</v>
      </c>
    </row>
    <row r="5158" spans="1:2" x14ac:dyDescent="0.25">
      <c r="A5158" s="8">
        <v>43741</v>
      </c>
      <c r="B5158" s="9">
        <v>19.12</v>
      </c>
    </row>
    <row r="5159" spans="1:2" x14ac:dyDescent="0.25">
      <c r="A5159" s="8">
        <v>43742</v>
      </c>
      <c r="B5159" s="9">
        <v>17.04</v>
      </c>
    </row>
    <row r="5160" spans="1:2" x14ac:dyDescent="0.25">
      <c r="A5160" s="8">
        <v>43745</v>
      </c>
      <c r="B5160" s="9">
        <v>17.86</v>
      </c>
    </row>
    <row r="5161" spans="1:2" x14ac:dyDescent="0.25">
      <c r="A5161" s="8">
        <v>43746</v>
      </c>
      <c r="B5161" s="9">
        <v>20.28</v>
      </c>
    </row>
    <row r="5162" spans="1:2" x14ac:dyDescent="0.25">
      <c r="A5162" s="8">
        <v>43747</v>
      </c>
      <c r="B5162" s="9">
        <v>18.64</v>
      </c>
    </row>
    <row r="5163" spans="1:2" x14ac:dyDescent="0.25">
      <c r="A5163" s="8">
        <v>43748</v>
      </c>
      <c r="B5163" s="9">
        <v>17.57</v>
      </c>
    </row>
    <row r="5164" spans="1:2" x14ac:dyDescent="0.25">
      <c r="A5164" s="8">
        <v>43749</v>
      </c>
      <c r="B5164" s="9">
        <v>15.58</v>
      </c>
    </row>
    <row r="5165" spans="1:2" x14ac:dyDescent="0.25">
      <c r="A5165" s="8">
        <v>43752</v>
      </c>
      <c r="B5165" s="9">
        <v>14.57</v>
      </c>
    </row>
    <row r="5166" spans="1:2" x14ac:dyDescent="0.25">
      <c r="A5166" s="8">
        <v>43753</v>
      </c>
      <c r="B5166" s="9">
        <v>13.54</v>
      </c>
    </row>
    <row r="5167" spans="1:2" x14ac:dyDescent="0.25">
      <c r="A5167" s="8">
        <v>43754</v>
      </c>
      <c r="B5167" s="9">
        <v>13.68</v>
      </c>
    </row>
    <row r="5168" spans="1:2" x14ac:dyDescent="0.25">
      <c r="A5168" s="8">
        <v>43755</v>
      </c>
      <c r="B5168" s="9">
        <v>13.79</v>
      </c>
    </row>
    <row r="5169" spans="1:2" x14ac:dyDescent="0.25">
      <c r="A5169" s="8">
        <v>43756</v>
      </c>
      <c r="B5169" s="9">
        <v>14.25</v>
      </c>
    </row>
    <row r="5170" spans="1:2" x14ac:dyDescent="0.25">
      <c r="A5170" s="8">
        <v>43759</v>
      </c>
      <c r="B5170" s="9">
        <v>14</v>
      </c>
    </row>
    <row r="5171" spans="1:2" x14ac:dyDescent="0.25">
      <c r="A5171" s="8">
        <v>43760</v>
      </c>
      <c r="B5171" s="9">
        <v>14.46</v>
      </c>
    </row>
    <row r="5172" spans="1:2" x14ac:dyDescent="0.25">
      <c r="A5172" s="8">
        <v>43761</v>
      </c>
      <c r="B5172" s="9">
        <v>14.01</v>
      </c>
    </row>
    <row r="5173" spans="1:2" x14ac:dyDescent="0.25">
      <c r="A5173" s="8">
        <v>43762</v>
      </c>
      <c r="B5173" s="9">
        <v>13.71</v>
      </c>
    </row>
    <row r="5174" spans="1:2" x14ac:dyDescent="0.25">
      <c r="A5174" s="8">
        <v>43763</v>
      </c>
      <c r="B5174" s="9">
        <v>12.65</v>
      </c>
    </row>
    <row r="5175" spans="1:2" x14ac:dyDescent="0.25">
      <c r="A5175" s="8">
        <v>43766</v>
      </c>
      <c r="B5175" s="9">
        <v>13.11</v>
      </c>
    </row>
    <row r="5176" spans="1:2" x14ac:dyDescent="0.25">
      <c r="A5176" s="8">
        <v>43767</v>
      </c>
      <c r="B5176" s="9">
        <v>13.2</v>
      </c>
    </row>
    <row r="5177" spans="1:2" x14ac:dyDescent="0.25">
      <c r="A5177" s="8">
        <v>43768</v>
      </c>
      <c r="B5177" s="9">
        <v>12.33</v>
      </c>
    </row>
    <row r="5178" spans="1:2" x14ac:dyDescent="0.25">
      <c r="A5178" s="8">
        <v>43769</v>
      </c>
      <c r="B5178" s="9">
        <v>13.22</v>
      </c>
    </row>
    <row r="5179" spans="1:2" x14ac:dyDescent="0.25">
      <c r="A5179" s="8">
        <v>43770</v>
      </c>
      <c r="B5179" s="9">
        <v>12.3</v>
      </c>
    </row>
    <row r="5180" spans="1:2" x14ac:dyDescent="0.25">
      <c r="A5180" s="8">
        <v>43773</v>
      </c>
      <c r="B5180" s="9">
        <v>12.83</v>
      </c>
    </row>
    <row r="5181" spans="1:2" x14ac:dyDescent="0.25">
      <c r="A5181" s="8">
        <v>43774</v>
      </c>
      <c r="B5181" s="9">
        <v>13.1</v>
      </c>
    </row>
    <row r="5182" spans="1:2" x14ac:dyDescent="0.25">
      <c r="A5182" s="8">
        <v>43775</v>
      </c>
      <c r="B5182" s="9">
        <v>12.62</v>
      </c>
    </row>
    <row r="5183" spans="1:2" x14ac:dyDescent="0.25">
      <c r="A5183" s="8">
        <v>43776</v>
      </c>
      <c r="B5183" s="9">
        <v>12.73</v>
      </c>
    </row>
    <row r="5184" spans="1:2" x14ac:dyDescent="0.25">
      <c r="A5184" s="8">
        <v>43777</v>
      </c>
      <c r="B5184" s="9">
        <v>12.07</v>
      </c>
    </row>
    <row r="5185" spans="1:2" x14ac:dyDescent="0.25">
      <c r="A5185" s="8">
        <v>43780</v>
      </c>
      <c r="B5185" s="9">
        <v>12.69</v>
      </c>
    </row>
    <row r="5186" spans="1:2" x14ac:dyDescent="0.25">
      <c r="A5186" s="8">
        <v>43781</v>
      </c>
      <c r="B5186" s="9">
        <v>12.68</v>
      </c>
    </row>
    <row r="5187" spans="1:2" x14ac:dyDescent="0.25">
      <c r="A5187" s="8">
        <v>43782</v>
      </c>
      <c r="B5187" s="9">
        <v>13</v>
      </c>
    </row>
    <row r="5188" spans="1:2" x14ac:dyDescent="0.25">
      <c r="A5188" s="8">
        <v>43783</v>
      </c>
      <c r="B5188" s="9">
        <v>13.05</v>
      </c>
    </row>
    <row r="5189" spans="1:2" x14ac:dyDescent="0.25">
      <c r="A5189" s="8">
        <v>43784</v>
      </c>
      <c r="B5189" s="9">
        <v>12.05</v>
      </c>
    </row>
    <row r="5190" spans="1:2" x14ac:dyDescent="0.25">
      <c r="A5190" s="8">
        <v>43787</v>
      </c>
      <c r="B5190" s="9">
        <v>12.46</v>
      </c>
    </row>
    <row r="5191" spans="1:2" x14ac:dyDescent="0.25">
      <c r="A5191" s="8">
        <v>43788</v>
      </c>
      <c r="B5191" s="9">
        <v>12.86</v>
      </c>
    </row>
    <row r="5192" spans="1:2" x14ac:dyDescent="0.25">
      <c r="A5192" s="8">
        <v>43789</v>
      </c>
      <c r="B5192" s="9">
        <v>12.78</v>
      </c>
    </row>
    <row r="5193" spans="1:2" x14ac:dyDescent="0.25">
      <c r="A5193" s="8">
        <v>43790</v>
      </c>
      <c r="B5193" s="9">
        <v>13.13</v>
      </c>
    </row>
    <row r="5194" spans="1:2" x14ac:dyDescent="0.25">
      <c r="A5194" s="8">
        <v>43791</v>
      </c>
      <c r="B5194" s="9">
        <v>12.34</v>
      </c>
    </row>
    <row r="5195" spans="1:2" x14ac:dyDescent="0.25">
      <c r="A5195" s="8">
        <v>43794</v>
      </c>
      <c r="B5195" s="9">
        <v>11.87</v>
      </c>
    </row>
    <row r="5196" spans="1:2" x14ac:dyDescent="0.25">
      <c r="A5196" s="8">
        <v>43795</v>
      </c>
      <c r="B5196" s="9">
        <v>11.54</v>
      </c>
    </row>
    <row r="5197" spans="1:2" x14ac:dyDescent="0.25">
      <c r="A5197" s="8">
        <v>43796</v>
      </c>
      <c r="B5197" s="9">
        <v>11.75</v>
      </c>
    </row>
    <row r="5198" spans="1:2" x14ac:dyDescent="0.25">
      <c r="A5198" s="8">
        <v>43797</v>
      </c>
    </row>
    <row r="5199" spans="1:2" x14ac:dyDescent="0.25">
      <c r="A5199" s="8">
        <v>43798</v>
      </c>
      <c r="B5199" s="9">
        <v>12.62</v>
      </c>
    </row>
    <row r="5200" spans="1:2" x14ac:dyDescent="0.25">
      <c r="A5200" s="8">
        <v>43801</v>
      </c>
      <c r="B5200" s="9">
        <v>14.91</v>
      </c>
    </row>
    <row r="5201" spans="1:2" x14ac:dyDescent="0.25">
      <c r="A5201" s="8">
        <v>43802</v>
      </c>
      <c r="B5201" s="9">
        <v>15.96</v>
      </c>
    </row>
    <row r="5202" spans="1:2" x14ac:dyDescent="0.25">
      <c r="A5202" s="8">
        <v>43803</v>
      </c>
      <c r="B5202" s="9">
        <v>14.8</v>
      </c>
    </row>
    <row r="5203" spans="1:2" x14ac:dyDescent="0.25">
      <c r="A5203" s="8">
        <v>43804</v>
      </c>
      <c r="B5203" s="9">
        <v>14.52</v>
      </c>
    </row>
    <row r="5204" spans="1:2" x14ac:dyDescent="0.25">
      <c r="A5204" s="8">
        <v>43805</v>
      </c>
      <c r="B5204" s="9">
        <v>13.62</v>
      </c>
    </row>
    <row r="5205" spans="1:2" x14ac:dyDescent="0.25">
      <c r="A5205" s="8">
        <v>43808</v>
      </c>
      <c r="B5205" s="9">
        <v>15.86</v>
      </c>
    </row>
    <row r="5206" spans="1:2" x14ac:dyDescent="0.25">
      <c r="A5206" s="8">
        <v>43809</v>
      </c>
      <c r="B5206" s="9">
        <v>15.68</v>
      </c>
    </row>
    <row r="5207" spans="1:2" x14ac:dyDescent="0.25">
      <c r="A5207" s="8">
        <v>43810</v>
      </c>
      <c r="B5207" s="9">
        <v>14.99</v>
      </c>
    </row>
    <row r="5208" spans="1:2" x14ac:dyDescent="0.25">
      <c r="A5208" s="8">
        <v>43811</v>
      </c>
      <c r="B5208" s="9">
        <v>13.94</v>
      </c>
    </row>
    <row r="5209" spans="1:2" x14ac:dyDescent="0.25">
      <c r="A5209" s="8">
        <v>43812</v>
      </c>
      <c r="B5209" s="9">
        <v>12.63</v>
      </c>
    </row>
    <row r="5210" spans="1:2" x14ac:dyDescent="0.25">
      <c r="A5210" s="8">
        <v>43815</v>
      </c>
      <c r="B5210" s="9">
        <v>12.14</v>
      </c>
    </row>
    <row r="5211" spans="1:2" x14ac:dyDescent="0.25">
      <c r="A5211" s="8">
        <v>43816</v>
      </c>
      <c r="B5211" s="9">
        <v>12.29</v>
      </c>
    </row>
    <row r="5212" spans="1:2" x14ac:dyDescent="0.25">
      <c r="A5212" s="8">
        <v>43817</v>
      </c>
      <c r="B5212" s="9">
        <v>12.58</v>
      </c>
    </row>
    <row r="5213" spans="1:2" x14ac:dyDescent="0.25">
      <c r="A5213" s="8">
        <v>43818</v>
      </c>
      <c r="B5213" s="9">
        <v>12.5</v>
      </c>
    </row>
    <row r="5214" spans="1:2" x14ac:dyDescent="0.25">
      <c r="A5214" s="8">
        <v>43819</v>
      </c>
      <c r="B5214" s="9">
        <v>12.51</v>
      </c>
    </row>
    <row r="5215" spans="1:2" x14ac:dyDescent="0.25">
      <c r="A5215" s="8">
        <v>43822</v>
      </c>
      <c r="B5215" s="9">
        <v>12.61</v>
      </c>
    </row>
    <row r="5216" spans="1:2" x14ac:dyDescent="0.25">
      <c r="A5216" s="8">
        <v>43823</v>
      </c>
      <c r="B5216" s="9">
        <v>12.67</v>
      </c>
    </row>
    <row r="5217" spans="1:2" x14ac:dyDescent="0.25">
      <c r="A5217" s="8">
        <v>43824</v>
      </c>
    </row>
    <row r="5218" spans="1:2" x14ac:dyDescent="0.25">
      <c r="A5218" s="8">
        <v>43825</v>
      </c>
      <c r="B5218" s="9">
        <v>12.65</v>
      </c>
    </row>
    <row r="5219" spans="1:2" x14ac:dyDescent="0.25">
      <c r="A5219" s="8">
        <v>43826</v>
      </c>
      <c r="B5219" s="9">
        <v>13.43</v>
      </c>
    </row>
    <row r="5220" spans="1:2" x14ac:dyDescent="0.25">
      <c r="A5220" s="8">
        <v>43829</v>
      </c>
      <c r="B5220" s="9">
        <v>14.82</v>
      </c>
    </row>
    <row r="5221" spans="1:2" x14ac:dyDescent="0.25">
      <c r="A5221" s="8">
        <v>43830</v>
      </c>
      <c r="B5221" s="9">
        <v>13.78</v>
      </c>
    </row>
    <row r="5222" spans="1:2" x14ac:dyDescent="0.25">
      <c r="A5222" s="8">
        <v>43831</v>
      </c>
    </row>
    <row r="5223" spans="1:2" x14ac:dyDescent="0.25">
      <c r="A5223" s="8">
        <v>43832</v>
      </c>
      <c r="B5223" s="9">
        <v>12.47</v>
      </c>
    </row>
    <row r="5224" spans="1:2" x14ac:dyDescent="0.25">
      <c r="A5224" s="8">
        <v>43833</v>
      </c>
      <c r="B5224" s="9">
        <v>14.02</v>
      </c>
    </row>
    <row r="5225" spans="1:2" x14ac:dyDescent="0.25">
      <c r="A5225" s="8">
        <v>43836</v>
      </c>
      <c r="B5225" s="9">
        <v>13.85</v>
      </c>
    </row>
    <row r="5226" spans="1:2" x14ac:dyDescent="0.25">
      <c r="A5226" s="8">
        <v>43837</v>
      </c>
      <c r="B5226" s="9">
        <v>13.79</v>
      </c>
    </row>
    <row r="5227" spans="1:2" x14ac:dyDescent="0.25">
      <c r="A5227" s="8">
        <v>43838</v>
      </c>
      <c r="B5227" s="9">
        <v>13.45</v>
      </c>
    </row>
    <row r="5228" spans="1:2" x14ac:dyDescent="0.25">
      <c r="A5228" s="8">
        <v>43839</v>
      </c>
      <c r="B5228" s="9">
        <v>12.54</v>
      </c>
    </row>
    <row r="5229" spans="1:2" x14ac:dyDescent="0.25">
      <c r="A5229" s="8">
        <v>43840</v>
      </c>
      <c r="B5229" s="9">
        <v>12.56</v>
      </c>
    </row>
    <row r="5230" spans="1:2" x14ac:dyDescent="0.25">
      <c r="A5230" s="8">
        <v>43843</v>
      </c>
      <c r="B5230" s="9">
        <v>12.32</v>
      </c>
    </row>
    <row r="5231" spans="1:2" x14ac:dyDescent="0.25">
      <c r="A5231" s="8">
        <v>43844</v>
      </c>
      <c r="B5231" s="9">
        <v>12.39</v>
      </c>
    </row>
    <row r="5232" spans="1:2" x14ac:dyDescent="0.25">
      <c r="A5232" s="8">
        <v>43845</v>
      </c>
      <c r="B5232" s="9">
        <v>12.42</v>
      </c>
    </row>
    <row r="5233" spans="1:2" x14ac:dyDescent="0.25">
      <c r="A5233" s="8">
        <v>43846</v>
      </c>
      <c r="B5233" s="9">
        <v>12.32</v>
      </c>
    </row>
    <row r="5234" spans="1:2" x14ac:dyDescent="0.25">
      <c r="A5234" s="8">
        <v>43847</v>
      </c>
      <c r="B5234" s="9">
        <v>12.1</v>
      </c>
    </row>
    <row r="5235" spans="1:2" x14ac:dyDescent="0.25">
      <c r="A5235" s="8">
        <v>43850</v>
      </c>
    </row>
    <row r="5236" spans="1:2" x14ac:dyDescent="0.25">
      <c r="A5236" s="8">
        <v>43851</v>
      </c>
      <c r="B5236" s="9">
        <v>12.85</v>
      </c>
    </row>
    <row r="5237" spans="1:2" x14ac:dyDescent="0.25">
      <c r="A5237" s="8">
        <v>43852</v>
      </c>
      <c r="B5237" s="9">
        <v>12.91</v>
      </c>
    </row>
    <row r="5238" spans="1:2" x14ac:dyDescent="0.25">
      <c r="A5238" s="8">
        <v>43853</v>
      </c>
      <c r="B5238" s="9">
        <v>12.98</v>
      </c>
    </row>
    <row r="5239" spans="1:2" x14ac:dyDescent="0.25">
      <c r="A5239" s="8">
        <v>43854</v>
      </c>
      <c r="B5239" s="9">
        <v>14.56</v>
      </c>
    </row>
    <row r="5240" spans="1:2" x14ac:dyDescent="0.25">
      <c r="A5240" s="8">
        <v>43857</v>
      </c>
      <c r="B5240" s="9">
        <v>18.23</v>
      </c>
    </row>
    <row r="5241" spans="1:2" x14ac:dyDescent="0.25">
      <c r="A5241" s="8">
        <v>43858</v>
      </c>
      <c r="B5241" s="9">
        <v>16.28</v>
      </c>
    </row>
    <row r="5242" spans="1:2" x14ac:dyDescent="0.25">
      <c r="A5242" s="8">
        <v>43859</v>
      </c>
      <c r="B5242" s="9">
        <v>16.39</v>
      </c>
    </row>
    <row r="5243" spans="1:2" x14ac:dyDescent="0.25">
      <c r="A5243" s="8">
        <v>43860</v>
      </c>
      <c r="B5243" s="9">
        <v>15.49</v>
      </c>
    </row>
    <row r="5244" spans="1:2" x14ac:dyDescent="0.25">
      <c r="A5244" s="8">
        <v>43861</v>
      </c>
      <c r="B5244" s="9">
        <v>18.84</v>
      </c>
    </row>
    <row r="5245" spans="1:2" x14ac:dyDescent="0.25">
      <c r="A5245" s="8">
        <v>43864</v>
      </c>
      <c r="B5245" s="9">
        <v>17.97</v>
      </c>
    </row>
    <row r="5246" spans="1:2" x14ac:dyDescent="0.25">
      <c r="A5246" s="8">
        <v>43865</v>
      </c>
      <c r="B5246" s="9">
        <v>16.05</v>
      </c>
    </row>
    <row r="5247" spans="1:2" x14ac:dyDescent="0.25">
      <c r="A5247" s="8">
        <v>43866</v>
      </c>
      <c r="B5247" s="9">
        <v>15.15</v>
      </c>
    </row>
    <row r="5248" spans="1:2" x14ac:dyDescent="0.25">
      <c r="A5248" s="8">
        <v>43867</v>
      </c>
      <c r="B5248" s="9">
        <v>14.96</v>
      </c>
    </row>
    <row r="5249" spans="1:2" x14ac:dyDescent="0.25">
      <c r="A5249" s="8">
        <v>43868</v>
      </c>
      <c r="B5249" s="9">
        <v>15.47</v>
      </c>
    </row>
    <row r="5250" spans="1:2" x14ac:dyDescent="0.25">
      <c r="A5250" s="8">
        <v>43871</v>
      </c>
      <c r="B5250" s="9">
        <v>15.04</v>
      </c>
    </row>
    <row r="5251" spans="1:2" x14ac:dyDescent="0.25">
      <c r="A5251" s="8">
        <v>43872</v>
      </c>
      <c r="B5251" s="9">
        <v>15.18</v>
      </c>
    </row>
    <row r="5252" spans="1:2" x14ac:dyDescent="0.25">
      <c r="A5252" s="8">
        <v>43873</v>
      </c>
      <c r="B5252" s="9">
        <v>13.74</v>
      </c>
    </row>
    <row r="5253" spans="1:2" x14ac:dyDescent="0.25">
      <c r="A5253" s="8">
        <v>43874</v>
      </c>
      <c r="B5253" s="9">
        <v>14.15</v>
      </c>
    </row>
    <row r="5254" spans="1:2" x14ac:dyDescent="0.25">
      <c r="A5254" s="8">
        <v>43875</v>
      </c>
      <c r="B5254" s="9">
        <v>13.68</v>
      </c>
    </row>
    <row r="5255" spans="1:2" x14ac:dyDescent="0.25">
      <c r="A5255" s="8">
        <v>43878</v>
      </c>
    </row>
    <row r="5256" spans="1:2" x14ac:dyDescent="0.25">
      <c r="A5256" s="8">
        <v>43879</v>
      </c>
      <c r="B5256" s="9">
        <v>14.83</v>
      </c>
    </row>
    <row r="5257" spans="1:2" x14ac:dyDescent="0.25">
      <c r="A5257" s="8">
        <v>43880</v>
      </c>
      <c r="B5257" s="9">
        <v>14.38</v>
      </c>
    </row>
    <row r="5258" spans="1:2" x14ac:dyDescent="0.25">
      <c r="A5258" s="8">
        <v>43881</v>
      </c>
      <c r="B5258" s="9">
        <v>15.56</v>
      </c>
    </row>
    <row r="5259" spans="1:2" x14ac:dyDescent="0.25">
      <c r="A5259" s="8">
        <v>43882</v>
      </c>
      <c r="B5259" s="9">
        <v>17.079999999999998</v>
      </c>
    </row>
    <row r="5260" spans="1:2" x14ac:dyDescent="0.25">
      <c r="A5260" s="8">
        <v>43885</v>
      </c>
      <c r="B5260" s="9">
        <v>25.03</v>
      </c>
    </row>
    <row r="5261" spans="1:2" x14ac:dyDescent="0.25">
      <c r="A5261" s="8">
        <v>43886</v>
      </c>
      <c r="B5261" s="9">
        <v>27.85</v>
      </c>
    </row>
    <row r="5262" spans="1:2" x14ac:dyDescent="0.25">
      <c r="A5262" s="8">
        <v>43887</v>
      </c>
      <c r="B5262" s="9">
        <v>27.56</v>
      </c>
    </row>
    <row r="5263" spans="1:2" x14ac:dyDescent="0.25">
      <c r="A5263" s="8">
        <v>43888</v>
      </c>
      <c r="B5263" s="9">
        <v>39.159999999999997</v>
      </c>
    </row>
    <row r="5264" spans="1:2" x14ac:dyDescent="0.25">
      <c r="A5264" s="8">
        <v>43889</v>
      </c>
      <c r="B5264" s="9">
        <v>40.11</v>
      </c>
    </row>
    <row r="5265" spans="1:2" x14ac:dyDescent="0.25">
      <c r="A5265" s="8">
        <v>43892</v>
      </c>
      <c r="B5265" s="9">
        <v>33.42</v>
      </c>
    </row>
    <row r="5266" spans="1:2" x14ac:dyDescent="0.25">
      <c r="A5266" s="8">
        <v>43893</v>
      </c>
      <c r="B5266" s="9">
        <v>36.82</v>
      </c>
    </row>
    <row r="5267" spans="1:2" x14ac:dyDescent="0.25">
      <c r="A5267" s="8">
        <v>43894</v>
      </c>
      <c r="B5267" s="9">
        <v>31.99</v>
      </c>
    </row>
    <row r="5268" spans="1:2" x14ac:dyDescent="0.25">
      <c r="A5268" s="8">
        <v>43895</v>
      </c>
      <c r="B5268" s="9">
        <v>39.619999999999997</v>
      </c>
    </row>
    <row r="5269" spans="1:2" x14ac:dyDescent="0.25">
      <c r="A5269" s="8">
        <v>43896</v>
      </c>
      <c r="B5269" s="9">
        <v>41.94</v>
      </c>
    </row>
    <row r="5270" spans="1:2" x14ac:dyDescent="0.25">
      <c r="A5270" s="8">
        <v>43899</v>
      </c>
      <c r="B5270" s="9">
        <v>54.46</v>
      </c>
    </row>
    <row r="5271" spans="1:2" x14ac:dyDescent="0.25">
      <c r="A5271" s="8">
        <v>43900</v>
      </c>
      <c r="B5271" s="9">
        <v>47.3</v>
      </c>
    </row>
    <row r="5272" spans="1:2" x14ac:dyDescent="0.25">
      <c r="A5272" s="8">
        <v>43901</v>
      </c>
      <c r="B5272" s="9">
        <v>53.9</v>
      </c>
    </row>
    <row r="5273" spans="1:2" x14ac:dyDescent="0.25">
      <c r="A5273" s="8">
        <v>43902</v>
      </c>
      <c r="B5273" s="9">
        <v>75.47</v>
      </c>
    </row>
    <row r="5274" spans="1:2" x14ac:dyDescent="0.25">
      <c r="A5274" s="8">
        <v>43903</v>
      </c>
      <c r="B5274" s="9">
        <v>57.83</v>
      </c>
    </row>
    <row r="5275" spans="1:2" x14ac:dyDescent="0.25">
      <c r="A5275" s="8">
        <v>43906</v>
      </c>
      <c r="B5275" s="9">
        <v>82.69</v>
      </c>
    </row>
    <row r="5276" spans="1:2" x14ac:dyDescent="0.25">
      <c r="A5276" s="8">
        <v>43907</v>
      </c>
      <c r="B5276" s="9">
        <v>75.91</v>
      </c>
    </row>
    <row r="5277" spans="1:2" x14ac:dyDescent="0.25">
      <c r="A5277" s="8">
        <v>43908</v>
      </c>
      <c r="B5277" s="9">
        <v>76.45</v>
      </c>
    </row>
    <row r="5278" spans="1:2" x14ac:dyDescent="0.25">
      <c r="A5278" s="8">
        <v>43909</v>
      </c>
      <c r="B5278" s="9">
        <v>72</v>
      </c>
    </row>
    <row r="5279" spans="1:2" x14ac:dyDescent="0.25">
      <c r="A5279" s="8">
        <v>43910</v>
      </c>
      <c r="B5279" s="9">
        <v>66.040000000000006</v>
      </c>
    </row>
    <row r="5280" spans="1:2" x14ac:dyDescent="0.25">
      <c r="A5280" s="8">
        <v>43913</v>
      </c>
      <c r="B5280" s="9">
        <v>61.59</v>
      </c>
    </row>
    <row r="5281" spans="1:2" x14ac:dyDescent="0.25">
      <c r="A5281" s="8">
        <v>43914</v>
      </c>
      <c r="B5281" s="9">
        <v>61.67</v>
      </c>
    </row>
    <row r="5282" spans="1:2" x14ac:dyDescent="0.25">
      <c r="A5282" s="8">
        <v>43915</v>
      </c>
      <c r="B5282" s="9">
        <v>63.95</v>
      </c>
    </row>
    <row r="5283" spans="1:2" x14ac:dyDescent="0.25">
      <c r="A5283" s="8">
        <v>43916</v>
      </c>
      <c r="B5283" s="9">
        <v>61</v>
      </c>
    </row>
    <row r="5284" spans="1:2" x14ac:dyDescent="0.25">
      <c r="A5284" s="8">
        <v>43917</v>
      </c>
      <c r="B5284" s="9">
        <v>65.540000000000006</v>
      </c>
    </row>
    <row r="5285" spans="1:2" x14ac:dyDescent="0.25">
      <c r="A5285" s="8">
        <v>43920</v>
      </c>
      <c r="B5285" s="9">
        <v>57.08</v>
      </c>
    </row>
    <row r="5286" spans="1:2" x14ac:dyDescent="0.25">
      <c r="A5286" s="8">
        <v>43921</v>
      </c>
      <c r="B5286" s="9">
        <v>53.54</v>
      </c>
    </row>
    <row r="5287" spans="1:2" x14ac:dyDescent="0.25">
      <c r="A5287" s="8">
        <v>43922</v>
      </c>
      <c r="B5287" s="9">
        <v>57.06</v>
      </c>
    </row>
    <row r="5288" spans="1:2" x14ac:dyDescent="0.25">
      <c r="A5288" s="8">
        <v>43923</v>
      </c>
      <c r="B5288" s="9">
        <v>50.91</v>
      </c>
    </row>
    <row r="5289" spans="1:2" x14ac:dyDescent="0.25">
      <c r="A5289" s="8">
        <v>43924</v>
      </c>
      <c r="B5289" s="9">
        <v>46.8</v>
      </c>
    </row>
    <row r="5290" spans="1:2" x14ac:dyDescent="0.25">
      <c r="A5290" s="8">
        <v>43927</v>
      </c>
      <c r="B5290" s="9">
        <v>45.24</v>
      </c>
    </row>
    <row r="5291" spans="1:2" x14ac:dyDescent="0.25">
      <c r="A5291" s="8">
        <v>43928</v>
      </c>
      <c r="B5291" s="9">
        <v>46.7</v>
      </c>
    </row>
    <row r="5292" spans="1:2" x14ac:dyDescent="0.25">
      <c r="A5292" s="8">
        <v>43929</v>
      </c>
      <c r="B5292" s="9">
        <v>43.35</v>
      </c>
    </row>
    <row r="5293" spans="1:2" x14ac:dyDescent="0.25">
      <c r="A5293" s="8">
        <v>43930</v>
      </c>
      <c r="B5293" s="9">
        <v>41.67</v>
      </c>
    </row>
    <row r="5294" spans="1:2" x14ac:dyDescent="0.25">
      <c r="A5294" s="8">
        <v>43931</v>
      </c>
    </row>
    <row r="5295" spans="1:2" x14ac:dyDescent="0.25">
      <c r="A5295" s="8">
        <v>43934</v>
      </c>
      <c r="B5295" s="9">
        <v>41.17</v>
      </c>
    </row>
    <row r="5296" spans="1:2" x14ac:dyDescent="0.25">
      <c r="A5296" s="8">
        <v>43935</v>
      </c>
      <c r="B5296" s="9">
        <v>37.76</v>
      </c>
    </row>
    <row r="5297" spans="1:2" x14ac:dyDescent="0.25">
      <c r="A5297" s="8">
        <v>43936</v>
      </c>
      <c r="B5297" s="9">
        <v>40.840000000000003</v>
      </c>
    </row>
    <row r="5298" spans="1:2" x14ac:dyDescent="0.25">
      <c r="A5298" s="8">
        <v>43937</v>
      </c>
      <c r="B5298" s="9">
        <v>40.11</v>
      </c>
    </row>
    <row r="5299" spans="1:2" x14ac:dyDescent="0.25">
      <c r="A5299" s="8">
        <v>43938</v>
      </c>
      <c r="B5299" s="9">
        <v>38.15</v>
      </c>
    </row>
    <row r="5300" spans="1:2" x14ac:dyDescent="0.25">
      <c r="A5300" s="8">
        <v>43941</v>
      </c>
      <c r="B5300" s="9">
        <v>43.83</v>
      </c>
    </row>
    <row r="5301" spans="1:2" x14ac:dyDescent="0.25">
      <c r="A5301" s="8">
        <v>43942</v>
      </c>
      <c r="B5301" s="9">
        <v>45.41</v>
      </c>
    </row>
    <row r="5302" spans="1:2" x14ac:dyDescent="0.25">
      <c r="A5302" s="8">
        <v>43943</v>
      </c>
      <c r="B5302" s="9">
        <v>41.98</v>
      </c>
    </row>
    <row r="5303" spans="1:2" x14ac:dyDescent="0.25">
      <c r="A5303" s="8">
        <v>43944</v>
      </c>
      <c r="B5303" s="9">
        <v>41.38</v>
      </c>
    </row>
    <row r="5304" spans="1:2" x14ac:dyDescent="0.25">
      <c r="A5304" s="8">
        <v>43945</v>
      </c>
      <c r="B5304" s="9">
        <v>35.93</v>
      </c>
    </row>
    <row r="5305" spans="1:2" x14ac:dyDescent="0.25">
      <c r="A5305" s="8">
        <v>43948</v>
      </c>
      <c r="B5305" s="9">
        <v>33.29</v>
      </c>
    </row>
    <row r="5306" spans="1:2" x14ac:dyDescent="0.25">
      <c r="A5306" s="8">
        <v>43949</v>
      </c>
      <c r="B5306" s="9">
        <v>33.57</v>
      </c>
    </row>
    <row r="5307" spans="1:2" x14ac:dyDescent="0.25">
      <c r="A5307" s="8">
        <v>43950</v>
      </c>
      <c r="B5307" s="9">
        <v>31.23</v>
      </c>
    </row>
    <row r="5308" spans="1:2" x14ac:dyDescent="0.25">
      <c r="A5308" s="8">
        <v>43951</v>
      </c>
      <c r="B5308" s="9">
        <v>34.15</v>
      </c>
    </row>
    <row r="5309" spans="1:2" x14ac:dyDescent="0.25">
      <c r="A5309" s="8">
        <v>43952</v>
      </c>
      <c r="B5309" s="9">
        <v>37.19</v>
      </c>
    </row>
    <row r="5310" spans="1:2" x14ac:dyDescent="0.25">
      <c r="A5310" s="8">
        <v>43955</v>
      </c>
      <c r="B5310" s="9">
        <v>35.97</v>
      </c>
    </row>
    <row r="5311" spans="1:2" x14ac:dyDescent="0.25">
      <c r="A5311" s="8">
        <v>43956</v>
      </c>
      <c r="B5311" s="9">
        <v>33.61</v>
      </c>
    </row>
    <row r="5312" spans="1:2" x14ac:dyDescent="0.25">
      <c r="A5312" s="8">
        <v>43957</v>
      </c>
      <c r="B5312" s="9">
        <v>34.119999999999997</v>
      </c>
    </row>
    <row r="5313" spans="1:2" x14ac:dyDescent="0.25">
      <c r="A5313" s="8">
        <v>43958</v>
      </c>
      <c r="B5313" s="9">
        <v>31.44</v>
      </c>
    </row>
    <row r="5314" spans="1:2" x14ac:dyDescent="0.25">
      <c r="A5314" s="8">
        <v>43959</v>
      </c>
      <c r="B5314" s="9">
        <v>27.98</v>
      </c>
    </row>
    <row r="5315" spans="1:2" x14ac:dyDescent="0.25">
      <c r="A5315" s="8">
        <v>43962</v>
      </c>
      <c r="B5315" s="9">
        <v>27.57</v>
      </c>
    </row>
    <row r="5316" spans="1:2" x14ac:dyDescent="0.25">
      <c r="A5316" s="8">
        <v>43963</v>
      </c>
      <c r="B5316" s="9">
        <v>33.04</v>
      </c>
    </row>
    <row r="5317" spans="1:2" x14ac:dyDescent="0.25">
      <c r="A5317" s="8">
        <v>43964</v>
      </c>
      <c r="B5317" s="9">
        <v>35.28</v>
      </c>
    </row>
    <row r="5318" spans="1:2" x14ac:dyDescent="0.25">
      <c r="A5318" s="8">
        <v>43965</v>
      </c>
      <c r="B5318" s="9">
        <v>32.61</v>
      </c>
    </row>
    <row r="5319" spans="1:2" x14ac:dyDescent="0.25">
      <c r="A5319" s="8">
        <v>43966</v>
      </c>
      <c r="B5319" s="9">
        <v>31.89</v>
      </c>
    </row>
    <row r="5320" spans="1:2" x14ac:dyDescent="0.25">
      <c r="A5320" s="8">
        <v>43969</v>
      </c>
      <c r="B5320" s="9">
        <v>29.3</v>
      </c>
    </row>
    <row r="5321" spans="1:2" x14ac:dyDescent="0.25">
      <c r="A5321" s="8">
        <v>43970</v>
      </c>
      <c r="B5321" s="9">
        <v>30.53</v>
      </c>
    </row>
    <row r="5322" spans="1:2" x14ac:dyDescent="0.25">
      <c r="A5322" s="8">
        <v>43971</v>
      </c>
      <c r="B5322" s="9">
        <v>27.99</v>
      </c>
    </row>
    <row r="5323" spans="1:2" x14ac:dyDescent="0.25">
      <c r="A5323" s="8">
        <v>43972</v>
      </c>
      <c r="B5323" s="9">
        <v>29.53</v>
      </c>
    </row>
    <row r="5324" spans="1:2" x14ac:dyDescent="0.25">
      <c r="A5324" s="8">
        <v>43973</v>
      </c>
      <c r="B5324" s="9">
        <v>28.16</v>
      </c>
    </row>
    <row r="5325" spans="1:2" x14ac:dyDescent="0.25">
      <c r="A5325" s="8">
        <v>43976</v>
      </c>
    </row>
    <row r="5326" spans="1:2" x14ac:dyDescent="0.25">
      <c r="A5326" s="8">
        <v>43977</v>
      </c>
      <c r="B5326" s="9">
        <v>28.01</v>
      </c>
    </row>
    <row r="5327" spans="1:2" x14ac:dyDescent="0.25">
      <c r="A5327" s="8">
        <v>43978</v>
      </c>
      <c r="B5327" s="9">
        <v>27.62</v>
      </c>
    </row>
    <row r="5328" spans="1:2" x14ac:dyDescent="0.25">
      <c r="A5328" s="8">
        <v>43979</v>
      </c>
      <c r="B5328" s="9">
        <v>28.59</v>
      </c>
    </row>
    <row r="5329" spans="1:2" x14ac:dyDescent="0.25">
      <c r="A5329" s="8">
        <v>43980</v>
      </c>
      <c r="B5329" s="9">
        <v>27.51</v>
      </c>
    </row>
    <row r="5330" spans="1:2" x14ac:dyDescent="0.25">
      <c r="A5330" s="8">
        <v>43983</v>
      </c>
      <c r="B5330" s="9">
        <v>28.23</v>
      </c>
    </row>
    <row r="5331" spans="1:2" x14ac:dyDescent="0.25">
      <c r="A5331" s="8">
        <v>43984</v>
      </c>
      <c r="B5331" s="9">
        <v>26.84</v>
      </c>
    </row>
    <row r="5332" spans="1:2" x14ac:dyDescent="0.25">
      <c r="A5332" s="8">
        <v>43985</v>
      </c>
      <c r="B5332" s="9">
        <v>25.66</v>
      </c>
    </row>
    <row r="5333" spans="1:2" x14ac:dyDescent="0.25">
      <c r="A5333" s="8">
        <v>43986</v>
      </c>
      <c r="B5333" s="9">
        <v>25.81</v>
      </c>
    </row>
    <row r="5334" spans="1:2" x14ac:dyDescent="0.25">
      <c r="A5334" s="8">
        <v>43987</v>
      </c>
      <c r="B5334" s="9">
        <v>24.52</v>
      </c>
    </row>
    <row r="5335" spans="1:2" x14ac:dyDescent="0.25">
      <c r="A5335" s="8">
        <v>43990</v>
      </c>
      <c r="B5335" s="9">
        <v>25.81</v>
      </c>
    </row>
    <row r="5336" spans="1:2" x14ac:dyDescent="0.25">
      <c r="A5336" s="8">
        <v>43991</v>
      </c>
      <c r="B5336" s="9">
        <v>27.57</v>
      </c>
    </row>
    <row r="5337" spans="1:2" x14ac:dyDescent="0.25">
      <c r="A5337" s="8">
        <v>43992</v>
      </c>
      <c r="B5337" s="9">
        <v>27.57</v>
      </c>
    </row>
    <row r="5338" spans="1:2" x14ac:dyDescent="0.25">
      <c r="A5338" s="8">
        <v>43993</v>
      </c>
      <c r="B5338" s="9">
        <v>40.79</v>
      </c>
    </row>
    <row r="5339" spans="1:2" x14ac:dyDescent="0.25">
      <c r="A5339" s="8">
        <v>43994</v>
      </c>
      <c r="B5339" s="9">
        <v>36.090000000000003</v>
      </c>
    </row>
    <row r="5340" spans="1:2" x14ac:dyDescent="0.25">
      <c r="A5340" s="8">
        <v>43997</v>
      </c>
      <c r="B5340" s="9">
        <v>34.4</v>
      </c>
    </row>
    <row r="5341" spans="1:2" x14ac:dyDescent="0.25">
      <c r="A5341" s="8">
        <v>43998</v>
      </c>
      <c r="B5341" s="9">
        <v>33.67</v>
      </c>
    </row>
    <row r="5342" spans="1:2" x14ac:dyDescent="0.25">
      <c r="A5342" s="8">
        <v>43999</v>
      </c>
      <c r="B5342" s="9">
        <v>33.47</v>
      </c>
    </row>
    <row r="5343" spans="1:2" x14ac:dyDescent="0.25">
      <c r="A5343" s="8">
        <v>44000</v>
      </c>
      <c r="B5343" s="9">
        <v>32.94</v>
      </c>
    </row>
    <row r="5344" spans="1:2" x14ac:dyDescent="0.25">
      <c r="A5344" s="8">
        <v>44001</v>
      </c>
      <c r="B5344" s="9">
        <v>35.119999999999997</v>
      </c>
    </row>
    <row r="5345" spans="1:2" x14ac:dyDescent="0.25">
      <c r="A5345" s="8">
        <v>44004</v>
      </c>
      <c r="B5345" s="9">
        <v>31.77</v>
      </c>
    </row>
    <row r="5346" spans="1:2" x14ac:dyDescent="0.25">
      <c r="A5346" s="8">
        <v>44005</v>
      </c>
      <c r="B5346" s="9">
        <v>31.37</v>
      </c>
    </row>
    <row r="5347" spans="1:2" x14ac:dyDescent="0.25">
      <c r="A5347" s="8">
        <v>44006</v>
      </c>
      <c r="B5347" s="9">
        <v>33.840000000000003</v>
      </c>
    </row>
    <row r="5348" spans="1:2" x14ac:dyDescent="0.25">
      <c r="A5348" s="8">
        <v>44007</v>
      </c>
      <c r="B5348" s="9">
        <v>32.22</v>
      </c>
    </row>
    <row r="5349" spans="1:2" x14ac:dyDescent="0.25">
      <c r="A5349" s="8">
        <v>44008</v>
      </c>
      <c r="B5349" s="9">
        <v>34.729999999999997</v>
      </c>
    </row>
    <row r="5350" spans="1:2" x14ac:dyDescent="0.25">
      <c r="A5350" s="8">
        <v>44011</v>
      </c>
      <c r="B5350" s="9">
        <v>31.78</v>
      </c>
    </row>
    <row r="5351" spans="1:2" x14ac:dyDescent="0.25">
      <c r="A5351" s="8">
        <v>44012</v>
      </c>
      <c r="B5351" s="9">
        <v>30.43</v>
      </c>
    </row>
    <row r="5352" spans="1:2" x14ac:dyDescent="0.25">
      <c r="A5352" s="8">
        <v>44013</v>
      </c>
      <c r="B5352" s="9">
        <v>28.62</v>
      </c>
    </row>
    <row r="5353" spans="1:2" x14ac:dyDescent="0.25">
      <c r="A5353" s="8">
        <v>44014</v>
      </c>
      <c r="B5353" s="9">
        <v>27.68</v>
      </c>
    </row>
    <row r="5354" spans="1:2" x14ac:dyDescent="0.25">
      <c r="A5354" s="8">
        <v>44015</v>
      </c>
    </row>
    <row r="5355" spans="1:2" x14ac:dyDescent="0.25">
      <c r="A5355" s="8">
        <v>44018</v>
      </c>
      <c r="B5355" s="9">
        <v>27.94</v>
      </c>
    </row>
    <row r="5356" spans="1:2" x14ac:dyDescent="0.25">
      <c r="A5356" s="8">
        <v>44019</v>
      </c>
      <c r="B5356" s="9">
        <v>29.43</v>
      </c>
    </row>
    <row r="5357" spans="1:2" x14ac:dyDescent="0.25">
      <c r="A5357" s="8">
        <v>44020</v>
      </c>
      <c r="B5357" s="9">
        <v>28.08</v>
      </c>
    </row>
    <row r="5358" spans="1:2" x14ac:dyDescent="0.25">
      <c r="A5358" s="8">
        <v>44021</v>
      </c>
      <c r="B5358" s="9">
        <v>29.26</v>
      </c>
    </row>
    <row r="5359" spans="1:2" x14ac:dyDescent="0.25">
      <c r="A5359" s="8">
        <v>44022</v>
      </c>
      <c r="B5359" s="9">
        <v>27.29</v>
      </c>
    </row>
    <row r="5360" spans="1:2" x14ac:dyDescent="0.25">
      <c r="A5360" s="8">
        <v>44025</v>
      </c>
      <c r="B5360" s="9">
        <v>32.19</v>
      </c>
    </row>
    <row r="5361" spans="1:2" x14ac:dyDescent="0.25">
      <c r="A5361" s="8">
        <v>44026</v>
      </c>
      <c r="B5361" s="9">
        <v>29.52</v>
      </c>
    </row>
    <row r="5362" spans="1:2" x14ac:dyDescent="0.25">
      <c r="A5362" s="8">
        <v>44027</v>
      </c>
      <c r="B5362" s="9">
        <v>27.76</v>
      </c>
    </row>
    <row r="5363" spans="1:2" x14ac:dyDescent="0.25">
      <c r="A5363" s="8">
        <v>44028</v>
      </c>
      <c r="B5363" s="9">
        <v>28</v>
      </c>
    </row>
    <row r="5364" spans="1:2" x14ac:dyDescent="0.25">
      <c r="A5364" s="8">
        <v>44029</v>
      </c>
      <c r="B5364" s="9">
        <v>25.68</v>
      </c>
    </row>
    <row r="5365" spans="1:2" x14ac:dyDescent="0.25">
      <c r="A5365" s="8">
        <v>44032</v>
      </c>
      <c r="B5365" s="9">
        <v>24.46</v>
      </c>
    </row>
    <row r="5366" spans="1:2" x14ac:dyDescent="0.25">
      <c r="A5366" s="8">
        <v>44033</v>
      </c>
      <c r="B5366" s="9">
        <v>24.84</v>
      </c>
    </row>
    <row r="5367" spans="1:2" x14ac:dyDescent="0.25">
      <c r="A5367" s="8">
        <v>44034</v>
      </c>
      <c r="B5367" s="9">
        <v>24.32</v>
      </c>
    </row>
    <row r="5368" spans="1:2" x14ac:dyDescent="0.25">
      <c r="A5368" s="8">
        <v>44035</v>
      </c>
      <c r="B5368" s="9">
        <v>26.08</v>
      </c>
    </row>
    <row r="5369" spans="1:2" x14ac:dyDescent="0.25">
      <c r="A5369" s="8">
        <v>44036</v>
      </c>
      <c r="B5369" s="9">
        <v>25.84</v>
      </c>
    </row>
    <row r="5370" spans="1:2" x14ac:dyDescent="0.25">
      <c r="A5370" s="8">
        <v>44039</v>
      </c>
      <c r="B5370" s="9">
        <v>24.74</v>
      </c>
    </row>
    <row r="5371" spans="1:2" x14ac:dyDescent="0.25">
      <c r="A5371" s="8">
        <v>44040</v>
      </c>
      <c r="B5371" s="9">
        <v>25.44</v>
      </c>
    </row>
    <row r="5372" spans="1:2" x14ac:dyDescent="0.25">
      <c r="A5372" s="8">
        <v>44041</v>
      </c>
      <c r="B5372" s="9">
        <v>24.1</v>
      </c>
    </row>
    <row r="5373" spans="1:2" x14ac:dyDescent="0.25">
      <c r="A5373" s="8">
        <v>44042</v>
      </c>
      <c r="B5373" s="9">
        <v>24.76</v>
      </c>
    </row>
    <row r="5374" spans="1:2" x14ac:dyDescent="0.25">
      <c r="A5374" s="8">
        <v>44043</v>
      </c>
      <c r="B5374" s="9">
        <v>24.46</v>
      </c>
    </row>
    <row r="5375" spans="1:2" x14ac:dyDescent="0.25">
      <c r="A5375" s="8">
        <v>44046</v>
      </c>
      <c r="B5375" s="9">
        <v>24.28</v>
      </c>
    </row>
    <row r="5376" spans="1:2" x14ac:dyDescent="0.25">
      <c r="A5376" s="8">
        <v>44047</v>
      </c>
      <c r="B5376" s="9">
        <v>23.76</v>
      </c>
    </row>
    <row r="5377" spans="1:2" x14ac:dyDescent="0.25">
      <c r="A5377" s="8">
        <v>44048</v>
      </c>
      <c r="B5377" s="9">
        <v>22.99</v>
      </c>
    </row>
    <row r="5378" spans="1:2" x14ac:dyDescent="0.25">
      <c r="A5378" s="8">
        <v>44049</v>
      </c>
      <c r="B5378" s="9">
        <v>22.65</v>
      </c>
    </row>
    <row r="5379" spans="1:2" x14ac:dyDescent="0.25">
      <c r="A5379" s="8">
        <v>44050</v>
      </c>
      <c r="B5379" s="9">
        <v>22.21</v>
      </c>
    </row>
    <row r="5380" spans="1:2" x14ac:dyDescent="0.25">
      <c r="A5380" s="8">
        <v>44053</v>
      </c>
      <c r="B5380" s="9">
        <v>22.13</v>
      </c>
    </row>
    <row r="5381" spans="1:2" x14ac:dyDescent="0.25">
      <c r="A5381" s="8">
        <v>44054</v>
      </c>
      <c r="B5381" s="9">
        <v>24.03</v>
      </c>
    </row>
    <row r="5382" spans="1:2" x14ac:dyDescent="0.25">
      <c r="A5382" s="8">
        <v>44055</v>
      </c>
      <c r="B5382" s="9">
        <v>22.28</v>
      </c>
    </row>
    <row r="5383" spans="1:2" x14ac:dyDescent="0.25">
      <c r="A5383" s="8">
        <v>44056</v>
      </c>
      <c r="B5383" s="9">
        <v>22.13</v>
      </c>
    </row>
    <row r="5384" spans="1:2" x14ac:dyDescent="0.25">
      <c r="A5384" s="8">
        <v>44057</v>
      </c>
      <c r="B5384" s="9">
        <v>22.05</v>
      </c>
    </row>
    <row r="5385" spans="1:2" x14ac:dyDescent="0.25">
      <c r="A5385" s="8">
        <v>44060</v>
      </c>
      <c r="B5385" s="9">
        <v>21.35</v>
      </c>
    </row>
    <row r="5386" spans="1:2" x14ac:dyDescent="0.25">
      <c r="A5386" s="8">
        <v>44061</v>
      </c>
      <c r="B5386" s="9">
        <v>21.51</v>
      </c>
    </row>
    <row r="5387" spans="1:2" x14ac:dyDescent="0.25">
      <c r="A5387" s="8">
        <v>44062</v>
      </c>
      <c r="B5387" s="9">
        <v>22.54</v>
      </c>
    </row>
    <row r="5388" spans="1:2" x14ac:dyDescent="0.25">
      <c r="A5388" s="8">
        <v>44063</v>
      </c>
      <c r="B5388" s="9">
        <v>22.72</v>
      </c>
    </row>
    <row r="5389" spans="1:2" x14ac:dyDescent="0.25">
      <c r="A5389" s="8">
        <v>44064</v>
      </c>
      <c r="B5389" s="9">
        <v>22.54</v>
      </c>
    </row>
    <row r="5390" spans="1:2" x14ac:dyDescent="0.25">
      <c r="A5390" s="8">
        <v>44067</v>
      </c>
      <c r="B5390" s="9">
        <v>22.37</v>
      </c>
    </row>
    <row r="5391" spans="1:2" x14ac:dyDescent="0.25">
      <c r="A5391" s="8">
        <v>44068</v>
      </c>
      <c r="B5391" s="9">
        <v>22.03</v>
      </c>
    </row>
    <row r="5392" spans="1:2" x14ac:dyDescent="0.25">
      <c r="A5392" s="8">
        <v>44069</v>
      </c>
      <c r="B5392" s="9">
        <v>23.27</v>
      </c>
    </row>
    <row r="5393" spans="1:2" x14ac:dyDescent="0.25">
      <c r="A5393" s="8">
        <v>44070</v>
      </c>
      <c r="B5393" s="9">
        <v>24.47</v>
      </c>
    </row>
    <row r="5394" spans="1:2" x14ac:dyDescent="0.25">
      <c r="A5394" s="8">
        <v>44071</v>
      </c>
      <c r="B5394" s="9">
        <v>22.96</v>
      </c>
    </row>
    <row r="5395" spans="1:2" x14ac:dyDescent="0.25">
      <c r="A5395" s="8">
        <v>44074</v>
      </c>
      <c r="B5395" s="9">
        <v>26.41</v>
      </c>
    </row>
    <row r="5396" spans="1:2" x14ac:dyDescent="0.25">
      <c r="A5396" s="8">
        <v>44075</v>
      </c>
      <c r="B5396" s="9">
        <v>26.12</v>
      </c>
    </row>
    <row r="5397" spans="1:2" x14ac:dyDescent="0.25">
      <c r="A5397" s="8">
        <v>44076</v>
      </c>
      <c r="B5397" s="9">
        <v>26.57</v>
      </c>
    </row>
    <row r="5398" spans="1:2" x14ac:dyDescent="0.25">
      <c r="A5398" s="8">
        <v>44077</v>
      </c>
      <c r="B5398" s="9">
        <v>33.6</v>
      </c>
    </row>
    <row r="5399" spans="1:2" x14ac:dyDescent="0.25">
      <c r="A5399" s="8">
        <v>44078</v>
      </c>
      <c r="B5399" s="9">
        <v>30.75</v>
      </c>
    </row>
    <row r="5400" spans="1:2" x14ac:dyDescent="0.25">
      <c r="A5400" s="8">
        <v>44081</v>
      </c>
    </row>
    <row r="5401" spans="1:2" x14ac:dyDescent="0.25">
      <c r="A5401" s="8">
        <v>44082</v>
      </c>
      <c r="B5401" s="9">
        <v>31.46</v>
      </c>
    </row>
    <row r="5402" spans="1:2" x14ac:dyDescent="0.25">
      <c r="A5402" s="8">
        <v>44083</v>
      </c>
      <c r="B5402" s="9">
        <v>28.81</v>
      </c>
    </row>
    <row r="5403" spans="1:2" x14ac:dyDescent="0.25">
      <c r="A5403" s="8">
        <v>44084</v>
      </c>
      <c r="B5403" s="9">
        <v>29.71</v>
      </c>
    </row>
    <row r="5404" spans="1:2" x14ac:dyDescent="0.25">
      <c r="A5404" s="8">
        <v>44085</v>
      </c>
      <c r="B5404" s="9">
        <v>26.87</v>
      </c>
    </row>
    <row r="5405" spans="1:2" x14ac:dyDescent="0.25">
      <c r="A5405" s="8">
        <v>44088</v>
      </c>
      <c r="B5405" s="9">
        <v>25.85</v>
      </c>
    </row>
    <row r="5406" spans="1:2" x14ac:dyDescent="0.25">
      <c r="A5406" s="8">
        <v>44089</v>
      </c>
      <c r="B5406" s="9">
        <v>25.59</v>
      </c>
    </row>
    <row r="5407" spans="1:2" x14ac:dyDescent="0.25">
      <c r="A5407" s="8">
        <v>44090</v>
      </c>
      <c r="B5407" s="9">
        <v>26.04</v>
      </c>
    </row>
    <row r="5408" spans="1:2" x14ac:dyDescent="0.25">
      <c r="A5408" s="8">
        <v>44091</v>
      </c>
      <c r="B5408" s="9">
        <v>26.46</v>
      </c>
    </row>
    <row r="5409" spans="1:2" x14ac:dyDescent="0.25">
      <c r="A5409" s="8">
        <v>44092</v>
      </c>
      <c r="B5409" s="9">
        <v>25.83</v>
      </c>
    </row>
    <row r="5410" spans="1:2" x14ac:dyDescent="0.25">
      <c r="A5410" s="8">
        <v>44095</v>
      </c>
      <c r="B5410" s="9">
        <v>27.78</v>
      </c>
    </row>
    <row r="5411" spans="1:2" x14ac:dyDescent="0.25">
      <c r="A5411" s="8">
        <v>44096</v>
      </c>
      <c r="B5411" s="9">
        <v>26.86</v>
      </c>
    </row>
    <row r="5412" spans="1:2" x14ac:dyDescent="0.25">
      <c r="A5412" s="8">
        <v>44097</v>
      </c>
      <c r="B5412" s="9">
        <v>28.58</v>
      </c>
    </row>
    <row r="5413" spans="1:2" x14ac:dyDescent="0.25">
      <c r="A5413" s="8">
        <v>44098</v>
      </c>
      <c r="B5413" s="9">
        <v>28.51</v>
      </c>
    </row>
    <row r="5414" spans="1:2" x14ac:dyDescent="0.25">
      <c r="A5414" s="8">
        <v>44099</v>
      </c>
      <c r="B5414" s="9">
        <v>26.38</v>
      </c>
    </row>
    <row r="5415" spans="1:2" x14ac:dyDescent="0.25">
      <c r="A5415" s="8">
        <v>44102</v>
      </c>
      <c r="B5415" s="9">
        <v>26.19</v>
      </c>
    </row>
    <row r="5416" spans="1:2" x14ac:dyDescent="0.25">
      <c r="A5416" s="8">
        <v>44103</v>
      </c>
      <c r="B5416" s="9">
        <v>26.27</v>
      </c>
    </row>
    <row r="5417" spans="1:2" x14ac:dyDescent="0.25">
      <c r="A5417" s="8">
        <v>44104</v>
      </c>
      <c r="B5417" s="9">
        <v>26.37</v>
      </c>
    </row>
    <row r="5418" spans="1:2" x14ac:dyDescent="0.25">
      <c r="A5418" s="8">
        <v>44105</v>
      </c>
      <c r="B5418" s="9">
        <v>26.7</v>
      </c>
    </row>
    <row r="5419" spans="1:2" x14ac:dyDescent="0.25">
      <c r="A5419" s="8">
        <v>44106</v>
      </c>
      <c r="B5419" s="9">
        <v>27.63</v>
      </c>
    </row>
    <row r="5420" spans="1:2" x14ac:dyDescent="0.25">
      <c r="A5420" s="8">
        <v>44109</v>
      </c>
      <c r="B5420" s="9">
        <v>27.96</v>
      </c>
    </row>
    <row r="5421" spans="1:2" x14ac:dyDescent="0.25">
      <c r="A5421" s="8">
        <v>44110</v>
      </c>
      <c r="B5421" s="9">
        <v>29.48</v>
      </c>
    </row>
    <row r="5422" spans="1:2" x14ac:dyDescent="0.25">
      <c r="A5422" s="8">
        <v>44111</v>
      </c>
      <c r="B5422" s="9">
        <v>28.06</v>
      </c>
    </row>
    <row r="5423" spans="1:2" x14ac:dyDescent="0.25">
      <c r="A5423" s="8">
        <v>44112</v>
      </c>
      <c r="B5423" s="9">
        <v>26.36</v>
      </c>
    </row>
    <row r="5424" spans="1:2" x14ac:dyDescent="0.25">
      <c r="A5424" s="8">
        <v>44113</v>
      </c>
      <c r="B5424" s="9">
        <v>25</v>
      </c>
    </row>
    <row r="5425" spans="1:2" x14ac:dyDescent="0.25">
      <c r="A5425" s="8">
        <v>44116</v>
      </c>
      <c r="B5425" s="9">
        <v>25.07</v>
      </c>
    </row>
    <row r="5426" spans="1:2" x14ac:dyDescent="0.25">
      <c r="A5426" s="8">
        <v>44117</v>
      </c>
      <c r="B5426" s="9">
        <v>26.07</v>
      </c>
    </row>
    <row r="5427" spans="1:2" x14ac:dyDescent="0.25">
      <c r="A5427" s="8">
        <v>44118</v>
      </c>
      <c r="B5427" s="9">
        <v>26.4</v>
      </c>
    </row>
    <row r="5428" spans="1:2" x14ac:dyDescent="0.25">
      <c r="A5428" s="8">
        <v>44119</v>
      </c>
      <c r="B5428" s="9">
        <v>26.97</v>
      </c>
    </row>
    <row r="5429" spans="1:2" x14ac:dyDescent="0.25">
      <c r="A5429" s="8">
        <v>44120</v>
      </c>
      <c r="B5429" s="9">
        <v>27.41</v>
      </c>
    </row>
    <row r="5430" spans="1:2" x14ac:dyDescent="0.25">
      <c r="A5430" s="8">
        <v>44123</v>
      </c>
      <c r="B5430" s="9">
        <v>29.18</v>
      </c>
    </row>
    <row r="5431" spans="1:2" x14ac:dyDescent="0.25">
      <c r="A5431" s="8">
        <v>44124</v>
      </c>
      <c r="B5431" s="9">
        <v>29.35</v>
      </c>
    </row>
    <row r="5432" spans="1:2" x14ac:dyDescent="0.25">
      <c r="A5432" s="8">
        <v>44125</v>
      </c>
      <c r="B5432" s="9">
        <v>28.65</v>
      </c>
    </row>
    <row r="5433" spans="1:2" x14ac:dyDescent="0.25">
      <c r="A5433" s="8">
        <v>44126</v>
      </c>
      <c r="B5433" s="9">
        <v>28.11</v>
      </c>
    </row>
    <row r="5434" spans="1:2" x14ac:dyDescent="0.25">
      <c r="A5434" s="8">
        <v>44127</v>
      </c>
      <c r="B5434" s="9">
        <v>27.55</v>
      </c>
    </row>
    <row r="5435" spans="1:2" x14ac:dyDescent="0.25">
      <c r="A5435" s="8">
        <v>44130</v>
      </c>
      <c r="B5435" s="9">
        <v>32.46</v>
      </c>
    </row>
    <row r="5436" spans="1:2" x14ac:dyDescent="0.25">
      <c r="A5436" s="8">
        <v>44131</v>
      </c>
      <c r="B5436" s="9">
        <v>33.35</v>
      </c>
    </row>
    <row r="5437" spans="1:2" x14ac:dyDescent="0.25">
      <c r="A5437" s="8">
        <v>44132</v>
      </c>
      <c r="B5437" s="9">
        <v>40.28</v>
      </c>
    </row>
    <row r="5438" spans="1:2" x14ac:dyDescent="0.25">
      <c r="A5438" s="8">
        <v>44133</v>
      </c>
      <c r="B5438" s="9">
        <v>37.590000000000003</v>
      </c>
    </row>
    <row r="5439" spans="1:2" x14ac:dyDescent="0.25">
      <c r="A5439" s="8">
        <v>44134</v>
      </c>
      <c r="B5439" s="9">
        <v>38.020000000000003</v>
      </c>
    </row>
    <row r="5440" spans="1:2" x14ac:dyDescent="0.25">
      <c r="A5440" s="8">
        <v>44137</v>
      </c>
      <c r="B5440" s="9">
        <v>37.130000000000003</v>
      </c>
    </row>
    <row r="5441" spans="1:2" x14ac:dyDescent="0.25">
      <c r="A5441" s="8">
        <v>44138</v>
      </c>
      <c r="B5441" s="9">
        <v>35.549999999999997</v>
      </c>
    </row>
    <row r="5442" spans="1:2" x14ac:dyDescent="0.25">
      <c r="A5442" s="8">
        <v>44139</v>
      </c>
      <c r="B5442" s="9">
        <v>29.57</v>
      </c>
    </row>
    <row r="5443" spans="1:2" x14ac:dyDescent="0.25">
      <c r="A5443" s="8">
        <v>44140</v>
      </c>
      <c r="B5443" s="9">
        <v>27.58</v>
      </c>
    </row>
    <row r="5444" spans="1:2" x14ac:dyDescent="0.25">
      <c r="A5444" s="8">
        <v>44141</v>
      </c>
      <c r="B5444" s="9">
        <v>24.86</v>
      </c>
    </row>
    <row r="5445" spans="1:2" x14ac:dyDescent="0.25">
      <c r="A5445" s="8">
        <v>44144</v>
      </c>
      <c r="B5445" s="9">
        <v>25.75</v>
      </c>
    </row>
    <row r="5446" spans="1:2" x14ac:dyDescent="0.25">
      <c r="A5446" s="8">
        <v>44145</v>
      </c>
      <c r="B5446" s="9">
        <v>24.8</v>
      </c>
    </row>
    <row r="5447" spans="1:2" x14ac:dyDescent="0.25">
      <c r="A5447" s="8">
        <v>44146</v>
      </c>
      <c r="B5447" s="9">
        <v>23.45</v>
      </c>
    </row>
    <row r="5448" spans="1:2" x14ac:dyDescent="0.25">
      <c r="A5448" s="8">
        <v>44147</v>
      </c>
      <c r="B5448" s="9">
        <v>25.35</v>
      </c>
    </row>
    <row r="5449" spans="1:2" x14ac:dyDescent="0.25">
      <c r="A5449" s="8">
        <v>44148</v>
      </c>
      <c r="B5449" s="9">
        <v>23.1</v>
      </c>
    </row>
    <row r="5450" spans="1:2" x14ac:dyDescent="0.25">
      <c r="A5450" s="8">
        <v>44151</v>
      </c>
      <c r="B5450" s="9">
        <v>22.45</v>
      </c>
    </row>
    <row r="5451" spans="1:2" x14ac:dyDescent="0.25">
      <c r="A5451" s="8">
        <v>44152</v>
      </c>
      <c r="B5451" s="9">
        <v>22.71</v>
      </c>
    </row>
    <row r="5452" spans="1:2" x14ac:dyDescent="0.25">
      <c r="A5452" s="8">
        <v>44153</v>
      </c>
      <c r="B5452" s="9">
        <v>23.84</v>
      </c>
    </row>
    <row r="5453" spans="1:2" x14ac:dyDescent="0.25">
      <c r="A5453" s="8">
        <v>44154</v>
      </c>
      <c r="B5453" s="9">
        <v>23.11</v>
      </c>
    </row>
    <row r="5454" spans="1:2" x14ac:dyDescent="0.25">
      <c r="A5454" s="8">
        <v>44155</v>
      </c>
      <c r="B5454" s="9">
        <v>23.7</v>
      </c>
    </row>
    <row r="5455" spans="1:2" x14ac:dyDescent="0.25">
      <c r="A5455" s="8">
        <v>44158</v>
      </c>
      <c r="B5455" s="9">
        <v>22.66</v>
      </c>
    </row>
    <row r="5456" spans="1:2" x14ac:dyDescent="0.25">
      <c r="A5456" s="8">
        <v>44159</v>
      </c>
      <c r="B5456" s="9">
        <v>21.64</v>
      </c>
    </row>
    <row r="5457" spans="1:2" x14ac:dyDescent="0.25">
      <c r="A5457" s="8">
        <v>44160</v>
      </c>
      <c r="B5457" s="9">
        <v>21.25</v>
      </c>
    </row>
    <row r="5458" spans="1:2" x14ac:dyDescent="0.25">
      <c r="A5458" s="8">
        <v>44161</v>
      </c>
    </row>
    <row r="5459" spans="1:2" x14ac:dyDescent="0.25">
      <c r="A5459" s="8">
        <v>44162</v>
      </c>
      <c r="B5459" s="9">
        <v>20.84</v>
      </c>
    </row>
    <row r="5460" spans="1:2" x14ac:dyDescent="0.25">
      <c r="A5460" s="8">
        <v>44165</v>
      </c>
      <c r="B5460" s="9">
        <v>20.57</v>
      </c>
    </row>
    <row r="5461" spans="1:2" x14ac:dyDescent="0.25">
      <c r="A5461" s="8">
        <v>44166</v>
      </c>
      <c r="B5461" s="9">
        <v>20.77</v>
      </c>
    </row>
    <row r="5462" spans="1:2" x14ac:dyDescent="0.25">
      <c r="A5462" s="8">
        <v>44167</v>
      </c>
      <c r="B5462" s="9">
        <v>21.17</v>
      </c>
    </row>
    <row r="5463" spans="1:2" x14ac:dyDescent="0.25">
      <c r="A5463" s="8">
        <v>44168</v>
      </c>
      <c r="B5463" s="9">
        <v>21.28</v>
      </c>
    </row>
    <row r="5464" spans="1:2" x14ac:dyDescent="0.25">
      <c r="A5464" s="8">
        <v>44169</v>
      </c>
      <c r="B5464" s="9">
        <v>20.79</v>
      </c>
    </row>
    <row r="5465" spans="1:2" x14ac:dyDescent="0.25">
      <c r="A5465" s="8">
        <v>44172</v>
      </c>
      <c r="B5465" s="9">
        <v>21.3</v>
      </c>
    </row>
    <row r="5466" spans="1:2" x14ac:dyDescent="0.25">
      <c r="A5466" s="8">
        <v>44173</v>
      </c>
      <c r="B5466" s="9">
        <v>20.68</v>
      </c>
    </row>
    <row r="5467" spans="1:2" x14ac:dyDescent="0.25">
      <c r="A5467" s="8">
        <v>44174</v>
      </c>
      <c r="B5467" s="9">
        <v>22.27</v>
      </c>
    </row>
    <row r="5468" spans="1:2" x14ac:dyDescent="0.25">
      <c r="A5468" s="8">
        <v>44175</v>
      </c>
      <c r="B5468" s="9">
        <v>22.52</v>
      </c>
    </row>
    <row r="5469" spans="1:2" x14ac:dyDescent="0.25">
      <c r="A5469" s="8">
        <v>44176</v>
      </c>
      <c r="B5469" s="9">
        <v>23.31</v>
      </c>
    </row>
    <row r="5470" spans="1:2" x14ac:dyDescent="0.25">
      <c r="A5470" s="8">
        <v>44179</v>
      </c>
      <c r="B5470" s="9">
        <v>24.72</v>
      </c>
    </row>
    <row r="5471" spans="1:2" x14ac:dyDescent="0.25">
      <c r="A5471" s="8">
        <v>44180</v>
      </c>
      <c r="B5471" s="9">
        <v>22.89</v>
      </c>
    </row>
    <row r="5472" spans="1:2" x14ac:dyDescent="0.25">
      <c r="A5472" s="8">
        <v>44181</v>
      </c>
      <c r="B5472" s="9">
        <v>22.5</v>
      </c>
    </row>
    <row r="5473" spans="1:2" x14ac:dyDescent="0.25">
      <c r="A5473" s="8">
        <v>44182</v>
      </c>
      <c r="B5473" s="9">
        <v>21.93</v>
      </c>
    </row>
    <row r="5474" spans="1:2" x14ac:dyDescent="0.25">
      <c r="A5474" s="8">
        <v>44183</v>
      </c>
      <c r="B5474" s="9">
        <v>21.57</v>
      </c>
    </row>
    <row r="5475" spans="1:2" x14ac:dyDescent="0.25">
      <c r="A5475" s="8">
        <v>44186</v>
      </c>
      <c r="B5475" s="9">
        <v>25.16</v>
      </c>
    </row>
    <row r="5476" spans="1:2" x14ac:dyDescent="0.25">
      <c r="A5476" s="8">
        <v>44187</v>
      </c>
      <c r="B5476" s="9">
        <v>24.23</v>
      </c>
    </row>
    <row r="5477" spans="1:2" x14ac:dyDescent="0.25">
      <c r="A5477" s="8">
        <v>44188</v>
      </c>
      <c r="B5477" s="9">
        <v>23.31</v>
      </c>
    </row>
    <row r="5478" spans="1:2" x14ac:dyDescent="0.25">
      <c r="A5478" s="8">
        <v>44189</v>
      </c>
      <c r="B5478" s="9">
        <v>21.53</v>
      </c>
    </row>
    <row r="5479" spans="1:2" x14ac:dyDescent="0.25">
      <c r="A5479" s="8">
        <v>44190</v>
      </c>
    </row>
    <row r="5480" spans="1:2" x14ac:dyDescent="0.25">
      <c r="A5480" s="8">
        <v>44193</v>
      </c>
      <c r="B5480" s="9">
        <v>21.7</v>
      </c>
    </row>
    <row r="5481" spans="1:2" x14ac:dyDescent="0.25">
      <c r="A5481" s="8">
        <v>44194</v>
      </c>
      <c r="B5481" s="9">
        <v>23.08</v>
      </c>
    </row>
    <row r="5482" spans="1:2" x14ac:dyDescent="0.25">
      <c r="A5482" s="8">
        <v>44195</v>
      </c>
      <c r="B5482" s="9">
        <v>22.77</v>
      </c>
    </row>
    <row r="5483" spans="1:2" x14ac:dyDescent="0.25">
      <c r="A5483" s="8">
        <v>44196</v>
      </c>
      <c r="B5483" s="9">
        <v>22.75</v>
      </c>
    </row>
    <row r="5484" spans="1:2" x14ac:dyDescent="0.25">
      <c r="A5484" s="8">
        <v>44197</v>
      </c>
    </row>
    <row r="5485" spans="1:2" x14ac:dyDescent="0.25">
      <c r="A5485" s="8">
        <v>44200</v>
      </c>
      <c r="B5485" s="9">
        <v>26.97</v>
      </c>
    </row>
    <row r="5486" spans="1:2" x14ac:dyDescent="0.25">
      <c r="A5486" s="8">
        <v>44201</v>
      </c>
      <c r="B5486" s="9">
        <v>25.34</v>
      </c>
    </row>
    <row r="5487" spans="1:2" x14ac:dyDescent="0.25">
      <c r="A5487" s="8">
        <v>44202</v>
      </c>
      <c r="B5487" s="9">
        <v>25.07</v>
      </c>
    </row>
    <row r="5488" spans="1:2" x14ac:dyDescent="0.25">
      <c r="A5488" s="8">
        <v>44203</v>
      </c>
      <c r="B5488" s="9">
        <v>22.37</v>
      </c>
    </row>
    <row r="5489" spans="1:2" x14ac:dyDescent="0.25">
      <c r="A5489" s="8">
        <v>44204</v>
      </c>
      <c r="B5489" s="9">
        <v>21.56</v>
      </c>
    </row>
    <row r="5490" spans="1:2" x14ac:dyDescent="0.25">
      <c r="A5490" s="8">
        <v>44207</v>
      </c>
      <c r="B5490" s="9">
        <v>24.08</v>
      </c>
    </row>
    <row r="5491" spans="1:2" x14ac:dyDescent="0.25">
      <c r="A5491" s="8">
        <v>44208</v>
      </c>
      <c r="B5491" s="9">
        <v>23.33</v>
      </c>
    </row>
    <row r="5492" spans="1:2" x14ac:dyDescent="0.25">
      <c r="A5492" s="8">
        <v>44209</v>
      </c>
      <c r="B5492" s="9">
        <v>22.21</v>
      </c>
    </row>
    <row r="5493" spans="1:2" x14ac:dyDescent="0.25">
      <c r="A5493" s="8">
        <v>44210</v>
      </c>
      <c r="B5493" s="9">
        <v>23.25</v>
      </c>
    </row>
    <row r="5494" spans="1:2" x14ac:dyDescent="0.25">
      <c r="A5494" s="8">
        <v>44211</v>
      </c>
      <c r="B5494" s="9">
        <v>24.34</v>
      </c>
    </row>
    <row r="5495" spans="1:2" x14ac:dyDescent="0.25">
      <c r="A5495" s="8">
        <v>44214</v>
      </c>
    </row>
    <row r="5496" spans="1:2" x14ac:dyDescent="0.25">
      <c r="A5496" s="8">
        <v>44215</v>
      </c>
      <c r="B5496" s="9">
        <v>23.24</v>
      </c>
    </row>
    <row r="5497" spans="1:2" x14ac:dyDescent="0.25">
      <c r="A5497" s="8">
        <v>44216</v>
      </c>
      <c r="B5497" s="9">
        <v>21.58</v>
      </c>
    </row>
    <row r="5498" spans="1:2" x14ac:dyDescent="0.25">
      <c r="A5498" s="8">
        <v>44217</v>
      </c>
      <c r="B5498" s="9">
        <v>21.32</v>
      </c>
    </row>
    <row r="5499" spans="1:2" x14ac:dyDescent="0.25">
      <c r="A5499" s="8">
        <v>44218</v>
      </c>
      <c r="B5499" s="9">
        <v>21.91</v>
      </c>
    </row>
    <row r="5500" spans="1:2" x14ac:dyDescent="0.25">
      <c r="A5500" s="8">
        <v>44221</v>
      </c>
      <c r="B5500" s="9">
        <v>23.19</v>
      </c>
    </row>
    <row r="5501" spans="1:2" x14ac:dyDescent="0.25">
      <c r="A5501" s="8">
        <v>44222</v>
      </c>
      <c r="B5501" s="9">
        <v>23.02</v>
      </c>
    </row>
    <row r="5502" spans="1:2" x14ac:dyDescent="0.25">
      <c r="A5502" s="8">
        <v>44223</v>
      </c>
      <c r="B5502" s="9">
        <v>37.21</v>
      </c>
    </row>
    <row r="5503" spans="1:2" x14ac:dyDescent="0.25">
      <c r="A5503" s="8">
        <v>44224</v>
      </c>
      <c r="B5503" s="9">
        <v>30.21</v>
      </c>
    </row>
    <row r="5504" spans="1:2" x14ac:dyDescent="0.25">
      <c r="A5504" s="8">
        <v>44225</v>
      </c>
      <c r="B5504" s="9">
        <v>33.090000000000003</v>
      </c>
    </row>
    <row r="5505" spans="1:2" x14ac:dyDescent="0.25">
      <c r="A5505" s="8">
        <v>44228</v>
      </c>
      <c r="B5505" s="9">
        <v>30.24</v>
      </c>
    </row>
    <row r="5506" spans="1:2" x14ac:dyDescent="0.25">
      <c r="A5506" s="8">
        <v>44229</v>
      </c>
      <c r="B5506" s="9">
        <v>25.56</v>
      </c>
    </row>
    <row r="5507" spans="1:2" x14ac:dyDescent="0.25">
      <c r="A5507" s="8">
        <v>44230</v>
      </c>
      <c r="B5507" s="9">
        <v>22.91</v>
      </c>
    </row>
    <row r="5508" spans="1:2" x14ac:dyDescent="0.25">
      <c r="A5508" s="8">
        <v>44231</v>
      </c>
      <c r="B5508" s="9">
        <v>21.77</v>
      </c>
    </row>
    <row r="5509" spans="1:2" x14ac:dyDescent="0.25">
      <c r="A5509" s="8">
        <v>44232</v>
      </c>
      <c r="B5509" s="9">
        <v>20.87</v>
      </c>
    </row>
    <row r="5510" spans="1:2" x14ac:dyDescent="0.25">
      <c r="A5510" s="8">
        <v>44235</v>
      </c>
      <c r="B5510" s="9">
        <v>21.24</v>
      </c>
    </row>
    <row r="5511" spans="1:2" x14ac:dyDescent="0.25">
      <c r="A5511" s="8">
        <v>44236</v>
      </c>
      <c r="B5511" s="9">
        <v>21.63</v>
      </c>
    </row>
    <row r="5512" spans="1:2" x14ac:dyDescent="0.25">
      <c r="A5512" s="8">
        <v>44237</v>
      </c>
      <c r="B5512" s="9">
        <v>21.99</v>
      </c>
    </row>
    <row r="5513" spans="1:2" x14ac:dyDescent="0.25">
      <c r="A5513" s="8">
        <v>44238</v>
      </c>
      <c r="B5513" s="9">
        <v>21.25</v>
      </c>
    </row>
    <row r="5514" spans="1:2" x14ac:dyDescent="0.25">
      <c r="A5514" s="8">
        <v>44239</v>
      </c>
      <c r="B5514" s="9">
        <v>19.97</v>
      </c>
    </row>
    <row r="5515" spans="1:2" x14ac:dyDescent="0.25">
      <c r="A5515" s="8">
        <v>44242</v>
      </c>
    </row>
    <row r="5516" spans="1:2" x14ac:dyDescent="0.25">
      <c r="A5516" s="8">
        <v>44243</v>
      </c>
      <c r="B5516" s="9">
        <v>21.46</v>
      </c>
    </row>
    <row r="5517" spans="1:2" x14ac:dyDescent="0.25">
      <c r="A5517" s="8">
        <v>44244</v>
      </c>
      <c r="B5517" s="9">
        <v>21.5</v>
      </c>
    </row>
    <row r="5518" spans="1:2" x14ac:dyDescent="0.25">
      <c r="A5518" s="8">
        <v>44245</v>
      </c>
      <c r="B5518" s="9">
        <v>22.49</v>
      </c>
    </row>
    <row r="5519" spans="1:2" x14ac:dyDescent="0.25">
      <c r="A5519" s="8">
        <v>44246</v>
      </c>
      <c r="B5519" s="9">
        <v>22.05</v>
      </c>
    </row>
    <row r="5520" spans="1:2" x14ac:dyDescent="0.25">
      <c r="A5520" s="8">
        <v>44249</v>
      </c>
      <c r="B5520" s="9">
        <v>23.45</v>
      </c>
    </row>
    <row r="5521" spans="1:2" x14ac:dyDescent="0.25">
      <c r="A5521" s="8">
        <v>44250</v>
      </c>
      <c r="B5521" s="9">
        <v>23.11</v>
      </c>
    </row>
    <row r="5522" spans="1:2" x14ac:dyDescent="0.25">
      <c r="A5522" s="8">
        <v>44251</v>
      </c>
      <c r="B5522" s="9">
        <v>21.34</v>
      </c>
    </row>
    <row r="5523" spans="1:2" x14ac:dyDescent="0.25">
      <c r="A5523" s="8">
        <v>44252</v>
      </c>
      <c r="B5523" s="9">
        <v>28.89</v>
      </c>
    </row>
    <row r="5524" spans="1:2" x14ac:dyDescent="0.25">
      <c r="A5524" s="8">
        <v>44253</v>
      </c>
      <c r="B5524" s="9">
        <v>27.95</v>
      </c>
    </row>
    <row r="5525" spans="1:2" x14ac:dyDescent="0.25">
      <c r="A5525" s="8">
        <v>44256</v>
      </c>
      <c r="B5525" s="9">
        <v>23.35</v>
      </c>
    </row>
    <row r="5526" spans="1:2" x14ac:dyDescent="0.25">
      <c r="A5526" s="8">
        <v>44257</v>
      </c>
      <c r="B5526" s="9">
        <v>24.1</v>
      </c>
    </row>
    <row r="5527" spans="1:2" x14ac:dyDescent="0.25">
      <c r="A5527" s="8">
        <v>44258</v>
      </c>
      <c r="B5527" s="9">
        <v>26.67</v>
      </c>
    </row>
    <row r="5528" spans="1:2" x14ac:dyDescent="0.25">
      <c r="A5528" s="8">
        <v>44259</v>
      </c>
      <c r="B5528" s="9">
        <v>28.57</v>
      </c>
    </row>
    <row r="5529" spans="1:2" x14ac:dyDescent="0.25">
      <c r="A5529" s="8">
        <v>44260</v>
      </c>
      <c r="B5529" s="9">
        <v>24.66</v>
      </c>
    </row>
    <row r="5530" spans="1:2" x14ac:dyDescent="0.25">
      <c r="A5530" s="8">
        <v>44263</v>
      </c>
      <c r="B5530" s="9">
        <v>25.47</v>
      </c>
    </row>
    <row r="5531" spans="1:2" x14ac:dyDescent="0.25">
      <c r="A5531" s="8">
        <v>44264</v>
      </c>
      <c r="B5531" s="9">
        <v>24.03</v>
      </c>
    </row>
    <row r="5532" spans="1:2" x14ac:dyDescent="0.25">
      <c r="A5532" s="8">
        <v>44265</v>
      </c>
      <c r="B5532" s="9">
        <v>22.56</v>
      </c>
    </row>
    <row r="5533" spans="1:2" x14ac:dyDescent="0.25">
      <c r="A5533" s="8">
        <v>44266</v>
      </c>
      <c r="B5533" s="9">
        <v>21.91</v>
      </c>
    </row>
    <row r="5534" spans="1:2" x14ac:dyDescent="0.25">
      <c r="A5534" s="8">
        <v>44267</v>
      </c>
      <c r="B5534" s="9">
        <v>20.69</v>
      </c>
    </row>
    <row r="5535" spans="1:2" x14ac:dyDescent="0.25">
      <c r="A5535" s="8">
        <v>44270</v>
      </c>
      <c r="B5535" s="9">
        <v>20.03</v>
      </c>
    </row>
    <row r="5536" spans="1:2" x14ac:dyDescent="0.25">
      <c r="A5536" s="8">
        <v>44271</v>
      </c>
      <c r="B5536" s="9">
        <v>19.79</v>
      </c>
    </row>
    <row r="5537" spans="1:2" x14ac:dyDescent="0.25">
      <c r="A5537" s="8">
        <v>44272</v>
      </c>
      <c r="B5537" s="9">
        <v>19.23</v>
      </c>
    </row>
    <row r="5538" spans="1:2" x14ac:dyDescent="0.25">
      <c r="A5538" s="8">
        <v>44273</v>
      </c>
      <c r="B5538" s="9">
        <v>21.58</v>
      </c>
    </row>
    <row r="5539" spans="1:2" x14ac:dyDescent="0.25">
      <c r="A5539" s="8">
        <v>44274</v>
      </c>
      <c r="B5539" s="9">
        <v>20.95</v>
      </c>
    </row>
    <row r="5540" spans="1:2" x14ac:dyDescent="0.25">
      <c r="A5540" s="8">
        <v>44277</v>
      </c>
      <c r="B5540" s="9">
        <v>18.88</v>
      </c>
    </row>
    <row r="5541" spans="1:2" x14ac:dyDescent="0.25">
      <c r="A5541" s="8">
        <v>44278</v>
      </c>
      <c r="B5541" s="9">
        <v>20.3</v>
      </c>
    </row>
    <row r="5542" spans="1:2" x14ac:dyDescent="0.25">
      <c r="A5542" s="8">
        <v>44279</v>
      </c>
      <c r="B5542" s="9">
        <v>21.2</v>
      </c>
    </row>
    <row r="5543" spans="1:2" x14ac:dyDescent="0.25">
      <c r="A5543" s="8">
        <v>44280</v>
      </c>
      <c r="B5543" s="9">
        <v>19.809999999999999</v>
      </c>
    </row>
    <row r="5544" spans="1:2" x14ac:dyDescent="0.25">
      <c r="A5544" s="8">
        <v>44281</v>
      </c>
      <c r="B5544" s="9">
        <v>18.86</v>
      </c>
    </row>
    <row r="5545" spans="1:2" x14ac:dyDescent="0.25">
      <c r="A5545" s="8">
        <v>44284</v>
      </c>
      <c r="B5545" s="9">
        <v>20.74</v>
      </c>
    </row>
    <row r="5546" spans="1:2" x14ac:dyDescent="0.25">
      <c r="A5546" s="8">
        <v>44285</v>
      </c>
      <c r="B5546" s="9">
        <v>19.61</v>
      </c>
    </row>
    <row r="5547" spans="1:2" x14ac:dyDescent="0.25">
      <c r="A5547" s="8">
        <v>44286</v>
      </c>
      <c r="B5547" s="9">
        <v>19.399999999999999</v>
      </c>
    </row>
    <row r="5548" spans="1:2" x14ac:dyDescent="0.25">
      <c r="A5548" s="8">
        <v>44287</v>
      </c>
      <c r="B5548" s="9">
        <v>17.329999999999998</v>
      </c>
    </row>
    <row r="5549" spans="1:2" x14ac:dyDescent="0.25">
      <c r="A5549" s="8">
        <v>44288</v>
      </c>
    </row>
    <row r="5550" spans="1:2" x14ac:dyDescent="0.25">
      <c r="A5550" s="8">
        <v>44291</v>
      </c>
      <c r="B5550" s="9">
        <v>17.91</v>
      </c>
    </row>
    <row r="5551" spans="1:2" x14ac:dyDescent="0.25">
      <c r="A5551" s="8">
        <v>44292</v>
      </c>
      <c r="B5551" s="9">
        <v>18.12</v>
      </c>
    </row>
    <row r="5552" spans="1:2" x14ac:dyDescent="0.25">
      <c r="A5552" s="8">
        <v>44293</v>
      </c>
      <c r="B5552" s="9">
        <v>17.16</v>
      </c>
    </row>
    <row r="5553" spans="1:2" x14ac:dyDescent="0.25">
      <c r="A5553" s="8">
        <v>44294</v>
      </c>
      <c r="B5553" s="9">
        <v>16.95</v>
      </c>
    </row>
    <row r="5554" spans="1:2" x14ac:dyDescent="0.25">
      <c r="A5554" s="8">
        <v>44295</v>
      </c>
      <c r="B5554" s="9">
        <v>16.690000000000001</v>
      </c>
    </row>
    <row r="5555" spans="1:2" x14ac:dyDescent="0.25">
      <c r="A5555" s="8">
        <v>44298</v>
      </c>
      <c r="B5555" s="9">
        <v>16.91</v>
      </c>
    </row>
    <row r="5556" spans="1:2" x14ac:dyDescent="0.25">
      <c r="A5556" s="8">
        <v>44299</v>
      </c>
      <c r="B5556" s="9">
        <v>16.649999999999999</v>
      </c>
    </row>
    <row r="5557" spans="1:2" x14ac:dyDescent="0.25">
      <c r="A5557" s="8">
        <v>44300</v>
      </c>
      <c r="B5557" s="9">
        <v>16.989999999999998</v>
      </c>
    </row>
    <row r="5558" spans="1:2" x14ac:dyDescent="0.25">
      <c r="A5558" s="8">
        <v>44301</v>
      </c>
      <c r="B5558" s="9">
        <v>16.57</v>
      </c>
    </row>
    <row r="5559" spans="1:2" x14ac:dyDescent="0.25">
      <c r="A5559" s="8">
        <v>44302</v>
      </c>
      <c r="B5559" s="9">
        <v>16.25</v>
      </c>
    </row>
    <row r="5560" spans="1:2" x14ac:dyDescent="0.25">
      <c r="A5560" s="8">
        <v>44305</v>
      </c>
      <c r="B5560" s="9">
        <v>17.29</v>
      </c>
    </row>
    <row r="5561" spans="1:2" x14ac:dyDescent="0.25">
      <c r="A5561" s="8">
        <v>44306</v>
      </c>
      <c r="B5561" s="9">
        <v>18.68</v>
      </c>
    </row>
    <row r="5562" spans="1:2" x14ac:dyDescent="0.25">
      <c r="A5562" s="8">
        <v>44307</v>
      </c>
      <c r="B5562" s="9">
        <v>17.5</v>
      </c>
    </row>
    <row r="5563" spans="1:2" x14ac:dyDescent="0.25">
      <c r="A5563" s="8">
        <v>44308</v>
      </c>
      <c r="B5563" s="9">
        <v>18.71</v>
      </c>
    </row>
    <row r="5564" spans="1:2" x14ac:dyDescent="0.25">
      <c r="A5564" s="8">
        <v>44309</v>
      </c>
      <c r="B5564" s="9">
        <v>17.329999999999998</v>
      </c>
    </row>
    <row r="5565" spans="1:2" x14ac:dyDescent="0.25">
      <c r="A5565" s="8">
        <v>44312</v>
      </c>
      <c r="B5565" s="9">
        <v>17.64</v>
      </c>
    </row>
    <row r="5566" spans="1:2" x14ac:dyDescent="0.25">
      <c r="A5566" s="8">
        <v>44313</v>
      </c>
      <c r="B5566" s="9">
        <v>17.559999999999999</v>
      </c>
    </row>
    <row r="5567" spans="1:2" x14ac:dyDescent="0.25">
      <c r="A5567" s="8">
        <v>44314</v>
      </c>
      <c r="B5567" s="9">
        <v>17.28</v>
      </c>
    </row>
    <row r="5568" spans="1:2" x14ac:dyDescent="0.25">
      <c r="A5568" s="8">
        <v>44315</v>
      </c>
      <c r="B5568" s="9">
        <v>17.61</v>
      </c>
    </row>
    <row r="5569" spans="1:2" x14ac:dyDescent="0.25">
      <c r="A5569" s="8">
        <v>44316</v>
      </c>
      <c r="B5569" s="9">
        <v>18.61</v>
      </c>
    </row>
    <row r="5570" spans="1:2" x14ac:dyDescent="0.25">
      <c r="A5570" s="8">
        <v>44319</v>
      </c>
      <c r="B5570" s="9">
        <v>18.309999999999999</v>
      </c>
    </row>
    <row r="5571" spans="1:2" x14ac:dyDescent="0.25">
      <c r="A5571" s="8">
        <v>44320</v>
      </c>
      <c r="B5571" s="9">
        <v>19.48</v>
      </c>
    </row>
    <row r="5572" spans="1:2" x14ac:dyDescent="0.25">
      <c r="A5572" s="8">
        <v>44321</v>
      </c>
      <c r="B5572" s="9">
        <v>19.149999999999999</v>
      </c>
    </row>
    <row r="5573" spans="1:2" x14ac:dyDescent="0.25">
      <c r="A5573" s="8">
        <v>44322</v>
      </c>
      <c r="B5573" s="9">
        <v>18.39</v>
      </c>
    </row>
    <row r="5574" spans="1:2" x14ac:dyDescent="0.25">
      <c r="A5574" s="8">
        <v>44323</v>
      </c>
      <c r="B5574" s="9">
        <v>16.690000000000001</v>
      </c>
    </row>
    <row r="5575" spans="1:2" x14ac:dyDescent="0.25">
      <c r="A5575" s="8">
        <v>44326</v>
      </c>
      <c r="B5575" s="9">
        <v>19.66</v>
      </c>
    </row>
    <row r="5576" spans="1:2" x14ac:dyDescent="0.25">
      <c r="A5576" s="8">
        <v>44327</v>
      </c>
      <c r="B5576" s="9">
        <v>21.84</v>
      </c>
    </row>
    <row r="5577" spans="1:2" x14ac:dyDescent="0.25">
      <c r="A5577" s="8">
        <v>44328</v>
      </c>
      <c r="B5577" s="9">
        <v>27.59</v>
      </c>
    </row>
    <row r="5578" spans="1:2" x14ac:dyDescent="0.25">
      <c r="A5578" s="8">
        <v>44329</v>
      </c>
      <c r="B5578" s="9">
        <v>23.13</v>
      </c>
    </row>
    <row r="5579" spans="1:2" x14ac:dyDescent="0.25">
      <c r="A5579" s="8">
        <v>44330</v>
      </c>
      <c r="B5579" s="9">
        <v>18.809999999999999</v>
      </c>
    </row>
    <row r="5580" spans="1:2" x14ac:dyDescent="0.25">
      <c r="A5580" s="8">
        <v>44333</v>
      </c>
      <c r="B5580" s="9">
        <v>19.72</v>
      </c>
    </row>
    <row r="5581" spans="1:2" x14ac:dyDescent="0.25">
      <c r="A5581" s="8">
        <v>44334</v>
      </c>
      <c r="B5581" s="9">
        <v>21.34</v>
      </c>
    </row>
    <row r="5582" spans="1:2" x14ac:dyDescent="0.25">
      <c r="A5582" s="8">
        <v>44335</v>
      </c>
      <c r="B5582" s="9">
        <v>22.18</v>
      </c>
    </row>
    <row r="5583" spans="1:2" x14ac:dyDescent="0.25">
      <c r="A5583" s="8">
        <v>44336</v>
      </c>
      <c r="B5583" s="9">
        <v>20.67</v>
      </c>
    </row>
    <row r="5584" spans="1:2" x14ac:dyDescent="0.25">
      <c r="A5584" s="8">
        <v>44337</v>
      </c>
      <c r="B5584" s="9">
        <v>20.149999999999999</v>
      </c>
    </row>
    <row r="5585" spans="1:2" x14ac:dyDescent="0.25">
      <c r="A5585" s="8">
        <v>44340</v>
      </c>
      <c r="B5585" s="9">
        <v>18.399999999999999</v>
      </c>
    </row>
    <row r="5586" spans="1:2" x14ac:dyDescent="0.25">
      <c r="A5586" s="8">
        <v>44341</v>
      </c>
      <c r="B5586" s="9">
        <v>18.84</v>
      </c>
    </row>
    <row r="5587" spans="1:2" x14ac:dyDescent="0.25">
      <c r="A5587" s="8">
        <v>44342</v>
      </c>
      <c r="B5587" s="9">
        <v>17.36</v>
      </c>
    </row>
    <row r="5588" spans="1:2" x14ac:dyDescent="0.25">
      <c r="A5588" s="8">
        <v>44343</v>
      </c>
      <c r="B5588" s="9">
        <v>16.739999999999998</v>
      </c>
    </row>
    <row r="5589" spans="1:2" x14ac:dyDescent="0.25">
      <c r="A5589" s="8">
        <v>44344</v>
      </c>
      <c r="B5589" s="9">
        <v>16.760000000000002</v>
      </c>
    </row>
    <row r="5590" spans="1:2" x14ac:dyDescent="0.25">
      <c r="A5590" s="8">
        <v>44347</v>
      </c>
    </row>
    <row r="5591" spans="1:2" x14ac:dyDescent="0.25">
      <c r="A5591" s="8">
        <v>44348</v>
      </c>
      <c r="B5591" s="9">
        <v>17.899999999999999</v>
      </c>
    </row>
    <row r="5592" spans="1:2" x14ac:dyDescent="0.25">
      <c r="A5592" s="8">
        <v>44349</v>
      </c>
      <c r="B5592" s="9">
        <v>17.48</v>
      </c>
    </row>
    <row r="5593" spans="1:2" x14ac:dyDescent="0.25">
      <c r="A5593" s="8">
        <v>44350</v>
      </c>
      <c r="B5593" s="9">
        <v>18.04</v>
      </c>
    </row>
    <row r="5594" spans="1:2" x14ac:dyDescent="0.25">
      <c r="A5594" s="8">
        <v>44351</v>
      </c>
      <c r="B5594" s="9">
        <v>16.420000000000002</v>
      </c>
    </row>
    <row r="5595" spans="1:2" x14ac:dyDescent="0.25">
      <c r="A5595" s="8">
        <v>44354</v>
      </c>
      <c r="B5595" s="9">
        <v>16.420000000000002</v>
      </c>
    </row>
    <row r="5596" spans="1:2" x14ac:dyDescent="0.25">
      <c r="A5596" s="8">
        <v>44355</v>
      </c>
      <c r="B5596" s="9">
        <v>17.07</v>
      </c>
    </row>
    <row r="5597" spans="1:2" x14ac:dyDescent="0.25">
      <c r="A5597" s="8">
        <v>44356</v>
      </c>
      <c r="B5597" s="9">
        <v>17.89</v>
      </c>
    </row>
    <row r="5598" spans="1:2" x14ac:dyDescent="0.25">
      <c r="A5598" s="8">
        <v>44357</v>
      </c>
      <c r="B5598" s="9">
        <v>16.100000000000001</v>
      </c>
    </row>
    <row r="5599" spans="1:2" x14ac:dyDescent="0.25">
      <c r="A5599" s="8">
        <v>44358</v>
      </c>
      <c r="B5599" s="9">
        <v>15.65</v>
      </c>
    </row>
    <row r="5600" spans="1:2" x14ac:dyDescent="0.25">
      <c r="A5600" s="8">
        <v>44361</v>
      </c>
      <c r="B5600" s="9">
        <v>16.39</v>
      </c>
    </row>
    <row r="5601" spans="1:2" x14ac:dyDescent="0.25">
      <c r="A5601" s="8">
        <v>44362</v>
      </c>
      <c r="B5601" s="9">
        <v>17.02</v>
      </c>
    </row>
    <row r="5602" spans="1:2" x14ac:dyDescent="0.25">
      <c r="A5602" s="8">
        <v>44363</v>
      </c>
      <c r="B5602" s="9">
        <v>18.149999999999999</v>
      </c>
    </row>
    <row r="5603" spans="1:2" x14ac:dyDescent="0.25">
      <c r="A5603" s="8">
        <v>44364</v>
      </c>
      <c r="B5603" s="9">
        <v>17.75</v>
      </c>
    </row>
    <row r="5604" spans="1:2" x14ac:dyDescent="0.25">
      <c r="A5604" s="8">
        <v>44365</v>
      </c>
      <c r="B5604" s="9">
        <v>20.7</v>
      </c>
    </row>
    <row r="5605" spans="1:2" x14ac:dyDescent="0.25">
      <c r="A5605" s="8">
        <v>44368</v>
      </c>
      <c r="B5605" s="9">
        <v>17.89</v>
      </c>
    </row>
    <row r="5606" spans="1:2" x14ac:dyDescent="0.25">
      <c r="A5606" s="8">
        <v>44369</v>
      </c>
      <c r="B5606" s="9">
        <v>16.66</v>
      </c>
    </row>
    <row r="5607" spans="1:2" x14ac:dyDescent="0.25">
      <c r="A5607" s="8">
        <v>44370</v>
      </c>
      <c r="B5607" s="9">
        <v>16.32</v>
      </c>
    </row>
    <row r="5608" spans="1:2" x14ac:dyDescent="0.25">
      <c r="A5608" s="8">
        <v>44371</v>
      </c>
      <c r="B5608" s="9">
        <v>15.97</v>
      </c>
    </row>
    <row r="5609" spans="1:2" x14ac:dyDescent="0.25">
      <c r="A5609" s="8">
        <v>44372</v>
      </c>
      <c r="B5609" s="9">
        <v>15.62</v>
      </c>
    </row>
    <row r="5610" spans="1:2" x14ac:dyDescent="0.25">
      <c r="A5610" s="8">
        <v>44375</v>
      </c>
      <c r="B5610" s="9">
        <v>15.76</v>
      </c>
    </row>
    <row r="5611" spans="1:2" x14ac:dyDescent="0.25">
      <c r="A5611" s="8">
        <v>44376</v>
      </c>
      <c r="B5611" s="9">
        <v>16.02</v>
      </c>
    </row>
    <row r="5612" spans="1:2" x14ac:dyDescent="0.25">
      <c r="A5612" s="8">
        <v>44377</v>
      </c>
      <c r="B5612" s="9">
        <v>15.83</v>
      </c>
    </row>
    <row r="5613" spans="1:2" x14ac:dyDescent="0.25">
      <c r="A5613" s="8">
        <v>44378</v>
      </c>
      <c r="B5613" s="9">
        <v>15.48</v>
      </c>
    </row>
    <row r="5614" spans="1:2" x14ac:dyDescent="0.25">
      <c r="A5614" s="8">
        <v>44379</v>
      </c>
      <c r="B5614" s="9">
        <v>15.07</v>
      </c>
    </row>
    <row r="5615" spans="1:2" x14ac:dyDescent="0.25">
      <c r="A5615" s="8">
        <v>44382</v>
      </c>
    </row>
    <row r="5616" spans="1:2" x14ac:dyDescent="0.25">
      <c r="A5616" s="8">
        <v>44383</v>
      </c>
      <c r="B5616" s="9">
        <v>16.440000000000001</v>
      </c>
    </row>
    <row r="5617" spans="1:2" x14ac:dyDescent="0.25">
      <c r="A5617" s="8">
        <v>44384</v>
      </c>
      <c r="B5617" s="9">
        <v>16.2</v>
      </c>
    </row>
    <row r="5618" spans="1:2" x14ac:dyDescent="0.25">
      <c r="A5618" s="8">
        <v>44385</v>
      </c>
      <c r="B5618" s="9">
        <v>19</v>
      </c>
    </row>
    <row r="5619" spans="1:2" x14ac:dyDescent="0.25">
      <c r="A5619" s="8">
        <v>44386</v>
      </c>
      <c r="B5619" s="9">
        <v>16.18</v>
      </c>
    </row>
    <row r="5620" spans="1:2" x14ac:dyDescent="0.25">
      <c r="A5620" s="8">
        <v>44389</v>
      </c>
      <c r="B5620" s="9">
        <v>16.170000000000002</v>
      </c>
    </row>
    <row r="5621" spans="1:2" x14ac:dyDescent="0.25">
      <c r="A5621" s="8">
        <v>44390</v>
      </c>
      <c r="B5621" s="9">
        <v>17.12</v>
      </c>
    </row>
    <row r="5622" spans="1:2" x14ac:dyDescent="0.25">
      <c r="A5622" s="8">
        <v>44391</v>
      </c>
      <c r="B5622" s="9">
        <v>16.329999999999998</v>
      </c>
    </row>
    <row r="5623" spans="1:2" x14ac:dyDescent="0.25">
      <c r="A5623" s="8">
        <v>44392</v>
      </c>
      <c r="B5623" s="9">
        <v>17.010000000000002</v>
      </c>
    </row>
    <row r="5624" spans="1:2" x14ac:dyDescent="0.25">
      <c r="A5624" s="8">
        <v>44393</v>
      </c>
      <c r="B5624" s="9">
        <v>18.45</v>
      </c>
    </row>
    <row r="5625" spans="1:2" x14ac:dyDescent="0.25">
      <c r="A5625" s="8">
        <v>44396</v>
      </c>
      <c r="B5625" s="9">
        <v>22.5</v>
      </c>
    </row>
    <row r="5626" spans="1:2" x14ac:dyDescent="0.25">
      <c r="A5626" s="8">
        <v>44397</v>
      </c>
      <c r="B5626" s="9">
        <v>19.73</v>
      </c>
    </row>
    <row r="5627" spans="1:2" x14ac:dyDescent="0.25">
      <c r="A5627" s="8">
        <v>44398</v>
      </c>
      <c r="B5627" s="9">
        <v>17.91</v>
      </c>
    </row>
    <row r="5628" spans="1:2" x14ac:dyDescent="0.25">
      <c r="A5628" s="8">
        <v>44399</v>
      </c>
      <c r="B5628" s="9">
        <v>17.690000000000001</v>
      </c>
    </row>
    <row r="5629" spans="1:2" x14ac:dyDescent="0.25">
      <c r="A5629" s="8">
        <v>44400</v>
      </c>
      <c r="B5629" s="9">
        <v>17.2</v>
      </c>
    </row>
    <row r="5630" spans="1:2" x14ac:dyDescent="0.25">
      <c r="A5630" s="8">
        <v>44403</v>
      </c>
      <c r="B5630" s="9">
        <v>17.579999999999998</v>
      </c>
    </row>
    <row r="5631" spans="1:2" x14ac:dyDescent="0.25">
      <c r="A5631" s="8">
        <v>44404</v>
      </c>
      <c r="B5631" s="9">
        <v>19.36</v>
      </c>
    </row>
    <row r="5632" spans="1:2" x14ac:dyDescent="0.25">
      <c r="A5632" s="8">
        <v>44405</v>
      </c>
      <c r="B5632" s="9">
        <v>18.309999999999999</v>
      </c>
    </row>
    <row r="5633" spans="1:2" x14ac:dyDescent="0.25">
      <c r="A5633" s="8">
        <v>44406</v>
      </c>
      <c r="B5633" s="9">
        <v>17.7</v>
      </c>
    </row>
    <row r="5634" spans="1:2" x14ac:dyDescent="0.25">
      <c r="A5634" s="8">
        <v>44407</v>
      </c>
      <c r="B5634" s="9">
        <v>18.239999999999998</v>
      </c>
    </row>
    <row r="5635" spans="1:2" x14ac:dyDescent="0.25">
      <c r="A5635" s="8">
        <v>44410</v>
      </c>
      <c r="B5635" s="9">
        <v>19.46</v>
      </c>
    </row>
    <row r="5636" spans="1:2" x14ac:dyDescent="0.25">
      <c r="A5636" s="8">
        <v>44411</v>
      </c>
      <c r="B5636" s="9">
        <v>18.04</v>
      </c>
    </row>
    <row r="5637" spans="1:2" x14ac:dyDescent="0.25">
      <c r="A5637" s="8">
        <v>44412</v>
      </c>
      <c r="B5637" s="9">
        <v>17.97</v>
      </c>
    </row>
    <row r="5638" spans="1:2" x14ac:dyDescent="0.25">
      <c r="A5638" s="8">
        <v>44413</v>
      </c>
      <c r="B5638" s="9">
        <v>17.28</v>
      </c>
    </row>
    <row r="5639" spans="1:2" x14ac:dyDescent="0.25">
      <c r="A5639" s="8">
        <v>44414</v>
      </c>
      <c r="B5639" s="9">
        <v>16.149999999999999</v>
      </c>
    </row>
    <row r="5640" spans="1:2" x14ac:dyDescent="0.25">
      <c r="A5640" s="8">
        <v>44417</v>
      </c>
      <c r="B5640" s="9">
        <v>16.72</v>
      </c>
    </row>
    <row r="5641" spans="1:2" x14ac:dyDescent="0.25">
      <c r="A5641" s="8">
        <v>44418</v>
      </c>
      <c r="B5641" s="9">
        <v>16.79</v>
      </c>
    </row>
    <row r="5642" spans="1:2" x14ac:dyDescent="0.25">
      <c r="A5642" s="8">
        <v>44419</v>
      </c>
      <c r="B5642" s="9">
        <v>16.059999999999999</v>
      </c>
    </row>
    <row r="5643" spans="1:2" x14ac:dyDescent="0.25">
      <c r="A5643" s="8">
        <v>44420</v>
      </c>
      <c r="B5643" s="9">
        <v>15.59</v>
      </c>
    </row>
    <row r="5644" spans="1:2" x14ac:dyDescent="0.25">
      <c r="A5644" s="8">
        <v>44421</v>
      </c>
      <c r="B5644" s="9">
        <v>15.45</v>
      </c>
    </row>
    <row r="5645" spans="1:2" x14ac:dyDescent="0.25">
      <c r="A5645" s="8">
        <v>44424</v>
      </c>
      <c r="B5645" s="9">
        <v>16.12</v>
      </c>
    </row>
    <row r="5646" spans="1:2" x14ac:dyDescent="0.25">
      <c r="A5646" s="8">
        <v>44425</v>
      </c>
      <c r="B5646" s="9">
        <v>17.91</v>
      </c>
    </row>
    <row r="5647" spans="1:2" x14ac:dyDescent="0.25">
      <c r="A5647" s="8">
        <v>44426</v>
      </c>
      <c r="B5647" s="9">
        <v>21.57</v>
      </c>
    </row>
    <row r="5648" spans="1:2" x14ac:dyDescent="0.25">
      <c r="A5648" s="8">
        <v>44427</v>
      </c>
      <c r="B5648" s="9">
        <v>21.67</v>
      </c>
    </row>
    <row r="5649" spans="1:2" x14ac:dyDescent="0.25">
      <c r="A5649" s="8">
        <v>44428</v>
      </c>
      <c r="B5649" s="9">
        <v>18.559999999999999</v>
      </c>
    </row>
    <row r="5650" spans="1:2" x14ac:dyDescent="0.25">
      <c r="A5650" s="8">
        <v>44431</v>
      </c>
      <c r="B5650" s="9">
        <v>17.149999999999999</v>
      </c>
    </row>
    <row r="5651" spans="1:2" x14ac:dyDescent="0.25">
      <c r="A5651" s="8">
        <v>44432</v>
      </c>
      <c r="B5651" s="9">
        <v>17.22</v>
      </c>
    </row>
    <row r="5652" spans="1:2" x14ac:dyDescent="0.25">
      <c r="A5652" s="8">
        <v>44433</v>
      </c>
      <c r="B5652" s="9">
        <v>16.79</v>
      </c>
    </row>
    <row r="5653" spans="1:2" x14ac:dyDescent="0.25">
      <c r="A5653" s="8">
        <v>44434</v>
      </c>
      <c r="B5653" s="9">
        <v>18.84</v>
      </c>
    </row>
    <row r="5654" spans="1:2" x14ac:dyDescent="0.25">
      <c r="A5654" s="8">
        <v>44435</v>
      </c>
      <c r="B5654" s="9">
        <v>16.39</v>
      </c>
    </row>
    <row r="5655" spans="1:2" x14ac:dyDescent="0.25">
      <c r="A5655" s="8">
        <v>44438</v>
      </c>
      <c r="B5655" s="9">
        <v>16.190000000000001</v>
      </c>
    </row>
    <row r="5656" spans="1:2" x14ac:dyDescent="0.25">
      <c r="A5656" s="8">
        <v>44439</v>
      </c>
      <c r="B5656" s="9">
        <v>16.48</v>
      </c>
    </row>
    <row r="5657" spans="1:2" x14ac:dyDescent="0.25">
      <c r="A5657" s="8">
        <v>44440</v>
      </c>
      <c r="B5657" s="9">
        <v>16.11</v>
      </c>
    </row>
    <row r="5658" spans="1:2" x14ac:dyDescent="0.25">
      <c r="A5658" s="8">
        <v>44441</v>
      </c>
      <c r="B5658" s="9">
        <v>16.41</v>
      </c>
    </row>
    <row r="5659" spans="1:2" x14ac:dyDescent="0.25">
      <c r="A5659" s="8">
        <v>44442</v>
      </c>
      <c r="B5659" s="9">
        <v>16.41</v>
      </c>
    </row>
    <row r="5660" spans="1:2" x14ac:dyDescent="0.25">
      <c r="A5660" s="8">
        <v>44445</v>
      </c>
    </row>
    <row r="5661" spans="1:2" x14ac:dyDescent="0.25">
      <c r="A5661" s="8">
        <v>44446</v>
      </c>
      <c r="B5661" s="9">
        <v>18.14</v>
      </c>
    </row>
    <row r="5662" spans="1:2" x14ac:dyDescent="0.25">
      <c r="A5662" s="8">
        <v>44447</v>
      </c>
      <c r="B5662" s="9">
        <v>17.96</v>
      </c>
    </row>
    <row r="5663" spans="1:2" x14ac:dyDescent="0.25">
      <c r="A5663" s="8">
        <v>44448</v>
      </c>
      <c r="B5663" s="9">
        <v>18.8</v>
      </c>
    </row>
    <row r="5664" spans="1:2" x14ac:dyDescent="0.25">
      <c r="A5664" s="8">
        <v>44449</v>
      </c>
      <c r="B5664" s="9">
        <v>20.95</v>
      </c>
    </row>
    <row r="5665" spans="1:2" x14ac:dyDescent="0.25">
      <c r="A5665" s="8">
        <v>44452</v>
      </c>
      <c r="B5665" s="9">
        <v>19.37</v>
      </c>
    </row>
    <row r="5666" spans="1:2" x14ac:dyDescent="0.25">
      <c r="A5666" s="8">
        <v>44453</v>
      </c>
      <c r="B5666" s="9">
        <v>19.46</v>
      </c>
    </row>
    <row r="5667" spans="1:2" x14ac:dyDescent="0.25">
      <c r="A5667" s="8">
        <v>44454</v>
      </c>
      <c r="B5667" s="9">
        <v>18.18</v>
      </c>
    </row>
    <row r="5668" spans="1:2" x14ac:dyDescent="0.25">
      <c r="A5668" s="8">
        <v>44455</v>
      </c>
      <c r="B5668" s="9">
        <v>18.690000000000001</v>
      </c>
    </row>
    <row r="5669" spans="1:2" x14ac:dyDescent="0.25">
      <c r="A5669" s="8">
        <v>44456</v>
      </c>
      <c r="B5669" s="9">
        <v>20.81</v>
      </c>
    </row>
    <row r="5670" spans="1:2" x14ac:dyDescent="0.25">
      <c r="A5670" s="8">
        <v>44459</v>
      </c>
      <c r="B5670" s="9">
        <v>25.71</v>
      </c>
    </row>
    <row r="5671" spans="1:2" x14ac:dyDescent="0.25">
      <c r="A5671" s="8">
        <v>44460</v>
      </c>
      <c r="B5671" s="9">
        <v>24.36</v>
      </c>
    </row>
    <row r="5672" spans="1:2" x14ac:dyDescent="0.25">
      <c r="A5672" s="8">
        <v>44461</v>
      </c>
      <c r="B5672" s="9">
        <v>20.87</v>
      </c>
    </row>
    <row r="5673" spans="1:2" x14ac:dyDescent="0.25">
      <c r="A5673" s="8">
        <v>44462</v>
      </c>
      <c r="B5673" s="9">
        <v>18.63</v>
      </c>
    </row>
    <row r="5674" spans="1:2" x14ac:dyDescent="0.25">
      <c r="A5674" s="8">
        <v>44463</v>
      </c>
      <c r="B5674" s="9">
        <v>17.75</v>
      </c>
    </row>
    <row r="5675" spans="1:2" x14ac:dyDescent="0.25">
      <c r="A5675" s="8">
        <v>44466</v>
      </c>
      <c r="B5675" s="9">
        <v>18.760000000000002</v>
      </c>
    </row>
    <row r="5676" spans="1:2" x14ac:dyDescent="0.25">
      <c r="A5676" s="8">
        <v>44467</v>
      </c>
      <c r="B5676" s="9">
        <v>23.25</v>
      </c>
    </row>
    <row r="5677" spans="1:2" x14ac:dyDescent="0.25">
      <c r="A5677" s="8">
        <v>44468</v>
      </c>
      <c r="B5677" s="9">
        <v>22.56</v>
      </c>
    </row>
    <row r="5678" spans="1:2" x14ac:dyDescent="0.25">
      <c r="A5678" s="8">
        <v>44469</v>
      </c>
      <c r="B5678" s="9">
        <v>23.14</v>
      </c>
    </row>
    <row r="5679" spans="1:2" x14ac:dyDescent="0.25">
      <c r="A5679" s="8">
        <v>44470</v>
      </c>
      <c r="B5679" s="9">
        <v>21.15</v>
      </c>
    </row>
    <row r="5680" spans="1:2" x14ac:dyDescent="0.25">
      <c r="A5680" s="8">
        <v>44473</v>
      </c>
      <c r="B5680" s="9">
        <v>22.96</v>
      </c>
    </row>
    <row r="5681" spans="1:2" x14ac:dyDescent="0.25">
      <c r="A5681" s="8">
        <v>44474</v>
      </c>
      <c r="B5681" s="9">
        <v>21.3</v>
      </c>
    </row>
    <row r="5682" spans="1:2" x14ac:dyDescent="0.25">
      <c r="A5682" s="8">
        <v>44475</v>
      </c>
      <c r="B5682" s="9">
        <v>21</v>
      </c>
    </row>
    <row r="5683" spans="1:2" x14ac:dyDescent="0.25">
      <c r="A5683" s="8">
        <v>44476</v>
      </c>
      <c r="B5683" s="9">
        <v>19.54</v>
      </c>
    </row>
    <row r="5684" spans="1:2" x14ac:dyDescent="0.25">
      <c r="A5684" s="8">
        <v>44477</v>
      </c>
      <c r="B5684" s="9">
        <v>18.77</v>
      </c>
    </row>
    <row r="5685" spans="1:2" x14ac:dyDescent="0.25">
      <c r="A5685" s="8">
        <v>44480</v>
      </c>
      <c r="B5685" s="9">
        <v>20</v>
      </c>
    </row>
    <row r="5686" spans="1:2" x14ac:dyDescent="0.25">
      <c r="A5686" s="8">
        <v>44481</v>
      </c>
      <c r="B5686" s="9">
        <v>19.850000000000001</v>
      </c>
    </row>
    <row r="5687" spans="1:2" x14ac:dyDescent="0.25">
      <c r="A5687" s="8">
        <v>44482</v>
      </c>
      <c r="B5687" s="9">
        <v>18.64</v>
      </c>
    </row>
    <row r="5688" spans="1:2" x14ac:dyDescent="0.25">
      <c r="A5688" s="8">
        <v>44483</v>
      </c>
      <c r="B5688" s="9">
        <v>16.86</v>
      </c>
    </row>
    <row r="5689" spans="1:2" x14ac:dyDescent="0.25">
      <c r="A5689" s="8">
        <v>44484</v>
      </c>
      <c r="B5689" s="9">
        <v>16.3</v>
      </c>
    </row>
    <row r="5690" spans="1:2" x14ac:dyDescent="0.25">
      <c r="A5690" s="8">
        <v>44487</v>
      </c>
      <c r="B5690" s="9">
        <v>16.309999999999999</v>
      </c>
    </row>
    <row r="5691" spans="1:2" x14ac:dyDescent="0.25">
      <c r="A5691" s="8">
        <v>44488</v>
      </c>
      <c r="B5691" s="9">
        <v>15.7</v>
      </c>
    </row>
    <row r="5692" spans="1:2" x14ac:dyDescent="0.25">
      <c r="A5692" s="8">
        <v>44489</v>
      </c>
      <c r="B5692" s="9">
        <v>15.49</v>
      </c>
    </row>
    <row r="5693" spans="1:2" x14ac:dyDescent="0.25">
      <c r="A5693" s="8">
        <v>44490</v>
      </c>
      <c r="B5693" s="9">
        <v>15.01</v>
      </c>
    </row>
    <row r="5694" spans="1:2" x14ac:dyDescent="0.25">
      <c r="A5694" s="8">
        <v>44491</v>
      </c>
      <c r="B5694" s="9">
        <v>15.43</v>
      </c>
    </row>
    <row r="5695" spans="1:2" x14ac:dyDescent="0.25">
      <c r="A5695" s="8">
        <v>44494</v>
      </c>
      <c r="B5695" s="9">
        <v>15.24</v>
      </c>
    </row>
    <row r="5696" spans="1:2" x14ac:dyDescent="0.25">
      <c r="A5696" s="8">
        <v>44495</v>
      </c>
      <c r="B5696" s="9">
        <v>15.98</v>
      </c>
    </row>
    <row r="5697" spans="1:2" x14ac:dyDescent="0.25">
      <c r="A5697" s="8">
        <v>44496</v>
      </c>
      <c r="B5697" s="9">
        <v>16.98</v>
      </c>
    </row>
    <row r="5698" spans="1:2" x14ac:dyDescent="0.25">
      <c r="A5698" s="8">
        <v>44497</v>
      </c>
      <c r="B5698" s="9">
        <v>16.53</v>
      </c>
    </row>
    <row r="5699" spans="1:2" x14ac:dyDescent="0.25">
      <c r="A5699" s="8">
        <v>44498</v>
      </c>
      <c r="B5699" s="9">
        <v>16.260000000000002</v>
      </c>
    </row>
    <row r="5700" spans="1:2" x14ac:dyDescent="0.25">
      <c r="A5700" s="8">
        <v>44501</v>
      </c>
      <c r="B5700" s="9">
        <v>16.41</v>
      </c>
    </row>
    <row r="5701" spans="1:2" x14ac:dyDescent="0.25">
      <c r="A5701" s="8">
        <v>44502</v>
      </c>
      <c r="B5701" s="9">
        <v>16.03</v>
      </c>
    </row>
    <row r="5702" spans="1:2" x14ac:dyDescent="0.25">
      <c r="A5702" s="8">
        <v>44503</v>
      </c>
      <c r="B5702" s="9">
        <v>15.1</v>
      </c>
    </row>
    <row r="5703" spans="1:2" x14ac:dyDescent="0.25">
      <c r="A5703" s="8">
        <v>44504</v>
      </c>
      <c r="B5703" s="9">
        <v>15.44</v>
      </c>
    </row>
    <row r="5704" spans="1:2" x14ac:dyDescent="0.25">
      <c r="A5704" s="8">
        <v>44505</v>
      </c>
      <c r="B5704" s="9">
        <v>16.48</v>
      </c>
    </row>
    <row r="5705" spans="1:2" x14ac:dyDescent="0.25">
      <c r="A5705" s="8">
        <v>44508</v>
      </c>
      <c r="B5705" s="9">
        <v>17.22</v>
      </c>
    </row>
    <row r="5706" spans="1:2" x14ac:dyDescent="0.25">
      <c r="A5706" s="8">
        <v>44509</v>
      </c>
      <c r="B5706" s="9">
        <v>17.78</v>
      </c>
    </row>
    <row r="5707" spans="1:2" x14ac:dyDescent="0.25">
      <c r="A5707" s="8">
        <v>44510</v>
      </c>
      <c r="B5707" s="9">
        <v>18.73</v>
      </c>
    </row>
    <row r="5708" spans="1:2" x14ac:dyDescent="0.25">
      <c r="A5708" s="8">
        <v>44511</v>
      </c>
      <c r="B5708" s="9">
        <v>17.66</v>
      </c>
    </row>
    <row r="5709" spans="1:2" x14ac:dyDescent="0.25">
      <c r="A5709" s="8">
        <v>44512</v>
      </c>
      <c r="B5709" s="9">
        <v>16.29</v>
      </c>
    </row>
    <row r="5710" spans="1:2" x14ac:dyDescent="0.25">
      <c r="A5710" s="8">
        <v>44515</v>
      </c>
      <c r="B5710" s="9">
        <v>16.489999999999998</v>
      </c>
    </row>
    <row r="5711" spans="1:2" x14ac:dyDescent="0.25">
      <c r="A5711" s="8">
        <v>44516</v>
      </c>
      <c r="B5711" s="9">
        <v>16.37</v>
      </c>
    </row>
    <row r="5712" spans="1:2" x14ac:dyDescent="0.25">
      <c r="A5712" s="8">
        <v>44517</v>
      </c>
      <c r="B5712" s="9">
        <v>17.11</v>
      </c>
    </row>
    <row r="5713" spans="1:2" x14ac:dyDescent="0.25">
      <c r="A5713" s="8">
        <v>44518</v>
      </c>
      <c r="B5713" s="9">
        <v>17.59</v>
      </c>
    </row>
    <row r="5714" spans="1:2" x14ac:dyDescent="0.25">
      <c r="A5714" s="8">
        <v>44519</v>
      </c>
      <c r="B5714" s="9">
        <v>17.91</v>
      </c>
    </row>
    <row r="5715" spans="1:2" x14ac:dyDescent="0.25">
      <c r="A5715" s="8">
        <v>44522</v>
      </c>
      <c r="B5715" s="9">
        <v>19.170000000000002</v>
      </c>
    </row>
    <row r="5716" spans="1:2" x14ac:dyDescent="0.25">
      <c r="A5716" s="8">
        <v>44523</v>
      </c>
      <c r="B5716" s="9">
        <v>19.38</v>
      </c>
    </row>
    <row r="5717" spans="1:2" x14ac:dyDescent="0.25">
      <c r="A5717" s="8">
        <v>44524</v>
      </c>
      <c r="B5717" s="9">
        <v>18.579999999999998</v>
      </c>
    </row>
    <row r="5718" spans="1:2" x14ac:dyDescent="0.25">
      <c r="A5718" s="8">
        <v>44525</v>
      </c>
    </row>
    <row r="5719" spans="1:2" x14ac:dyDescent="0.25">
      <c r="A5719" s="8">
        <v>44526</v>
      </c>
      <c r="B5719" s="9">
        <v>28.62</v>
      </c>
    </row>
    <row r="5720" spans="1:2" x14ac:dyDescent="0.25">
      <c r="A5720" s="8">
        <v>44529</v>
      </c>
      <c r="B5720" s="9">
        <v>22.96</v>
      </c>
    </row>
    <row r="5721" spans="1:2" x14ac:dyDescent="0.25">
      <c r="A5721" s="8">
        <v>44530</v>
      </c>
      <c r="B5721" s="9">
        <v>27.19</v>
      </c>
    </row>
    <row r="5722" spans="1:2" x14ac:dyDescent="0.25">
      <c r="A5722" s="8">
        <v>44531</v>
      </c>
      <c r="B5722" s="9">
        <v>31.12</v>
      </c>
    </row>
    <row r="5723" spans="1:2" x14ac:dyDescent="0.25">
      <c r="A5723" s="8">
        <v>44532</v>
      </c>
      <c r="B5723" s="9">
        <v>27.95</v>
      </c>
    </row>
    <row r="5724" spans="1:2" x14ac:dyDescent="0.25">
      <c r="A5724" s="8">
        <v>44533</v>
      </c>
      <c r="B5724" s="9">
        <v>30.67</v>
      </c>
    </row>
    <row r="5725" spans="1:2" x14ac:dyDescent="0.25">
      <c r="A5725" s="8">
        <v>44536</v>
      </c>
      <c r="B5725" s="9">
        <v>27.18</v>
      </c>
    </row>
    <row r="5726" spans="1:2" x14ac:dyDescent="0.25">
      <c r="A5726" s="8">
        <v>44537</v>
      </c>
      <c r="B5726" s="9">
        <v>21.89</v>
      </c>
    </row>
    <row r="5727" spans="1:2" x14ac:dyDescent="0.25">
      <c r="A5727" s="8">
        <v>44538</v>
      </c>
      <c r="B5727" s="9">
        <v>19.899999999999999</v>
      </c>
    </row>
    <row r="5728" spans="1:2" x14ac:dyDescent="0.25">
      <c r="A5728" s="8">
        <v>44539</v>
      </c>
      <c r="B5728" s="9">
        <v>21.58</v>
      </c>
    </row>
    <row r="5729" spans="1:2" x14ac:dyDescent="0.25">
      <c r="A5729" s="8">
        <v>44540</v>
      </c>
      <c r="B5729" s="9">
        <v>18.690000000000001</v>
      </c>
    </row>
    <row r="5730" spans="1:2" x14ac:dyDescent="0.25">
      <c r="A5730" s="8">
        <v>44543</v>
      </c>
      <c r="B5730" s="9">
        <v>20.309999999999999</v>
      </c>
    </row>
    <row r="5731" spans="1:2" x14ac:dyDescent="0.25">
      <c r="A5731" s="8">
        <v>44544</v>
      </c>
      <c r="B5731" s="9">
        <v>21.89</v>
      </c>
    </row>
    <row r="5732" spans="1:2" x14ac:dyDescent="0.25">
      <c r="A5732" s="8">
        <v>44545</v>
      </c>
      <c r="B5732" s="9">
        <v>19.29</v>
      </c>
    </row>
    <row r="5733" spans="1:2" x14ac:dyDescent="0.25">
      <c r="A5733" s="8">
        <v>44546</v>
      </c>
      <c r="B5733" s="9">
        <v>20.57</v>
      </c>
    </row>
    <row r="5734" spans="1:2" x14ac:dyDescent="0.25">
      <c r="A5734" s="8">
        <v>44547</v>
      </c>
      <c r="B5734" s="9">
        <v>21.57</v>
      </c>
    </row>
    <row r="5735" spans="1:2" x14ac:dyDescent="0.25">
      <c r="A5735" s="8">
        <v>44550</v>
      </c>
      <c r="B5735" s="9">
        <v>22.87</v>
      </c>
    </row>
    <row r="5736" spans="1:2" x14ac:dyDescent="0.25">
      <c r="A5736" s="8">
        <v>44551</v>
      </c>
      <c r="B5736" s="9">
        <v>21.01</v>
      </c>
    </row>
    <row r="5737" spans="1:2" x14ac:dyDescent="0.25">
      <c r="A5737" s="8">
        <v>44552</v>
      </c>
      <c r="B5737" s="9">
        <v>18.63</v>
      </c>
    </row>
    <row r="5738" spans="1:2" x14ac:dyDescent="0.25">
      <c r="A5738" s="8">
        <v>44553</v>
      </c>
      <c r="B5738" s="9">
        <v>17.96</v>
      </c>
    </row>
    <row r="5739" spans="1:2" x14ac:dyDescent="0.25">
      <c r="A5739" s="8">
        <v>44554</v>
      </c>
    </row>
    <row r="5740" spans="1:2" x14ac:dyDescent="0.25">
      <c r="A5740" s="8">
        <v>44557</v>
      </c>
      <c r="B5740" s="9">
        <v>17.68</v>
      </c>
    </row>
    <row r="5741" spans="1:2" x14ac:dyDescent="0.25">
      <c r="A5741" s="8">
        <v>44558</v>
      </c>
      <c r="B5741" s="9">
        <v>17.54</v>
      </c>
    </row>
    <row r="5742" spans="1:2" x14ac:dyDescent="0.25">
      <c r="A5742" s="8">
        <v>44559</v>
      </c>
      <c r="B5742" s="9">
        <v>16.95</v>
      </c>
    </row>
    <row r="5743" spans="1:2" x14ac:dyDescent="0.25">
      <c r="A5743" s="8">
        <v>44560</v>
      </c>
      <c r="B5743" s="9">
        <v>17.329999999999998</v>
      </c>
    </row>
    <row r="5744" spans="1:2" x14ac:dyDescent="0.25">
      <c r="A5744" s="8">
        <v>44561</v>
      </c>
      <c r="B5744" s="9">
        <v>17.22</v>
      </c>
    </row>
    <row r="5745" spans="1:2" x14ac:dyDescent="0.25">
      <c r="A5745" s="8">
        <v>44564</v>
      </c>
      <c r="B5745" s="9">
        <v>16.600000000000001</v>
      </c>
    </row>
    <row r="5746" spans="1:2" x14ac:dyDescent="0.25">
      <c r="A5746" s="8">
        <v>44565</v>
      </c>
      <c r="B5746" s="9">
        <v>16.91</v>
      </c>
    </row>
    <row r="5747" spans="1:2" x14ac:dyDescent="0.25">
      <c r="A5747" s="8">
        <v>44566</v>
      </c>
      <c r="B5747" s="9">
        <v>19.73</v>
      </c>
    </row>
    <row r="5748" spans="1:2" x14ac:dyDescent="0.25">
      <c r="A5748" s="8">
        <v>44567</v>
      </c>
      <c r="B5748" s="9">
        <v>19.61</v>
      </c>
    </row>
    <row r="5749" spans="1:2" x14ac:dyDescent="0.25">
      <c r="A5749" s="8">
        <v>44568</v>
      </c>
      <c r="B5749" s="9">
        <v>18.760000000000002</v>
      </c>
    </row>
    <row r="5750" spans="1:2" x14ac:dyDescent="0.25">
      <c r="A5750" s="8">
        <v>44571</v>
      </c>
      <c r="B5750" s="9">
        <v>19.399999999999999</v>
      </c>
    </row>
    <row r="5751" spans="1:2" x14ac:dyDescent="0.25">
      <c r="A5751" s="8">
        <v>44572</v>
      </c>
      <c r="B5751" s="9">
        <v>18.41</v>
      </c>
    </row>
    <row r="5752" spans="1:2" x14ac:dyDescent="0.25">
      <c r="A5752" s="8">
        <v>44573</v>
      </c>
      <c r="B5752" s="9">
        <v>17.62</v>
      </c>
    </row>
    <row r="5753" spans="1:2" x14ac:dyDescent="0.25">
      <c r="A5753" s="8">
        <v>44574</v>
      </c>
      <c r="B5753" s="9">
        <v>20.309999999999999</v>
      </c>
    </row>
    <row r="5754" spans="1:2" x14ac:dyDescent="0.25">
      <c r="A5754" s="8">
        <v>44575</v>
      </c>
      <c r="B5754" s="9">
        <v>19.190000000000001</v>
      </c>
    </row>
    <row r="5755" spans="1:2" x14ac:dyDescent="0.25">
      <c r="A5755" s="8">
        <v>44578</v>
      </c>
    </row>
    <row r="5756" spans="1:2" x14ac:dyDescent="0.25">
      <c r="A5756" s="8">
        <v>44579</v>
      </c>
      <c r="B5756" s="9">
        <v>22.79</v>
      </c>
    </row>
    <row r="5757" spans="1:2" x14ac:dyDescent="0.25">
      <c r="A5757" s="8">
        <v>44580</v>
      </c>
      <c r="B5757" s="9">
        <v>23.85</v>
      </c>
    </row>
    <row r="5758" spans="1:2" x14ac:dyDescent="0.25">
      <c r="A5758" s="8">
        <v>44581</v>
      </c>
      <c r="B5758" s="9">
        <v>25.59</v>
      </c>
    </row>
    <row r="5759" spans="1:2" x14ac:dyDescent="0.25">
      <c r="A5759" s="8">
        <v>44582</v>
      </c>
      <c r="B5759" s="9">
        <v>28.85</v>
      </c>
    </row>
    <row r="5760" spans="1:2" x14ac:dyDescent="0.25">
      <c r="A5760" s="8">
        <v>44585</v>
      </c>
      <c r="B5760" s="9">
        <v>29.9</v>
      </c>
    </row>
    <row r="5761" spans="1:2" x14ac:dyDescent="0.25">
      <c r="A5761" s="8">
        <v>44586</v>
      </c>
      <c r="B5761" s="9">
        <v>31.16</v>
      </c>
    </row>
    <row r="5762" spans="1:2" x14ac:dyDescent="0.25">
      <c r="A5762" s="8">
        <v>44587</v>
      </c>
      <c r="B5762" s="9">
        <v>31.96</v>
      </c>
    </row>
    <row r="5763" spans="1:2" x14ac:dyDescent="0.25">
      <c r="A5763" s="8">
        <v>44588</v>
      </c>
      <c r="B5763" s="9">
        <v>30.49</v>
      </c>
    </row>
    <row r="5764" spans="1:2" x14ac:dyDescent="0.25">
      <c r="A5764" s="8">
        <v>44589</v>
      </c>
      <c r="B5764" s="9">
        <v>27.66</v>
      </c>
    </row>
    <row r="5765" spans="1:2" x14ac:dyDescent="0.25">
      <c r="A5765" s="8">
        <v>44592</v>
      </c>
      <c r="B5765" s="9">
        <v>24.83</v>
      </c>
    </row>
    <row r="5766" spans="1:2" x14ac:dyDescent="0.25">
      <c r="A5766" s="8">
        <v>44593</v>
      </c>
      <c r="B5766" s="9">
        <v>21.96</v>
      </c>
    </row>
    <row r="5767" spans="1:2" x14ac:dyDescent="0.25">
      <c r="A5767" s="8">
        <v>44594</v>
      </c>
      <c r="B5767" s="9">
        <v>22.09</v>
      </c>
    </row>
    <row r="5768" spans="1:2" x14ac:dyDescent="0.25">
      <c r="A5768" s="8">
        <v>44595</v>
      </c>
      <c r="B5768" s="9">
        <v>24.35</v>
      </c>
    </row>
    <row r="5769" spans="1:2" x14ac:dyDescent="0.25">
      <c r="A5769" s="8">
        <v>44596</v>
      </c>
      <c r="B5769" s="9">
        <v>23.22</v>
      </c>
    </row>
    <row r="5770" spans="1:2" x14ac:dyDescent="0.25">
      <c r="A5770" s="8">
        <v>44599</v>
      </c>
      <c r="B5770" s="9">
        <v>22.86</v>
      </c>
    </row>
    <row r="5771" spans="1:2" x14ac:dyDescent="0.25">
      <c r="A5771" s="8">
        <v>44600</v>
      </c>
      <c r="B5771" s="9">
        <v>21.44</v>
      </c>
    </row>
    <row r="5772" spans="1:2" x14ac:dyDescent="0.25">
      <c r="A5772" s="8">
        <v>44601</v>
      </c>
      <c r="B5772" s="9">
        <v>19.96</v>
      </c>
    </row>
    <row r="5773" spans="1:2" x14ac:dyDescent="0.25">
      <c r="A5773" s="8">
        <v>44602</v>
      </c>
      <c r="B5773" s="9">
        <v>23.91</v>
      </c>
    </row>
    <row r="5774" spans="1:2" x14ac:dyDescent="0.25">
      <c r="A5774" s="8">
        <v>44603</v>
      </c>
      <c r="B5774" s="9">
        <v>27.36</v>
      </c>
    </row>
    <row r="5775" spans="1:2" x14ac:dyDescent="0.25">
      <c r="A5775" s="8">
        <v>44606</v>
      </c>
      <c r="B5775" s="9">
        <v>28.33</v>
      </c>
    </row>
    <row r="5776" spans="1:2" x14ac:dyDescent="0.25">
      <c r="A5776" s="8">
        <v>44607</v>
      </c>
      <c r="B5776" s="9">
        <v>25.7</v>
      </c>
    </row>
    <row r="5777" spans="1:2" x14ac:dyDescent="0.25">
      <c r="A5777" s="8">
        <v>44608</v>
      </c>
      <c r="B5777" s="9">
        <v>24.29</v>
      </c>
    </row>
    <row r="5778" spans="1:2" x14ac:dyDescent="0.25">
      <c r="A5778" s="8">
        <v>44609</v>
      </c>
      <c r="B5778" s="9">
        <v>28.11</v>
      </c>
    </row>
    <row r="5779" spans="1:2" x14ac:dyDescent="0.25">
      <c r="A5779" s="8">
        <v>44610</v>
      </c>
      <c r="B5779" s="9">
        <v>27.75</v>
      </c>
    </row>
    <row r="5780" spans="1:2" x14ac:dyDescent="0.25">
      <c r="A5780" s="8">
        <v>44613</v>
      </c>
    </row>
    <row r="5781" spans="1:2" x14ac:dyDescent="0.25">
      <c r="A5781" s="8">
        <v>44614</v>
      </c>
      <c r="B5781" s="9">
        <v>28.81</v>
      </c>
    </row>
    <row r="5782" spans="1:2" x14ac:dyDescent="0.25">
      <c r="A5782" s="8">
        <v>44615</v>
      </c>
      <c r="B5782" s="9">
        <v>31.02</v>
      </c>
    </row>
    <row r="5783" spans="1:2" x14ac:dyDescent="0.25">
      <c r="A5783" s="8">
        <v>44616</v>
      </c>
      <c r="B5783" s="9">
        <v>30.32</v>
      </c>
    </row>
    <row r="5784" spans="1:2" x14ac:dyDescent="0.25">
      <c r="A5784" s="8">
        <v>44617</v>
      </c>
      <c r="B5784" s="9">
        <v>27.59</v>
      </c>
    </row>
    <row r="5785" spans="1:2" x14ac:dyDescent="0.25">
      <c r="A5785" s="8">
        <v>44620</v>
      </c>
      <c r="B5785" s="9">
        <v>30.15</v>
      </c>
    </row>
    <row r="5786" spans="1:2" x14ac:dyDescent="0.25">
      <c r="A5786" s="8">
        <v>44621</v>
      </c>
      <c r="B5786" s="9">
        <v>33.32</v>
      </c>
    </row>
    <row r="5787" spans="1:2" x14ac:dyDescent="0.25">
      <c r="A5787" s="8">
        <v>44622</v>
      </c>
      <c r="B5787" s="9">
        <v>30.74</v>
      </c>
    </row>
    <row r="5788" spans="1:2" x14ac:dyDescent="0.25">
      <c r="A5788" s="8">
        <v>44623</v>
      </c>
      <c r="B5788" s="9">
        <v>30.48</v>
      </c>
    </row>
    <row r="5789" spans="1:2" x14ac:dyDescent="0.25">
      <c r="A5789" s="8">
        <v>44624</v>
      </c>
      <c r="B5789" s="9">
        <v>31.98</v>
      </c>
    </row>
    <row r="5790" spans="1:2" x14ac:dyDescent="0.25">
      <c r="A5790" s="8">
        <v>44627</v>
      </c>
      <c r="B5790" s="9">
        <v>36.450000000000003</v>
      </c>
    </row>
    <row r="5791" spans="1:2" x14ac:dyDescent="0.25">
      <c r="A5791" s="8">
        <v>44628</v>
      </c>
      <c r="B5791" s="9">
        <v>35.130000000000003</v>
      </c>
    </row>
    <row r="5792" spans="1:2" x14ac:dyDescent="0.25">
      <c r="A5792" s="8">
        <v>44629</v>
      </c>
      <c r="B5792" s="9">
        <v>32.450000000000003</v>
      </c>
    </row>
    <row r="5793" spans="1:2" x14ac:dyDescent="0.25">
      <c r="A5793" s="8">
        <v>44630</v>
      </c>
      <c r="B5793" s="9">
        <v>30.23</v>
      </c>
    </row>
    <row r="5794" spans="1:2" x14ac:dyDescent="0.25">
      <c r="A5794" s="8">
        <v>44631</v>
      </c>
      <c r="B5794" s="9">
        <v>30.75</v>
      </c>
    </row>
    <row r="5795" spans="1:2" x14ac:dyDescent="0.25">
      <c r="A5795" s="8">
        <v>44634</v>
      </c>
      <c r="B5795" s="9">
        <v>31.77</v>
      </c>
    </row>
    <row r="5796" spans="1:2" x14ac:dyDescent="0.25">
      <c r="A5796" s="8">
        <v>44635</v>
      </c>
      <c r="B5796" s="9">
        <v>29.83</v>
      </c>
    </row>
    <row r="5797" spans="1:2" x14ac:dyDescent="0.25">
      <c r="A5797" s="8">
        <v>44636</v>
      </c>
      <c r="B5797" s="9">
        <v>26.67</v>
      </c>
    </row>
    <row r="5798" spans="1:2" x14ac:dyDescent="0.25">
      <c r="A5798" s="8">
        <v>44637</v>
      </c>
      <c r="B5798" s="9">
        <v>25.67</v>
      </c>
    </row>
    <row r="5799" spans="1:2" x14ac:dyDescent="0.25">
      <c r="A5799" s="8">
        <v>44638</v>
      </c>
      <c r="B5799" s="9">
        <v>23.87</v>
      </c>
    </row>
    <row r="5800" spans="1:2" x14ac:dyDescent="0.25">
      <c r="A5800" s="8">
        <v>44641</v>
      </c>
      <c r="B5800" s="9">
        <v>23.53</v>
      </c>
    </row>
    <row r="5801" spans="1:2" x14ac:dyDescent="0.25">
      <c r="A5801" s="8">
        <v>44642</v>
      </c>
      <c r="B5801" s="9">
        <v>22.94</v>
      </c>
    </row>
    <row r="5802" spans="1:2" x14ac:dyDescent="0.25">
      <c r="A5802" s="8">
        <v>44643</v>
      </c>
      <c r="B5802" s="9">
        <v>23.57</v>
      </c>
    </row>
    <row r="5803" spans="1:2" x14ac:dyDescent="0.25">
      <c r="A5803" s="8">
        <v>44644</v>
      </c>
      <c r="B5803" s="9">
        <v>21.67</v>
      </c>
    </row>
    <row r="5804" spans="1:2" x14ac:dyDescent="0.25">
      <c r="A5804" s="8">
        <v>44645</v>
      </c>
      <c r="B5804" s="9">
        <v>20.81</v>
      </c>
    </row>
    <row r="5805" spans="1:2" x14ac:dyDescent="0.25">
      <c r="A5805" s="8">
        <v>44648</v>
      </c>
      <c r="B5805" s="9">
        <v>19.63</v>
      </c>
    </row>
    <row r="5806" spans="1:2" x14ac:dyDescent="0.25">
      <c r="A5806" s="8">
        <v>44649</v>
      </c>
      <c r="B5806" s="9">
        <v>18.899999999999999</v>
      </c>
    </row>
    <row r="5807" spans="1:2" x14ac:dyDescent="0.25">
      <c r="A5807" s="8">
        <v>44650</v>
      </c>
      <c r="B5807" s="9">
        <v>19.329999999999998</v>
      </c>
    </row>
    <row r="5808" spans="1:2" x14ac:dyDescent="0.25">
      <c r="A5808" s="8">
        <v>44651</v>
      </c>
      <c r="B5808" s="9">
        <v>20.56</v>
      </c>
    </row>
    <row r="5809" spans="1:2" x14ac:dyDescent="0.25">
      <c r="A5809" s="8">
        <v>44652</v>
      </c>
      <c r="B5809" s="9">
        <v>19.63</v>
      </c>
    </row>
    <row r="5810" spans="1:2" x14ac:dyDescent="0.25">
      <c r="A5810" s="8">
        <v>44655</v>
      </c>
      <c r="B5810" s="9">
        <v>18.57</v>
      </c>
    </row>
    <row r="5811" spans="1:2" x14ac:dyDescent="0.25">
      <c r="A5811" s="8">
        <v>44656</v>
      </c>
      <c r="B5811" s="9">
        <v>21.03</v>
      </c>
    </row>
    <row r="5812" spans="1:2" x14ac:dyDescent="0.25">
      <c r="A5812" s="8">
        <v>44657</v>
      </c>
      <c r="B5812" s="9">
        <v>22.1</v>
      </c>
    </row>
    <row r="5813" spans="1:2" x14ac:dyDescent="0.25">
      <c r="A5813" s="8">
        <v>44658</v>
      </c>
      <c r="B5813" s="9">
        <v>21.55</v>
      </c>
    </row>
    <row r="5814" spans="1:2" x14ac:dyDescent="0.25">
      <c r="A5814" s="8">
        <v>44659</v>
      </c>
      <c r="B5814" s="9">
        <v>21.16</v>
      </c>
    </row>
    <row r="5815" spans="1:2" x14ac:dyDescent="0.25">
      <c r="A5815" s="8">
        <v>44662</v>
      </c>
      <c r="B5815" s="9">
        <v>24.37</v>
      </c>
    </row>
    <row r="5816" spans="1:2" x14ac:dyDescent="0.25">
      <c r="A5816" s="8">
        <v>44663</v>
      </c>
      <c r="B5816" s="9">
        <v>24.26</v>
      </c>
    </row>
    <row r="5817" spans="1:2" x14ac:dyDescent="0.25">
      <c r="A5817" s="8">
        <v>44664</v>
      </c>
      <c r="B5817" s="9">
        <v>21.82</v>
      </c>
    </row>
    <row r="5818" spans="1:2" x14ac:dyDescent="0.25">
      <c r="A5818" s="8">
        <v>44665</v>
      </c>
      <c r="B5818" s="9">
        <v>22.7</v>
      </c>
    </row>
    <row r="5819" spans="1:2" x14ac:dyDescent="0.25">
      <c r="A5819" s="8">
        <v>44666</v>
      </c>
    </row>
    <row r="5820" spans="1:2" x14ac:dyDescent="0.25">
      <c r="A5820" s="8">
        <v>44669</v>
      </c>
      <c r="B5820" s="9">
        <v>22.17</v>
      </c>
    </row>
    <row r="5821" spans="1:2" x14ac:dyDescent="0.25">
      <c r="A5821" s="8">
        <v>44670</v>
      </c>
      <c r="B5821" s="9">
        <v>21.37</v>
      </c>
    </row>
    <row r="5822" spans="1:2" x14ac:dyDescent="0.25">
      <c r="A5822" s="8">
        <v>44671</v>
      </c>
      <c r="B5822" s="9">
        <v>20.32</v>
      </c>
    </row>
    <row r="5823" spans="1:2" x14ac:dyDescent="0.25">
      <c r="A5823" s="8">
        <v>44672</v>
      </c>
      <c r="B5823" s="9">
        <v>22.68</v>
      </c>
    </row>
    <row r="5824" spans="1:2" x14ac:dyDescent="0.25">
      <c r="A5824" s="8">
        <v>44673</v>
      </c>
      <c r="B5824" s="9">
        <v>28.21</v>
      </c>
    </row>
    <row r="5825" spans="1:2" x14ac:dyDescent="0.25">
      <c r="A5825" s="8">
        <v>44676</v>
      </c>
      <c r="B5825" s="9">
        <v>27.02</v>
      </c>
    </row>
    <row r="5826" spans="1:2" x14ac:dyDescent="0.25">
      <c r="A5826" s="8">
        <v>44677</v>
      </c>
      <c r="B5826" s="9">
        <v>33.520000000000003</v>
      </c>
    </row>
    <row r="5827" spans="1:2" x14ac:dyDescent="0.25">
      <c r="A5827" s="8">
        <v>44678</v>
      </c>
      <c r="B5827" s="9">
        <v>31.6</v>
      </c>
    </row>
    <row r="5828" spans="1:2" x14ac:dyDescent="0.25">
      <c r="A5828" s="8">
        <v>44679</v>
      </c>
      <c r="B5828" s="9">
        <v>29.99</v>
      </c>
    </row>
    <row r="5829" spans="1:2" x14ac:dyDescent="0.25">
      <c r="A5829" s="8">
        <v>44680</v>
      </c>
      <c r="B5829" s="9">
        <v>33.4</v>
      </c>
    </row>
    <row r="5830" spans="1:2" x14ac:dyDescent="0.25">
      <c r="A5830" s="8">
        <v>44683</v>
      </c>
      <c r="B5830" s="9">
        <v>32.340000000000003</v>
      </c>
    </row>
    <row r="5831" spans="1:2" x14ac:dyDescent="0.25">
      <c r="A5831" s="8">
        <v>44684</v>
      </c>
      <c r="B5831" s="9">
        <v>29.25</v>
      </c>
    </row>
    <row r="5832" spans="1:2" x14ac:dyDescent="0.25">
      <c r="A5832" s="8">
        <v>44685</v>
      </c>
      <c r="B5832" s="9">
        <v>25.42</v>
      </c>
    </row>
    <row r="5833" spans="1:2" x14ac:dyDescent="0.25">
      <c r="A5833" s="8">
        <v>44686</v>
      </c>
      <c r="B5833" s="9">
        <v>31.2</v>
      </c>
    </row>
    <row r="5834" spans="1:2" x14ac:dyDescent="0.25">
      <c r="A5834" s="8">
        <v>44687</v>
      </c>
      <c r="B5834" s="9">
        <v>30.19</v>
      </c>
    </row>
    <row r="5835" spans="1:2" x14ac:dyDescent="0.25">
      <c r="A5835" s="8">
        <v>44690</v>
      </c>
      <c r="B5835" s="9">
        <v>34.75</v>
      </c>
    </row>
    <row r="5836" spans="1:2" x14ac:dyDescent="0.25">
      <c r="A5836" s="8">
        <v>44691</v>
      </c>
      <c r="B5836" s="9">
        <v>32.99</v>
      </c>
    </row>
    <row r="5837" spans="1:2" x14ac:dyDescent="0.25">
      <c r="A5837" s="8">
        <v>44692</v>
      </c>
      <c r="B5837" s="9">
        <v>32.56</v>
      </c>
    </row>
    <row r="5838" spans="1:2" x14ac:dyDescent="0.25">
      <c r="A5838" s="8">
        <v>44693</v>
      </c>
      <c r="B5838" s="9">
        <v>31.77</v>
      </c>
    </row>
    <row r="5839" spans="1:2" x14ac:dyDescent="0.25">
      <c r="A5839" s="8">
        <v>44694</v>
      </c>
      <c r="B5839" s="9">
        <v>28.87</v>
      </c>
    </row>
    <row r="5840" spans="1:2" x14ac:dyDescent="0.25">
      <c r="A5840" s="8">
        <v>44697</v>
      </c>
      <c r="B5840" s="9">
        <v>27.47</v>
      </c>
    </row>
    <row r="5841" spans="1:2" x14ac:dyDescent="0.25">
      <c r="A5841" s="8">
        <v>44698</v>
      </c>
      <c r="B5841" s="9">
        <v>26.1</v>
      </c>
    </row>
    <row r="5842" spans="1:2" x14ac:dyDescent="0.25">
      <c r="A5842" s="8">
        <v>44699</v>
      </c>
      <c r="B5842" s="9">
        <v>30.96</v>
      </c>
    </row>
    <row r="5843" spans="1:2" x14ac:dyDescent="0.25">
      <c r="A5843" s="8">
        <v>44700</v>
      </c>
      <c r="B5843" s="9">
        <v>29.35</v>
      </c>
    </row>
    <row r="5844" spans="1:2" x14ac:dyDescent="0.25">
      <c r="A5844" s="8">
        <v>44701</v>
      </c>
      <c r="B5844" s="9">
        <v>29.43</v>
      </c>
    </row>
    <row r="5845" spans="1:2" x14ac:dyDescent="0.25">
      <c r="A5845" s="8">
        <v>44704</v>
      </c>
      <c r="B5845" s="9">
        <v>28.48</v>
      </c>
    </row>
    <row r="5846" spans="1:2" x14ac:dyDescent="0.25">
      <c r="A5846" s="8">
        <v>44705</v>
      </c>
      <c r="B5846" s="9">
        <v>29.45</v>
      </c>
    </row>
    <row r="5847" spans="1:2" x14ac:dyDescent="0.25">
      <c r="A5847" s="8">
        <v>44706</v>
      </c>
      <c r="B5847" s="9">
        <v>28.37</v>
      </c>
    </row>
    <row r="5848" spans="1:2" x14ac:dyDescent="0.25">
      <c r="A5848" s="8">
        <v>44707</v>
      </c>
      <c r="B5848" s="9">
        <v>27.5</v>
      </c>
    </row>
    <row r="5849" spans="1:2" x14ac:dyDescent="0.25">
      <c r="A5849" s="8">
        <v>44708</v>
      </c>
      <c r="B5849" s="9">
        <v>25.72</v>
      </c>
    </row>
    <row r="5850" spans="1:2" x14ac:dyDescent="0.25">
      <c r="A5850" s="8">
        <v>44711</v>
      </c>
      <c r="B5850" s="9">
        <v>26.54</v>
      </c>
    </row>
    <row r="5851" spans="1:2" x14ac:dyDescent="0.25">
      <c r="A5851" s="8">
        <v>44712</v>
      </c>
      <c r="B5851" s="9">
        <v>26.19</v>
      </c>
    </row>
    <row r="5852" spans="1:2" x14ac:dyDescent="0.25">
      <c r="A5852" s="8">
        <v>44713</v>
      </c>
      <c r="B5852" s="9">
        <v>25.69</v>
      </c>
    </row>
    <row r="5853" spans="1:2" x14ac:dyDescent="0.25">
      <c r="A5853" s="8">
        <v>44714</v>
      </c>
      <c r="B5853" s="9">
        <v>24.72</v>
      </c>
    </row>
    <row r="5854" spans="1:2" x14ac:dyDescent="0.25">
      <c r="A5854" s="8">
        <v>44715</v>
      </c>
      <c r="B5854" s="9">
        <v>24.79</v>
      </c>
    </row>
    <row r="5855" spans="1:2" x14ac:dyDescent="0.25">
      <c r="A5855" s="8">
        <v>44718</v>
      </c>
      <c r="B5855" s="9">
        <v>25.07</v>
      </c>
    </row>
    <row r="5856" spans="1:2" x14ac:dyDescent="0.25">
      <c r="A5856" s="8">
        <v>44719</v>
      </c>
      <c r="B5856" s="9">
        <v>24.02</v>
      </c>
    </row>
    <row r="5857" spans="1:2" x14ac:dyDescent="0.25">
      <c r="A5857" s="8">
        <v>44720</v>
      </c>
      <c r="B5857" s="9">
        <v>23.96</v>
      </c>
    </row>
    <row r="5858" spans="1:2" x14ac:dyDescent="0.25">
      <c r="A5858" s="8">
        <v>44721</v>
      </c>
      <c r="B5858" s="9">
        <v>26.09</v>
      </c>
    </row>
    <row r="5859" spans="1:2" x14ac:dyDescent="0.25">
      <c r="A5859" s="8">
        <v>44722</v>
      </c>
      <c r="B5859" s="9">
        <v>27.75</v>
      </c>
    </row>
    <row r="5860" spans="1:2" x14ac:dyDescent="0.25">
      <c r="A5860" s="8">
        <v>44725</v>
      </c>
      <c r="B5860" s="9">
        <v>34.020000000000003</v>
      </c>
    </row>
    <row r="5861" spans="1:2" x14ac:dyDescent="0.25">
      <c r="A5861" s="8">
        <v>44726</v>
      </c>
      <c r="B5861" s="9">
        <v>32.69</v>
      </c>
    </row>
    <row r="5862" spans="1:2" x14ac:dyDescent="0.25">
      <c r="A5862" s="8">
        <v>44727</v>
      </c>
      <c r="B5862" s="9">
        <v>29.62</v>
      </c>
    </row>
    <row r="5863" spans="1:2" x14ac:dyDescent="0.25">
      <c r="A5863" s="8">
        <v>44728</v>
      </c>
      <c r="B5863" s="9">
        <v>32.950000000000003</v>
      </c>
    </row>
    <row r="5864" spans="1:2" x14ac:dyDescent="0.25">
      <c r="A5864" s="8">
        <v>44729</v>
      </c>
      <c r="B5864" s="9">
        <v>31.13</v>
      </c>
    </row>
    <row r="5865" spans="1:2" x14ac:dyDescent="0.25">
      <c r="A5865" s="8">
        <v>44732</v>
      </c>
      <c r="B5865" s="9">
        <v>31.03</v>
      </c>
    </row>
    <row r="5866" spans="1:2" x14ac:dyDescent="0.25">
      <c r="A5866" s="8">
        <v>44733</v>
      </c>
      <c r="B5866" s="9">
        <v>30.19</v>
      </c>
    </row>
    <row r="5867" spans="1:2" x14ac:dyDescent="0.25">
      <c r="A5867" s="8">
        <v>44734</v>
      </c>
      <c r="B5867" s="9">
        <v>28.95</v>
      </c>
    </row>
    <row r="5868" spans="1:2" x14ac:dyDescent="0.25">
      <c r="A5868" s="8">
        <v>44735</v>
      </c>
      <c r="B5868" s="9">
        <v>29.05</v>
      </c>
    </row>
    <row r="5869" spans="1:2" x14ac:dyDescent="0.25">
      <c r="A5869" s="8">
        <v>44736</v>
      </c>
      <c r="B5869" s="9">
        <v>27.23</v>
      </c>
    </row>
    <row r="5870" spans="1:2" x14ac:dyDescent="0.25">
      <c r="A5870" s="8">
        <v>44739</v>
      </c>
      <c r="B5870" s="9">
        <v>26.95</v>
      </c>
    </row>
    <row r="5871" spans="1:2" x14ac:dyDescent="0.25">
      <c r="A5871" s="8">
        <v>44740</v>
      </c>
      <c r="B5871" s="9">
        <v>28.36</v>
      </c>
    </row>
    <row r="5872" spans="1:2" x14ac:dyDescent="0.25">
      <c r="A5872" s="8">
        <v>44741</v>
      </c>
      <c r="B5872" s="9">
        <v>28.16</v>
      </c>
    </row>
    <row r="5873" spans="1:2" x14ac:dyDescent="0.25">
      <c r="A5873" s="8">
        <v>44742</v>
      </c>
      <c r="B5873" s="9">
        <v>28.71</v>
      </c>
    </row>
    <row r="5874" spans="1:2" x14ac:dyDescent="0.25">
      <c r="A5874" s="8">
        <v>44743</v>
      </c>
      <c r="B5874" s="9">
        <v>26.7</v>
      </c>
    </row>
    <row r="5875" spans="1:2" x14ac:dyDescent="0.25">
      <c r="A5875" s="8">
        <v>44746</v>
      </c>
      <c r="B5875" s="9">
        <v>27.53</v>
      </c>
    </row>
    <row r="5876" spans="1:2" x14ac:dyDescent="0.25">
      <c r="A5876" s="8">
        <v>44747</v>
      </c>
      <c r="B5876" s="9">
        <v>27.54</v>
      </c>
    </row>
    <row r="5877" spans="1:2" x14ac:dyDescent="0.25">
      <c r="A5877" s="8">
        <v>44748</v>
      </c>
      <c r="B5877" s="9">
        <v>26.73</v>
      </c>
    </row>
    <row r="5878" spans="1:2" x14ac:dyDescent="0.25">
      <c r="A5878" s="8">
        <v>44749</v>
      </c>
      <c r="B5878" s="9">
        <v>26.08</v>
      </c>
    </row>
    <row r="5879" spans="1:2" x14ac:dyDescent="0.25">
      <c r="A5879" s="8">
        <v>44750</v>
      </c>
      <c r="B5879" s="9">
        <v>24.64</v>
      </c>
    </row>
    <row r="5880" spans="1:2" x14ac:dyDescent="0.25">
      <c r="A5880" s="8">
        <v>44753</v>
      </c>
      <c r="B5880" s="9">
        <v>26.17</v>
      </c>
    </row>
    <row r="5881" spans="1:2" x14ac:dyDescent="0.25">
      <c r="A5881" s="8">
        <v>44754</v>
      </c>
      <c r="B5881" s="9">
        <v>27.29</v>
      </c>
    </row>
    <row r="5882" spans="1:2" x14ac:dyDescent="0.25">
      <c r="A5882" s="8">
        <v>44755</v>
      </c>
      <c r="B5882" s="9">
        <v>26.82</v>
      </c>
    </row>
    <row r="5883" spans="1:2" x14ac:dyDescent="0.25">
      <c r="A5883" s="8">
        <v>44756</v>
      </c>
      <c r="B5883" s="9">
        <v>26.4</v>
      </c>
    </row>
    <row r="5884" spans="1:2" x14ac:dyDescent="0.25">
      <c r="A5884" s="8">
        <v>44757</v>
      </c>
      <c r="B5884" s="9">
        <v>24.23</v>
      </c>
    </row>
    <row r="5885" spans="1:2" x14ac:dyDescent="0.25">
      <c r="A5885" s="8">
        <v>44760</v>
      </c>
      <c r="B5885" s="9">
        <v>25.3</v>
      </c>
    </row>
    <row r="5886" spans="1:2" x14ac:dyDescent="0.25">
      <c r="A5886" s="8">
        <v>44761</v>
      </c>
      <c r="B5886" s="9">
        <v>24.5</v>
      </c>
    </row>
    <row r="5887" spans="1:2" x14ac:dyDescent="0.25">
      <c r="A5887" s="8">
        <v>44762</v>
      </c>
      <c r="B5887" s="9">
        <v>23.88</v>
      </c>
    </row>
    <row r="5888" spans="1:2" x14ac:dyDescent="0.25">
      <c r="A5888" s="8">
        <v>44763</v>
      </c>
      <c r="B5888" s="9">
        <v>23.11</v>
      </c>
    </row>
    <row r="5889" spans="1:2" x14ac:dyDescent="0.25">
      <c r="A5889" s="8">
        <v>44764</v>
      </c>
      <c r="B5889" s="9">
        <v>23.03</v>
      </c>
    </row>
    <row r="5890" spans="1:2" x14ac:dyDescent="0.25">
      <c r="A5890" s="8">
        <v>44767</v>
      </c>
      <c r="B5890" s="9">
        <v>23.36</v>
      </c>
    </row>
    <row r="5891" spans="1:2" x14ac:dyDescent="0.25">
      <c r="A5891" s="8">
        <v>44768</v>
      </c>
      <c r="B5891" s="9">
        <v>24.69</v>
      </c>
    </row>
    <row r="5892" spans="1:2" x14ac:dyDescent="0.25">
      <c r="A5892" s="8">
        <v>44769</v>
      </c>
      <c r="B5892" s="9">
        <v>23.24</v>
      </c>
    </row>
    <row r="5893" spans="1:2" x14ac:dyDescent="0.25">
      <c r="A5893" s="8">
        <v>44770</v>
      </c>
      <c r="B5893" s="9">
        <v>22.33</v>
      </c>
    </row>
    <row r="5894" spans="1:2" x14ac:dyDescent="0.25">
      <c r="A5894" s="8">
        <v>44771</v>
      </c>
      <c r="B5894" s="9">
        <v>21.33</v>
      </c>
    </row>
    <row r="5895" spans="1:2" x14ac:dyDescent="0.25">
      <c r="A5895" s="8">
        <v>44774</v>
      </c>
      <c r="B5895" s="9">
        <v>22.84</v>
      </c>
    </row>
    <row r="5896" spans="1:2" x14ac:dyDescent="0.25">
      <c r="A5896" s="8">
        <v>44775</v>
      </c>
      <c r="B5896" s="9">
        <v>23.93</v>
      </c>
    </row>
    <row r="5897" spans="1:2" x14ac:dyDescent="0.25">
      <c r="A5897" s="8">
        <v>44776</v>
      </c>
      <c r="B5897" s="9">
        <v>21.95</v>
      </c>
    </row>
    <row r="5898" spans="1:2" x14ac:dyDescent="0.25">
      <c r="A5898" s="8">
        <v>44777</v>
      </c>
      <c r="B5898" s="9">
        <v>21.44</v>
      </c>
    </row>
    <row r="5899" spans="1:2" x14ac:dyDescent="0.25">
      <c r="A5899" s="8">
        <v>44778</v>
      </c>
      <c r="B5899" s="9">
        <v>21.15</v>
      </c>
    </row>
    <row r="5900" spans="1:2" x14ac:dyDescent="0.25">
      <c r="A5900" s="8">
        <v>44781</v>
      </c>
      <c r="B5900" s="9">
        <v>21.29</v>
      </c>
    </row>
    <row r="5901" spans="1:2" x14ac:dyDescent="0.25">
      <c r="A5901" s="8">
        <v>44782</v>
      </c>
      <c r="B5901" s="9">
        <v>21.77</v>
      </c>
    </row>
    <row r="5902" spans="1:2" x14ac:dyDescent="0.25">
      <c r="A5902" s="8">
        <v>44783</v>
      </c>
      <c r="B5902" s="9">
        <v>19.739999999999998</v>
      </c>
    </row>
    <row r="5903" spans="1:2" x14ac:dyDescent="0.25">
      <c r="A5903" s="8">
        <v>44784</v>
      </c>
      <c r="B5903" s="9">
        <v>20.2</v>
      </c>
    </row>
    <row r="5904" spans="1:2" x14ac:dyDescent="0.25">
      <c r="A5904" s="8">
        <v>44785</v>
      </c>
      <c r="B5904" s="9">
        <v>19.53</v>
      </c>
    </row>
    <row r="5905" spans="1:2" x14ac:dyDescent="0.25">
      <c r="A5905" s="8">
        <v>44788</v>
      </c>
      <c r="B5905" s="9">
        <v>19.95</v>
      </c>
    </row>
    <row r="5906" spans="1:2" x14ac:dyDescent="0.25">
      <c r="A5906" s="8">
        <v>44789</v>
      </c>
      <c r="B5906" s="9">
        <v>19.690000000000001</v>
      </c>
    </row>
    <row r="5907" spans="1:2" x14ac:dyDescent="0.25">
      <c r="A5907" s="8">
        <v>44790</v>
      </c>
      <c r="B5907" s="9">
        <v>19.899999999999999</v>
      </c>
    </row>
    <row r="5908" spans="1:2" x14ac:dyDescent="0.25">
      <c r="A5908" s="8">
        <v>44791</v>
      </c>
      <c r="B5908" s="9">
        <v>19.559999999999999</v>
      </c>
    </row>
    <row r="5909" spans="1:2" x14ac:dyDescent="0.25">
      <c r="A5909" s="8">
        <v>44792</v>
      </c>
      <c r="B5909" s="9">
        <v>20.6</v>
      </c>
    </row>
    <row r="5910" spans="1:2" x14ac:dyDescent="0.25">
      <c r="A5910" s="8">
        <v>44795</v>
      </c>
      <c r="B5910" s="9">
        <v>23.8</v>
      </c>
    </row>
    <row r="5911" spans="1:2" x14ac:dyDescent="0.25">
      <c r="A5911" s="8">
        <v>44796</v>
      </c>
      <c r="B5911" s="9">
        <v>24.11</v>
      </c>
    </row>
    <row r="5912" spans="1:2" x14ac:dyDescent="0.25">
      <c r="A5912" s="8">
        <v>44797</v>
      </c>
      <c r="B5912" s="9">
        <v>22.82</v>
      </c>
    </row>
    <row r="5913" spans="1:2" x14ac:dyDescent="0.25">
      <c r="A5913" s="8">
        <v>44798</v>
      </c>
      <c r="B5913" s="9">
        <v>21.78</v>
      </c>
    </row>
    <row r="5914" spans="1:2" x14ac:dyDescent="0.25">
      <c r="A5914" s="8">
        <v>44799</v>
      </c>
      <c r="B5914" s="9">
        <v>25.56</v>
      </c>
    </row>
    <row r="5915" spans="1:2" x14ac:dyDescent="0.25">
      <c r="A5915" s="8">
        <v>44802</v>
      </c>
      <c r="B5915" s="9">
        <v>26.21</v>
      </c>
    </row>
    <row r="5916" spans="1:2" x14ac:dyDescent="0.25">
      <c r="A5916" s="8">
        <v>44803</v>
      </c>
      <c r="B5916" s="9">
        <v>26.21</v>
      </c>
    </row>
    <row r="5917" spans="1:2" x14ac:dyDescent="0.25">
      <c r="A5917" s="8">
        <v>44804</v>
      </c>
      <c r="B5917" s="9">
        <v>25.87</v>
      </c>
    </row>
    <row r="5918" spans="1:2" x14ac:dyDescent="0.25">
      <c r="A5918" s="8">
        <v>44805</v>
      </c>
      <c r="B5918" s="9">
        <v>25.56</v>
      </c>
    </row>
    <row r="5919" spans="1:2" x14ac:dyDescent="0.25">
      <c r="A5919" s="8">
        <v>44806</v>
      </c>
      <c r="B5919" s="9">
        <v>25.47</v>
      </c>
    </row>
    <row r="5920" spans="1:2" x14ac:dyDescent="0.25">
      <c r="A5920" s="8">
        <v>44809</v>
      </c>
      <c r="B5920" s="9">
        <v>25.99</v>
      </c>
    </row>
    <row r="5921" spans="1:2" x14ac:dyDescent="0.25">
      <c r="A5921" s="8">
        <v>44810</v>
      </c>
      <c r="B5921" s="9">
        <v>26.91</v>
      </c>
    </row>
    <row r="5922" spans="1:2" x14ac:dyDescent="0.25">
      <c r="A5922" s="8">
        <v>44811</v>
      </c>
      <c r="B5922" s="9">
        <v>24.64</v>
      </c>
    </row>
    <row r="5923" spans="1:2" x14ac:dyDescent="0.25">
      <c r="A5923" s="8">
        <v>44812</v>
      </c>
      <c r="B5923" s="9">
        <v>23.61</v>
      </c>
    </row>
    <row r="5924" spans="1:2" x14ac:dyDescent="0.25">
      <c r="A5924" s="8">
        <v>44813</v>
      </c>
      <c r="B5924" s="9">
        <v>22.79</v>
      </c>
    </row>
    <row r="5925" spans="1:2" x14ac:dyDescent="0.25">
      <c r="A5925" s="8">
        <v>44816</v>
      </c>
      <c r="B5925" s="9">
        <v>23.87</v>
      </c>
    </row>
    <row r="5926" spans="1:2" x14ac:dyDescent="0.25">
      <c r="A5926" s="8">
        <v>44817</v>
      </c>
      <c r="B5926" s="9">
        <v>27.27</v>
      </c>
    </row>
    <row r="5927" spans="1:2" x14ac:dyDescent="0.25">
      <c r="A5927" s="8">
        <v>44818</v>
      </c>
      <c r="B5927" s="9">
        <v>26.16</v>
      </c>
    </row>
    <row r="5928" spans="1:2" x14ac:dyDescent="0.25">
      <c r="A5928" s="8">
        <v>44819</v>
      </c>
      <c r="B5928" s="9">
        <v>26.27</v>
      </c>
    </row>
    <row r="5929" spans="1:2" x14ac:dyDescent="0.25">
      <c r="A5929" s="8">
        <v>44820</v>
      </c>
      <c r="B5929" s="9">
        <v>26.3</v>
      </c>
    </row>
    <row r="5930" spans="1:2" x14ac:dyDescent="0.25">
      <c r="A5930" s="8">
        <v>44823</v>
      </c>
      <c r="B5930" s="9">
        <v>25.76</v>
      </c>
    </row>
    <row r="5931" spans="1:2" x14ac:dyDescent="0.25">
      <c r="A5931" s="8">
        <v>44824</v>
      </c>
      <c r="B5931" s="9">
        <v>27.16</v>
      </c>
    </row>
    <row r="5932" spans="1:2" x14ac:dyDescent="0.25">
      <c r="A5932" s="8">
        <v>44825</v>
      </c>
      <c r="B5932" s="9">
        <v>27.99</v>
      </c>
    </row>
    <row r="5933" spans="1:2" x14ac:dyDescent="0.25">
      <c r="A5933" s="8">
        <v>44826</v>
      </c>
      <c r="B5933" s="9">
        <v>27.35</v>
      </c>
    </row>
    <row r="5934" spans="1:2" x14ac:dyDescent="0.25">
      <c r="A5934" s="8">
        <v>44827</v>
      </c>
      <c r="B5934" s="9">
        <v>29.92</v>
      </c>
    </row>
    <row r="5935" spans="1:2" x14ac:dyDescent="0.25">
      <c r="A5935" s="8">
        <v>44830</v>
      </c>
      <c r="B5935" s="9">
        <v>32.26</v>
      </c>
    </row>
    <row r="5936" spans="1:2" x14ac:dyDescent="0.25">
      <c r="A5936" s="8">
        <v>44831</v>
      </c>
      <c r="B5936" s="9">
        <v>32.6</v>
      </c>
    </row>
    <row r="5937" spans="1:2" x14ac:dyDescent="0.25">
      <c r="A5937" s="8">
        <v>44832</v>
      </c>
      <c r="B5937" s="9">
        <v>30.18</v>
      </c>
    </row>
    <row r="5938" spans="1:2" x14ac:dyDescent="0.25">
      <c r="A5938" s="8">
        <v>44833</v>
      </c>
      <c r="B5938" s="9">
        <v>31.84</v>
      </c>
    </row>
    <row r="5939" spans="1:2" x14ac:dyDescent="0.25">
      <c r="A5939" s="8">
        <v>44834</v>
      </c>
      <c r="B5939" s="9">
        <v>31.62</v>
      </c>
    </row>
    <row r="5940" spans="1:2" x14ac:dyDescent="0.25">
      <c r="A5940" s="8">
        <v>44837</v>
      </c>
      <c r="B5940" s="9">
        <v>30.1</v>
      </c>
    </row>
    <row r="5941" spans="1:2" x14ac:dyDescent="0.25">
      <c r="A5941" s="8">
        <v>44838</v>
      </c>
      <c r="B5941" s="9">
        <v>29.07</v>
      </c>
    </row>
    <row r="5942" spans="1:2" x14ac:dyDescent="0.25">
      <c r="A5942" s="8">
        <v>44839</v>
      </c>
      <c r="B5942" s="9">
        <v>28.55</v>
      </c>
    </row>
    <row r="5943" spans="1:2" x14ac:dyDescent="0.25">
      <c r="A5943" s="8">
        <v>44840</v>
      </c>
      <c r="B5943" s="9">
        <v>30.52</v>
      </c>
    </row>
    <row r="5944" spans="1:2" x14ac:dyDescent="0.25">
      <c r="A5944" s="8">
        <v>44841</v>
      </c>
      <c r="B5944" s="9">
        <v>31.36</v>
      </c>
    </row>
    <row r="5945" spans="1:2" x14ac:dyDescent="0.25">
      <c r="A5945" s="8">
        <v>44844</v>
      </c>
      <c r="B5945" s="9">
        <v>32.450000000000003</v>
      </c>
    </row>
    <row r="5946" spans="1:2" x14ac:dyDescent="0.25">
      <c r="A5946" s="8">
        <v>44845</v>
      </c>
      <c r="B5946" s="9">
        <v>33.630000000000003</v>
      </c>
    </row>
    <row r="5947" spans="1:2" x14ac:dyDescent="0.25">
      <c r="A5947" s="8">
        <v>44846</v>
      </c>
      <c r="B5947" s="9">
        <v>33.57</v>
      </c>
    </row>
    <row r="5948" spans="1:2" x14ac:dyDescent="0.25">
      <c r="A5948" s="8">
        <v>44847</v>
      </c>
      <c r="B5948" s="9">
        <v>31.94</v>
      </c>
    </row>
    <row r="5949" spans="1:2" x14ac:dyDescent="0.25">
      <c r="A5949" s="8">
        <v>44848</v>
      </c>
      <c r="B5949" s="9">
        <v>32.020000000000003</v>
      </c>
    </row>
    <row r="5950" spans="1:2" x14ac:dyDescent="0.25">
      <c r="A5950" s="8">
        <v>44851</v>
      </c>
      <c r="B5950" s="9">
        <v>31.37</v>
      </c>
    </row>
    <row r="5951" spans="1:2" x14ac:dyDescent="0.25">
      <c r="A5951" s="8">
        <v>44852</v>
      </c>
      <c r="B5951" s="9">
        <v>30.5</v>
      </c>
    </row>
    <row r="5952" spans="1:2" x14ac:dyDescent="0.25">
      <c r="A5952" s="8">
        <v>44853</v>
      </c>
      <c r="B5952" s="9">
        <v>30.76</v>
      </c>
    </row>
    <row r="5953" spans="1:2" x14ac:dyDescent="0.25">
      <c r="A5953" s="8">
        <v>44854</v>
      </c>
      <c r="B5953" s="9">
        <v>29.98</v>
      </c>
    </row>
    <row r="5954" spans="1:2" x14ac:dyDescent="0.25">
      <c r="A5954" s="8">
        <v>44855</v>
      </c>
      <c r="B5954" s="9">
        <v>29.69</v>
      </c>
    </row>
    <row r="5955" spans="1:2" x14ac:dyDescent="0.25">
      <c r="A5955" s="8">
        <v>44858</v>
      </c>
      <c r="B5955" s="9">
        <v>29.85</v>
      </c>
    </row>
    <row r="5956" spans="1:2" x14ac:dyDescent="0.25">
      <c r="A5956" s="8">
        <v>44859</v>
      </c>
      <c r="B5956" s="9">
        <v>28.46</v>
      </c>
    </row>
    <row r="5957" spans="1:2" x14ac:dyDescent="0.25">
      <c r="A5957" s="8">
        <v>44860</v>
      </c>
      <c r="B5957" s="9">
        <v>27.28</v>
      </c>
    </row>
    <row r="5958" spans="1:2" x14ac:dyDescent="0.25">
      <c r="A5958" s="8">
        <v>44861</v>
      </c>
      <c r="B5958" s="9">
        <v>27.39</v>
      </c>
    </row>
    <row r="5959" spans="1:2" x14ac:dyDescent="0.25">
      <c r="A5959" s="8">
        <v>44862</v>
      </c>
      <c r="B5959" s="9">
        <v>25.75</v>
      </c>
    </row>
    <row r="5960" spans="1:2" x14ac:dyDescent="0.25">
      <c r="A5960" s="8">
        <v>44865</v>
      </c>
      <c r="B5960" s="9">
        <v>25.88</v>
      </c>
    </row>
    <row r="5961" spans="1:2" x14ac:dyDescent="0.25">
      <c r="A5961" s="8">
        <v>44866</v>
      </c>
      <c r="B5961" s="9">
        <v>25.81</v>
      </c>
    </row>
    <row r="5962" spans="1:2" x14ac:dyDescent="0.25">
      <c r="A5962" s="8">
        <v>44867</v>
      </c>
      <c r="B5962" s="9">
        <v>25.86</v>
      </c>
    </row>
    <row r="5963" spans="1:2" x14ac:dyDescent="0.25">
      <c r="A5963" s="8">
        <v>44868</v>
      </c>
      <c r="B5963" s="9">
        <v>25.3</v>
      </c>
    </row>
    <row r="5964" spans="1:2" x14ac:dyDescent="0.25">
      <c r="A5964" s="8">
        <v>44869</v>
      </c>
      <c r="B5964" s="9">
        <v>24.55</v>
      </c>
    </row>
    <row r="5965" spans="1:2" x14ac:dyDescent="0.25">
      <c r="A5965" s="8">
        <v>44872</v>
      </c>
      <c r="B5965" s="9">
        <v>24.35</v>
      </c>
    </row>
    <row r="5966" spans="1:2" x14ac:dyDescent="0.25">
      <c r="A5966" s="8">
        <v>44873</v>
      </c>
      <c r="B5966" s="9">
        <v>25.54</v>
      </c>
    </row>
    <row r="5967" spans="1:2" x14ac:dyDescent="0.25">
      <c r="A5967" s="8">
        <v>44874</v>
      </c>
      <c r="B5967" s="9">
        <v>26.09</v>
      </c>
    </row>
    <row r="5968" spans="1:2" x14ac:dyDescent="0.25">
      <c r="A5968" s="8">
        <v>44875</v>
      </c>
      <c r="B5968" s="9">
        <v>23.53</v>
      </c>
    </row>
    <row r="5969" spans="1:2" x14ac:dyDescent="0.25">
      <c r="A5969" s="8">
        <v>44876</v>
      </c>
      <c r="B5969" s="9">
        <v>22.52</v>
      </c>
    </row>
    <row r="5970" spans="1:2" x14ac:dyDescent="0.25">
      <c r="A5970" s="8">
        <v>44879</v>
      </c>
      <c r="B5970" s="9">
        <v>23.73</v>
      </c>
    </row>
    <row r="5971" spans="1:2" x14ac:dyDescent="0.25">
      <c r="A5971" s="8">
        <v>44880</v>
      </c>
      <c r="B5971" s="9">
        <v>24.54</v>
      </c>
    </row>
    <row r="5972" spans="1:2" x14ac:dyDescent="0.25">
      <c r="A5972" s="8">
        <v>44881</v>
      </c>
      <c r="B5972" s="9">
        <v>24.11</v>
      </c>
    </row>
    <row r="5973" spans="1:2" x14ac:dyDescent="0.25">
      <c r="A5973" s="8">
        <v>44882</v>
      </c>
      <c r="B5973" s="9">
        <v>23.93</v>
      </c>
    </row>
    <row r="5974" spans="1:2" x14ac:dyDescent="0.25">
      <c r="A5974" s="8">
        <v>44883</v>
      </c>
      <c r="B5974" s="9">
        <v>23.12</v>
      </c>
    </row>
    <row r="5975" spans="1:2" x14ac:dyDescent="0.25">
      <c r="A5975" s="8">
        <v>44886</v>
      </c>
      <c r="B5975" s="9">
        <v>22.36</v>
      </c>
    </row>
    <row r="5976" spans="1:2" x14ac:dyDescent="0.25">
      <c r="A5976" s="8">
        <v>44887</v>
      </c>
      <c r="B5976" s="9">
        <v>21.29</v>
      </c>
    </row>
    <row r="5977" spans="1:2" x14ac:dyDescent="0.25">
      <c r="A5977" s="8">
        <v>44888</v>
      </c>
      <c r="B5977" s="9">
        <v>20.350000000000001</v>
      </c>
    </row>
    <row r="5978" spans="1:2" x14ac:dyDescent="0.25">
      <c r="A5978" s="8">
        <v>44889</v>
      </c>
      <c r="B5978" s="9">
        <v>20.420000000000002</v>
      </c>
    </row>
    <row r="5979" spans="1:2" x14ac:dyDescent="0.25">
      <c r="A5979" s="8">
        <v>44890</v>
      </c>
      <c r="B5979" s="9">
        <v>20.5</v>
      </c>
    </row>
    <row r="5980" spans="1:2" x14ac:dyDescent="0.25">
      <c r="A5980" s="8">
        <v>44893</v>
      </c>
      <c r="B5980" s="9">
        <v>22.21</v>
      </c>
    </row>
    <row r="5981" spans="1:2" x14ac:dyDescent="0.25">
      <c r="A5981" s="8">
        <v>44894</v>
      </c>
      <c r="B5981" s="9">
        <v>21.89</v>
      </c>
    </row>
    <row r="5982" spans="1:2" x14ac:dyDescent="0.25">
      <c r="A5982" s="8">
        <v>44895</v>
      </c>
      <c r="B5982" s="9">
        <v>20.58</v>
      </c>
    </row>
    <row r="5983" spans="1:2" x14ac:dyDescent="0.25">
      <c r="A5983" s="8">
        <v>44896</v>
      </c>
      <c r="B5983" s="9">
        <v>19.84</v>
      </c>
    </row>
    <row r="5984" spans="1:2" x14ac:dyDescent="0.25">
      <c r="A5984" s="8">
        <v>44897</v>
      </c>
      <c r="B5984" s="9">
        <v>19.059999999999999</v>
      </c>
    </row>
    <row r="5985" spans="1:2" x14ac:dyDescent="0.25">
      <c r="A5985" s="8">
        <v>44900</v>
      </c>
      <c r="B5985" s="9">
        <v>20.75</v>
      </c>
    </row>
    <row r="5986" spans="1:2" x14ac:dyDescent="0.25">
      <c r="A5986" s="8">
        <v>44901</v>
      </c>
      <c r="B5986" s="9">
        <v>22.17</v>
      </c>
    </row>
    <row r="5987" spans="1:2" x14ac:dyDescent="0.25">
      <c r="A5987" s="8">
        <v>44902</v>
      </c>
      <c r="B5987" s="9">
        <v>22.68</v>
      </c>
    </row>
    <row r="5988" spans="1:2" x14ac:dyDescent="0.25">
      <c r="A5988" s="8">
        <v>44903</v>
      </c>
      <c r="B5988" s="9">
        <v>22.29</v>
      </c>
    </row>
    <row r="5989" spans="1:2" x14ac:dyDescent="0.25">
      <c r="A5989" s="8">
        <v>44904</v>
      </c>
      <c r="B5989" s="9">
        <v>22.83</v>
      </c>
    </row>
    <row r="5990" spans="1:2" x14ac:dyDescent="0.25">
      <c r="A5990" s="8">
        <v>44907</v>
      </c>
      <c r="B5990" s="9">
        <v>25</v>
      </c>
    </row>
    <row r="5991" spans="1:2" x14ac:dyDescent="0.25">
      <c r="A5991" s="8">
        <v>44908</v>
      </c>
      <c r="B5991" s="9">
        <v>22.55</v>
      </c>
    </row>
    <row r="5992" spans="1:2" x14ac:dyDescent="0.25">
      <c r="A5992" s="8">
        <v>44909</v>
      </c>
      <c r="B5992" s="9">
        <v>21.14</v>
      </c>
    </row>
    <row r="5993" spans="1:2" x14ac:dyDescent="0.25">
      <c r="A5993" s="8">
        <v>44910</v>
      </c>
      <c r="B5993" s="9">
        <v>22.83</v>
      </c>
    </row>
    <row r="5994" spans="1:2" x14ac:dyDescent="0.25">
      <c r="A5994" s="8">
        <v>44911</v>
      </c>
      <c r="B5994" s="9">
        <v>22.62</v>
      </c>
    </row>
    <row r="5995" spans="1:2" x14ac:dyDescent="0.25">
      <c r="A5995" s="8">
        <v>44914</v>
      </c>
      <c r="B5995" s="9">
        <v>22.42</v>
      </c>
    </row>
    <row r="5996" spans="1:2" x14ac:dyDescent="0.25">
      <c r="A5996" s="8">
        <v>44915</v>
      </c>
      <c r="B5996" s="9">
        <v>21.48</v>
      </c>
    </row>
    <row r="5997" spans="1:2" x14ac:dyDescent="0.25">
      <c r="A5997" s="8">
        <v>44916</v>
      </c>
      <c r="B5997" s="9">
        <v>20.07</v>
      </c>
    </row>
    <row r="5998" spans="1:2" x14ac:dyDescent="0.25">
      <c r="A5998" s="8">
        <v>44917</v>
      </c>
      <c r="B5998" s="9">
        <v>21.97</v>
      </c>
    </row>
    <row r="5999" spans="1:2" x14ac:dyDescent="0.25">
      <c r="A5999" s="8">
        <v>44918</v>
      </c>
      <c r="B5999" s="9">
        <v>20.87</v>
      </c>
    </row>
    <row r="6000" spans="1:2" x14ac:dyDescent="0.25">
      <c r="A6000" s="8">
        <v>44921</v>
      </c>
    </row>
    <row r="6001" spans="1:2" x14ac:dyDescent="0.25">
      <c r="A6001" s="8">
        <v>44922</v>
      </c>
      <c r="B6001" s="9">
        <v>21.65</v>
      </c>
    </row>
    <row r="6002" spans="1:2" x14ac:dyDescent="0.25">
      <c r="A6002" s="8">
        <v>44923</v>
      </c>
      <c r="B6002" s="9">
        <v>22.14</v>
      </c>
    </row>
    <row r="6003" spans="1:2" x14ac:dyDescent="0.25">
      <c r="A6003" s="8">
        <v>44924</v>
      </c>
      <c r="B6003" s="9">
        <v>21.44</v>
      </c>
    </row>
    <row r="6004" spans="1:2" x14ac:dyDescent="0.25">
      <c r="A6004" s="8">
        <v>44925</v>
      </c>
      <c r="B6004" s="9">
        <v>21.67</v>
      </c>
    </row>
    <row r="6005" spans="1:2" x14ac:dyDescent="0.25">
      <c r="A6005" s="8">
        <v>44928</v>
      </c>
    </row>
    <row r="6006" spans="1:2" x14ac:dyDescent="0.25">
      <c r="A6006" s="8">
        <v>44929</v>
      </c>
      <c r="B6006" s="9">
        <v>22.9</v>
      </c>
    </row>
    <row r="6007" spans="1:2" x14ac:dyDescent="0.25">
      <c r="A6007" s="8">
        <v>44930</v>
      </c>
      <c r="B6007" s="9">
        <v>22.01</v>
      </c>
    </row>
    <row r="6008" spans="1:2" x14ac:dyDescent="0.25">
      <c r="A6008" s="8">
        <v>44931</v>
      </c>
      <c r="B6008" s="9">
        <v>22.46</v>
      </c>
    </row>
    <row r="6009" spans="1:2" x14ac:dyDescent="0.25">
      <c r="A6009" s="8">
        <v>44932</v>
      </c>
      <c r="B6009" s="9">
        <v>21.13</v>
      </c>
    </row>
    <row r="6010" spans="1:2" x14ac:dyDescent="0.25">
      <c r="A6010" s="8">
        <v>44935</v>
      </c>
      <c r="B6010" s="9">
        <v>21.97</v>
      </c>
    </row>
    <row r="6011" spans="1:2" x14ac:dyDescent="0.25">
      <c r="A6011" s="8">
        <v>44936</v>
      </c>
      <c r="B6011" s="9">
        <v>20.58</v>
      </c>
    </row>
    <row r="6012" spans="1:2" x14ac:dyDescent="0.25">
      <c r="A6012" s="8">
        <v>44937</v>
      </c>
      <c r="B6012" s="9">
        <v>21.09</v>
      </c>
    </row>
    <row r="6013" spans="1:2" x14ac:dyDescent="0.25">
      <c r="A6013" s="8">
        <v>44938</v>
      </c>
      <c r="B6013" s="9">
        <v>18.829999999999998</v>
      </c>
    </row>
    <row r="6014" spans="1:2" x14ac:dyDescent="0.25">
      <c r="A6014" s="8">
        <v>44939</v>
      </c>
      <c r="B6014" s="9">
        <v>18.350000000000001</v>
      </c>
    </row>
    <row r="6015" spans="1:2" x14ac:dyDescent="0.25">
      <c r="A6015" s="8">
        <v>44942</v>
      </c>
      <c r="B6015" s="9">
        <v>19.489999999999998</v>
      </c>
    </row>
    <row r="6016" spans="1:2" x14ac:dyDescent="0.25">
      <c r="A6016" s="8">
        <v>44943</v>
      </c>
      <c r="B6016" s="9">
        <v>19.36</v>
      </c>
    </row>
    <row r="6017" spans="1:2" x14ac:dyDescent="0.25">
      <c r="A6017" s="8">
        <v>44944</v>
      </c>
      <c r="B6017" s="9">
        <v>20.34</v>
      </c>
    </row>
    <row r="6018" spans="1:2" x14ac:dyDescent="0.25">
      <c r="A6018" s="8">
        <v>44945</v>
      </c>
      <c r="B6018" s="9">
        <v>20.52</v>
      </c>
    </row>
    <row r="6019" spans="1:2" x14ac:dyDescent="0.25">
      <c r="A6019" s="8">
        <v>44946</v>
      </c>
      <c r="B6019" s="9">
        <v>19.850000000000001</v>
      </c>
    </row>
    <row r="6020" spans="1:2" x14ac:dyDescent="0.25">
      <c r="A6020" s="8">
        <v>44949</v>
      </c>
      <c r="B6020" s="9">
        <v>19.809999999999999</v>
      </c>
    </row>
    <row r="6021" spans="1:2" x14ac:dyDescent="0.25">
      <c r="A6021" s="8">
        <v>44950</v>
      </c>
      <c r="B6021" s="9">
        <v>19.2</v>
      </c>
    </row>
    <row r="6022" spans="1:2" x14ac:dyDescent="0.25">
      <c r="A6022" s="8">
        <v>44951</v>
      </c>
      <c r="B6022" s="9">
        <v>19.079999999999998</v>
      </c>
    </row>
    <row r="6023" spans="1:2" x14ac:dyDescent="0.25">
      <c r="A6023" s="8">
        <v>44952</v>
      </c>
      <c r="B6023" s="9">
        <v>18.73</v>
      </c>
    </row>
    <row r="6024" spans="1:2" x14ac:dyDescent="0.25">
      <c r="A6024" s="8">
        <v>44953</v>
      </c>
      <c r="B6024" s="9">
        <v>18.510000000000002</v>
      </c>
    </row>
    <row r="6025" spans="1:2" x14ac:dyDescent="0.25">
      <c r="A6025" s="8">
        <v>44956</v>
      </c>
      <c r="B6025" s="9">
        <v>19.940000000000001</v>
      </c>
    </row>
    <row r="6026" spans="1:2" x14ac:dyDescent="0.25">
      <c r="A6026" s="8">
        <v>44957</v>
      </c>
      <c r="B6026" s="9">
        <v>19.399999999999999</v>
      </c>
    </row>
    <row r="6027" spans="1:2" x14ac:dyDescent="0.25">
      <c r="A6027" s="8">
        <v>44958</v>
      </c>
      <c r="B6027" s="9">
        <v>17.87</v>
      </c>
    </row>
    <row r="6028" spans="1:2" x14ac:dyDescent="0.25">
      <c r="A6028" s="8">
        <v>44959</v>
      </c>
      <c r="B6028" s="9">
        <v>18.73</v>
      </c>
    </row>
    <row r="6029" spans="1:2" x14ac:dyDescent="0.25">
      <c r="A6029" s="8">
        <v>44960</v>
      </c>
      <c r="B6029" s="9">
        <v>18.329999999999998</v>
      </c>
    </row>
    <row r="6030" spans="1:2" x14ac:dyDescent="0.25">
      <c r="A6030" s="8">
        <v>44963</v>
      </c>
      <c r="B6030" s="9">
        <v>19.43</v>
      </c>
    </row>
    <row r="6031" spans="1:2" x14ac:dyDescent="0.25">
      <c r="A6031" s="8">
        <v>44964</v>
      </c>
      <c r="B6031" s="9">
        <v>18.66</v>
      </c>
    </row>
    <row r="6032" spans="1:2" x14ac:dyDescent="0.25">
      <c r="A6032" s="8">
        <v>44965</v>
      </c>
      <c r="B6032" s="9">
        <v>19.63</v>
      </c>
    </row>
    <row r="6033" spans="1:2" x14ac:dyDescent="0.25">
      <c r="A6033" s="8">
        <v>44966</v>
      </c>
      <c r="B6033" s="9">
        <v>20.71</v>
      </c>
    </row>
    <row r="6034" spans="1:2" x14ac:dyDescent="0.25">
      <c r="A6034" s="8">
        <v>44967</v>
      </c>
      <c r="B6034" s="9">
        <v>20.53</v>
      </c>
    </row>
    <row r="6035" spans="1:2" x14ac:dyDescent="0.25">
      <c r="A6035" s="8">
        <v>44970</v>
      </c>
      <c r="B6035" s="9">
        <v>20.34</v>
      </c>
    </row>
    <row r="6036" spans="1:2" x14ac:dyDescent="0.25">
      <c r="A6036" s="8">
        <v>44971</v>
      </c>
      <c r="B6036" s="9">
        <v>18.91</v>
      </c>
    </row>
    <row r="6037" spans="1:2" x14ac:dyDescent="0.25">
      <c r="A6037" s="8">
        <v>44972</v>
      </c>
      <c r="B6037" s="9">
        <v>18.23</v>
      </c>
    </row>
    <row r="6038" spans="1:2" x14ac:dyDescent="0.25">
      <c r="A6038" s="8">
        <v>44973</v>
      </c>
      <c r="B6038" s="9">
        <v>20.170000000000002</v>
      </c>
    </row>
    <row r="6039" spans="1:2" x14ac:dyDescent="0.25">
      <c r="A6039" s="8">
        <v>44974</v>
      </c>
      <c r="B6039" s="9">
        <v>20.02</v>
      </c>
    </row>
    <row r="6040" spans="1:2" x14ac:dyDescent="0.25">
      <c r="A6040" s="8">
        <v>44977</v>
      </c>
      <c r="B6040" s="9">
        <v>21.23</v>
      </c>
    </row>
    <row r="6041" spans="1:2" x14ac:dyDescent="0.25">
      <c r="A6041" s="8">
        <v>44978</v>
      </c>
      <c r="B6041" s="9">
        <v>22.87</v>
      </c>
    </row>
    <row r="6042" spans="1:2" x14ac:dyDescent="0.25">
      <c r="A6042" s="8">
        <v>44979</v>
      </c>
      <c r="B6042" s="9">
        <v>22.29</v>
      </c>
    </row>
    <row r="6043" spans="1:2" x14ac:dyDescent="0.25">
      <c r="A6043" s="8">
        <v>44980</v>
      </c>
      <c r="B6043" s="9">
        <v>21.14</v>
      </c>
    </row>
    <row r="6044" spans="1:2" x14ac:dyDescent="0.25">
      <c r="A6044" s="8">
        <v>44981</v>
      </c>
      <c r="B6044" s="9">
        <v>21.67</v>
      </c>
    </row>
    <row r="6045" spans="1:2" x14ac:dyDescent="0.25">
      <c r="A6045" s="8">
        <v>44984</v>
      </c>
      <c r="B6045" s="9">
        <v>20.95</v>
      </c>
    </row>
    <row r="6046" spans="1:2" x14ac:dyDescent="0.25">
      <c r="A6046" s="8">
        <v>44985</v>
      </c>
      <c r="B6046" s="9">
        <v>20.7</v>
      </c>
    </row>
    <row r="6047" spans="1:2" x14ac:dyDescent="0.25">
      <c r="A6047" s="8">
        <v>44986</v>
      </c>
      <c r="B6047" s="9">
        <v>20.58</v>
      </c>
    </row>
    <row r="6048" spans="1:2" x14ac:dyDescent="0.25">
      <c r="A6048" s="8">
        <v>44987</v>
      </c>
      <c r="B6048" s="9">
        <v>19.59</v>
      </c>
    </row>
    <row r="6049" spans="1:2" x14ac:dyDescent="0.25">
      <c r="A6049" s="8">
        <v>44988</v>
      </c>
      <c r="B6049" s="9">
        <v>18.489999999999998</v>
      </c>
    </row>
    <row r="6050" spans="1:2" x14ac:dyDescent="0.25">
      <c r="A6050" s="8">
        <v>44991</v>
      </c>
      <c r="B6050" s="9">
        <v>18.61</v>
      </c>
    </row>
    <row r="6051" spans="1:2" x14ac:dyDescent="0.25">
      <c r="A6051" s="8">
        <v>44992</v>
      </c>
      <c r="B6051" s="9">
        <v>19.59</v>
      </c>
    </row>
    <row r="6052" spans="1:2" x14ac:dyDescent="0.25">
      <c r="A6052" s="8">
        <v>44993</v>
      </c>
      <c r="B6052" s="9">
        <v>19.11</v>
      </c>
    </row>
    <row r="6053" spans="1:2" x14ac:dyDescent="0.25">
      <c r="A6053" s="8">
        <v>44994</v>
      </c>
      <c r="B6053" s="9">
        <v>22.61</v>
      </c>
    </row>
    <row r="6054" spans="1:2" x14ac:dyDescent="0.25">
      <c r="A6054" s="8">
        <v>44995</v>
      </c>
      <c r="B6054" s="9">
        <v>24.8</v>
      </c>
    </row>
    <row r="6055" spans="1:2" x14ac:dyDescent="0.25">
      <c r="A6055" s="8">
        <v>44998</v>
      </c>
      <c r="B6055" s="9">
        <v>26.52</v>
      </c>
    </row>
    <row r="6056" spans="1:2" x14ac:dyDescent="0.25">
      <c r="A6056" s="8">
        <v>44999</v>
      </c>
      <c r="B6056" s="9">
        <v>23.73</v>
      </c>
    </row>
    <row r="6057" spans="1:2" x14ac:dyDescent="0.25">
      <c r="A6057" s="8">
        <v>45000</v>
      </c>
      <c r="B6057" s="9">
        <v>26.14</v>
      </c>
    </row>
    <row r="6058" spans="1:2" x14ac:dyDescent="0.25">
      <c r="A6058" s="8">
        <v>45001</v>
      </c>
      <c r="B6058" s="9">
        <v>22.99</v>
      </c>
    </row>
    <row r="6059" spans="1:2" x14ac:dyDescent="0.25">
      <c r="A6059" s="8">
        <v>45002</v>
      </c>
      <c r="B6059" s="9">
        <v>25.51</v>
      </c>
    </row>
    <row r="6060" spans="1:2" x14ac:dyDescent="0.25">
      <c r="A6060" s="8">
        <v>45005</v>
      </c>
      <c r="B6060" s="9">
        <v>24.15</v>
      </c>
    </row>
    <row r="6061" spans="1:2" x14ac:dyDescent="0.25">
      <c r="A6061" s="8">
        <v>45006</v>
      </c>
      <c r="B6061" s="9">
        <v>21.38</v>
      </c>
    </row>
    <row r="6062" spans="1:2" x14ac:dyDescent="0.25">
      <c r="A6062" s="8">
        <v>45007</v>
      </c>
      <c r="B6062" s="9">
        <v>22.26</v>
      </c>
    </row>
    <row r="6063" spans="1:2" x14ac:dyDescent="0.25">
      <c r="A6063" s="8">
        <v>45008</v>
      </c>
      <c r="B6063" s="9">
        <v>22.61</v>
      </c>
    </row>
    <row r="6064" spans="1:2" x14ac:dyDescent="0.25">
      <c r="A6064" s="8">
        <v>45009</v>
      </c>
      <c r="B6064" s="9">
        <v>21.74</v>
      </c>
    </row>
    <row r="6065" spans="1:2" x14ac:dyDescent="0.25">
      <c r="A6065" s="8">
        <v>45012</v>
      </c>
      <c r="B6065" s="9">
        <v>20.6</v>
      </c>
    </row>
    <row r="6066" spans="1:2" x14ac:dyDescent="0.25">
      <c r="A6066" s="8">
        <v>45013</v>
      </c>
      <c r="B6066" s="9">
        <v>19.97</v>
      </c>
    </row>
    <row r="6067" spans="1:2" x14ac:dyDescent="0.25">
      <c r="A6067" s="8">
        <v>45014</v>
      </c>
      <c r="B6067" s="9">
        <v>19.12</v>
      </c>
    </row>
    <row r="6068" spans="1:2" x14ac:dyDescent="0.25">
      <c r="A6068" s="8">
        <v>45015</v>
      </c>
      <c r="B6068" s="9">
        <v>19.02</v>
      </c>
    </row>
    <row r="6069" spans="1:2" x14ac:dyDescent="0.25">
      <c r="A6069" s="8">
        <v>45016</v>
      </c>
      <c r="B6069" s="9">
        <v>18.7</v>
      </c>
    </row>
    <row r="6070" spans="1:2" x14ac:dyDescent="0.25">
      <c r="A6070" s="8">
        <v>45019</v>
      </c>
      <c r="B6070" s="9">
        <v>18.55</v>
      </c>
    </row>
    <row r="6071" spans="1:2" x14ac:dyDescent="0.25">
      <c r="A6071" s="8">
        <v>45020</v>
      </c>
      <c r="B6071" s="9">
        <v>19</v>
      </c>
    </row>
    <row r="6072" spans="1:2" x14ac:dyDescent="0.25">
      <c r="A6072" s="8">
        <v>45021</v>
      </c>
      <c r="B6072" s="9">
        <v>19.079999999999998</v>
      </c>
    </row>
    <row r="6073" spans="1:2" x14ac:dyDescent="0.25">
      <c r="A6073" s="8">
        <v>45022</v>
      </c>
      <c r="B6073" s="9">
        <v>18.399999999999999</v>
      </c>
    </row>
    <row r="6074" spans="1:2" x14ac:dyDescent="0.25">
      <c r="A6074" s="8">
        <v>45023</v>
      </c>
    </row>
    <row r="6075" spans="1:2" x14ac:dyDescent="0.25">
      <c r="A6075" s="8">
        <v>45026</v>
      </c>
      <c r="B6075" s="9">
        <v>18.97</v>
      </c>
    </row>
    <row r="6076" spans="1:2" x14ac:dyDescent="0.25">
      <c r="A6076" s="8">
        <v>45027</v>
      </c>
      <c r="B6076" s="9">
        <v>19.100000000000001</v>
      </c>
    </row>
    <row r="6077" spans="1:2" x14ac:dyDescent="0.25">
      <c r="A6077" s="8">
        <v>45028</v>
      </c>
      <c r="B6077" s="9">
        <v>19.09</v>
      </c>
    </row>
    <row r="6078" spans="1:2" x14ac:dyDescent="0.25">
      <c r="A6078" s="8">
        <v>45029</v>
      </c>
      <c r="B6078" s="9">
        <v>17.8</v>
      </c>
    </row>
    <row r="6079" spans="1:2" x14ac:dyDescent="0.25">
      <c r="A6079" s="8">
        <v>45030</v>
      </c>
      <c r="B6079" s="9">
        <v>17.07</v>
      </c>
    </row>
    <row r="6080" spans="1:2" x14ac:dyDescent="0.25">
      <c r="A6080" s="8">
        <v>45033</v>
      </c>
      <c r="B6080" s="9">
        <v>16.95</v>
      </c>
    </row>
    <row r="6081" spans="1:2" x14ac:dyDescent="0.25">
      <c r="A6081" s="8">
        <v>45034</v>
      </c>
      <c r="B6081" s="9">
        <v>16.829999999999998</v>
      </c>
    </row>
    <row r="6082" spans="1:2" x14ac:dyDescent="0.25">
      <c r="A6082" s="8">
        <v>45035</v>
      </c>
      <c r="B6082" s="9">
        <v>16.46</v>
      </c>
    </row>
    <row r="6083" spans="1:2" x14ac:dyDescent="0.25">
      <c r="A6083" s="8">
        <v>45036</v>
      </c>
      <c r="B6083" s="9">
        <v>17.170000000000002</v>
      </c>
    </row>
    <row r="6084" spans="1:2" x14ac:dyDescent="0.25">
      <c r="A6084" s="8">
        <v>45037</v>
      </c>
      <c r="B6084" s="9">
        <v>16.77</v>
      </c>
    </row>
    <row r="6085" spans="1:2" x14ac:dyDescent="0.25">
      <c r="A6085" s="8">
        <v>45040</v>
      </c>
      <c r="B6085" s="9">
        <v>16.89</v>
      </c>
    </row>
    <row r="6086" spans="1:2" x14ac:dyDescent="0.25">
      <c r="A6086" s="8">
        <v>45041</v>
      </c>
      <c r="B6086" s="9">
        <v>18.760000000000002</v>
      </c>
    </row>
    <row r="6087" spans="1:2" x14ac:dyDescent="0.25">
      <c r="A6087" s="8">
        <v>45042</v>
      </c>
      <c r="B6087" s="9">
        <v>18.84</v>
      </c>
    </row>
    <row r="6088" spans="1:2" x14ac:dyDescent="0.25">
      <c r="A6088" s="8">
        <v>45043</v>
      </c>
      <c r="B6088" s="9">
        <v>17.03</v>
      </c>
    </row>
    <row r="6089" spans="1:2" x14ac:dyDescent="0.25">
      <c r="A6089" s="8">
        <v>45044</v>
      </c>
      <c r="B6089" s="9">
        <v>15.78</v>
      </c>
    </row>
    <row r="6090" spans="1:2" x14ac:dyDescent="0.25">
      <c r="A6090" s="8">
        <v>45047</v>
      </c>
      <c r="B6090" s="9">
        <v>16.079999999999998</v>
      </c>
    </row>
    <row r="6091" spans="1:2" x14ac:dyDescent="0.25">
      <c r="A6091" s="8">
        <v>45048</v>
      </c>
      <c r="B6091" s="9">
        <v>17.78</v>
      </c>
    </row>
    <row r="6092" spans="1:2" x14ac:dyDescent="0.25">
      <c r="A6092" s="8">
        <v>45049</v>
      </c>
      <c r="B6092" s="9">
        <v>18.34</v>
      </c>
    </row>
    <row r="6093" spans="1:2" x14ac:dyDescent="0.25">
      <c r="A6093" s="8">
        <v>45050</v>
      </c>
      <c r="B6093" s="9">
        <v>20.09</v>
      </c>
    </row>
    <row r="6094" spans="1:2" x14ac:dyDescent="0.25">
      <c r="A6094" s="8">
        <v>45051</v>
      </c>
      <c r="B6094" s="9">
        <v>17.190000000000001</v>
      </c>
    </row>
    <row r="6095" spans="1:2" x14ac:dyDescent="0.25">
      <c r="A6095" s="8">
        <v>45054</v>
      </c>
      <c r="B6095" s="9">
        <v>16.98</v>
      </c>
    </row>
    <row r="6096" spans="1:2" x14ac:dyDescent="0.25">
      <c r="A6096" s="8">
        <v>45055</v>
      </c>
      <c r="B6096" s="9">
        <v>17.71</v>
      </c>
    </row>
    <row r="6097" spans="1:2" x14ac:dyDescent="0.25">
      <c r="A6097" s="8">
        <v>45056</v>
      </c>
      <c r="B6097" s="9">
        <v>16.940000000000001</v>
      </c>
    </row>
    <row r="6098" spans="1:2" x14ac:dyDescent="0.25">
      <c r="A6098" s="8">
        <v>45057</v>
      </c>
      <c r="B6098" s="9">
        <v>16.93</v>
      </c>
    </row>
    <row r="6099" spans="1:2" x14ac:dyDescent="0.25">
      <c r="A6099" s="8">
        <v>45058</v>
      </c>
      <c r="B6099" s="9">
        <v>17.03</v>
      </c>
    </row>
    <row r="6100" spans="1:2" x14ac:dyDescent="0.25">
      <c r="A6100" s="8">
        <v>45061</v>
      </c>
      <c r="B6100" s="9">
        <v>17.12</v>
      </c>
    </row>
    <row r="6101" spans="1:2" x14ac:dyDescent="0.25">
      <c r="A6101" s="8">
        <v>45062</v>
      </c>
      <c r="B6101" s="9">
        <v>17.989999999999998</v>
      </c>
    </row>
    <row r="6102" spans="1:2" x14ac:dyDescent="0.25">
      <c r="A6102" s="8">
        <v>45063</v>
      </c>
      <c r="B6102" s="9">
        <v>16.87</v>
      </c>
    </row>
    <row r="6103" spans="1:2" x14ac:dyDescent="0.25">
      <c r="A6103" s="8">
        <v>45064</v>
      </c>
      <c r="B6103" s="9">
        <v>16.05</v>
      </c>
    </row>
    <row r="6104" spans="1:2" x14ac:dyDescent="0.25">
      <c r="A6104" s="8">
        <v>45065</v>
      </c>
      <c r="B6104" s="9">
        <v>16.809999999999999</v>
      </c>
    </row>
    <row r="6105" spans="1:2" x14ac:dyDescent="0.25">
      <c r="A6105" s="8">
        <v>45068</v>
      </c>
      <c r="B6105" s="9">
        <v>17.21</v>
      </c>
    </row>
    <row r="6106" spans="1:2" x14ac:dyDescent="0.25">
      <c r="A6106" s="8">
        <v>45069</v>
      </c>
      <c r="B6106" s="9">
        <v>18.53</v>
      </c>
    </row>
    <row r="6107" spans="1:2" x14ac:dyDescent="0.25">
      <c r="A6107" s="8">
        <v>45070</v>
      </c>
      <c r="B6107" s="9">
        <v>20.03</v>
      </c>
    </row>
    <row r="6108" spans="1:2" x14ac:dyDescent="0.25">
      <c r="A6108" s="8">
        <v>45071</v>
      </c>
      <c r="B6108" s="9">
        <v>19.14</v>
      </c>
    </row>
    <row r="6109" spans="1:2" x14ac:dyDescent="0.25">
      <c r="A6109" s="8">
        <v>45072</v>
      </c>
      <c r="B6109" s="9">
        <v>17.95</v>
      </c>
    </row>
    <row r="6110" spans="1:2" x14ac:dyDescent="0.25">
      <c r="A6110" s="8">
        <v>45075</v>
      </c>
      <c r="B6110" s="9">
        <v>17.46</v>
      </c>
    </row>
    <row r="6111" spans="1:2" x14ac:dyDescent="0.25">
      <c r="A6111" s="8">
        <v>45076</v>
      </c>
      <c r="B6111" s="9">
        <v>17.46</v>
      </c>
    </row>
    <row r="6112" spans="1:2" x14ac:dyDescent="0.25">
      <c r="A6112" s="8">
        <v>45077</v>
      </c>
      <c r="B6112" s="9">
        <v>17.940000000000001</v>
      </c>
    </row>
    <row r="6113" spans="1:2" x14ac:dyDescent="0.25">
      <c r="A6113" s="8">
        <v>45078</v>
      </c>
      <c r="B6113" s="9">
        <v>15.65</v>
      </c>
    </row>
    <row r="6114" spans="1:2" x14ac:dyDescent="0.25">
      <c r="A6114" s="8">
        <v>45079</v>
      </c>
      <c r="B6114" s="9">
        <v>14.6</v>
      </c>
    </row>
    <row r="6115" spans="1:2" x14ac:dyDescent="0.25">
      <c r="A6115" s="8">
        <v>45082</v>
      </c>
      <c r="B6115" s="9">
        <v>14.73</v>
      </c>
    </row>
    <row r="6116" spans="1:2" x14ac:dyDescent="0.25">
      <c r="A6116" s="8">
        <v>45083</v>
      </c>
      <c r="B6116" s="9">
        <v>13.96</v>
      </c>
    </row>
    <row r="6117" spans="1:2" x14ac:dyDescent="0.25">
      <c r="A6117" s="8">
        <v>45084</v>
      </c>
      <c r="B6117" s="9">
        <v>13.94</v>
      </c>
    </row>
    <row r="6118" spans="1:2" x14ac:dyDescent="0.25">
      <c r="A6118" s="8">
        <v>45085</v>
      </c>
      <c r="B6118" s="9">
        <v>13.65</v>
      </c>
    </row>
    <row r="6119" spans="1:2" x14ac:dyDescent="0.25">
      <c r="A6119" s="8">
        <v>45086</v>
      </c>
      <c r="B6119" s="9">
        <v>13.83</v>
      </c>
    </row>
    <row r="6120" spans="1:2" x14ac:dyDescent="0.25">
      <c r="A6120" s="8">
        <v>45089</v>
      </c>
      <c r="B6120" s="9">
        <v>15.01</v>
      </c>
    </row>
    <row r="6121" spans="1:2" x14ac:dyDescent="0.25">
      <c r="A6121" s="8">
        <v>45090</v>
      </c>
      <c r="B6121" s="9">
        <v>14.61</v>
      </c>
    </row>
    <row r="6122" spans="1:2" x14ac:dyDescent="0.25">
      <c r="A6122" s="8">
        <v>45091</v>
      </c>
      <c r="B6122" s="9">
        <v>13.88</v>
      </c>
    </row>
    <row r="6123" spans="1:2" x14ac:dyDescent="0.25">
      <c r="A6123" s="8">
        <v>45092</v>
      </c>
      <c r="B6123" s="9">
        <v>14.5</v>
      </c>
    </row>
    <row r="6124" spans="1:2" x14ac:dyDescent="0.25">
      <c r="A6124" s="8">
        <v>45093</v>
      </c>
      <c r="B6124" s="9">
        <v>13.54</v>
      </c>
    </row>
    <row r="6125" spans="1:2" x14ac:dyDescent="0.25">
      <c r="A6125" s="8">
        <v>45096</v>
      </c>
      <c r="B6125" s="9">
        <v>14.19</v>
      </c>
    </row>
    <row r="6126" spans="1:2" x14ac:dyDescent="0.25">
      <c r="A6126" s="8">
        <v>45097</v>
      </c>
      <c r="B6126" s="9">
        <v>13.88</v>
      </c>
    </row>
    <row r="6127" spans="1:2" x14ac:dyDescent="0.25">
      <c r="A6127" s="8">
        <v>45098</v>
      </c>
      <c r="B6127" s="9">
        <v>13.2</v>
      </c>
    </row>
    <row r="6128" spans="1:2" x14ac:dyDescent="0.25">
      <c r="A6128" s="8">
        <v>45099</v>
      </c>
      <c r="B6128" s="9">
        <v>12.91</v>
      </c>
    </row>
    <row r="6129" spans="1:2" x14ac:dyDescent="0.25">
      <c r="A6129" s="8">
        <v>45100</v>
      </c>
      <c r="B6129" s="9">
        <v>13.44</v>
      </c>
    </row>
    <row r="6130" spans="1:2" x14ac:dyDescent="0.25">
      <c r="A6130" s="8">
        <v>45103</v>
      </c>
      <c r="B6130" s="9">
        <v>14.25</v>
      </c>
    </row>
    <row r="6131" spans="1:2" x14ac:dyDescent="0.25">
      <c r="A6131" s="8">
        <v>45104</v>
      </c>
      <c r="B6131" s="9">
        <v>13.74</v>
      </c>
    </row>
    <row r="6132" spans="1:2" x14ac:dyDescent="0.25">
      <c r="A6132" s="8">
        <v>45105</v>
      </c>
      <c r="B6132" s="9">
        <v>13.43</v>
      </c>
    </row>
    <row r="6133" spans="1:2" x14ac:dyDescent="0.25">
      <c r="A6133" s="8">
        <v>45106</v>
      </c>
      <c r="B6133" s="9">
        <v>13.54</v>
      </c>
    </row>
    <row r="6134" spans="1:2" x14ac:dyDescent="0.25">
      <c r="A6134" s="8">
        <v>45107</v>
      </c>
      <c r="B6134" s="9">
        <v>13.59</v>
      </c>
    </row>
    <row r="6135" spans="1:2" x14ac:dyDescent="0.25">
      <c r="A6135" s="8">
        <v>45110</v>
      </c>
      <c r="B6135" s="9">
        <v>13.57</v>
      </c>
    </row>
    <row r="6136" spans="1:2" x14ac:dyDescent="0.25">
      <c r="A6136" s="8">
        <v>45111</v>
      </c>
      <c r="B6136" s="9">
        <v>13.7</v>
      </c>
    </row>
    <row r="6137" spans="1:2" x14ac:dyDescent="0.25">
      <c r="A6137" s="8">
        <v>45112</v>
      </c>
      <c r="B6137" s="9">
        <v>14.18</v>
      </c>
    </row>
    <row r="6138" spans="1:2" x14ac:dyDescent="0.25">
      <c r="A6138" s="8">
        <v>45113</v>
      </c>
      <c r="B6138" s="9">
        <v>15.44</v>
      </c>
    </row>
    <row r="6139" spans="1:2" x14ac:dyDescent="0.25">
      <c r="A6139" s="8">
        <v>45114</v>
      </c>
      <c r="B6139" s="9">
        <v>14.83</v>
      </c>
    </row>
    <row r="6140" spans="1:2" x14ac:dyDescent="0.25">
      <c r="A6140" s="8">
        <v>45117</v>
      </c>
      <c r="B6140" s="9">
        <v>15.07</v>
      </c>
    </row>
    <row r="6141" spans="1:2" x14ac:dyDescent="0.25">
      <c r="A6141" s="8">
        <v>45118</v>
      </c>
      <c r="B6141" s="9">
        <v>14.84</v>
      </c>
    </row>
    <row r="6142" spans="1:2" x14ac:dyDescent="0.25">
      <c r="A6142" s="8">
        <v>45119</v>
      </c>
      <c r="B6142" s="9">
        <v>13.54</v>
      </c>
    </row>
    <row r="6143" spans="1:2" x14ac:dyDescent="0.25">
      <c r="A6143" s="8">
        <v>45120</v>
      </c>
      <c r="B6143" s="9">
        <v>13.61</v>
      </c>
    </row>
    <row r="6144" spans="1:2" x14ac:dyDescent="0.25">
      <c r="A6144" s="8">
        <v>45121</v>
      </c>
      <c r="B6144" s="9">
        <v>13.34</v>
      </c>
    </row>
    <row r="6145" spans="1:2" x14ac:dyDescent="0.25">
      <c r="A6145" s="8">
        <v>45124</v>
      </c>
      <c r="B6145" s="9">
        <v>13.48</v>
      </c>
    </row>
    <row r="6146" spans="1:2" x14ac:dyDescent="0.25">
      <c r="A6146" s="8">
        <v>45125</v>
      </c>
      <c r="B6146" s="9">
        <v>13.3</v>
      </c>
    </row>
    <row r="6147" spans="1:2" x14ac:dyDescent="0.25">
      <c r="A6147" s="8">
        <v>45126</v>
      </c>
      <c r="B6147" s="9">
        <v>13.76</v>
      </c>
    </row>
    <row r="6148" spans="1:2" x14ac:dyDescent="0.25">
      <c r="A6148" s="8">
        <v>45127</v>
      </c>
      <c r="B6148" s="9">
        <v>13.99</v>
      </c>
    </row>
    <row r="6149" spans="1:2" x14ac:dyDescent="0.25">
      <c r="A6149" s="8">
        <v>45128</v>
      </c>
      <c r="B6149" s="9">
        <v>13.6</v>
      </c>
    </row>
    <row r="6150" spans="1:2" x14ac:dyDescent="0.25">
      <c r="A6150" s="8">
        <v>45131</v>
      </c>
      <c r="B6150" s="9">
        <v>13.91</v>
      </c>
    </row>
    <row r="6151" spans="1:2" x14ac:dyDescent="0.25">
      <c r="A6151" s="8">
        <v>45132</v>
      </c>
      <c r="B6151" s="9">
        <v>13.86</v>
      </c>
    </row>
    <row r="6152" spans="1:2" x14ac:dyDescent="0.25">
      <c r="A6152" s="8">
        <v>45133</v>
      </c>
      <c r="B6152" s="9">
        <v>13.19</v>
      </c>
    </row>
    <row r="6153" spans="1:2" x14ac:dyDescent="0.25">
      <c r="A6153" s="8">
        <v>45134</v>
      </c>
      <c r="B6153" s="9">
        <v>14.41</v>
      </c>
    </row>
    <row r="6154" spans="1:2" x14ac:dyDescent="0.25">
      <c r="A6154" s="8">
        <v>45135</v>
      </c>
      <c r="B6154" s="9">
        <v>13.33</v>
      </c>
    </row>
    <row r="6155" spans="1:2" x14ac:dyDescent="0.25">
      <c r="A6155" s="8">
        <v>45138</v>
      </c>
      <c r="B6155" s="9">
        <v>13.63</v>
      </c>
    </row>
    <row r="6156" spans="1:2" x14ac:dyDescent="0.25">
      <c r="A6156" s="8">
        <v>45139</v>
      </c>
      <c r="B6156" s="9">
        <v>13.93</v>
      </c>
    </row>
    <row r="6157" spans="1:2" x14ac:dyDescent="0.25">
      <c r="A6157" s="8">
        <v>45140</v>
      </c>
      <c r="B6157" s="9">
        <v>16.09</v>
      </c>
    </row>
    <row r="6158" spans="1:2" x14ac:dyDescent="0.25">
      <c r="A6158" s="8">
        <v>45141</v>
      </c>
      <c r="B6158" s="9">
        <v>15.92</v>
      </c>
    </row>
    <row r="6159" spans="1:2" x14ac:dyDescent="0.25">
      <c r="A6159" s="8">
        <v>45142</v>
      </c>
      <c r="B6159" s="9">
        <v>17.100000000000001</v>
      </c>
    </row>
    <row r="6160" spans="1:2" x14ac:dyDescent="0.25">
      <c r="A6160" s="8">
        <v>45145</v>
      </c>
      <c r="B6160" s="9">
        <v>15.77</v>
      </c>
    </row>
    <row r="6161" spans="1:2" x14ac:dyDescent="0.25">
      <c r="A6161" s="8">
        <v>45146</v>
      </c>
      <c r="B6161" s="9">
        <v>15.99</v>
      </c>
    </row>
    <row r="6162" spans="1:2" x14ac:dyDescent="0.25">
      <c r="A6162" s="8">
        <v>45147</v>
      </c>
      <c r="B6162" s="9">
        <v>15.96</v>
      </c>
    </row>
    <row r="6163" spans="1:2" x14ac:dyDescent="0.25">
      <c r="A6163" s="8">
        <v>45148</v>
      </c>
      <c r="B6163" s="9">
        <v>15.85</v>
      </c>
    </row>
    <row r="6164" spans="1:2" x14ac:dyDescent="0.25">
      <c r="A6164" s="8">
        <v>45149</v>
      </c>
      <c r="B6164" s="9">
        <v>14.84</v>
      </c>
    </row>
    <row r="6165" spans="1:2" x14ac:dyDescent="0.25">
      <c r="A6165" s="8">
        <v>45152</v>
      </c>
      <c r="B6165" s="9">
        <v>14.82</v>
      </c>
    </row>
    <row r="6166" spans="1:2" x14ac:dyDescent="0.25">
      <c r="A6166" s="8">
        <v>45153</v>
      </c>
      <c r="B6166" s="9">
        <v>16.46</v>
      </c>
    </row>
    <row r="6167" spans="1:2" x14ac:dyDescent="0.25">
      <c r="A6167" s="8">
        <v>45154</v>
      </c>
      <c r="B6167" s="9">
        <v>16.78</v>
      </c>
    </row>
    <row r="6168" spans="1:2" x14ac:dyDescent="0.25">
      <c r="A6168" s="8">
        <v>45155</v>
      </c>
      <c r="B6168" s="9">
        <v>17.89</v>
      </c>
    </row>
    <row r="6169" spans="1:2" x14ac:dyDescent="0.25">
      <c r="A6169" s="8">
        <v>45156</v>
      </c>
      <c r="B6169" s="9">
        <v>17.3</v>
      </c>
    </row>
    <row r="6170" spans="1:2" x14ac:dyDescent="0.25">
      <c r="A6170" s="8">
        <v>45159</v>
      </c>
      <c r="B6170" s="9">
        <v>17.13</v>
      </c>
    </row>
    <row r="6171" spans="1:2" x14ac:dyDescent="0.25">
      <c r="A6171" s="8">
        <v>45160</v>
      </c>
      <c r="B6171" s="9">
        <v>16.97</v>
      </c>
    </row>
    <row r="6172" spans="1:2" x14ac:dyDescent="0.25">
      <c r="A6172" s="8">
        <v>45161</v>
      </c>
      <c r="B6172" s="9">
        <v>15.98</v>
      </c>
    </row>
    <row r="6173" spans="1:2" x14ac:dyDescent="0.25">
      <c r="A6173" s="8">
        <v>45162</v>
      </c>
      <c r="B6173" s="9">
        <v>17.2</v>
      </c>
    </row>
    <row r="6174" spans="1:2" x14ac:dyDescent="0.25">
      <c r="A6174" s="8">
        <v>45163</v>
      </c>
      <c r="B6174" s="9">
        <v>15.68</v>
      </c>
    </row>
    <row r="6175" spans="1:2" x14ac:dyDescent="0.25">
      <c r="A6175" s="8">
        <v>45166</v>
      </c>
      <c r="B6175" s="9">
        <v>15.08</v>
      </c>
    </row>
    <row r="6176" spans="1:2" x14ac:dyDescent="0.25">
      <c r="A6176" s="8">
        <v>45167</v>
      </c>
      <c r="B6176" s="9">
        <v>14.45</v>
      </c>
    </row>
    <row r="6177" spans="1:2" x14ac:dyDescent="0.25">
      <c r="A6177" s="8">
        <v>45168</v>
      </c>
      <c r="B6177" s="9">
        <v>13.88</v>
      </c>
    </row>
    <row r="6178" spans="1:2" x14ac:dyDescent="0.25">
      <c r="A6178" s="8">
        <v>45169</v>
      </c>
      <c r="B6178" s="9">
        <v>13.57</v>
      </c>
    </row>
    <row r="6179" spans="1:2" x14ac:dyDescent="0.25">
      <c r="A6179" s="8">
        <v>45170</v>
      </c>
      <c r="B6179" s="9">
        <v>13.09</v>
      </c>
    </row>
    <row r="6180" spans="1:2" x14ac:dyDescent="0.25">
      <c r="A6180" s="8">
        <v>45173</v>
      </c>
      <c r="B6180" s="9">
        <v>13.82</v>
      </c>
    </row>
    <row r="6181" spans="1:2" x14ac:dyDescent="0.25">
      <c r="A6181" s="8">
        <v>45174</v>
      </c>
      <c r="B6181" s="9">
        <v>14.01</v>
      </c>
    </row>
    <row r="6182" spans="1:2" x14ac:dyDescent="0.25">
      <c r="A6182" s="8">
        <v>45175</v>
      </c>
      <c r="B6182" s="9">
        <v>14.45</v>
      </c>
    </row>
    <row r="6183" spans="1:2" x14ac:dyDescent="0.25">
      <c r="A6183" s="8">
        <v>45176</v>
      </c>
      <c r="B6183" s="9">
        <v>14.4</v>
      </c>
    </row>
    <row r="6184" spans="1:2" x14ac:dyDescent="0.25">
      <c r="A6184" s="8">
        <v>45177</v>
      </c>
      <c r="B6184" s="9">
        <v>13.84</v>
      </c>
    </row>
    <row r="6185" spans="1:2" x14ac:dyDescent="0.25">
      <c r="A6185" s="8">
        <v>45180</v>
      </c>
      <c r="B6185" s="9">
        <v>13.8</v>
      </c>
    </row>
    <row r="6186" spans="1:2" x14ac:dyDescent="0.25">
      <c r="A6186" s="8">
        <v>45181</v>
      </c>
      <c r="B6186" s="9">
        <v>14.23</v>
      </c>
    </row>
    <row r="6187" spans="1:2" x14ac:dyDescent="0.25">
      <c r="A6187" s="8">
        <v>45182</v>
      </c>
      <c r="B6187" s="9">
        <v>13.48</v>
      </c>
    </row>
    <row r="6188" spans="1:2" x14ac:dyDescent="0.25">
      <c r="A6188" s="8">
        <v>45183</v>
      </c>
      <c r="B6188" s="9">
        <v>12.82</v>
      </c>
    </row>
    <row r="6189" spans="1:2" x14ac:dyDescent="0.25">
      <c r="A6189" s="8">
        <v>45184</v>
      </c>
      <c r="B6189" s="9">
        <v>13.79</v>
      </c>
    </row>
    <row r="6190" spans="1:2" x14ac:dyDescent="0.25">
      <c r="A6190" s="8">
        <v>45187</v>
      </c>
      <c r="B6190" s="9">
        <v>14</v>
      </c>
    </row>
    <row r="6191" spans="1:2" x14ac:dyDescent="0.25">
      <c r="A6191" s="8">
        <v>45188</v>
      </c>
      <c r="B6191" s="9">
        <v>14.11</v>
      </c>
    </row>
    <row r="6192" spans="1:2" x14ac:dyDescent="0.25">
      <c r="A6192" s="8">
        <v>45189</v>
      </c>
      <c r="B6192" s="9">
        <v>15.14</v>
      </c>
    </row>
    <row r="6193" spans="1:2" x14ac:dyDescent="0.25">
      <c r="A6193" s="8">
        <v>45190</v>
      </c>
      <c r="B6193" s="9">
        <v>17.54</v>
      </c>
    </row>
    <row r="6194" spans="1:2" x14ac:dyDescent="0.25">
      <c r="A6194" s="8">
        <v>45191</v>
      </c>
      <c r="B6194" s="9">
        <v>17.2</v>
      </c>
    </row>
    <row r="6195" spans="1:2" x14ac:dyDescent="0.25">
      <c r="A6195" s="8">
        <v>45194</v>
      </c>
      <c r="B6195" s="9">
        <v>16.899999999999999</v>
      </c>
    </row>
    <row r="6196" spans="1:2" x14ac:dyDescent="0.25">
      <c r="A6196" s="8">
        <v>45195</v>
      </c>
      <c r="B6196" s="9">
        <v>18.940000000000001</v>
      </c>
    </row>
    <row r="6197" spans="1:2" x14ac:dyDescent="0.25">
      <c r="A6197" s="8">
        <v>45196</v>
      </c>
      <c r="B6197" s="9">
        <v>18.22</v>
      </c>
    </row>
    <row r="6198" spans="1:2" x14ac:dyDescent="0.25">
      <c r="A6198" s="8">
        <v>45197</v>
      </c>
      <c r="B6198" s="9">
        <v>17.34</v>
      </c>
    </row>
    <row r="6199" spans="1:2" x14ac:dyDescent="0.25">
      <c r="A6199" s="8">
        <v>45198</v>
      </c>
      <c r="B6199" s="9">
        <v>17.52</v>
      </c>
    </row>
    <row r="6200" spans="1:2" x14ac:dyDescent="0.25">
      <c r="A6200" s="8">
        <v>45201</v>
      </c>
      <c r="B6200" s="9">
        <v>17.61</v>
      </c>
    </row>
    <row r="6201" spans="1:2" x14ac:dyDescent="0.25">
      <c r="A6201" s="8">
        <v>45202</v>
      </c>
      <c r="B6201" s="9">
        <v>19.78</v>
      </c>
    </row>
    <row r="6202" spans="1:2" x14ac:dyDescent="0.25">
      <c r="A6202" s="8">
        <v>45203</v>
      </c>
      <c r="B6202" s="9">
        <v>18.579999999999998</v>
      </c>
    </row>
    <row r="6203" spans="1:2" x14ac:dyDescent="0.25">
      <c r="A6203" s="8">
        <v>45204</v>
      </c>
      <c r="B6203" s="9">
        <v>18.489999999999998</v>
      </c>
    </row>
    <row r="6204" spans="1:2" x14ac:dyDescent="0.25">
      <c r="A6204" s="8">
        <v>45205</v>
      </c>
      <c r="B6204" s="9">
        <v>17.45</v>
      </c>
    </row>
    <row r="6205" spans="1:2" x14ac:dyDescent="0.25">
      <c r="A6205" s="8">
        <v>45208</v>
      </c>
      <c r="B6205" s="9">
        <v>17.7</v>
      </c>
    </row>
    <row r="6206" spans="1:2" x14ac:dyDescent="0.25">
      <c r="A6206" s="8">
        <v>45209</v>
      </c>
      <c r="B6206" s="9">
        <v>17.03</v>
      </c>
    </row>
    <row r="6207" spans="1:2" x14ac:dyDescent="0.25">
      <c r="A6207" s="8">
        <v>45210</v>
      </c>
      <c r="B6207" s="9">
        <v>16.09</v>
      </c>
    </row>
    <row r="6208" spans="1:2" x14ac:dyDescent="0.25">
      <c r="A6208" s="8">
        <v>45211</v>
      </c>
      <c r="B6208" s="9">
        <v>16.690000000000001</v>
      </c>
    </row>
    <row r="6209" spans="1:2" x14ac:dyDescent="0.25">
      <c r="A6209" s="8">
        <v>45212</v>
      </c>
      <c r="B6209" s="9">
        <v>19.32</v>
      </c>
    </row>
    <row r="6210" spans="1:2" x14ac:dyDescent="0.25">
      <c r="A6210" s="8">
        <v>45215</v>
      </c>
      <c r="B6210" s="9">
        <v>17.21</v>
      </c>
    </row>
    <row r="6211" spans="1:2" x14ac:dyDescent="0.25">
      <c r="A6211" s="8">
        <v>45216</v>
      </c>
      <c r="B6211" s="9">
        <v>17.88</v>
      </c>
    </row>
    <row r="6212" spans="1:2" x14ac:dyDescent="0.25">
      <c r="A6212" s="8">
        <v>45217</v>
      </c>
      <c r="B6212" s="9">
        <v>19.22</v>
      </c>
    </row>
    <row r="6213" spans="1:2" x14ac:dyDescent="0.25">
      <c r="A6213" s="8">
        <v>45218</v>
      </c>
      <c r="B6213" s="9">
        <v>21.4</v>
      </c>
    </row>
    <row r="6214" spans="1:2" x14ac:dyDescent="0.25">
      <c r="A6214" s="8">
        <v>45219</v>
      </c>
      <c r="B6214" s="9">
        <v>21.71</v>
      </c>
    </row>
    <row r="6215" spans="1:2" x14ac:dyDescent="0.25">
      <c r="A6215" s="8">
        <v>45222</v>
      </c>
      <c r="B6215" s="9">
        <v>20.37</v>
      </c>
    </row>
    <row r="6216" spans="1:2" x14ac:dyDescent="0.25">
      <c r="A6216" s="8">
        <v>45223</v>
      </c>
      <c r="B6216" s="9">
        <v>18.97</v>
      </c>
    </row>
    <row r="6217" spans="1:2" x14ac:dyDescent="0.25">
      <c r="A6217" s="8">
        <v>45224</v>
      </c>
      <c r="B6217" s="9">
        <v>20.190000000000001</v>
      </c>
    </row>
    <row r="6218" spans="1:2" x14ac:dyDescent="0.25">
      <c r="A6218" s="8">
        <v>45225</v>
      </c>
      <c r="B6218" s="9">
        <v>20.68</v>
      </c>
    </row>
    <row r="6219" spans="1:2" x14ac:dyDescent="0.25">
      <c r="A6219" s="8">
        <v>45226</v>
      </c>
      <c r="B6219" s="9">
        <v>21.27</v>
      </c>
    </row>
    <row r="6220" spans="1:2" x14ac:dyDescent="0.25">
      <c r="A6220" s="8">
        <v>45229</v>
      </c>
      <c r="B6220" s="9">
        <v>19.75</v>
      </c>
    </row>
    <row r="6221" spans="1:2" x14ac:dyDescent="0.25">
      <c r="A6221" s="8">
        <v>45230</v>
      </c>
      <c r="B6221" s="9">
        <v>18.14</v>
      </c>
    </row>
    <row r="6222" spans="1:2" x14ac:dyDescent="0.25">
      <c r="A6222" s="8">
        <v>45231</v>
      </c>
      <c r="B6222" s="9">
        <v>16.87</v>
      </c>
    </row>
    <row r="6223" spans="1:2" x14ac:dyDescent="0.25">
      <c r="A6223" s="8">
        <v>45232</v>
      </c>
      <c r="B6223" s="9">
        <v>15.66</v>
      </c>
    </row>
    <row r="6224" spans="1:2" x14ac:dyDescent="0.25">
      <c r="A6224" s="8">
        <v>45233</v>
      </c>
      <c r="B6224" s="9">
        <v>14.91</v>
      </c>
    </row>
    <row r="6225" spans="1:2" x14ac:dyDescent="0.25">
      <c r="A6225" s="8">
        <v>45236</v>
      </c>
      <c r="B6225" s="9">
        <v>14.89</v>
      </c>
    </row>
    <row r="6226" spans="1:2" x14ac:dyDescent="0.25">
      <c r="A6226" s="8">
        <v>45237</v>
      </c>
      <c r="B6226" s="9">
        <v>14.81</v>
      </c>
    </row>
    <row r="6227" spans="1:2" x14ac:dyDescent="0.25">
      <c r="A6227" s="8">
        <v>45238</v>
      </c>
      <c r="B6227" s="9">
        <v>14.45</v>
      </c>
    </row>
    <row r="6228" spans="1:2" x14ac:dyDescent="0.25">
      <c r="A6228" s="8">
        <v>45239</v>
      </c>
      <c r="B6228" s="9">
        <v>15.29</v>
      </c>
    </row>
    <row r="6229" spans="1:2" x14ac:dyDescent="0.25">
      <c r="A6229" s="8">
        <v>45240</v>
      </c>
      <c r="B6229" s="9">
        <v>14.17</v>
      </c>
    </row>
    <row r="6230" spans="1:2" x14ac:dyDescent="0.25">
      <c r="A6230" s="8">
        <v>45243</v>
      </c>
      <c r="B6230" s="9">
        <v>14.76</v>
      </c>
    </row>
    <row r="6231" spans="1:2" x14ac:dyDescent="0.25">
      <c r="A6231" s="8">
        <v>45244</v>
      </c>
      <c r="B6231" s="9">
        <v>14.16</v>
      </c>
    </row>
    <row r="6232" spans="1:2" x14ac:dyDescent="0.25">
      <c r="A6232" s="8">
        <v>45245</v>
      </c>
      <c r="B6232" s="9">
        <v>14.18</v>
      </c>
    </row>
    <row r="6233" spans="1:2" x14ac:dyDescent="0.25">
      <c r="A6233" s="8">
        <v>45246</v>
      </c>
      <c r="B6233" s="9">
        <v>14.32</v>
      </c>
    </row>
    <row r="6234" spans="1:2" x14ac:dyDescent="0.25">
      <c r="A6234" s="8">
        <v>45247</v>
      </c>
      <c r="B6234" s="9">
        <v>13.8</v>
      </c>
    </row>
    <row r="6235" spans="1:2" x14ac:dyDescent="0.25">
      <c r="A6235" s="8">
        <v>45250</v>
      </c>
      <c r="B6235" s="9">
        <v>13.41</v>
      </c>
    </row>
    <row r="6236" spans="1:2" x14ac:dyDescent="0.25">
      <c r="A6236" s="8">
        <v>45251</v>
      </c>
      <c r="B6236" s="9">
        <v>13.35</v>
      </c>
    </row>
    <row r="6237" spans="1:2" x14ac:dyDescent="0.25">
      <c r="A6237" s="8">
        <v>45252</v>
      </c>
      <c r="B6237" s="9">
        <v>12.85</v>
      </c>
    </row>
    <row r="6238" spans="1:2" x14ac:dyDescent="0.25">
      <c r="A6238" s="8">
        <v>45253</v>
      </c>
      <c r="B6238" s="9">
        <v>12.8</v>
      </c>
    </row>
    <row r="6239" spans="1:2" x14ac:dyDescent="0.25">
      <c r="A6239" s="8">
        <v>45254</v>
      </c>
      <c r="B6239" s="9">
        <v>12.46</v>
      </c>
    </row>
    <row r="6240" spans="1:2" x14ac:dyDescent="0.25">
      <c r="A6240" s="8">
        <v>45257</v>
      </c>
      <c r="B6240" s="9">
        <v>12.69</v>
      </c>
    </row>
    <row r="6241" spans="1:2" x14ac:dyDescent="0.25">
      <c r="A6241" s="8">
        <v>45258</v>
      </c>
      <c r="B6241" s="9">
        <v>12.69</v>
      </c>
    </row>
    <row r="6242" spans="1:2" x14ac:dyDescent="0.25">
      <c r="A6242" s="8">
        <v>45259</v>
      </c>
      <c r="B6242" s="9">
        <v>12.98</v>
      </c>
    </row>
    <row r="6243" spans="1:2" x14ac:dyDescent="0.25">
      <c r="A6243" s="8">
        <v>45260</v>
      </c>
      <c r="B6243" s="9">
        <v>12.92</v>
      </c>
    </row>
    <row r="6244" spans="1:2" x14ac:dyDescent="0.25">
      <c r="A6244" s="8">
        <v>45261</v>
      </c>
      <c r="B6244" s="9">
        <v>12.63</v>
      </c>
    </row>
    <row r="6245" spans="1:2" x14ac:dyDescent="0.25">
      <c r="A6245" s="8">
        <v>45264</v>
      </c>
      <c r="B6245" s="9">
        <v>13.08</v>
      </c>
    </row>
    <row r="6246" spans="1:2" x14ac:dyDescent="0.25">
      <c r="A6246" s="8">
        <v>45265</v>
      </c>
      <c r="B6246" s="9">
        <v>12.85</v>
      </c>
    </row>
    <row r="6247" spans="1:2" x14ac:dyDescent="0.25">
      <c r="A6247" s="8">
        <v>45266</v>
      </c>
      <c r="B6247" s="9">
        <v>12.97</v>
      </c>
    </row>
    <row r="6248" spans="1:2" x14ac:dyDescent="0.25">
      <c r="A6248" s="8">
        <v>45267</v>
      </c>
      <c r="B6248" s="9">
        <v>13.06</v>
      </c>
    </row>
    <row r="6249" spans="1:2" x14ac:dyDescent="0.25">
      <c r="A6249" s="8">
        <v>45268</v>
      </c>
      <c r="B6249" s="9">
        <v>12.35</v>
      </c>
    </row>
    <row r="6250" spans="1:2" x14ac:dyDescent="0.25">
      <c r="A6250" s="8">
        <v>45271</v>
      </c>
      <c r="B6250" s="9">
        <v>12.63</v>
      </c>
    </row>
    <row r="6251" spans="1:2" x14ac:dyDescent="0.25">
      <c r="A6251" s="8">
        <v>45272</v>
      </c>
      <c r="B6251" s="9">
        <v>12.07</v>
      </c>
    </row>
    <row r="6252" spans="1:2" x14ac:dyDescent="0.25">
      <c r="A6252" s="8">
        <v>45273</v>
      </c>
      <c r="B6252" s="9">
        <v>12.19</v>
      </c>
    </row>
    <row r="6253" spans="1:2" x14ac:dyDescent="0.25">
      <c r="A6253" s="8">
        <v>45274</v>
      </c>
      <c r="B6253" s="9">
        <v>12.48</v>
      </c>
    </row>
    <row r="6254" spans="1:2" x14ac:dyDescent="0.25">
      <c r="A6254" s="8">
        <v>45275</v>
      </c>
      <c r="B6254" s="9">
        <v>12.28</v>
      </c>
    </row>
    <row r="6255" spans="1:2" x14ac:dyDescent="0.25">
      <c r="A6255" s="8">
        <v>45278</v>
      </c>
      <c r="B6255" s="9">
        <v>12.56</v>
      </c>
    </row>
    <row r="6256" spans="1:2" x14ac:dyDescent="0.25">
      <c r="A6256" s="8">
        <v>45279</v>
      </c>
      <c r="B6256" s="9">
        <v>12.53</v>
      </c>
    </row>
    <row r="6257" spans="1:2" x14ac:dyDescent="0.25">
      <c r="A6257" s="8">
        <v>45280</v>
      </c>
      <c r="B6257" s="9">
        <v>13.67</v>
      </c>
    </row>
    <row r="6258" spans="1:2" x14ac:dyDescent="0.25">
      <c r="A6258" s="8">
        <v>45281</v>
      </c>
      <c r="B6258" s="9">
        <v>13.65</v>
      </c>
    </row>
    <row r="6259" spans="1:2" x14ac:dyDescent="0.25">
      <c r="A6259" s="8">
        <v>45282</v>
      </c>
      <c r="B6259" s="9">
        <v>13.03</v>
      </c>
    </row>
    <row r="6260" spans="1:2" x14ac:dyDescent="0.25">
      <c r="A6260" s="8">
        <v>45285</v>
      </c>
    </row>
    <row r="6261" spans="1:2" x14ac:dyDescent="0.25">
      <c r="A6261" s="8">
        <v>45286</v>
      </c>
      <c r="B6261" s="9">
        <v>12.99</v>
      </c>
    </row>
    <row r="6262" spans="1:2" x14ac:dyDescent="0.25">
      <c r="A6262" s="8">
        <v>45287</v>
      </c>
      <c r="B6262" s="9">
        <v>12.43</v>
      </c>
    </row>
    <row r="6263" spans="1:2" x14ac:dyDescent="0.25">
      <c r="A6263" s="8">
        <v>45288</v>
      </c>
      <c r="B6263" s="9">
        <v>12.47</v>
      </c>
    </row>
    <row r="6264" spans="1:2" x14ac:dyDescent="0.25">
      <c r="A6264" s="8">
        <v>45289</v>
      </c>
      <c r="B6264" s="9">
        <v>12.45</v>
      </c>
    </row>
    <row r="6265" spans="1:2" x14ac:dyDescent="0.25">
      <c r="A6265" s="8">
        <v>45292</v>
      </c>
    </row>
    <row r="6266" spans="1:2" x14ac:dyDescent="0.25">
      <c r="A6266" s="8">
        <v>45293</v>
      </c>
      <c r="B6266" s="9">
        <v>13.2</v>
      </c>
    </row>
    <row r="6267" spans="1:2" x14ac:dyDescent="0.25">
      <c r="A6267" s="8">
        <v>45294</v>
      </c>
      <c r="B6267" s="9">
        <v>14.04</v>
      </c>
    </row>
    <row r="6268" spans="1:2" x14ac:dyDescent="0.25">
      <c r="A6268" s="8">
        <v>45295</v>
      </c>
      <c r="B6268" s="9">
        <v>14.13</v>
      </c>
    </row>
    <row r="6269" spans="1:2" x14ac:dyDescent="0.25">
      <c r="A6269" s="8">
        <v>45296</v>
      </c>
      <c r="B6269" s="9">
        <v>13.35</v>
      </c>
    </row>
    <row r="6270" spans="1:2" x14ac:dyDescent="0.25">
      <c r="A6270" s="8">
        <v>45299</v>
      </c>
      <c r="B6270" s="9">
        <v>13.08</v>
      </c>
    </row>
    <row r="6271" spans="1:2" x14ac:dyDescent="0.25">
      <c r="A6271" s="8">
        <v>45300</v>
      </c>
      <c r="B6271" s="9">
        <v>12.76</v>
      </c>
    </row>
    <row r="6272" spans="1:2" x14ac:dyDescent="0.25">
      <c r="A6272" s="8">
        <v>45301</v>
      </c>
      <c r="B6272" s="9">
        <v>12.69</v>
      </c>
    </row>
    <row r="6273" spans="1:2" x14ac:dyDescent="0.25">
      <c r="A6273" s="8">
        <v>45302</v>
      </c>
      <c r="B6273" s="9">
        <v>12.44</v>
      </c>
    </row>
    <row r="6274" spans="1:2" x14ac:dyDescent="0.25">
      <c r="A6274" s="8">
        <v>45303</v>
      </c>
      <c r="B6274" s="9">
        <v>12.7</v>
      </c>
    </row>
    <row r="6275" spans="1:2" x14ac:dyDescent="0.25">
      <c r="A6275" s="8">
        <v>45306</v>
      </c>
      <c r="B6275" s="9">
        <v>13.25</v>
      </c>
    </row>
    <row r="6276" spans="1:2" x14ac:dyDescent="0.25">
      <c r="A6276" s="8">
        <v>45307</v>
      </c>
      <c r="B6276" s="9">
        <v>13.84</v>
      </c>
    </row>
    <row r="6277" spans="1:2" x14ac:dyDescent="0.25">
      <c r="A6277" s="8">
        <v>45308</v>
      </c>
      <c r="B6277" s="9">
        <v>14.79</v>
      </c>
    </row>
    <row r="6278" spans="1:2" x14ac:dyDescent="0.25">
      <c r="A6278" s="8">
        <v>45309</v>
      </c>
      <c r="B6278" s="9">
        <v>14.13</v>
      </c>
    </row>
    <row r="6279" spans="1:2" x14ac:dyDescent="0.25">
      <c r="A6279" s="8">
        <v>45310</v>
      </c>
      <c r="B6279" s="9">
        <v>13.3</v>
      </c>
    </row>
    <row r="6280" spans="1:2" x14ac:dyDescent="0.25">
      <c r="A6280" s="8">
        <v>45313</v>
      </c>
      <c r="B6280" s="9">
        <v>13.19</v>
      </c>
    </row>
    <row r="6281" spans="1:2" x14ac:dyDescent="0.25">
      <c r="A6281" s="8">
        <v>45314</v>
      </c>
      <c r="B6281" s="9">
        <v>12.55</v>
      </c>
    </row>
    <row r="6282" spans="1:2" x14ac:dyDescent="0.25">
      <c r="A6282" s="8">
        <v>45315</v>
      </c>
      <c r="B6282" s="9">
        <v>13.14</v>
      </c>
    </row>
    <row r="6283" spans="1:2" x14ac:dyDescent="0.25">
      <c r="A6283" s="8">
        <v>45316</v>
      </c>
      <c r="B6283" s="9">
        <v>13.45</v>
      </c>
    </row>
    <row r="6284" spans="1:2" x14ac:dyDescent="0.25">
      <c r="A6284" s="8">
        <v>45317</v>
      </c>
      <c r="B6284" s="9">
        <v>13.26</v>
      </c>
    </row>
    <row r="6285" spans="1:2" x14ac:dyDescent="0.25">
      <c r="A6285" s="8">
        <v>45320</v>
      </c>
      <c r="B6285" s="9">
        <v>13.6</v>
      </c>
    </row>
    <row r="6286" spans="1:2" x14ac:dyDescent="0.25">
      <c r="A6286" s="8">
        <v>45321</v>
      </c>
      <c r="B6286" s="9">
        <v>13.31</v>
      </c>
    </row>
    <row r="6287" spans="1:2" x14ac:dyDescent="0.25">
      <c r="A6287" s="8">
        <v>45322</v>
      </c>
      <c r="B6287" s="9">
        <v>14.35</v>
      </c>
    </row>
    <row r="6288" spans="1:2" x14ac:dyDescent="0.25">
      <c r="A6288" s="8">
        <v>45323</v>
      </c>
      <c r="B6288" s="9">
        <v>13.88</v>
      </c>
    </row>
    <row r="6289" spans="1:2" x14ac:dyDescent="0.25">
      <c r="A6289" s="8">
        <v>45324</v>
      </c>
      <c r="B6289" s="9">
        <v>13.85</v>
      </c>
    </row>
    <row r="6290" spans="1:2" x14ac:dyDescent="0.25">
      <c r="A6290" s="8">
        <v>45327</v>
      </c>
      <c r="B6290" s="9">
        <v>13.67</v>
      </c>
    </row>
    <row r="6291" spans="1:2" x14ac:dyDescent="0.25">
      <c r="A6291" s="8">
        <v>45328</v>
      </c>
      <c r="B6291" s="9">
        <v>13.06</v>
      </c>
    </row>
    <row r="6292" spans="1:2" x14ac:dyDescent="0.25">
      <c r="A6292" s="8">
        <v>45329</v>
      </c>
      <c r="B6292" s="9">
        <v>12.83</v>
      </c>
    </row>
    <row r="6293" spans="1:2" x14ac:dyDescent="0.25">
      <c r="A6293" s="8">
        <v>45330</v>
      </c>
      <c r="B6293" s="9">
        <v>12.79</v>
      </c>
    </row>
    <row r="6294" spans="1:2" x14ac:dyDescent="0.25">
      <c r="A6294" s="8">
        <v>45331</v>
      </c>
      <c r="B6294" s="9">
        <v>12.93</v>
      </c>
    </row>
    <row r="6295" spans="1:2" x14ac:dyDescent="0.25">
      <c r="A6295" s="8">
        <v>45334</v>
      </c>
      <c r="B6295" s="9">
        <v>13.93</v>
      </c>
    </row>
    <row r="6296" spans="1:2" x14ac:dyDescent="0.25">
      <c r="A6296" s="8">
        <v>45335</v>
      </c>
      <c r="B6296" s="9">
        <v>15.85</v>
      </c>
    </row>
    <row r="6297" spans="1:2" x14ac:dyDescent="0.25">
      <c r="A6297" s="8">
        <v>45336</v>
      </c>
      <c r="B6297" s="9">
        <v>14.38</v>
      </c>
    </row>
    <row r="6298" spans="1:2" x14ac:dyDescent="0.25">
      <c r="A6298" s="8">
        <v>45337</v>
      </c>
      <c r="B6298" s="9">
        <v>14.01</v>
      </c>
    </row>
    <row r="6299" spans="1:2" x14ac:dyDescent="0.25">
      <c r="A6299" s="8">
        <v>45338</v>
      </c>
      <c r="B6299" s="9">
        <v>14.24</v>
      </c>
    </row>
    <row r="6300" spans="1:2" x14ac:dyDescent="0.25">
      <c r="A6300" s="8">
        <v>45341</v>
      </c>
      <c r="B6300" s="9">
        <v>14.71</v>
      </c>
    </row>
    <row r="6301" spans="1:2" x14ac:dyDescent="0.25">
      <c r="A6301" s="8">
        <v>45342</v>
      </c>
      <c r="B6301" s="9">
        <v>15.42</v>
      </c>
    </row>
    <row r="6302" spans="1:2" x14ac:dyDescent="0.25">
      <c r="A6302" s="8">
        <v>45343</v>
      </c>
      <c r="B6302" s="9">
        <v>15.34</v>
      </c>
    </row>
    <row r="6303" spans="1:2" x14ac:dyDescent="0.25">
      <c r="A6303" s="8">
        <v>45344</v>
      </c>
      <c r="B6303" s="9">
        <v>14.54</v>
      </c>
    </row>
    <row r="6304" spans="1:2" x14ac:dyDescent="0.25">
      <c r="A6304" s="8">
        <v>45345</v>
      </c>
      <c r="B6304" s="9">
        <v>13.75</v>
      </c>
    </row>
    <row r="6305" spans="1:2" x14ac:dyDescent="0.25">
      <c r="A6305" s="8">
        <v>45348</v>
      </c>
      <c r="B6305" s="9">
        <v>13.74</v>
      </c>
    </row>
    <row r="6306" spans="1:2" x14ac:dyDescent="0.25">
      <c r="A6306" s="8">
        <v>45349</v>
      </c>
      <c r="B6306" s="9">
        <v>13.43</v>
      </c>
    </row>
    <row r="6307" spans="1:2" x14ac:dyDescent="0.25">
      <c r="A6307" s="8">
        <v>45350</v>
      </c>
      <c r="B6307" s="9">
        <v>13.84</v>
      </c>
    </row>
    <row r="6308" spans="1:2" x14ac:dyDescent="0.25">
      <c r="A6308" s="8">
        <v>45351</v>
      </c>
      <c r="B6308" s="9">
        <v>13.4</v>
      </c>
    </row>
    <row r="6309" spans="1:2" x14ac:dyDescent="0.25">
      <c r="A6309" s="8">
        <v>45352</v>
      </c>
      <c r="B6309" s="9">
        <v>13.11</v>
      </c>
    </row>
    <row r="6310" spans="1:2" x14ac:dyDescent="0.25">
      <c r="A6310" s="8">
        <v>45355</v>
      </c>
      <c r="B6310" s="9">
        <v>13.49</v>
      </c>
    </row>
    <row r="6311" spans="1:2" x14ac:dyDescent="0.25">
      <c r="A6311" s="8">
        <v>45356</v>
      </c>
      <c r="B6311" s="9">
        <v>14.46</v>
      </c>
    </row>
    <row r="6312" spans="1:2" x14ac:dyDescent="0.25">
      <c r="A6312" s="8">
        <v>45357</v>
      </c>
      <c r="B6312" s="9">
        <v>14.5</v>
      </c>
    </row>
    <row r="6313" spans="1:2" x14ac:dyDescent="0.25">
      <c r="A6313" s="8">
        <v>45358</v>
      </c>
      <c r="B6313" s="9">
        <v>14.44</v>
      </c>
    </row>
    <row r="6314" spans="1:2" x14ac:dyDescent="0.25">
      <c r="A6314" s="8">
        <v>45359</v>
      </c>
      <c r="B6314" s="9">
        <v>14.74</v>
      </c>
    </row>
    <row r="6315" spans="1:2" x14ac:dyDescent="0.25">
      <c r="A6315" s="8">
        <v>45362</v>
      </c>
      <c r="B6315" s="9">
        <v>15.22</v>
      </c>
    </row>
    <row r="6316" spans="1:2" x14ac:dyDescent="0.25">
      <c r="A6316" s="8">
        <v>45363</v>
      </c>
      <c r="B6316" s="9">
        <v>13.84</v>
      </c>
    </row>
    <row r="6317" spans="1:2" x14ac:dyDescent="0.25">
      <c r="A6317" s="8">
        <v>45364</v>
      </c>
      <c r="B6317" s="9">
        <v>13.75</v>
      </c>
    </row>
    <row r="6318" spans="1:2" x14ac:dyDescent="0.25">
      <c r="A6318" s="8">
        <v>45365</v>
      </c>
      <c r="B6318" s="9">
        <v>14.4</v>
      </c>
    </row>
    <row r="6319" spans="1:2" x14ac:dyDescent="0.25">
      <c r="A6319" s="8">
        <v>45366</v>
      </c>
      <c r="B6319" s="9">
        <v>14.41</v>
      </c>
    </row>
    <row r="6320" spans="1:2" x14ac:dyDescent="0.25">
      <c r="A6320" s="8">
        <v>45369</v>
      </c>
      <c r="B6320" s="9">
        <v>14.33</v>
      </c>
    </row>
    <row r="6321" spans="1:2" x14ac:dyDescent="0.25">
      <c r="A6321" s="8">
        <v>45370</v>
      </c>
      <c r="B6321" s="9">
        <v>13.82</v>
      </c>
    </row>
    <row r="6322" spans="1:2" x14ac:dyDescent="0.25">
      <c r="A6322" s="8">
        <v>45371</v>
      </c>
      <c r="B6322" s="9">
        <v>13.04</v>
      </c>
    </row>
    <row r="6323" spans="1:2" x14ac:dyDescent="0.25">
      <c r="A6323" s="8">
        <v>45372</v>
      </c>
      <c r="B6323" s="9">
        <v>12.92</v>
      </c>
    </row>
    <row r="6324" spans="1:2" x14ac:dyDescent="0.25">
      <c r="A6324" s="8">
        <v>45373</v>
      </c>
      <c r="B6324" s="9">
        <v>13.06</v>
      </c>
    </row>
    <row r="6325" spans="1:2" x14ac:dyDescent="0.25">
      <c r="A6325" s="8">
        <v>45376</v>
      </c>
      <c r="B6325" s="9">
        <v>13.19</v>
      </c>
    </row>
    <row r="6326" spans="1:2" x14ac:dyDescent="0.25">
      <c r="A6326" s="8">
        <v>45377</v>
      </c>
      <c r="B6326" s="9">
        <v>13.24</v>
      </c>
    </row>
    <row r="6327" spans="1:2" x14ac:dyDescent="0.25">
      <c r="A6327" s="8">
        <v>45378</v>
      </c>
      <c r="B6327" s="9">
        <v>12.78</v>
      </c>
    </row>
    <row r="6328" spans="1:2" x14ac:dyDescent="0.25">
      <c r="A6328" s="8">
        <v>45379</v>
      </c>
      <c r="B6328" s="9">
        <v>13.01</v>
      </c>
    </row>
    <row r="6329" spans="1:2" x14ac:dyDescent="0.25">
      <c r="A6329" s="8">
        <v>45380</v>
      </c>
    </row>
    <row r="6330" spans="1:2" x14ac:dyDescent="0.25">
      <c r="A6330" s="8">
        <v>45383</v>
      </c>
      <c r="B6330" s="9">
        <v>13.65</v>
      </c>
    </row>
    <row r="6331" spans="1:2" x14ac:dyDescent="0.25">
      <c r="A6331" s="8">
        <v>45384</v>
      </c>
      <c r="B6331" s="9">
        <v>14.61</v>
      </c>
    </row>
    <row r="6332" spans="1:2" x14ac:dyDescent="0.25">
      <c r="A6332" s="8">
        <v>45385</v>
      </c>
      <c r="B6332" s="9">
        <v>14.33</v>
      </c>
    </row>
    <row r="6333" spans="1:2" x14ac:dyDescent="0.25">
      <c r="A6333" s="8">
        <v>45386</v>
      </c>
      <c r="B6333" s="9">
        <v>16.350000000000001</v>
      </c>
    </row>
    <row r="6334" spans="1:2" x14ac:dyDescent="0.25">
      <c r="A6334" s="8">
        <v>45387</v>
      </c>
      <c r="B6334" s="9">
        <v>16.03</v>
      </c>
    </row>
    <row r="6335" spans="1:2" x14ac:dyDescent="0.25">
      <c r="A6335" s="8">
        <v>45390</v>
      </c>
      <c r="B6335" s="9">
        <v>15.19</v>
      </c>
    </row>
    <row r="6336" spans="1:2" x14ac:dyDescent="0.25">
      <c r="A6336" s="8">
        <v>45391</v>
      </c>
      <c r="B6336" s="9">
        <v>14.98</v>
      </c>
    </row>
    <row r="6337" spans="1:2" x14ac:dyDescent="0.25">
      <c r="A6337" s="8">
        <v>45392</v>
      </c>
      <c r="B6337" s="9">
        <v>15.8</v>
      </c>
    </row>
    <row r="6338" spans="1:2" x14ac:dyDescent="0.25">
      <c r="A6338" s="8">
        <v>45393</v>
      </c>
      <c r="B6338" s="9">
        <v>14.91</v>
      </c>
    </row>
    <row r="6339" spans="1:2" x14ac:dyDescent="0.25">
      <c r="A6339" s="8">
        <v>45394</v>
      </c>
      <c r="B6339" s="9">
        <v>17.309999999999999</v>
      </c>
    </row>
    <row r="6340" spans="1:2" x14ac:dyDescent="0.25">
      <c r="A6340" s="8">
        <v>45397</v>
      </c>
      <c r="B6340" s="9">
        <v>19.23</v>
      </c>
    </row>
    <row r="6341" spans="1:2" x14ac:dyDescent="0.25">
      <c r="A6341" s="8">
        <v>45398</v>
      </c>
      <c r="B6341" s="9">
        <v>18.399999999999999</v>
      </c>
    </row>
    <row r="6342" spans="1:2" x14ac:dyDescent="0.25">
      <c r="A6342" s="8">
        <v>45399</v>
      </c>
      <c r="B6342" s="9">
        <v>18.21</v>
      </c>
    </row>
    <row r="6343" spans="1:2" x14ac:dyDescent="0.25">
      <c r="A6343" s="8">
        <v>45400</v>
      </c>
      <c r="B6343" s="9">
        <v>18</v>
      </c>
    </row>
    <row r="6344" spans="1:2" x14ac:dyDescent="0.25">
      <c r="A6344" s="8">
        <v>45401</v>
      </c>
      <c r="B6344" s="9">
        <v>18.71</v>
      </c>
    </row>
    <row r="6345" spans="1:2" x14ac:dyDescent="0.25">
      <c r="A6345" s="8">
        <v>45404</v>
      </c>
      <c r="B6345" s="9">
        <v>16.940000000000001</v>
      </c>
    </row>
    <row r="6346" spans="1:2" x14ac:dyDescent="0.25">
      <c r="A6346" s="8">
        <v>45405</v>
      </c>
      <c r="B6346" s="9">
        <v>15.69</v>
      </c>
    </row>
    <row r="6347" spans="1:2" x14ac:dyDescent="0.25">
      <c r="A6347" s="8">
        <v>45406</v>
      </c>
      <c r="B6347" s="9">
        <v>15.97</v>
      </c>
    </row>
    <row r="6348" spans="1:2" x14ac:dyDescent="0.25">
      <c r="A6348" s="8">
        <v>45407</v>
      </c>
      <c r="B6348" s="9">
        <v>15.37</v>
      </c>
    </row>
    <row r="6349" spans="1:2" x14ac:dyDescent="0.25">
      <c r="A6349" s="8">
        <v>45408</v>
      </c>
      <c r="B6349" s="9">
        <v>15.03</v>
      </c>
    </row>
    <row r="6350" spans="1:2" x14ac:dyDescent="0.25">
      <c r="A6350" s="8">
        <v>45411</v>
      </c>
      <c r="B6350" s="9">
        <v>14.67</v>
      </c>
    </row>
    <row r="6351" spans="1:2" x14ac:dyDescent="0.25">
      <c r="A6351" s="8">
        <v>45412</v>
      </c>
      <c r="B6351" s="9">
        <v>15.65</v>
      </c>
    </row>
    <row r="6352" spans="1:2" x14ac:dyDescent="0.25">
      <c r="A6352" s="8">
        <v>45413</v>
      </c>
      <c r="B6352" s="9">
        <v>15.39</v>
      </c>
    </row>
    <row r="6353" spans="1:2" x14ac:dyDescent="0.25">
      <c r="A6353" s="8">
        <v>45414</v>
      </c>
      <c r="B6353" s="9">
        <v>14.68</v>
      </c>
    </row>
    <row r="6354" spans="1:2" x14ac:dyDescent="0.25">
      <c r="A6354" s="8">
        <v>45415</v>
      </c>
      <c r="B6354" s="9">
        <v>13.49</v>
      </c>
    </row>
    <row r="6355" spans="1:2" x14ac:dyDescent="0.25">
      <c r="A6355" s="8">
        <v>45418</v>
      </c>
      <c r="B6355" s="9">
        <v>13.49</v>
      </c>
    </row>
    <row r="6356" spans="1:2" x14ac:dyDescent="0.25">
      <c r="A6356" s="8">
        <v>45419</v>
      </c>
      <c r="B6356" s="9">
        <v>13.23</v>
      </c>
    </row>
    <row r="6357" spans="1:2" x14ac:dyDescent="0.25">
      <c r="A6357" s="8">
        <v>45420</v>
      </c>
      <c r="B6357" s="9">
        <v>13</v>
      </c>
    </row>
    <row r="6358" spans="1:2" x14ac:dyDescent="0.25">
      <c r="A6358" s="8">
        <v>45421</v>
      </c>
      <c r="B6358" s="9">
        <v>12.69</v>
      </c>
    </row>
    <row r="6359" spans="1:2" x14ac:dyDescent="0.25">
      <c r="A6359" s="8">
        <v>45422</v>
      </c>
      <c r="B6359" s="9">
        <v>12.55</v>
      </c>
    </row>
    <row r="6360" spans="1:2" x14ac:dyDescent="0.25">
      <c r="A6360" s="8">
        <v>45425</v>
      </c>
      <c r="B6360" s="9">
        <v>13.6</v>
      </c>
    </row>
    <row r="6361" spans="1:2" x14ac:dyDescent="0.25">
      <c r="A6361" s="8">
        <v>45426</v>
      </c>
      <c r="B6361" s="9">
        <v>13.42</v>
      </c>
    </row>
    <row r="6362" spans="1:2" x14ac:dyDescent="0.25">
      <c r="A6362" s="8">
        <v>45427</v>
      </c>
      <c r="B6362" s="9">
        <v>12.45</v>
      </c>
    </row>
    <row r="6363" spans="1:2" x14ac:dyDescent="0.25">
      <c r="A6363" s="8">
        <v>45428</v>
      </c>
      <c r="B6363" s="9">
        <v>12.42</v>
      </c>
    </row>
    <row r="6364" spans="1:2" x14ac:dyDescent="0.25">
      <c r="A6364" s="8">
        <v>45429</v>
      </c>
      <c r="B6364" s="9">
        <v>11.99</v>
      </c>
    </row>
    <row r="6365" spans="1:2" x14ac:dyDescent="0.25">
      <c r="A6365" s="8">
        <v>45432</v>
      </c>
      <c r="B6365" s="9">
        <v>12.15</v>
      </c>
    </row>
    <row r="6366" spans="1:2" x14ac:dyDescent="0.25">
      <c r="A6366" s="8">
        <v>45433</v>
      </c>
      <c r="B6366" s="9">
        <v>11.86</v>
      </c>
    </row>
    <row r="6367" spans="1:2" x14ac:dyDescent="0.25">
      <c r="A6367" s="8">
        <v>45434</v>
      </c>
      <c r="B6367" s="9">
        <v>12.29</v>
      </c>
    </row>
    <row r="6368" spans="1:2" x14ac:dyDescent="0.25">
      <c r="A6368" s="8">
        <v>45435</v>
      </c>
      <c r="B6368" s="9">
        <v>12.77</v>
      </c>
    </row>
    <row r="6369" spans="1:2" x14ac:dyDescent="0.25">
      <c r="A6369" s="8">
        <v>45436</v>
      </c>
      <c r="B6369" s="9">
        <v>11.93</v>
      </c>
    </row>
    <row r="6370" spans="1:2" x14ac:dyDescent="0.25">
      <c r="A6370" s="8">
        <v>45439</v>
      </c>
      <c r="B6370" s="9">
        <v>12.36</v>
      </c>
    </row>
    <row r="6371" spans="1:2" x14ac:dyDescent="0.25">
      <c r="A6371" s="8">
        <v>45440</v>
      </c>
      <c r="B6371" s="9">
        <v>12.92</v>
      </c>
    </row>
    <row r="6372" spans="1:2" x14ac:dyDescent="0.25">
      <c r="A6372" s="8">
        <v>45441</v>
      </c>
      <c r="B6372" s="9">
        <v>14.28</v>
      </c>
    </row>
    <row r="6373" spans="1:2" x14ac:dyDescent="0.25">
      <c r="A6373" s="8">
        <v>45442</v>
      </c>
      <c r="B6373" s="9">
        <v>14.47</v>
      </c>
    </row>
    <row r="6374" spans="1:2" x14ac:dyDescent="0.25">
      <c r="A6374" s="8">
        <v>45443</v>
      </c>
      <c r="B6374" s="9">
        <v>12.92</v>
      </c>
    </row>
    <row r="6375" spans="1:2" x14ac:dyDescent="0.25">
      <c r="A6375" s="8">
        <v>45446</v>
      </c>
      <c r="B6375" s="9">
        <v>13.11</v>
      </c>
    </row>
    <row r="6376" spans="1:2" x14ac:dyDescent="0.25">
      <c r="A6376" s="8">
        <v>45447</v>
      </c>
      <c r="B6376" s="9">
        <v>13.16</v>
      </c>
    </row>
    <row r="6377" spans="1:2" x14ac:dyDescent="0.25">
      <c r="A6377" s="8">
        <v>45448</v>
      </c>
      <c r="B6377" s="9">
        <v>12.63</v>
      </c>
    </row>
    <row r="6378" spans="1:2" x14ac:dyDescent="0.25">
      <c r="A6378" s="8">
        <v>45449</v>
      </c>
      <c r="B6378" s="9">
        <v>12.58</v>
      </c>
    </row>
    <row r="6379" spans="1:2" x14ac:dyDescent="0.25">
      <c r="A6379" s="8">
        <v>45450</v>
      </c>
      <c r="B6379" s="9">
        <v>12.22</v>
      </c>
    </row>
    <row r="6380" spans="1:2" x14ac:dyDescent="0.25">
      <c r="A6380" s="8">
        <v>45453</v>
      </c>
      <c r="B6380" s="9">
        <v>12.74</v>
      </c>
    </row>
    <row r="6381" spans="1:2" x14ac:dyDescent="0.25">
      <c r="A6381" s="8">
        <v>45454</v>
      </c>
      <c r="B6381" s="9">
        <v>12.85</v>
      </c>
    </row>
    <row r="6382" spans="1:2" x14ac:dyDescent="0.25">
      <c r="A6382" s="8">
        <v>45455</v>
      </c>
      <c r="B6382" s="9">
        <v>12.04</v>
      </c>
    </row>
    <row r="6383" spans="1:2" x14ac:dyDescent="0.25">
      <c r="A6383" s="8">
        <v>45456</v>
      </c>
      <c r="B6383" s="9">
        <v>11.94</v>
      </c>
    </row>
    <row r="6384" spans="1:2" x14ac:dyDescent="0.25">
      <c r="A6384" s="8">
        <v>45457</v>
      </c>
      <c r="B6384" s="9">
        <v>12.66</v>
      </c>
    </row>
    <row r="6385" spans="1:2" x14ac:dyDescent="0.25">
      <c r="A6385" s="8">
        <v>45460</v>
      </c>
      <c r="B6385" s="9">
        <v>12.75</v>
      </c>
    </row>
    <row r="6386" spans="1:2" x14ac:dyDescent="0.25">
      <c r="A6386" s="8">
        <v>45461</v>
      </c>
      <c r="B6386" s="9">
        <v>12.3</v>
      </c>
    </row>
    <row r="6387" spans="1:2" x14ac:dyDescent="0.25">
      <c r="A6387" s="8">
        <v>45462</v>
      </c>
      <c r="B6387" s="9">
        <v>12.48</v>
      </c>
    </row>
    <row r="6388" spans="1:2" x14ac:dyDescent="0.25">
      <c r="A6388" s="8">
        <v>45463</v>
      </c>
      <c r="B6388" s="9">
        <v>13.28</v>
      </c>
    </row>
    <row r="6389" spans="1:2" x14ac:dyDescent="0.25">
      <c r="A6389" s="8">
        <v>45464</v>
      </c>
      <c r="B6389" s="9">
        <v>13.2</v>
      </c>
    </row>
    <row r="6390" spans="1:2" x14ac:dyDescent="0.25">
      <c r="A6390" s="8">
        <v>45467</v>
      </c>
      <c r="B6390" s="9">
        <v>13.33</v>
      </c>
    </row>
    <row r="6391" spans="1:2" x14ac:dyDescent="0.25">
      <c r="A6391" s="8">
        <v>45468</v>
      </c>
      <c r="B6391" s="9">
        <v>12.84</v>
      </c>
    </row>
    <row r="6392" spans="1:2" x14ac:dyDescent="0.25">
      <c r="A6392" s="8">
        <v>45469</v>
      </c>
      <c r="B6392" s="9">
        <v>12.55</v>
      </c>
    </row>
    <row r="6393" spans="1:2" x14ac:dyDescent="0.25">
      <c r="A6393" s="8">
        <v>45470</v>
      </c>
      <c r="B6393" s="9">
        <v>12.24</v>
      </c>
    </row>
    <row r="6394" spans="1:2" x14ac:dyDescent="0.25">
      <c r="A6394" s="8">
        <v>45471</v>
      </c>
      <c r="B6394" s="9">
        <v>12.44</v>
      </c>
    </row>
    <row r="6395" spans="1:2" x14ac:dyDescent="0.25">
      <c r="A6395" s="8">
        <v>45474</v>
      </c>
      <c r="B6395" s="9">
        <v>12.22</v>
      </c>
    </row>
    <row r="6396" spans="1:2" x14ac:dyDescent="0.25">
      <c r="A6396" s="8">
        <v>45475</v>
      </c>
      <c r="B6396" s="9">
        <v>12.03</v>
      </c>
    </row>
    <row r="6397" spans="1:2" x14ac:dyDescent="0.25">
      <c r="A6397" s="8">
        <v>45476</v>
      </c>
      <c r="B6397" s="9">
        <v>12.09</v>
      </c>
    </row>
    <row r="6398" spans="1:2" x14ac:dyDescent="0.25">
      <c r="A6398" s="8">
        <v>45477</v>
      </c>
      <c r="B6398" s="9">
        <v>12.26</v>
      </c>
    </row>
    <row r="6399" spans="1:2" x14ac:dyDescent="0.25">
      <c r="A6399" s="8">
        <v>45478</v>
      </c>
      <c r="B6399" s="9">
        <v>12.48</v>
      </c>
    </row>
    <row r="6400" spans="1:2" x14ac:dyDescent="0.25">
      <c r="A6400" s="8">
        <v>45481</v>
      </c>
      <c r="B6400" s="9">
        <v>12.37</v>
      </c>
    </row>
    <row r="6401" spans="1:2" x14ac:dyDescent="0.25">
      <c r="A6401" s="8">
        <v>45482</v>
      </c>
      <c r="B6401" s="9">
        <v>12.51</v>
      </c>
    </row>
    <row r="6402" spans="1:2" x14ac:dyDescent="0.25">
      <c r="A6402" s="8">
        <v>45483</v>
      </c>
      <c r="B6402" s="9">
        <v>12.85</v>
      </c>
    </row>
    <row r="6403" spans="1:2" x14ac:dyDescent="0.25">
      <c r="A6403" s="8">
        <v>45484</v>
      </c>
      <c r="B6403" s="9">
        <v>12.92</v>
      </c>
    </row>
    <row r="6404" spans="1:2" x14ac:dyDescent="0.25">
      <c r="A6404" s="8">
        <v>45485</v>
      </c>
      <c r="B6404" s="9">
        <v>12.46</v>
      </c>
    </row>
    <row r="6405" spans="1:2" x14ac:dyDescent="0.25">
      <c r="A6405" s="8">
        <v>45488</v>
      </c>
      <c r="B6405" s="9">
        <v>13.12</v>
      </c>
    </row>
    <row r="6406" spans="1:2" x14ac:dyDescent="0.25">
      <c r="A6406" s="8">
        <v>45489</v>
      </c>
      <c r="B6406" s="9">
        <v>13.19</v>
      </c>
    </row>
    <row r="6407" spans="1:2" x14ac:dyDescent="0.25">
      <c r="A6407" s="8">
        <v>45490</v>
      </c>
      <c r="B6407" s="9">
        <v>14.48</v>
      </c>
    </row>
    <row r="6408" spans="1:2" x14ac:dyDescent="0.25">
      <c r="A6408" s="8">
        <v>45491</v>
      </c>
      <c r="B6408" s="9">
        <v>15.93</v>
      </c>
    </row>
    <row r="6409" spans="1:2" x14ac:dyDescent="0.25">
      <c r="A6409" s="8">
        <v>45492</v>
      </c>
      <c r="B6409" s="9">
        <v>16.52</v>
      </c>
    </row>
    <row r="6410" spans="1:2" x14ac:dyDescent="0.25">
      <c r="A6410" s="8">
        <v>45495</v>
      </c>
      <c r="B6410" s="9">
        <v>14.91</v>
      </c>
    </row>
    <row r="6411" spans="1:2" x14ac:dyDescent="0.25">
      <c r="A6411" s="8">
        <v>45496</v>
      </c>
      <c r="B6411" s="9">
        <v>14.72</v>
      </c>
    </row>
    <row r="6412" spans="1:2" x14ac:dyDescent="0.25">
      <c r="A6412" s="8">
        <v>45497</v>
      </c>
      <c r="B6412" s="9">
        <v>18.04</v>
      </c>
    </row>
    <row r="6413" spans="1:2" x14ac:dyDescent="0.25">
      <c r="A6413" s="8">
        <v>45498</v>
      </c>
      <c r="B6413" s="9">
        <v>18.46</v>
      </c>
    </row>
    <row r="6414" spans="1:2" x14ac:dyDescent="0.25">
      <c r="A6414" s="8">
        <v>45499</v>
      </c>
      <c r="B6414" s="9">
        <v>16.39</v>
      </c>
    </row>
    <row r="6415" spans="1:2" x14ac:dyDescent="0.25">
      <c r="A6415" s="8">
        <v>45502</v>
      </c>
      <c r="B6415" s="9">
        <v>16.600000000000001</v>
      </c>
    </row>
    <row r="6416" spans="1:2" x14ac:dyDescent="0.25">
      <c r="A6416" s="8">
        <v>45503</v>
      </c>
      <c r="B6416" s="9">
        <v>17.690000000000001</v>
      </c>
    </row>
    <row r="6417" spans="1:2" x14ac:dyDescent="0.25">
      <c r="A6417" s="8">
        <v>45504</v>
      </c>
      <c r="B6417" s="9">
        <v>16.36</v>
      </c>
    </row>
    <row r="6418" spans="1:2" x14ac:dyDescent="0.25">
      <c r="A6418" s="8">
        <v>45505</v>
      </c>
      <c r="B6418" s="9">
        <v>18.59</v>
      </c>
    </row>
    <row r="6419" spans="1:2" x14ac:dyDescent="0.25">
      <c r="A6419" s="8">
        <v>45506</v>
      </c>
      <c r="B6419" s="9">
        <v>23.39</v>
      </c>
    </row>
    <row r="6420" spans="1:2" x14ac:dyDescent="0.25">
      <c r="A6420" s="8">
        <v>45509</v>
      </c>
      <c r="B6420" s="9">
        <v>38.57</v>
      </c>
    </row>
    <row r="6421" spans="1:2" x14ac:dyDescent="0.25">
      <c r="A6421" s="8">
        <v>45510</v>
      </c>
      <c r="B6421" s="9">
        <v>27.71</v>
      </c>
    </row>
    <row r="6422" spans="1:2" x14ac:dyDescent="0.25">
      <c r="A6422" s="8">
        <v>45511</v>
      </c>
      <c r="B6422" s="9">
        <v>27.85</v>
      </c>
    </row>
    <row r="6423" spans="1:2" x14ac:dyDescent="0.25">
      <c r="A6423" s="8">
        <v>45512</v>
      </c>
      <c r="B6423" s="9">
        <v>23.79</v>
      </c>
    </row>
    <row r="6424" spans="1:2" x14ac:dyDescent="0.25">
      <c r="A6424" s="8">
        <v>45513</v>
      </c>
      <c r="B6424" s="9">
        <v>20.37</v>
      </c>
    </row>
    <row r="6425" spans="1:2" x14ac:dyDescent="0.25">
      <c r="A6425" s="8">
        <v>45516</v>
      </c>
      <c r="B6425" s="9">
        <v>20.71</v>
      </c>
    </row>
    <row r="6426" spans="1:2" x14ac:dyDescent="0.25">
      <c r="A6426" s="8">
        <v>45517</v>
      </c>
      <c r="B6426" s="9">
        <v>18.12</v>
      </c>
    </row>
    <row r="6427" spans="1:2" x14ac:dyDescent="0.25">
      <c r="A6427" s="8">
        <v>45518</v>
      </c>
      <c r="B6427" s="9">
        <v>16.190000000000001</v>
      </c>
    </row>
    <row r="6428" spans="1:2" x14ac:dyDescent="0.25">
      <c r="A6428" s="8">
        <v>45519</v>
      </c>
      <c r="B6428" s="9">
        <v>15.23</v>
      </c>
    </row>
    <row r="6429" spans="1:2" x14ac:dyDescent="0.25">
      <c r="A6429" s="8">
        <v>45520</v>
      </c>
      <c r="B6429" s="9">
        <v>14.8</v>
      </c>
    </row>
    <row r="6430" spans="1:2" x14ac:dyDescent="0.25">
      <c r="A6430" s="8">
        <v>45523</v>
      </c>
      <c r="B6430" s="9">
        <v>14.65</v>
      </c>
    </row>
    <row r="6431" spans="1:2" x14ac:dyDescent="0.25">
      <c r="A6431" s="8">
        <v>45524</v>
      </c>
      <c r="B6431" s="9">
        <v>15.88</v>
      </c>
    </row>
    <row r="6432" spans="1:2" x14ac:dyDescent="0.25">
      <c r="A6432" s="8">
        <v>45525</v>
      </c>
      <c r="B6432" s="9">
        <v>16.27</v>
      </c>
    </row>
    <row r="6433" spans="1:2" x14ac:dyDescent="0.25">
      <c r="A6433" s="8">
        <v>45526</v>
      </c>
      <c r="B6433" s="9">
        <v>17.55</v>
      </c>
    </row>
    <row r="6434" spans="1:2" x14ac:dyDescent="0.25">
      <c r="A6434" s="8">
        <v>45527</v>
      </c>
      <c r="B6434" s="9">
        <v>15.86</v>
      </c>
    </row>
    <row r="6435" spans="1:2" x14ac:dyDescent="0.25">
      <c r="A6435" s="8">
        <v>45530</v>
      </c>
      <c r="B6435" s="9">
        <v>16.149999999999999</v>
      </c>
    </row>
    <row r="6436" spans="1:2" x14ac:dyDescent="0.25">
      <c r="A6436" s="8">
        <v>45531</v>
      </c>
      <c r="B6436" s="9">
        <v>15.43</v>
      </c>
    </row>
    <row r="6437" spans="1:2" x14ac:dyDescent="0.25">
      <c r="A6437" s="8">
        <v>45532</v>
      </c>
      <c r="B6437" s="9">
        <v>17.11</v>
      </c>
    </row>
    <row r="6438" spans="1:2" x14ac:dyDescent="0.25">
      <c r="A6438" s="8">
        <v>45533</v>
      </c>
      <c r="B6438" s="9">
        <v>15.65</v>
      </c>
    </row>
    <row r="6439" spans="1:2" x14ac:dyDescent="0.25">
      <c r="A6439" s="8">
        <v>45534</v>
      </c>
      <c r="B6439" s="9">
        <v>15</v>
      </c>
    </row>
    <row r="6440" spans="1:2" x14ac:dyDescent="0.25">
      <c r="A6440" s="8">
        <v>45537</v>
      </c>
      <c r="B6440" s="9">
        <v>15.55</v>
      </c>
    </row>
    <row r="6441" spans="1:2" x14ac:dyDescent="0.25">
      <c r="A6441" s="8">
        <v>45538</v>
      </c>
      <c r="B6441" s="9">
        <v>20.72</v>
      </c>
    </row>
    <row r="6442" spans="1:2" x14ac:dyDescent="0.25">
      <c r="A6442" s="8">
        <v>45539</v>
      </c>
      <c r="B6442" s="9">
        <v>21.32</v>
      </c>
    </row>
    <row r="6443" spans="1:2" x14ac:dyDescent="0.25">
      <c r="A6443" s="8">
        <v>45540</v>
      </c>
      <c r="B6443" s="9">
        <v>19.899999999999999</v>
      </c>
    </row>
    <row r="6444" spans="1:2" x14ac:dyDescent="0.25">
      <c r="A6444" s="8">
        <v>45541</v>
      </c>
      <c r="B6444" s="9">
        <v>22.38</v>
      </c>
    </row>
    <row r="6445" spans="1:2" x14ac:dyDescent="0.25">
      <c r="A6445" s="8">
        <v>45544</v>
      </c>
      <c r="B6445" s="9">
        <v>19.45</v>
      </c>
    </row>
    <row r="6446" spans="1:2" x14ac:dyDescent="0.25">
      <c r="A6446" s="8">
        <v>45545</v>
      </c>
      <c r="B6446" s="9">
        <v>19.079999999999998</v>
      </c>
    </row>
    <row r="6447" spans="1:2" x14ac:dyDescent="0.25">
      <c r="A6447" s="8">
        <v>45546</v>
      </c>
      <c r="B6447" s="9">
        <v>17.690000000000001</v>
      </c>
    </row>
    <row r="6448" spans="1:2" x14ac:dyDescent="0.25">
      <c r="A6448" s="8">
        <v>45547</v>
      </c>
      <c r="B6448" s="9">
        <v>17.07</v>
      </c>
    </row>
    <row r="6449" spans="1:2" x14ac:dyDescent="0.25">
      <c r="A6449" s="8">
        <v>45548</v>
      </c>
      <c r="B6449" s="9">
        <v>16.559999999999999</v>
      </c>
    </row>
    <row r="6450" spans="1:2" x14ac:dyDescent="0.25">
      <c r="A6450" s="8">
        <v>45551</v>
      </c>
      <c r="B6450" s="9">
        <v>17.14</v>
      </c>
    </row>
    <row r="6451" spans="1:2" x14ac:dyDescent="0.25">
      <c r="A6451" s="8">
        <v>45552</v>
      </c>
      <c r="B6451" s="9">
        <v>17.61</v>
      </c>
    </row>
    <row r="6452" spans="1:2" x14ac:dyDescent="0.25">
      <c r="A6452" s="8">
        <v>45553</v>
      </c>
      <c r="B6452" s="9">
        <v>18.23</v>
      </c>
    </row>
    <row r="6453" spans="1:2" x14ac:dyDescent="0.25">
      <c r="A6453" s="8">
        <v>45554</v>
      </c>
      <c r="B6453" s="9">
        <v>16.329999999999998</v>
      </c>
    </row>
    <row r="6454" spans="1:2" x14ac:dyDescent="0.25">
      <c r="A6454" s="8">
        <v>45555</v>
      </c>
      <c r="B6454" s="9">
        <v>16.149999999999999</v>
      </c>
    </row>
    <row r="6455" spans="1:2" x14ac:dyDescent="0.25">
      <c r="A6455" s="8">
        <v>45558</v>
      </c>
      <c r="B6455" s="9">
        <v>15.89</v>
      </c>
    </row>
    <row r="6456" spans="1:2" x14ac:dyDescent="0.25">
      <c r="A6456" s="8">
        <v>45559</v>
      </c>
      <c r="B6456" s="9">
        <v>15.39</v>
      </c>
    </row>
    <row r="6457" spans="1:2" x14ac:dyDescent="0.25">
      <c r="A6457" s="8">
        <v>45560</v>
      </c>
      <c r="B6457" s="9">
        <v>15.41</v>
      </c>
    </row>
    <row r="6458" spans="1:2" x14ac:dyDescent="0.25">
      <c r="A6458" s="8">
        <v>45561</v>
      </c>
      <c r="B6458" s="9">
        <v>15.37</v>
      </c>
    </row>
    <row r="6459" spans="1:2" x14ac:dyDescent="0.25">
      <c r="A6459" s="8">
        <v>45562</v>
      </c>
      <c r="B6459" s="9">
        <v>16.96</v>
      </c>
    </row>
    <row r="6460" spans="1:2" x14ac:dyDescent="0.25">
      <c r="A6460" s="8">
        <v>45565</v>
      </c>
      <c r="B6460" s="9">
        <v>16.73</v>
      </c>
    </row>
    <row r="6461" spans="1:2" x14ac:dyDescent="0.25">
      <c r="A6461" s="8">
        <v>45566</v>
      </c>
      <c r="B6461" s="9">
        <v>19.260000000000002</v>
      </c>
    </row>
    <row r="6462" spans="1:2" x14ac:dyDescent="0.25">
      <c r="A6462" s="8">
        <v>45567</v>
      </c>
      <c r="B6462" s="9">
        <v>18.899999999999999</v>
      </c>
    </row>
    <row r="6463" spans="1:2" x14ac:dyDescent="0.25">
      <c r="A6463" s="8">
        <v>45568</v>
      </c>
      <c r="B6463" s="9">
        <v>20.49</v>
      </c>
    </row>
    <row r="6464" spans="1:2" x14ac:dyDescent="0.25">
      <c r="A6464" s="8">
        <v>45569</v>
      </c>
      <c r="B6464" s="9">
        <v>19.21</v>
      </c>
    </row>
    <row r="6465" spans="1:2" x14ac:dyDescent="0.25">
      <c r="A6465" s="8">
        <v>45572</v>
      </c>
      <c r="B6465" s="9">
        <v>22.64</v>
      </c>
    </row>
    <row r="6466" spans="1:2" x14ac:dyDescent="0.25">
      <c r="A6466" s="8">
        <v>45573</v>
      </c>
      <c r="B6466" s="9">
        <v>21.42</v>
      </c>
    </row>
    <row r="6467" spans="1:2" x14ac:dyDescent="0.25">
      <c r="A6467" s="8">
        <v>45574</v>
      </c>
      <c r="B6467" s="9">
        <v>20.86</v>
      </c>
    </row>
    <row r="6468" spans="1:2" x14ac:dyDescent="0.25">
      <c r="A6468" s="8">
        <v>45575</v>
      </c>
      <c r="B6468" s="9">
        <v>20.93</v>
      </c>
    </row>
    <row r="6469" spans="1:2" x14ac:dyDescent="0.25">
      <c r="A6469" s="8">
        <v>45576</v>
      </c>
      <c r="B6469" s="9">
        <v>20.46</v>
      </c>
    </row>
    <row r="6470" spans="1:2" x14ac:dyDescent="0.25">
      <c r="A6470" s="8">
        <v>45579</v>
      </c>
      <c r="B6470" s="9">
        <v>19.7</v>
      </c>
    </row>
    <row r="6471" spans="1:2" x14ac:dyDescent="0.25">
      <c r="A6471" s="8">
        <v>45580</v>
      </c>
      <c r="B6471" s="9">
        <v>20.64</v>
      </c>
    </row>
    <row r="6472" spans="1:2" x14ac:dyDescent="0.25">
      <c r="A6472" s="8">
        <v>45581</v>
      </c>
      <c r="B6472" s="9">
        <v>19.579999999999998</v>
      </c>
    </row>
    <row r="6473" spans="1:2" x14ac:dyDescent="0.25">
      <c r="A6473" s="8">
        <v>45582</v>
      </c>
      <c r="B6473" s="9">
        <v>19.11</v>
      </c>
    </row>
    <row r="6474" spans="1:2" x14ac:dyDescent="0.25">
      <c r="A6474" s="8">
        <v>45583</v>
      </c>
      <c r="B6474" s="9">
        <v>18.03</v>
      </c>
    </row>
    <row r="6475" spans="1:2" x14ac:dyDescent="0.25">
      <c r="A6475" s="8">
        <v>45586</v>
      </c>
      <c r="B6475" s="9">
        <v>18.37</v>
      </c>
    </row>
    <row r="6476" spans="1:2" x14ac:dyDescent="0.25">
      <c r="A6476" s="8">
        <v>45587</v>
      </c>
      <c r="B6476" s="9">
        <v>18.2</v>
      </c>
    </row>
    <row r="6477" spans="1:2" x14ac:dyDescent="0.25">
      <c r="A6477" s="8">
        <v>45588</v>
      </c>
      <c r="B6477" s="9">
        <v>19.239999999999998</v>
      </c>
    </row>
    <row r="6478" spans="1:2" x14ac:dyDescent="0.25">
      <c r="A6478" s="8">
        <v>45589</v>
      </c>
      <c r="B6478" s="9">
        <v>19.079999999999998</v>
      </c>
    </row>
    <row r="6479" spans="1:2" x14ac:dyDescent="0.25">
      <c r="A6479" s="8">
        <v>45590</v>
      </c>
      <c r="B6479" s="9">
        <v>20.329999999999998</v>
      </c>
    </row>
    <row r="6480" spans="1:2" x14ac:dyDescent="0.25">
      <c r="A6480" s="8">
        <v>45593</v>
      </c>
      <c r="B6480" s="9">
        <v>19.8</v>
      </c>
    </row>
    <row r="6481" spans="1:2" x14ac:dyDescent="0.25">
      <c r="A6481" s="8">
        <v>45594</v>
      </c>
      <c r="B6481" s="9">
        <v>19.34</v>
      </c>
    </row>
    <row r="6482" spans="1:2" x14ac:dyDescent="0.25">
      <c r="A6482" s="8">
        <v>45595</v>
      </c>
      <c r="B6482" s="9">
        <v>20.350000000000001</v>
      </c>
    </row>
    <row r="6483" spans="1:2" x14ac:dyDescent="0.25">
      <c r="A6483" s="8">
        <v>45596</v>
      </c>
      <c r="B6483" s="9">
        <v>23.16</v>
      </c>
    </row>
    <row r="6484" spans="1:2" x14ac:dyDescent="0.25">
      <c r="A6484" s="8">
        <v>45597</v>
      </c>
      <c r="B6484" s="9">
        <v>21.88</v>
      </c>
    </row>
    <row r="6485" spans="1:2" x14ac:dyDescent="0.25">
      <c r="A6485" s="8">
        <v>45600</v>
      </c>
      <c r="B6485" s="9">
        <v>21.98</v>
      </c>
    </row>
    <row r="6486" spans="1:2" x14ac:dyDescent="0.25">
      <c r="A6486" s="8">
        <v>45601</v>
      </c>
      <c r="B6486" s="9">
        <v>20.49</v>
      </c>
    </row>
    <row r="6487" spans="1:2" x14ac:dyDescent="0.25">
      <c r="A6487" s="8">
        <v>45602</v>
      </c>
      <c r="B6487" s="9">
        <v>16.27</v>
      </c>
    </row>
    <row r="6488" spans="1:2" x14ac:dyDescent="0.25">
      <c r="A6488" s="8">
        <v>45603</v>
      </c>
      <c r="B6488" s="9">
        <v>15.2</v>
      </c>
    </row>
    <row r="6489" spans="1:2" x14ac:dyDescent="0.25">
      <c r="A6489" s="8">
        <v>45604</v>
      </c>
      <c r="B6489" s="9">
        <v>14.94</v>
      </c>
    </row>
    <row r="6490" spans="1:2" x14ac:dyDescent="0.25">
      <c r="A6490" s="8">
        <v>45607</v>
      </c>
      <c r="B6490" s="9">
        <v>14.97</v>
      </c>
    </row>
    <row r="6491" spans="1:2" x14ac:dyDescent="0.25">
      <c r="A6491" s="8">
        <v>45608</v>
      </c>
      <c r="B6491" s="9">
        <v>14.71</v>
      </c>
    </row>
    <row r="6492" spans="1:2" x14ac:dyDescent="0.25">
      <c r="A6492" s="8">
        <v>45609</v>
      </c>
      <c r="B6492" s="9">
        <v>14.02</v>
      </c>
    </row>
    <row r="6493" spans="1:2" x14ac:dyDescent="0.25">
      <c r="A6493" s="8">
        <v>45610</v>
      </c>
      <c r="B6493" s="9">
        <v>14.31</v>
      </c>
    </row>
    <row r="6494" spans="1:2" x14ac:dyDescent="0.25">
      <c r="A6494" s="8">
        <v>45611</v>
      </c>
      <c r="B6494" s="9">
        <v>16.14</v>
      </c>
    </row>
    <row r="6495" spans="1:2" x14ac:dyDescent="0.25">
      <c r="A6495" s="8">
        <v>45614</v>
      </c>
      <c r="B6495" s="9">
        <v>15.58</v>
      </c>
    </row>
    <row r="6496" spans="1:2" x14ac:dyDescent="0.25">
      <c r="A6496" s="8">
        <v>45615</v>
      </c>
      <c r="B6496" s="9">
        <v>16.350000000000001</v>
      </c>
    </row>
    <row r="6497" spans="1:2" x14ac:dyDescent="0.25">
      <c r="A6497" s="8">
        <v>45616</v>
      </c>
      <c r="B6497" s="9">
        <v>17.16</v>
      </c>
    </row>
    <row r="6498" spans="1:2" x14ac:dyDescent="0.25">
      <c r="A6498" s="8">
        <v>45617</v>
      </c>
      <c r="B6498" s="9">
        <v>16.87</v>
      </c>
    </row>
    <row r="6499" spans="1:2" x14ac:dyDescent="0.25">
      <c r="A6499" s="8">
        <v>45618</v>
      </c>
      <c r="B6499" s="9">
        <v>15.24</v>
      </c>
    </row>
    <row r="6500" spans="1:2" x14ac:dyDescent="0.25">
      <c r="A6500" s="8">
        <v>45621</v>
      </c>
      <c r="B6500" s="9">
        <v>14.6</v>
      </c>
    </row>
    <row r="6501" spans="1:2" x14ac:dyDescent="0.25">
      <c r="A6501" s="8">
        <v>45622</v>
      </c>
      <c r="B6501" s="9">
        <v>14.1</v>
      </c>
    </row>
    <row r="6502" spans="1:2" x14ac:dyDescent="0.25">
      <c r="A6502" s="8">
        <v>45623</v>
      </c>
      <c r="B6502" s="9">
        <v>14.1</v>
      </c>
    </row>
    <row r="6503" spans="1:2" x14ac:dyDescent="0.25">
      <c r="A6503" s="8">
        <v>45624</v>
      </c>
      <c r="B6503" s="9">
        <v>13.9</v>
      </c>
    </row>
    <row r="6504" spans="1:2" x14ac:dyDescent="0.25">
      <c r="A6504" s="8">
        <v>45625</v>
      </c>
      <c r="B6504" s="9">
        <v>13.51</v>
      </c>
    </row>
    <row r="6505" spans="1:2" x14ac:dyDescent="0.25">
      <c r="A6505" s="8">
        <v>45628</v>
      </c>
      <c r="B6505" s="9">
        <v>13.34</v>
      </c>
    </row>
    <row r="6506" spans="1:2" x14ac:dyDescent="0.25">
      <c r="A6506" s="8">
        <v>45629</v>
      </c>
      <c r="B6506" s="9">
        <v>13.3</v>
      </c>
    </row>
    <row r="6507" spans="1:2" x14ac:dyDescent="0.25">
      <c r="A6507" s="8">
        <v>45630</v>
      </c>
      <c r="B6507" s="9">
        <v>13.45</v>
      </c>
    </row>
    <row r="6508" spans="1:2" x14ac:dyDescent="0.25">
      <c r="A6508" s="8">
        <v>45631</v>
      </c>
      <c r="B6508" s="9">
        <v>13.54</v>
      </c>
    </row>
    <row r="6509" spans="1:2" x14ac:dyDescent="0.25">
      <c r="A6509" s="8">
        <v>45632</v>
      </c>
      <c r="B6509" s="9">
        <v>12.77</v>
      </c>
    </row>
    <row r="6510" spans="1:2" x14ac:dyDescent="0.25">
      <c r="A6510" s="8">
        <v>45635</v>
      </c>
      <c r="B6510" s="9">
        <v>14.19</v>
      </c>
    </row>
    <row r="6511" spans="1:2" x14ac:dyDescent="0.25">
      <c r="A6511" s="8">
        <v>45636</v>
      </c>
      <c r="B6511" s="9">
        <v>14.18</v>
      </c>
    </row>
    <row r="6512" spans="1:2" x14ac:dyDescent="0.25">
      <c r="A6512" s="8">
        <v>45637</v>
      </c>
      <c r="B6512" s="9">
        <v>13.58</v>
      </c>
    </row>
    <row r="6513" spans="1:2" x14ac:dyDescent="0.25">
      <c r="A6513" s="8">
        <v>45638</v>
      </c>
      <c r="B6513" s="9">
        <v>13.92</v>
      </c>
    </row>
    <row r="6514" spans="1:2" x14ac:dyDescent="0.25">
      <c r="A6514" s="8">
        <v>45639</v>
      </c>
      <c r="B6514" s="9">
        <v>13.81</v>
      </c>
    </row>
    <row r="6515" spans="1:2" x14ac:dyDescent="0.25">
      <c r="A6515" s="8">
        <v>45642</v>
      </c>
      <c r="B6515" s="9">
        <v>14.69</v>
      </c>
    </row>
    <row r="6516" spans="1:2" x14ac:dyDescent="0.25">
      <c r="A6516" s="8">
        <v>45643</v>
      </c>
      <c r="B6516" s="9">
        <v>15.87</v>
      </c>
    </row>
    <row r="6517" spans="1:2" x14ac:dyDescent="0.25">
      <c r="A6517" s="8">
        <v>45644</v>
      </c>
      <c r="B6517" s="9">
        <v>27.62</v>
      </c>
    </row>
    <row r="6518" spans="1:2" x14ac:dyDescent="0.25">
      <c r="A6518" s="8">
        <v>45645</v>
      </c>
      <c r="B6518" s="9">
        <v>24.09</v>
      </c>
    </row>
    <row r="6519" spans="1:2" x14ac:dyDescent="0.25">
      <c r="A6519" s="8">
        <v>45646</v>
      </c>
      <c r="B6519" s="9">
        <v>18.36</v>
      </c>
    </row>
    <row r="6520" spans="1:2" x14ac:dyDescent="0.25">
      <c r="A6520" s="8">
        <v>45649</v>
      </c>
      <c r="B6520" s="9">
        <v>16.78</v>
      </c>
    </row>
    <row r="6521" spans="1:2" x14ac:dyDescent="0.25">
      <c r="A6521" s="8">
        <v>45650</v>
      </c>
      <c r="B6521" s="9">
        <v>14.27</v>
      </c>
    </row>
    <row r="6522" spans="1:2" x14ac:dyDescent="0.25">
      <c r="A6522" s="8">
        <v>45651</v>
      </c>
    </row>
    <row r="6523" spans="1:2" x14ac:dyDescent="0.25">
      <c r="A6523" s="8">
        <v>45652</v>
      </c>
      <c r="B6523" s="9">
        <v>14.73</v>
      </c>
    </row>
    <row r="6524" spans="1:2" x14ac:dyDescent="0.25">
      <c r="A6524" s="8">
        <v>45653</v>
      </c>
      <c r="B6524" s="9">
        <v>15.95</v>
      </c>
    </row>
    <row r="6525" spans="1:2" x14ac:dyDescent="0.25">
      <c r="A6525" s="8">
        <v>45656</v>
      </c>
      <c r="B6525" s="9">
        <v>17.399999999999999</v>
      </c>
    </row>
    <row r="6526" spans="1:2" x14ac:dyDescent="0.25">
      <c r="A6526" s="8">
        <v>45657</v>
      </c>
      <c r="B6526" s="9">
        <v>17.350000000000001</v>
      </c>
    </row>
  </sheetData>
  <mergeCells count="1">
    <mergeCell ref="A1:D2"/>
  </mergeCells>
  <conditionalFormatting sqref="H5:H29">
    <cfRule type="colorScale" priority="1">
      <colorScale>
        <cfvo type="min"/>
        <cfvo type="percentile" val="50"/>
        <cfvo type="max"/>
        <color rgb="FF00B050"/>
        <color theme="0"/>
        <color rgb="FFFF7D7D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6DC0FFDEFA864DA147FFDEA823F2EE" ma:contentTypeVersion="3" ma:contentTypeDescription="Creare un nuovo documento." ma:contentTypeScope="" ma:versionID="efa000e167d9ce5db8cd2eb5b6f87cd4">
  <xsd:schema xmlns:xsd="http://www.w3.org/2001/XMLSchema" xmlns:xs="http://www.w3.org/2001/XMLSchema" xmlns:p="http://schemas.microsoft.com/office/2006/metadata/properties" xmlns:ns2="c41a64fd-65ba-4a6e-8004-8ade4c8fdb39" targetNamespace="http://schemas.microsoft.com/office/2006/metadata/properties" ma:root="true" ma:fieldsID="1f94584ddf2c7798ba84aeef6e679263" ns2:_="">
    <xsd:import namespace="c41a64fd-65ba-4a6e-8004-8ade4c8fd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a64fd-65ba-4a6e-8004-8ade4c8fd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6D44B9-BFA0-496F-91FF-88181837C6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57F7E9-094C-4E40-AC1D-B397B1E486C4}">
  <ds:schemaRefs>
    <ds:schemaRef ds:uri="http://schemas.microsoft.com/office/infopath/2007/PartnerControl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c41a64fd-65ba-4a6e-8004-8ade4c8fdb39"/>
    <ds:schemaRef ds:uri="http://www.w3.org/XML/1998/namespac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BC01572-DE87-4099-A912-442FA7F158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a64fd-65ba-4a6e-8004-8ade4c8fd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Introduction</vt:lpstr>
      <vt:lpstr>Final Template - 2024</vt:lpstr>
      <vt:lpstr>Correlation Matrix - 2024</vt:lpstr>
      <vt:lpstr>HQ Country Risk</vt:lpstr>
      <vt:lpstr>Revenue Exposure</vt:lpstr>
      <vt:lpstr>Supply Chain Exposure</vt:lpstr>
      <vt:lpstr>Facility Sites Location Risk</vt:lpstr>
      <vt:lpstr>Financial Exposure</vt:lpstr>
      <vt:lpstr>Sector Risk Multiplier</vt:lpstr>
      <vt:lpstr>Volatility Risk Multiplier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Parigi</dc:creator>
  <cp:keywords/>
  <dc:description/>
  <cp:lastModifiedBy>VALERIO PARIGI</cp:lastModifiedBy>
  <cp:revision/>
  <dcterms:created xsi:type="dcterms:W3CDTF">2026-03-13T15:12:52Z</dcterms:created>
  <dcterms:modified xsi:type="dcterms:W3CDTF">2026-04-01T17:46:27Z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0x010100086DC0FFDEFA864DA147FFDEA823F2EE</vt:lpwstr>
  </property>
</Properties>
</file>