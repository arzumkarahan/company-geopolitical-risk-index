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bocconi.sharepoint.com/sites/Geopolitics-DataGroup1/Documenti condivisi/General/Final Dataset - CGPR/"/>
    </mc:Choice>
  </mc:AlternateContent>
  <xr:revisionPtr revIDLastSave="85" documentId="8_{62675519-8574-6843-94B3-5B2446396D39}" xr6:coauthVersionLast="47" xr6:coauthVersionMax="47" xr10:uidLastSave="{39CC39C0-402F-C64D-AF1D-49674569546D}"/>
  <bookViews>
    <workbookView xWindow="0" yWindow="0" windowWidth="28800" windowHeight="18000" xr2:uid="{C4C3D111-90BC-F84D-95E1-F4612480888F}"/>
  </bookViews>
  <sheets>
    <sheet name="Facility Risk - Overall" sheetId="2" r:id="rId1"/>
    <sheet name="Facility Risk - Apple" sheetId="1" r:id="rId2"/>
    <sheet name="Facility Risk - Meta" sheetId="3" r:id="rId3"/>
    <sheet name="Facility Risk - Microsoft" sheetId="4" r:id="rId4"/>
    <sheet name="Facility Risk - NVIDIA" sheetId="5" r:id="rId5"/>
    <sheet name="Facility Risk - VW" sheetId="6" r:id="rId6"/>
    <sheet name="Facility Risk - Reliance" sheetId="7" r:id="rId7"/>
    <sheet name="Facility Risk - Total en" sheetId="8" r:id="rId8"/>
    <sheet name="Facility Risk - JP Morgan" sheetId="9" r:id="rId9"/>
    <sheet name="Facility Risk - P&amp;G" sheetId="10" r:id="rId10"/>
    <sheet name="Facility Risk - Samsung" sheetId="11" r:id="rId11"/>
    <sheet name="Facility Risk - Tencent" sheetId="12" r:id="rId12"/>
    <sheet name="Facility Risk - ASML" sheetId="13" r:id="rId13"/>
    <sheet name="Facility Risk - TSMC" sheetId="14" r:id="rId14"/>
    <sheet name="Facility Risk - Sony" sheetId="15" r:id="rId15"/>
    <sheet name="Facility Risk - Eli Lilly" sheetId="16" r:id="rId16"/>
    <sheet name="Facility Risk - L'Oreal" sheetId="17" r:id="rId17"/>
    <sheet name="Facility Risk - Eni" sheetId="18" r:id="rId18"/>
    <sheet name="Facility Risk - Amazon" sheetId="19" r:id="rId19"/>
    <sheet name="Facility Risk - Ford" sheetId="20" r:id="rId20"/>
    <sheet name="Facility Risk - BNP" sheetId="21" r:id="rId21"/>
    <sheet name="Facility Risk - Allianz" sheetId="22" r:id="rId22"/>
    <sheet name="Facility Risk - LVMH" sheetId="23" r:id="rId23"/>
    <sheet name="Facility Risk - Toyota" sheetId="24" r:id="rId24"/>
    <sheet name="Facility Risk - Nordisk" sheetId="25" r:id="rId25"/>
    <sheet name="Facility Risk - SAP" sheetId="26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J9" i="3"/>
  <c r="B3" i="2" s="1"/>
  <c r="J9" i="4"/>
  <c r="B4" i="2" s="1"/>
  <c r="J9" i="5"/>
  <c r="B9" i="2" s="1"/>
  <c r="J9" i="6"/>
  <c r="J9" i="7"/>
  <c r="B14" i="2" s="1"/>
  <c r="J9" i="8"/>
  <c r="J9" i="9"/>
  <c r="B22" i="2" s="1"/>
  <c r="J9" i="10"/>
  <c r="B6" i="2" s="1"/>
  <c r="J9" i="11"/>
  <c r="B7" i="2" s="1"/>
  <c r="J9" i="12"/>
  <c r="J9" i="13"/>
  <c r="J9" i="14"/>
  <c r="J9" i="15"/>
  <c r="J9" i="16"/>
  <c r="B25" i="2" s="1"/>
  <c r="J9" i="17"/>
  <c r="J9" i="18"/>
  <c r="B26" i="2" s="1"/>
  <c r="J9" i="19"/>
  <c r="B8" i="2" s="1"/>
  <c r="J9" i="20"/>
  <c r="B5" i="2" s="1"/>
  <c r="J9" i="21"/>
  <c r="J9" i="22"/>
  <c r="J9" i="23"/>
  <c r="J9" i="24"/>
  <c r="B19" i="2" s="1"/>
  <c r="J9" i="25"/>
  <c r="J9" i="26"/>
  <c r="J9" i="1"/>
  <c r="B21" i="2"/>
  <c r="B18" i="2"/>
  <c r="B17" i="2"/>
  <c r="B16" i="2"/>
  <c r="B11" i="2"/>
  <c r="B24" i="2"/>
  <c r="B10" i="2"/>
  <c r="B12" i="2"/>
  <c r="B13" i="2"/>
  <c r="B15" i="2"/>
  <c r="J8" i="26"/>
  <c r="I8" i="26"/>
  <c r="H8" i="26"/>
  <c r="J7" i="26"/>
  <c r="I7" i="26"/>
  <c r="H7" i="26"/>
  <c r="J8" i="25"/>
  <c r="I8" i="25"/>
  <c r="H8" i="25"/>
  <c r="J7" i="25"/>
  <c r="I7" i="25"/>
  <c r="H7" i="25"/>
  <c r="J8" i="24"/>
  <c r="I8" i="24"/>
  <c r="H8" i="24"/>
  <c r="J7" i="24"/>
  <c r="I7" i="24"/>
  <c r="H7" i="24"/>
  <c r="J8" i="23"/>
  <c r="I8" i="23"/>
  <c r="H8" i="23"/>
  <c r="J7" i="23"/>
  <c r="I7" i="23"/>
  <c r="H7" i="23"/>
  <c r="J8" i="22"/>
  <c r="I8" i="22"/>
  <c r="H8" i="22"/>
  <c r="J7" i="22"/>
  <c r="I7" i="22"/>
  <c r="H7" i="22"/>
  <c r="J8" i="21"/>
  <c r="I8" i="21"/>
  <c r="H8" i="21"/>
  <c r="J7" i="21"/>
  <c r="I7" i="21"/>
  <c r="H7" i="21"/>
  <c r="J8" i="20"/>
  <c r="I8" i="20"/>
  <c r="H8" i="20"/>
  <c r="J7" i="20"/>
  <c r="I7" i="20"/>
  <c r="H7" i="20"/>
  <c r="J8" i="19"/>
  <c r="I8" i="19"/>
  <c r="H8" i="19"/>
  <c r="J7" i="19"/>
  <c r="I7" i="19"/>
  <c r="H7" i="19"/>
  <c r="J8" i="18"/>
  <c r="I8" i="18"/>
  <c r="H8" i="18"/>
  <c r="J7" i="18"/>
  <c r="I7" i="18"/>
  <c r="H7" i="18"/>
  <c r="J8" i="17"/>
  <c r="I8" i="17"/>
  <c r="H8" i="17"/>
  <c r="J7" i="17"/>
  <c r="I7" i="17"/>
  <c r="H7" i="17"/>
  <c r="J8" i="16"/>
  <c r="I8" i="16"/>
  <c r="H8" i="16"/>
  <c r="J7" i="16"/>
  <c r="I7" i="16"/>
  <c r="H7" i="16"/>
  <c r="J8" i="15"/>
  <c r="I8" i="15"/>
  <c r="H8" i="15"/>
  <c r="J7" i="15"/>
  <c r="I7" i="15"/>
  <c r="H7" i="15"/>
  <c r="J8" i="14"/>
  <c r="I8" i="14"/>
  <c r="H8" i="14"/>
  <c r="J7" i="14"/>
  <c r="I7" i="14"/>
  <c r="H7" i="14"/>
  <c r="J8" i="13"/>
  <c r="I8" i="13"/>
  <c r="H8" i="13"/>
  <c r="J7" i="13"/>
  <c r="I7" i="13"/>
  <c r="H7" i="13"/>
  <c r="J8" i="12"/>
  <c r="I8" i="12"/>
  <c r="H8" i="12"/>
  <c r="J7" i="12"/>
  <c r="I7" i="12"/>
  <c r="H7" i="12"/>
  <c r="J8" i="11"/>
  <c r="I8" i="11"/>
  <c r="H8" i="11"/>
  <c r="J7" i="11"/>
  <c r="I7" i="11"/>
  <c r="H7" i="11"/>
  <c r="J8" i="10"/>
  <c r="I8" i="10"/>
  <c r="H8" i="10"/>
  <c r="J7" i="10"/>
  <c r="I7" i="10"/>
  <c r="H7" i="10"/>
  <c r="J8" i="9"/>
  <c r="I8" i="9"/>
  <c r="H8" i="9"/>
  <c r="J7" i="9"/>
  <c r="I7" i="9"/>
  <c r="H7" i="9"/>
  <c r="J8" i="8"/>
  <c r="I8" i="8"/>
  <c r="H8" i="8"/>
  <c r="J7" i="8"/>
  <c r="I7" i="8"/>
  <c r="H7" i="8"/>
  <c r="J8" i="7"/>
  <c r="I8" i="7"/>
  <c r="H8" i="7"/>
  <c r="J7" i="7"/>
  <c r="I7" i="7"/>
  <c r="H7" i="7"/>
  <c r="J8" i="6"/>
  <c r="I8" i="6"/>
  <c r="H8" i="6"/>
  <c r="J7" i="6"/>
  <c r="I7" i="6"/>
  <c r="H7" i="6"/>
  <c r="J8" i="5"/>
  <c r="I8" i="5"/>
  <c r="H8" i="5"/>
  <c r="J7" i="5"/>
  <c r="I7" i="5"/>
  <c r="H7" i="5"/>
  <c r="J8" i="4"/>
  <c r="I8" i="4"/>
  <c r="H8" i="4"/>
  <c r="J7" i="4"/>
  <c r="I7" i="4"/>
  <c r="H7" i="4"/>
  <c r="J8" i="3"/>
  <c r="I8" i="3"/>
  <c r="H8" i="3"/>
  <c r="J7" i="3"/>
  <c r="I7" i="3"/>
  <c r="H7" i="3"/>
  <c r="I8" i="1"/>
  <c r="J8" i="1"/>
  <c r="J7" i="1"/>
  <c r="H7" i="1"/>
  <c r="I7" i="1"/>
  <c r="H8" i="1"/>
  <c r="D4" i="1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26"/>
  <c r="D126" i="23"/>
  <c r="D151" i="22"/>
  <c r="D151" i="21"/>
  <c r="D151" i="18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4" i="14"/>
  <c r="D151" i="12"/>
  <c r="D151" i="9"/>
  <c r="C151" i="26"/>
  <c r="C151" i="25"/>
  <c r="C151" i="24"/>
  <c r="C151" i="23"/>
  <c r="C151" i="22"/>
  <c r="C151" i="21"/>
  <c r="C151" i="20"/>
  <c r="C151" i="19"/>
  <c r="C151" i="18"/>
  <c r="C151" i="17"/>
  <c r="C151" i="16"/>
  <c r="C151" i="15"/>
  <c r="C151" i="14"/>
  <c r="C151" i="13"/>
  <c r="C151" i="12"/>
  <c r="C151" i="11"/>
  <c r="C151" i="10"/>
  <c r="C151" i="9"/>
  <c r="C151" i="8"/>
  <c r="C151" i="7"/>
  <c r="C151" i="6"/>
  <c r="C151" i="5"/>
  <c r="C151" i="4"/>
  <c r="C151" i="3"/>
  <c r="C151" i="1"/>
  <c r="C31" i="24"/>
  <c r="C31" i="19"/>
  <c r="C31" i="14"/>
  <c r="C31" i="13"/>
  <c r="C31" i="8"/>
  <c r="C31" i="6"/>
  <c r="C31" i="4"/>
  <c r="C31" i="1"/>
  <c r="B20" i="2" l="1"/>
  <c r="B23" i="2"/>
  <c r="D73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135" i="25"/>
  <c r="D140" i="25"/>
  <c r="D142" i="25"/>
  <c r="D145" i="25"/>
  <c r="D147" i="25"/>
  <c r="D149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5" i="25"/>
  <c r="D74" i="25"/>
  <c r="D75" i="25"/>
  <c r="D76" i="25"/>
  <c r="D77" i="25"/>
  <c r="D78" i="25"/>
  <c r="D79" i="25"/>
  <c r="D80" i="25"/>
  <c r="D81" i="25"/>
  <c r="D82" i="25"/>
  <c r="D83" i="25"/>
  <c r="D137" i="25"/>
  <c r="D139" i="25"/>
  <c r="D144" i="25"/>
  <c r="D150" i="25"/>
  <c r="D84" i="25"/>
  <c r="D85" i="25"/>
  <c r="D86" i="25"/>
  <c r="D87" i="25"/>
  <c r="D88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103" i="25"/>
  <c r="D104" i="25"/>
  <c r="D105" i="25"/>
  <c r="D106" i="25"/>
  <c r="D107" i="25"/>
  <c r="D108" i="25"/>
  <c r="D109" i="25"/>
  <c r="D110" i="25"/>
  <c r="D111" i="25"/>
  <c r="D112" i="25"/>
  <c r="D113" i="25"/>
  <c r="D114" i="25"/>
  <c r="D115" i="25"/>
  <c r="D116" i="25"/>
  <c r="D117" i="25"/>
  <c r="D118" i="25"/>
  <c r="D119" i="25"/>
  <c r="D120" i="25"/>
  <c r="D121" i="25"/>
  <c r="D122" i="25"/>
  <c r="D123" i="25"/>
  <c r="D124" i="25"/>
  <c r="D125" i="25"/>
  <c r="D126" i="25"/>
  <c r="D127" i="25"/>
  <c r="D128" i="25"/>
  <c r="D129" i="25"/>
  <c r="D130" i="25"/>
  <c r="D131" i="25"/>
  <c r="D132" i="25"/>
  <c r="D133" i="25"/>
  <c r="D134" i="25"/>
  <c r="D136" i="25"/>
  <c r="D138" i="25"/>
  <c r="D141" i="25"/>
  <c r="D143" i="25"/>
  <c r="D146" i="25"/>
  <c r="D148" i="25"/>
  <c r="D4" i="25"/>
  <c r="D151" i="25" s="1"/>
  <c r="D20" i="25"/>
  <c r="D112" i="24"/>
  <c r="D33" i="24"/>
  <c r="D36" i="24"/>
  <c r="D39" i="24"/>
  <c r="D41" i="24"/>
  <c r="D43" i="24"/>
  <c r="D45" i="24"/>
  <c r="D47" i="24"/>
  <c r="D49" i="24"/>
  <c r="D51" i="24"/>
  <c r="D53" i="24"/>
  <c r="D56" i="24"/>
  <c r="D70" i="24"/>
  <c r="D72" i="24"/>
  <c r="D75" i="24"/>
  <c r="D77" i="24"/>
  <c r="D79" i="24"/>
  <c r="D81" i="24"/>
  <c r="D83" i="24"/>
  <c r="D85" i="24"/>
  <c r="D87" i="24"/>
  <c r="D89" i="24"/>
  <c r="D91" i="24"/>
  <c r="D93" i="24"/>
  <c r="D97" i="24"/>
  <c r="D103" i="24"/>
  <c r="D105" i="24"/>
  <c r="D109" i="24"/>
  <c r="D113" i="24"/>
  <c r="D115" i="24"/>
  <c r="D119" i="24"/>
  <c r="D128" i="24"/>
  <c r="D132" i="24"/>
  <c r="D137" i="24"/>
  <c r="D145" i="24"/>
  <c r="D5" i="24"/>
  <c r="D8" i="24"/>
  <c r="D10" i="24"/>
  <c r="D12" i="24"/>
  <c r="D14" i="24"/>
  <c r="D16" i="24"/>
  <c r="D18" i="24"/>
  <c r="D20" i="24"/>
  <c r="D22" i="24"/>
  <c r="D24" i="24"/>
  <c r="D26" i="24"/>
  <c r="D28" i="24"/>
  <c r="D30" i="24"/>
  <c r="D32" i="24"/>
  <c r="D34" i="24"/>
  <c r="D37" i="24"/>
  <c r="D40" i="24"/>
  <c r="D44" i="24"/>
  <c r="D46" i="24"/>
  <c r="D48" i="24"/>
  <c r="D50" i="24"/>
  <c r="D52" i="24"/>
  <c r="D54" i="24"/>
  <c r="D58" i="24"/>
  <c r="D60" i="24"/>
  <c r="D62" i="24"/>
  <c r="D64" i="24"/>
  <c r="D66" i="24"/>
  <c r="D68" i="24"/>
  <c r="D78" i="24"/>
  <c r="D82" i="24"/>
  <c r="D94" i="24"/>
  <c r="D96" i="24"/>
  <c r="D99" i="24"/>
  <c r="D101" i="24"/>
  <c r="D106" i="24"/>
  <c r="D108" i="24"/>
  <c r="D110" i="24"/>
  <c r="D15" i="24"/>
  <c r="D114" i="24"/>
  <c r="D116" i="24"/>
  <c r="D122" i="24"/>
  <c r="D124" i="24"/>
  <c r="D126" i="24"/>
  <c r="D134" i="24"/>
  <c r="D136" i="24"/>
  <c r="D146" i="24"/>
  <c r="D148" i="24"/>
  <c r="D6" i="24"/>
  <c r="D7" i="24"/>
  <c r="D9" i="24"/>
  <c r="D11" i="24"/>
  <c r="D13" i="24"/>
  <c r="D17" i="24"/>
  <c r="D19" i="24"/>
  <c r="D21" i="24"/>
  <c r="D23" i="24"/>
  <c r="D25" i="24"/>
  <c r="D27" i="24"/>
  <c r="D29" i="24"/>
  <c r="D31" i="24"/>
  <c r="D35" i="24"/>
  <c r="D38" i="24"/>
  <c r="D42" i="24"/>
  <c r="D55" i="24"/>
  <c r="D57" i="24"/>
  <c r="D59" i="24"/>
  <c r="D61" i="24"/>
  <c r="D63" i="24"/>
  <c r="D65" i="24"/>
  <c r="D67" i="24"/>
  <c r="D69" i="24"/>
  <c r="D71" i="24"/>
  <c r="D73" i="24"/>
  <c r="D76" i="24"/>
  <c r="D80" i="24"/>
  <c r="D84" i="24"/>
  <c r="D86" i="24"/>
  <c r="D88" i="24"/>
  <c r="D90" i="24"/>
  <c r="D92" i="24"/>
  <c r="D95" i="24"/>
  <c r="D98" i="24"/>
  <c r="D102" i="24"/>
  <c r="D104" i="24"/>
  <c r="D107" i="24"/>
  <c r="D117" i="24"/>
  <c r="D121" i="24"/>
  <c r="D123" i="24"/>
  <c r="D130" i="24"/>
  <c r="D135" i="24"/>
  <c r="D138" i="24"/>
  <c r="D140" i="24"/>
  <c r="D142" i="24"/>
  <c r="D144" i="24"/>
  <c r="D150" i="24"/>
  <c r="D74" i="24"/>
  <c r="D100" i="24"/>
  <c r="D111" i="24"/>
  <c r="D118" i="24"/>
  <c r="D120" i="24"/>
  <c r="D125" i="24"/>
  <c r="D127" i="24"/>
  <c r="D129" i="24"/>
  <c r="D131" i="24"/>
  <c r="D133" i="24"/>
  <c r="D139" i="24"/>
  <c r="D141" i="24"/>
  <c r="D143" i="24"/>
  <c r="D147" i="24"/>
  <c r="D149" i="24"/>
  <c r="D4" i="24"/>
  <c r="D151" i="24" s="1"/>
  <c r="D131" i="23"/>
  <c r="D35" i="23"/>
  <c r="D39" i="23"/>
  <c r="D43" i="23"/>
  <c r="D45" i="23"/>
  <c r="D48" i="23"/>
  <c r="D51" i="23"/>
  <c r="D54" i="23"/>
  <c r="D63" i="23"/>
  <c r="D67" i="23"/>
  <c r="D70" i="23"/>
  <c r="D72" i="23"/>
  <c r="D74" i="23"/>
  <c r="D76" i="23"/>
  <c r="D78" i="23"/>
  <c r="D80" i="23"/>
  <c r="D84" i="23"/>
  <c r="D86" i="23"/>
  <c r="D90" i="23"/>
  <c r="D92" i="23"/>
  <c r="D105" i="23"/>
  <c r="D111" i="23"/>
  <c r="D116" i="23"/>
  <c r="D118" i="23"/>
  <c r="D120" i="23"/>
  <c r="D124" i="23"/>
  <c r="D128" i="23"/>
  <c r="D132" i="23"/>
  <c r="D134" i="23"/>
  <c r="D142" i="23"/>
  <c r="D148" i="23"/>
  <c r="D5" i="23"/>
  <c r="D8" i="23"/>
  <c r="D10" i="23"/>
  <c r="D12" i="23"/>
  <c r="D14" i="23"/>
  <c r="D16" i="23"/>
  <c r="D18" i="23"/>
  <c r="D21" i="23"/>
  <c r="D23" i="23"/>
  <c r="D25" i="23"/>
  <c r="D27" i="23"/>
  <c r="D29" i="23"/>
  <c r="D31" i="23"/>
  <c r="D33" i="23"/>
  <c r="D37" i="23"/>
  <c r="D41" i="23"/>
  <c r="D44" i="23"/>
  <c r="D47" i="23"/>
  <c r="D50" i="23"/>
  <c r="D52" i="23"/>
  <c r="D56" i="23"/>
  <c r="D58" i="23"/>
  <c r="D61" i="23"/>
  <c r="D64" i="23"/>
  <c r="D66" i="23"/>
  <c r="D69" i="23"/>
  <c r="D73" i="23"/>
  <c r="D75" i="23"/>
  <c r="D77" i="23"/>
  <c r="D82" i="23"/>
  <c r="D88" i="23"/>
  <c r="D91" i="23"/>
  <c r="D100" i="23"/>
  <c r="D102" i="23"/>
  <c r="D106" i="23"/>
  <c r="D108" i="23"/>
  <c r="D110" i="23"/>
  <c r="D114" i="23"/>
  <c r="D121" i="23"/>
  <c r="D123" i="23"/>
  <c r="D127" i="23"/>
  <c r="D129" i="23"/>
  <c r="D19" i="23"/>
  <c r="D133" i="23"/>
  <c r="D135" i="23"/>
  <c r="D139" i="23"/>
  <c r="D141" i="23"/>
  <c r="D146" i="23"/>
  <c r="D6" i="23"/>
  <c r="D7" i="23"/>
  <c r="D9" i="23"/>
  <c r="D11" i="23"/>
  <c r="D13" i="23"/>
  <c r="D15" i="23"/>
  <c r="D17" i="23"/>
  <c r="D20" i="23"/>
  <c r="D22" i="23"/>
  <c r="D24" i="23"/>
  <c r="D26" i="23"/>
  <c r="D28" i="23"/>
  <c r="D30" i="23"/>
  <c r="D32" i="23"/>
  <c r="D34" i="23"/>
  <c r="D36" i="23"/>
  <c r="D38" i="23"/>
  <c r="D40" i="23"/>
  <c r="D42" i="23"/>
  <c r="D46" i="23"/>
  <c r="D49" i="23"/>
  <c r="D53" i="23"/>
  <c r="D55" i="23"/>
  <c r="D57" i="23"/>
  <c r="D60" i="23"/>
  <c r="D62" i="23"/>
  <c r="D65" i="23"/>
  <c r="D68" i="23"/>
  <c r="D71" i="23"/>
  <c r="D79" i="23"/>
  <c r="D81" i="23"/>
  <c r="D83" i="23"/>
  <c r="D87" i="23"/>
  <c r="D93" i="23"/>
  <c r="D95" i="23"/>
  <c r="D97" i="23"/>
  <c r="D99" i="23"/>
  <c r="D101" i="23"/>
  <c r="D103" i="23"/>
  <c r="D107" i="23"/>
  <c r="D113" i="23"/>
  <c r="D115" i="23"/>
  <c r="D125" i="23"/>
  <c r="D130" i="23"/>
  <c r="D136" i="23"/>
  <c r="D138" i="23"/>
  <c r="D140" i="23"/>
  <c r="D143" i="23"/>
  <c r="D145" i="23"/>
  <c r="D147" i="23"/>
  <c r="D149" i="23"/>
  <c r="D4" i="23"/>
  <c r="D59" i="23"/>
  <c r="D85" i="23"/>
  <c r="D89" i="23"/>
  <c r="D94" i="23"/>
  <c r="D96" i="23"/>
  <c r="D98" i="23"/>
  <c r="D104" i="23"/>
  <c r="D109" i="23"/>
  <c r="D112" i="23"/>
  <c r="D117" i="23"/>
  <c r="D119" i="23"/>
  <c r="D122" i="23"/>
  <c r="D137" i="23"/>
  <c r="D144" i="23"/>
  <c r="D150" i="23"/>
  <c r="D103" i="20"/>
  <c r="D22" i="20"/>
  <c r="D26" i="20"/>
  <c r="D44" i="20"/>
  <c r="D49" i="20"/>
  <c r="D51" i="20"/>
  <c r="D55" i="20"/>
  <c r="D58" i="20"/>
  <c r="D61" i="20"/>
  <c r="D63" i="20"/>
  <c r="D74" i="20"/>
  <c r="D78" i="20"/>
  <c r="D80" i="20"/>
  <c r="D82" i="20"/>
  <c r="D84" i="20"/>
  <c r="D86" i="20"/>
  <c r="D88" i="20"/>
  <c r="D90" i="20"/>
  <c r="D92" i="20"/>
  <c r="D95" i="20"/>
  <c r="D97" i="20"/>
  <c r="D100" i="20"/>
  <c r="D102" i="20"/>
  <c r="D104" i="20"/>
  <c r="D109" i="20"/>
  <c r="D113" i="20"/>
  <c r="D116" i="20"/>
  <c r="D118" i="20"/>
  <c r="D120" i="20"/>
  <c r="D136" i="20"/>
  <c r="D138" i="20"/>
  <c r="D140" i="20"/>
  <c r="D142" i="20"/>
  <c r="D144" i="20"/>
  <c r="D150" i="20"/>
  <c r="D5" i="20"/>
  <c r="D7" i="20"/>
  <c r="D10" i="20"/>
  <c r="D11" i="20"/>
  <c r="D13" i="20"/>
  <c r="D15" i="20"/>
  <c r="D17" i="20"/>
  <c r="D19" i="20"/>
  <c r="D21" i="20"/>
  <c r="D24" i="20"/>
  <c r="D28" i="20"/>
  <c r="D30" i="20"/>
  <c r="D32" i="20"/>
  <c r="D34" i="20"/>
  <c r="D36" i="20"/>
  <c r="D38" i="20"/>
  <c r="D40" i="20"/>
  <c r="D42" i="20"/>
  <c r="D45" i="20"/>
  <c r="D47" i="20"/>
  <c r="D53" i="20"/>
  <c r="D57" i="20"/>
  <c r="D59" i="20"/>
  <c r="D65" i="20"/>
  <c r="D67" i="20"/>
  <c r="D69" i="20"/>
  <c r="D71" i="20"/>
  <c r="D73" i="20"/>
  <c r="D75" i="20"/>
  <c r="D77" i="20"/>
  <c r="D79" i="20"/>
  <c r="D81" i="20"/>
  <c r="D87" i="20"/>
  <c r="D89" i="20"/>
  <c r="D94" i="20"/>
  <c r="D96" i="20"/>
  <c r="D99" i="20"/>
  <c r="D101" i="20"/>
  <c r="D8" i="20"/>
  <c r="D105" i="20"/>
  <c r="D107" i="20"/>
  <c r="D111" i="20"/>
  <c r="D114" i="20"/>
  <c r="D121" i="20"/>
  <c r="D123" i="20"/>
  <c r="D125" i="20"/>
  <c r="D127" i="20"/>
  <c r="D129" i="20"/>
  <c r="D131" i="20"/>
  <c r="D133" i="20"/>
  <c r="D135" i="20"/>
  <c r="D137" i="20"/>
  <c r="D139" i="20"/>
  <c r="D141" i="20"/>
  <c r="D146" i="20"/>
  <c r="D6" i="20"/>
  <c r="D9" i="20"/>
  <c r="D12" i="20"/>
  <c r="D14" i="20"/>
  <c r="D16" i="20"/>
  <c r="D18" i="20"/>
  <c r="D20" i="20"/>
  <c r="D23" i="20"/>
  <c r="D25" i="20"/>
  <c r="D27" i="20"/>
  <c r="D29" i="20"/>
  <c r="D31" i="20"/>
  <c r="D33" i="20"/>
  <c r="D35" i="20"/>
  <c r="D37" i="20"/>
  <c r="D39" i="20"/>
  <c r="D41" i="20"/>
  <c r="D43" i="20"/>
  <c r="D46" i="20"/>
  <c r="D48" i="20"/>
  <c r="D50" i="20"/>
  <c r="D52" i="20"/>
  <c r="D54" i="20"/>
  <c r="D56" i="20"/>
  <c r="D60" i="20"/>
  <c r="D62" i="20"/>
  <c r="D64" i="20"/>
  <c r="D66" i="20"/>
  <c r="D68" i="20"/>
  <c r="D70" i="20"/>
  <c r="D72" i="20"/>
  <c r="D76" i="20"/>
  <c r="D83" i="20"/>
  <c r="D85" i="20"/>
  <c r="D91" i="20"/>
  <c r="D93" i="20"/>
  <c r="D98" i="20"/>
  <c r="D106" i="20"/>
  <c r="D108" i="20"/>
  <c r="D110" i="20"/>
  <c r="D112" i="20"/>
  <c r="D115" i="20"/>
  <c r="D117" i="20"/>
  <c r="D122" i="20"/>
  <c r="D124" i="20"/>
  <c r="D126" i="20"/>
  <c r="D128" i="20"/>
  <c r="D130" i="20"/>
  <c r="D132" i="20"/>
  <c r="D134" i="20"/>
  <c r="D143" i="20"/>
  <c r="D145" i="20"/>
  <c r="D147" i="20"/>
  <c r="D149" i="20"/>
  <c r="D4" i="20"/>
  <c r="D151" i="20" s="1"/>
  <c r="D119" i="20"/>
  <c r="D148" i="20"/>
  <c r="D123" i="19"/>
  <c r="D9" i="19"/>
  <c r="D12" i="19"/>
  <c r="D14" i="19"/>
  <c r="D16" i="19"/>
  <c r="D18" i="19"/>
  <c r="D20" i="19"/>
  <c r="D22" i="19"/>
  <c r="D24" i="19"/>
  <c r="D26" i="19"/>
  <c r="D28" i="19"/>
  <c r="D31" i="19"/>
  <c r="D34" i="19"/>
  <c r="D37" i="19"/>
  <c r="D39" i="19"/>
  <c r="D41" i="19"/>
  <c r="D43" i="19"/>
  <c r="D46" i="19"/>
  <c r="D48" i="19"/>
  <c r="D50" i="19"/>
  <c r="D52" i="19"/>
  <c r="D56" i="19"/>
  <c r="D59" i="19"/>
  <c r="D62" i="19"/>
  <c r="D64" i="19"/>
  <c r="D68" i="19"/>
  <c r="D73" i="19"/>
  <c r="D78" i="19"/>
  <c r="D80" i="19"/>
  <c r="D83" i="19"/>
  <c r="D85" i="19"/>
  <c r="D89" i="19"/>
  <c r="D91" i="19"/>
  <c r="D96" i="19"/>
  <c r="D100" i="19"/>
  <c r="D111" i="19"/>
  <c r="D113" i="19"/>
  <c r="D135" i="19"/>
  <c r="D137" i="19"/>
  <c r="D140" i="19"/>
  <c r="D143" i="19"/>
  <c r="D146" i="19"/>
  <c r="D148" i="19"/>
  <c r="D150" i="19"/>
  <c r="D10" i="19"/>
  <c r="D29" i="19"/>
  <c r="D32" i="19"/>
  <c r="D36" i="19"/>
  <c r="D45" i="19"/>
  <c r="D47" i="19"/>
  <c r="D54" i="19"/>
  <c r="D63" i="19"/>
  <c r="D65" i="19"/>
  <c r="D67" i="19"/>
  <c r="D69" i="19"/>
  <c r="D71" i="19"/>
  <c r="D74" i="19"/>
  <c r="D77" i="19"/>
  <c r="D79" i="19"/>
  <c r="D82" i="19"/>
  <c r="D87" i="19"/>
  <c r="D93" i="19"/>
  <c r="D95" i="19"/>
  <c r="D97" i="19"/>
  <c r="D101" i="19"/>
  <c r="D104" i="19"/>
  <c r="D107" i="19"/>
  <c r="D110" i="19"/>
  <c r="D112" i="19"/>
  <c r="D114" i="19"/>
  <c r="D116" i="19"/>
  <c r="D118" i="19"/>
  <c r="D120" i="19"/>
  <c r="D6" i="19"/>
  <c r="D126" i="19"/>
  <c r="D128" i="19"/>
  <c r="D130" i="19"/>
  <c r="D132" i="19"/>
  <c r="D134" i="19"/>
  <c r="D136" i="19"/>
  <c r="D139" i="19"/>
  <c r="D141" i="19"/>
  <c r="D144" i="19"/>
  <c r="D5" i="19"/>
  <c r="D8" i="19"/>
  <c r="D11" i="19"/>
  <c r="D13" i="19"/>
  <c r="D15" i="19"/>
  <c r="D17" i="19"/>
  <c r="D19" i="19"/>
  <c r="D21" i="19"/>
  <c r="D23" i="19"/>
  <c r="D25" i="19"/>
  <c r="D27" i="19"/>
  <c r="D30" i="19"/>
  <c r="D33" i="19"/>
  <c r="D35" i="19"/>
  <c r="D38" i="19"/>
  <c r="D40" i="19"/>
  <c r="D42" i="19"/>
  <c r="D44" i="19"/>
  <c r="D49" i="19"/>
  <c r="D53" i="19"/>
  <c r="D55" i="19"/>
  <c r="D57" i="19"/>
  <c r="D60" i="19"/>
  <c r="D66" i="19"/>
  <c r="D75" i="19"/>
  <c r="D81" i="19"/>
  <c r="D88" i="19"/>
  <c r="D90" i="19"/>
  <c r="D92" i="19"/>
  <c r="D99" i="19"/>
  <c r="D103" i="19"/>
  <c r="D105" i="19"/>
  <c r="D109" i="19"/>
  <c r="D115" i="19"/>
  <c r="D117" i="19"/>
  <c r="D121" i="19"/>
  <c r="D124" i="19"/>
  <c r="D131" i="19"/>
  <c r="D133" i="19"/>
  <c r="D138" i="19"/>
  <c r="D147" i="19"/>
  <c r="D149" i="19"/>
  <c r="D7" i="19"/>
  <c r="D51" i="19"/>
  <c r="D58" i="19"/>
  <c r="D61" i="19"/>
  <c r="D70" i="19"/>
  <c r="D72" i="19"/>
  <c r="D76" i="19"/>
  <c r="D84" i="19"/>
  <c r="D86" i="19"/>
  <c r="D94" i="19"/>
  <c r="D98" i="19"/>
  <c r="D102" i="19"/>
  <c r="D106" i="19"/>
  <c r="D108" i="19"/>
  <c r="D119" i="19"/>
  <c r="D122" i="19"/>
  <c r="D125" i="19"/>
  <c r="D127" i="19"/>
  <c r="D129" i="19"/>
  <c r="D142" i="19"/>
  <c r="D145" i="19"/>
  <c r="D4" i="19"/>
  <c r="D151" i="19" s="1"/>
  <c r="D27" i="17"/>
  <c r="D8" i="17"/>
  <c r="D10" i="17"/>
  <c r="D12" i="17"/>
  <c r="D14" i="17"/>
  <c r="D16" i="17"/>
  <c r="D18" i="17"/>
  <c r="D20" i="17"/>
  <c r="D22" i="17"/>
  <c r="D24" i="17"/>
  <c r="D26" i="17"/>
  <c r="D28" i="17"/>
  <c r="D30" i="17"/>
  <c r="D32" i="17"/>
  <c r="D34" i="17"/>
  <c r="D37" i="17"/>
  <c r="D39" i="17"/>
  <c r="D43" i="17"/>
  <c r="D45" i="17"/>
  <c r="D47" i="17"/>
  <c r="D49" i="17"/>
  <c r="D52" i="17"/>
  <c r="D54" i="17"/>
  <c r="D56" i="17"/>
  <c r="D58" i="17"/>
  <c r="D60" i="17"/>
  <c r="D65" i="17"/>
  <c r="D69" i="17"/>
  <c r="D71" i="17"/>
  <c r="D73" i="17"/>
  <c r="D75" i="17"/>
  <c r="D77" i="17"/>
  <c r="D79" i="17"/>
  <c r="D82" i="17"/>
  <c r="D86" i="17"/>
  <c r="D88" i="17"/>
  <c r="D91" i="17"/>
  <c r="D95" i="17"/>
  <c r="D99" i="17"/>
  <c r="D139" i="17"/>
  <c r="D141" i="17"/>
  <c r="D144" i="17"/>
  <c r="D148" i="17"/>
  <c r="D150" i="17"/>
  <c r="D23" i="17"/>
  <c r="D41" i="17"/>
  <c r="D44" i="17"/>
  <c r="D50" i="17"/>
  <c r="D53" i="17"/>
  <c r="D61" i="17"/>
  <c r="D63" i="17"/>
  <c r="D67" i="17"/>
  <c r="D70" i="17"/>
  <c r="D72" i="17"/>
  <c r="D74" i="17"/>
  <c r="D80" i="17"/>
  <c r="D84" i="17"/>
  <c r="D89" i="17"/>
  <c r="D93" i="17"/>
  <c r="D97" i="17"/>
  <c r="D140" i="17"/>
  <c r="D142" i="17"/>
  <c r="D146" i="17"/>
  <c r="D6" i="17"/>
  <c r="D7" i="17"/>
  <c r="D9" i="17"/>
  <c r="D11" i="17"/>
  <c r="D13" i="17"/>
  <c r="D15" i="17"/>
  <c r="D17" i="17"/>
  <c r="D19" i="17"/>
  <c r="D21" i="17"/>
  <c r="D25" i="17"/>
  <c r="D5" i="17"/>
  <c r="D29" i="17"/>
  <c r="D31" i="17"/>
  <c r="D33" i="17"/>
  <c r="D35" i="17"/>
  <c r="D36" i="17"/>
  <c r="D38" i="17"/>
  <c r="D40" i="17"/>
  <c r="D42" i="17"/>
  <c r="D46" i="17"/>
  <c r="D48" i="17"/>
  <c r="D51" i="17"/>
  <c r="D55" i="17"/>
  <c r="D57" i="17"/>
  <c r="D59" i="17"/>
  <c r="D62" i="17"/>
  <c r="D64" i="17"/>
  <c r="D66" i="17"/>
  <c r="D68" i="17"/>
  <c r="D76" i="17"/>
  <c r="D78" i="17"/>
  <c r="D81" i="17"/>
  <c r="D83" i="17"/>
  <c r="D85" i="17"/>
  <c r="D87" i="17"/>
  <c r="D90" i="17"/>
  <c r="D92" i="17"/>
  <c r="D94" i="17"/>
  <c r="D96" i="17"/>
  <c r="D98" i="17"/>
  <c r="D138" i="17"/>
  <c r="D149" i="17"/>
  <c r="D4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43" i="17"/>
  <c r="D145" i="17"/>
  <c r="D147" i="17"/>
  <c r="D150" i="16"/>
  <c r="D33" i="16"/>
  <c r="D36" i="16"/>
  <c r="D38" i="16"/>
  <c r="D41" i="16"/>
  <c r="D43" i="16"/>
  <c r="D52" i="16"/>
  <c r="D54" i="16"/>
  <c r="D56" i="16"/>
  <c r="D58" i="16"/>
  <c r="D61" i="16"/>
  <c r="D81" i="16"/>
  <c r="D85" i="16"/>
  <c r="D87" i="16"/>
  <c r="D89" i="16"/>
  <c r="D92" i="16"/>
  <c r="D96" i="16"/>
  <c r="D105" i="16"/>
  <c r="D108" i="16"/>
  <c r="D112" i="16"/>
  <c r="D116" i="16"/>
  <c r="D122" i="16"/>
  <c r="D124" i="16"/>
  <c r="D131" i="16"/>
  <c r="D138" i="16"/>
  <c r="D140" i="16"/>
  <c r="D144" i="16"/>
  <c r="D147" i="16"/>
  <c r="D5" i="16"/>
  <c r="D7" i="16"/>
  <c r="D9" i="16"/>
  <c r="D11" i="16"/>
  <c r="D13" i="16"/>
  <c r="D15" i="16"/>
  <c r="D17" i="16"/>
  <c r="D21" i="16"/>
  <c r="D23" i="16"/>
  <c r="D25" i="16"/>
  <c r="D27" i="16"/>
  <c r="D29" i="16"/>
  <c r="D31" i="16"/>
  <c r="D34" i="16"/>
  <c r="D37" i="16"/>
  <c r="D39" i="16"/>
  <c r="D42" i="16"/>
  <c r="D44" i="16"/>
  <c r="D46" i="16"/>
  <c r="D48" i="16"/>
  <c r="D50" i="16"/>
  <c r="D57" i="16"/>
  <c r="D59" i="16"/>
  <c r="D62" i="16"/>
  <c r="D82" i="16"/>
  <c r="D84" i="16"/>
  <c r="D86" i="16"/>
  <c r="D88" i="16"/>
  <c r="D90" i="16"/>
  <c r="D93" i="16"/>
  <c r="D99" i="16"/>
  <c r="D101" i="16"/>
  <c r="D103" i="16"/>
  <c r="D110" i="16"/>
  <c r="D114" i="16"/>
  <c r="D118" i="16"/>
  <c r="D120" i="16"/>
  <c r="D127" i="16"/>
  <c r="D132" i="16"/>
  <c r="D134" i="16"/>
  <c r="D136" i="16"/>
  <c r="D141" i="16"/>
  <c r="D143" i="16"/>
  <c r="D146" i="16"/>
  <c r="D148" i="16"/>
  <c r="D19" i="16"/>
  <c r="D6" i="16"/>
  <c r="D8" i="16"/>
  <c r="D10" i="16"/>
  <c r="D12" i="16"/>
  <c r="D14" i="16"/>
  <c r="D16" i="16"/>
  <c r="D18" i="16"/>
  <c r="D20" i="16"/>
  <c r="D22" i="16"/>
  <c r="D24" i="16"/>
  <c r="D26" i="16"/>
  <c r="D28" i="16"/>
  <c r="D30" i="16"/>
  <c r="D32" i="16"/>
  <c r="D35" i="16"/>
  <c r="D40" i="16"/>
  <c r="D45" i="16"/>
  <c r="D47" i="16"/>
  <c r="D49" i="16"/>
  <c r="D51" i="16"/>
  <c r="D53" i="16"/>
  <c r="D55" i="16"/>
  <c r="D60" i="16"/>
  <c r="D91" i="16"/>
  <c r="D95" i="16"/>
  <c r="D98" i="16"/>
  <c r="D100" i="16"/>
  <c r="D104" i="16"/>
  <c r="D106" i="16"/>
  <c r="D109" i="16"/>
  <c r="D113" i="16"/>
  <c r="D115" i="16"/>
  <c r="D121" i="16"/>
  <c r="D123" i="16"/>
  <c r="D126" i="16"/>
  <c r="D128" i="16"/>
  <c r="D130" i="16"/>
  <c r="D135" i="16"/>
  <c r="D137" i="16"/>
  <c r="D139" i="16"/>
  <c r="D145" i="16"/>
  <c r="D149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3" i="16"/>
  <c r="D94" i="16"/>
  <c r="D97" i="16"/>
  <c r="D102" i="16"/>
  <c r="D107" i="16"/>
  <c r="D111" i="16"/>
  <c r="D117" i="16"/>
  <c r="D119" i="16"/>
  <c r="D125" i="16"/>
  <c r="D129" i="16"/>
  <c r="D133" i="16"/>
  <c r="D142" i="16"/>
  <c r="D4" i="16"/>
  <c r="D151" i="16" s="1"/>
  <c r="D129" i="15"/>
  <c r="D23" i="15"/>
  <c r="D28" i="15"/>
  <c r="D31" i="15"/>
  <c r="D36" i="15"/>
  <c r="D40" i="15"/>
  <c r="D42" i="15"/>
  <c r="D44" i="15"/>
  <c r="D50" i="15"/>
  <c r="D54" i="15"/>
  <c r="D57" i="15"/>
  <c r="D62" i="15"/>
  <c r="D65" i="15"/>
  <c r="D72" i="15"/>
  <c r="D76" i="15"/>
  <c r="D79" i="15"/>
  <c r="D85" i="15"/>
  <c r="D92" i="15"/>
  <c r="D97" i="15"/>
  <c r="D101" i="15"/>
  <c r="D105" i="15"/>
  <c r="D110" i="15"/>
  <c r="D112" i="15"/>
  <c r="D114" i="15"/>
  <c r="D116" i="15"/>
  <c r="D127" i="15"/>
  <c r="D131" i="15"/>
  <c r="D139" i="15"/>
  <c r="D142" i="15"/>
  <c r="D144" i="15"/>
  <c r="D146" i="15"/>
  <c r="D148" i="15"/>
  <c r="D5" i="15"/>
  <c r="D8" i="15"/>
  <c r="D11" i="15"/>
  <c r="D13" i="15"/>
  <c r="D15" i="15"/>
  <c r="D17" i="15"/>
  <c r="D19" i="15"/>
  <c r="D21" i="15"/>
  <c r="D25" i="15"/>
  <c r="D30" i="15"/>
  <c r="D33" i="15"/>
  <c r="D35" i="15"/>
  <c r="D37" i="15"/>
  <c r="D39" i="15"/>
  <c r="D43" i="15"/>
  <c r="D45" i="15"/>
  <c r="D49" i="15"/>
  <c r="D51" i="15"/>
  <c r="D55" i="15"/>
  <c r="D59" i="15"/>
  <c r="D61" i="15"/>
  <c r="D64" i="15"/>
  <c r="D67" i="15"/>
  <c r="D69" i="15"/>
  <c r="D71" i="15"/>
  <c r="D73" i="15"/>
  <c r="D83" i="15"/>
  <c r="D86" i="15"/>
  <c r="D88" i="15"/>
  <c r="D93" i="15"/>
  <c r="D96" i="15"/>
  <c r="D99" i="15"/>
  <c r="D103" i="15"/>
  <c r="D106" i="15"/>
  <c r="D109" i="15"/>
  <c r="D111" i="15"/>
  <c r="D117" i="15"/>
  <c r="D119" i="15"/>
  <c r="D122" i="15"/>
  <c r="D124" i="15"/>
  <c r="D126" i="15"/>
  <c r="D9" i="15"/>
  <c r="D133" i="15"/>
  <c r="D137" i="15"/>
  <c r="D141" i="15"/>
  <c r="D143" i="15"/>
  <c r="D147" i="15"/>
  <c r="D4" i="15"/>
  <c r="D6" i="15"/>
  <c r="D7" i="15"/>
  <c r="D10" i="15"/>
  <c r="D12" i="15"/>
  <c r="D14" i="15"/>
  <c r="D16" i="15"/>
  <c r="D18" i="15"/>
  <c r="D20" i="15"/>
  <c r="D22" i="15"/>
  <c r="D24" i="15"/>
  <c r="D27" i="15"/>
  <c r="D29" i="15"/>
  <c r="D32" i="15"/>
  <c r="D34" i="15"/>
  <c r="D38" i="15"/>
  <c r="D41" i="15"/>
  <c r="D46" i="15"/>
  <c r="D48" i="15"/>
  <c r="D53" i="15"/>
  <c r="D58" i="15"/>
  <c r="D66" i="15"/>
  <c r="D70" i="15"/>
  <c r="D75" i="15"/>
  <c r="D78" i="15"/>
  <c r="D80" i="15"/>
  <c r="D82" i="15"/>
  <c r="D90" i="15"/>
  <c r="D95" i="15"/>
  <c r="D100" i="15"/>
  <c r="D108" i="15"/>
  <c r="D113" i="15"/>
  <c r="D115" i="15"/>
  <c r="D121" i="15"/>
  <c r="D130" i="15"/>
  <c r="D134" i="15"/>
  <c r="D136" i="15"/>
  <c r="D138" i="15"/>
  <c r="D150" i="15"/>
  <c r="D26" i="15"/>
  <c r="D47" i="15"/>
  <c r="D52" i="15"/>
  <c r="D56" i="15"/>
  <c r="D60" i="15"/>
  <c r="D63" i="15"/>
  <c r="D68" i="15"/>
  <c r="D74" i="15"/>
  <c r="D77" i="15"/>
  <c r="D81" i="15"/>
  <c r="D84" i="15"/>
  <c r="D87" i="15"/>
  <c r="D89" i="15"/>
  <c r="D91" i="15"/>
  <c r="D94" i="15"/>
  <c r="D98" i="15"/>
  <c r="D102" i="15"/>
  <c r="D104" i="15"/>
  <c r="D107" i="15"/>
  <c r="D118" i="15"/>
  <c r="D120" i="15"/>
  <c r="D123" i="15"/>
  <c r="D125" i="15"/>
  <c r="D128" i="15"/>
  <c r="D132" i="15"/>
  <c r="D135" i="15"/>
  <c r="D140" i="15"/>
  <c r="D145" i="15"/>
  <c r="D149" i="15"/>
  <c r="D75" i="14"/>
  <c r="D118" i="14"/>
  <c r="D44" i="14"/>
  <c r="D47" i="14"/>
  <c r="D52" i="14"/>
  <c r="D55" i="14"/>
  <c r="D60" i="14"/>
  <c r="D62" i="14"/>
  <c r="D64" i="14"/>
  <c r="D66" i="14"/>
  <c r="D68" i="14"/>
  <c r="D70" i="14"/>
  <c r="D72" i="14"/>
  <c r="D74" i="14"/>
  <c r="D76" i="14"/>
  <c r="D78" i="14"/>
  <c r="D80" i="14"/>
  <c r="D84" i="14"/>
  <c r="D86" i="14"/>
  <c r="D88" i="14"/>
  <c r="D90" i="14"/>
  <c r="D100" i="14"/>
  <c r="D102" i="14"/>
  <c r="D104" i="14"/>
  <c r="D106" i="14"/>
  <c r="D108" i="14"/>
  <c r="D114" i="14"/>
  <c r="D116" i="14"/>
  <c r="D120" i="14"/>
  <c r="D5" i="14"/>
  <c r="D7" i="14"/>
  <c r="D9" i="14"/>
  <c r="D11" i="14"/>
  <c r="D13" i="14"/>
  <c r="D15" i="14"/>
  <c r="D17" i="14"/>
  <c r="D19" i="14"/>
  <c r="D22" i="14"/>
  <c r="D24" i="14"/>
  <c r="D26" i="14"/>
  <c r="D28" i="14"/>
  <c r="D30" i="14"/>
  <c r="D32" i="14"/>
  <c r="D33" i="14"/>
  <c r="D35" i="14"/>
  <c r="D37" i="14"/>
  <c r="D39" i="14"/>
  <c r="D41" i="14"/>
  <c r="D43" i="14"/>
  <c r="D45" i="14"/>
  <c r="D48" i="14"/>
  <c r="D50" i="14"/>
  <c r="D54" i="14"/>
  <c r="D57" i="14"/>
  <c r="D59" i="14"/>
  <c r="D61" i="14"/>
  <c r="D63" i="14"/>
  <c r="D73" i="14"/>
  <c r="D21" i="14"/>
  <c r="D79" i="14"/>
  <c r="D81" i="14"/>
  <c r="D83" i="14"/>
  <c r="D85" i="14"/>
  <c r="D89" i="14"/>
  <c r="D91" i="14"/>
  <c r="D93" i="14"/>
  <c r="D95" i="14"/>
  <c r="D97" i="14"/>
  <c r="D99" i="14"/>
  <c r="D101" i="14"/>
  <c r="D103" i="14"/>
  <c r="D105" i="14"/>
  <c r="D107" i="14"/>
  <c r="D109" i="14"/>
  <c r="D111" i="14"/>
  <c r="D113" i="14"/>
  <c r="D115" i="14"/>
  <c r="D117" i="14"/>
  <c r="D119" i="14"/>
  <c r="D121" i="14"/>
  <c r="D6" i="14"/>
  <c r="D8" i="14"/>
  <c r="D10" i="14"/>
  <c r="D12" i="14"/>
  <c r="D14" i="14"/>
  <c r="D16" i="14"/>
  <c r="D18" i="14"/>
  <c r="D20" i="14"/>
  <c r="D23" i="14"/>
  <c r="D25" i="14"/>
  <c r="D27" i="14"/>
  <c r="D29" i="14"/>
  <c r="D31" i="14"/>
  <c r="D34" i="14"/>
  <c r="D38" i="14"/>
  <c r="D40" i="14"/>
  <c r="D42" i="14"/>
  <c r="D46" i="14"/>
  <c r="D49" i="14"/>
  <c r="D51" i="14"/>
  <c r="D53" i="14"/>
  <c r="D56" i="14"/>
  <c r="D58" i="14"/>
  <c r="D65" i="14"/>
  <c r="D67" i="14"/>
  <c r="D69" i="14"/>
  <c r="D71" i="14"/>
  <c r="D77" i="14"/>
  <c r="D82" i="14"/>
  <c r="D87" i="14"/>
  <c r="D92" i="14"/>
  <c r="D94" i="14"/>
  <c r="D96" i="14"/>
  <c r="D98" i="14"/>
  <c r="D110" i="14"/>
  <c r="D112" i="14"/>
  <c r="D36" i="14"/>
  <c r="D125" i="13"/>
  <c r="D36" i="13"/>
  <c r="D39" i="13"/>
  <c r="D42" i="13"/>
  <c r="D45" i="13"/>
  <c r="D50" i="13"/>
  <c r="D58" i="13"/>
  <c r="D63" i="13"/>
  <c r="D67" i="13"/>
  <c r="D70" i="13"/>
  <c r="D74" i="13"/>
  <c r="D79" i="13"/>
  <c r="D84" i="13"/>
  <c r="D86" i="13"/>
  <c r="D91" i="13"/>
  <c r="D94" i="13"/>
  <c r="D96" i="13"/>
  <c r="D99" i="13"/>
  <c r="D101" i="13"/>
  <c r="D106" i="13"/>
  <c r="D109" i="13"/>
  <c r="D113" i="13"/>
  <c r="D120" i="13"/>
  <c r="D122" i="13"/>
  <c r="D128" i="13"/>
  <c r="D133" i="13"/>
  <c r="D135" i="13"/>
  <c r="D140" i="13"/>
  <c r="D145" i="13"/>
  <c r="D5" i="13"/>
  <c r="D7" i="13"/>
  <c r="D9" i="13"/>
  <c r="D11" i="13"/>
  <c r="D13" i="13"/>
  <c r="D15" i="13"/>
  <c r="D16" i="13"/>
  <c r="D18" i="13"/>
  <c r="D20" i="13"/>
  <c r="D22" i="13"/>
  <c r="D27" i="13"/>
  <c r="D29" i="13"/>
  <c r="D31" i="13"/>
  <c r="D34" i="13"/>
  <c r="D38" i="13"/>
  <c r="D41" i="13"/>
  <c r="D43" i="13"/>
  <c r="D46" i="13"/>
  <c r="D48" i="13"/>
  <c r="D52" i="13"/>
  <c r="D54" i="13"/>
  <c r="D57" i="13"/>
  <c r="D60" i="13"/>
  <c r="D62" i="13"/>
  <c r="D65" i="13"/>
  <c r="D69" i="13"/>
  <c r="D73" i="13"/>
  <c r="D77" i="13"/>
  <c r="D83" i="13"/>
  <c r="D85" i="13"/>
  <c r="D87" i="13"/>
  <c r="D89" i="13"/>
  <c r="D93" i="13"/>
  <c r="D95" i="13"/>
  <c r="D98" i="13"/>
  <c r="D100" i="13"/>
  <c r="D102" i="13"/>
  <c r="D104" i="13"/>
  <c r="D107" i="13"/>
  <c r="D110" i="13"/>
  <c r="D112" i="13"/>
  <c r="D114" i="13"/>
  <c r="D116" i="13"/>
  <c r="D118" i="13"/>
  <c r="D23" i="13"/>
  <c r="D127" i="13"/>
  <c r="D129" i="13"/>
  <c r="D132" i="13"/>
  <c r="D137" i="13"/>
  <c r="D139" i="13"/>
  <c r="D141" i="13"/>
  <c r="D143" i="13"/>
  <c r="D149" i="13"/>
  <c r="D4" i="13"/>
  <c r="D6" i="13"/>
  <c r="D8" i="13"/>
  <c r="D10" i="13"/>
  <c r="D12" i="13"/>
  <c r="D14" i="13"/>
  <c r="D17" i="13"/>
  <c r="D19" i="13"/>
  <c r="D21" i="13"/>
  <c r="D24" i="13"/>
  <c r="D26" i="13"/>
  <c r="D28" i="13"/>
  <c r="D30" i="13"/>
  <c r="D32" i="13"/>
  <c r="D33" i="13"/>
  <c r="D35" i="13"/>
  <c r="D37" i="13"/>
  <c r="D40" i="13"/>
  <c r="D44" i="13"/>
  <c r="D47" i="13"/>
  <c r="D49" i="13"/>
  <c r="D51" i="13"/>
  <c r="D53" i="13"/>
  <c r="D56" i="13"/>
  <c r="D59" i="13"/>
  <c r="D61" i="13"/>
  <c r="D66" i="13"/>
  <c r="D68" i="13"/>
  <c r="D72" i="13"/>
  <c r="D75" i="13"/>
  <c r="D78" i="13"/>
  <c r="D80" i="13"/>
  <c r="D82" i="13"/>
  <c r="D92" i="13"/>
  <c r="D111" i="13"/>
  <c r="D115" i="13"/>
  <c r="D119" i="13"/>
  <c r="D123" i="13"/>
  <c r="D130" i="13"/>
  <c r="D134" i="13"/>
  <c r="D144" i="13"/>
  <c r="D147" i="13"/>
  <c r="D25" i="13"/>
  <c r="D55" i="13"/>
  <c r="D64" i="13"/>
  <c r="D71" i="13"/>
  <c r="D76" i="13"/>
  <c r="D81" i="13"/>
  <c r="D88" i="13"/>
  <c r="D90" i="13"/>
  <c r="D97" i="13"/>
  <c r="D103" i="13"/>
  <c r="D105" i="13"/>
  <c r="D108" i="13"/>
  <c r="D117" i="13"/>
  <c r="D121" i="13"/>
  <c r="D124" i="13"/>
  <c r="D126" i="13"/>
  <c r="D131" i="13"/>
  <c r="D136" i="13"/>
  <c r="D138" i="13"/>
  <c r="D142" i="13"/>
  <c r="D146" i="13"/>
  <c r="D148" i="13"/>
  <c r="D150" i="13"/>
  <c r="D11" i="11"/>
  <c r="D21" i="11"/>
  <c r="D28" i="11"/>
  <c r="D31" i="11"/>
  <c r="D63" i="11"/>
  <c r="D65" i="11"/>
  <c r="D68" i="11"/>
  <c r="D70" i="11"/>
  <c r="D72" i="11"/>
  <c r="D74" i="11"/>
  <c r="D76" i="11"/>
  <c r="D78" i="11"/>
  <c r="D80" i="11"/>
  <c r="D89" i="11"/>
  <c r="D94" i="11"/>
  <c r="D101" i="11"/>
  <c r="D103" i="11"/>
  <c r="D107" i="11"/>
  <c r="D109" i="11"/>
  <c r="D111" i="11"/>
  <c r="D113" i="11"/>
  <c r="D117" i="11"/>
  <c r="D120" i="11"/>
  <c r="D5" i="11"/>
  <c r="D7" i="11"/>
  <c r="D10" i="11"/>
  <c r="D12" i="11"/>
  <c r="D14" i="11"/>
  <c r="D16" i="11"/>
  <c r="D17" i="11"/>
  <c r="D19" i="11"/>
  <c r="D22" i="11"/>
  <c r="D24" i="11"/>
  <c r="D26" i="11"/>
  <c r="D30" i="11"/>
  <c r="D32" i="11"/>
  <c r="D34" i="11"/>
  <c r="D36" i="11"/>
  <c r="D38" i="11"/>
  <c r="D40" i="11"/>
  <c r="D42" i="11"/>
  <c r="D44" i="11"/>
  <c r="D46" i="11"/>
  <c r="D48" i="11"/>
  <c r="D50" i="11"/>
  <c r="D52" i="11"/>
  <c r="D54" i="11"/>
  <c r="D56" i="11"/>
  <c r="D58" i="11"/>
  <c r="D60" i="11"/>
  <c r="D62" i="11"/>
  <c r="D64" i="11"/>
  <c r="D66" i="11"/>
  <c r="D69" i="11"/>
  <c r="D71" i="11"/>
  <c r="D73" i="11"/>
  <c r="D77" i="11"/>
  <c r="D79" i="11"/>
  <c r="D81" i="11"/>
  <c r="D83" i="11"/>
  <c r="D85" i="11"/>
  <c r="D87" i="11"/>
  <c r="D91" i="11"/>
  <c r="D93" i="11"/>
  <c r="D96" i="11"/>
  <c r="D98" i="11"/>
  <c r="D100" i="11"/>
  <c r="D105" i="11"/>
  <c r="D115" i="11"/>
  <c r="D118" i="11"/>
  <c r="D122" i="11"/>
  <c r="D6" i="11"/>
  <c r="D8" i="11"/>
  <c r="D9" i="11"/>
  <c r="D13" i="11"/>
  <c r="D15" i="11"/>
  <c r="D18" i="11"/>
  <c r="D20" i="11"/>
  <c r="D23" i="11"/>
  <c r="D25" i="11"/>
  <c r="D27" i="11"/>
  <c r="D29" i="11"/>
  <c r="D33" i="11"/>
  <c r="D35" i="11"/>
  <c r="D37" i="11"/>
  <c r="D39" i="11"/>
  <c r="D41" i="11"/>
  <c r="D43" i="11"/>
  <c r="D45" i="11"/>
  <c r="D47" i="11"/>
  <c r="D49" i="11"/>
  <c r="D51" i="11"/>
  <c r="D53" i="11"/>
  <c r="D55" i="11"/>
  <c r="D57" i="11"/>
  <c r="D59" i="11"/>
  <c r="D61" i="11"/>
  <c r="D67" i="11"/>
  <c r="D75" i="11"/>
  <c r="D82" i="11"/>
  <c r="D84" i="11"/>
  <c r="D86" i="11"/>
  <c r="D88" i="11"/>
  <c r="D90" i="11"/>
  <c r="D92" i="11"/>
  <c r="D95" i="11"/>
  <c r="D97" i="11"/>
  <c r="D99" i="11"/>
  <c r="D102" i="11"/>
  <c r="D104" i="11"/>
  <c r="D106" i="11"/>
  <c r="D108" i="11"/>
  <c r="D110" i="11"/>
  <c r="D112" i="11"/>
  <c r="D114" i="11"/>
  <c r="D116" i="11"/>
  <c r="D119" i="11"/>
  <c r="D121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4" i="11"/>
  <c r="D151" i="11" s="1"/>
  <c r="D86" i="10"/>
  <c r="D8" i="10"/>
  <c r="D10" i="10"/>
  <c r="D12" i="10"/>
  <c r="D14" i="10"/>
  <c r="D16" i="10"/>
  <c r="D18" i="10"/>
  <c r="D22" i="10"/>
  <c r="D24" i="10"/>
  <c r="D26" i="10"/>
  <c r="D28" i="10"/>
  <c r="D30" i="10"/>
  <c r="D32" i="10"/>
  <c r="D34" i="10"/>
  <c r="D37" i="10"/>
  <c r="D43" i="10"/>
  <c r="D45" i="10"/>
  <c r="D48" i="10"/>
  <c r="D50" i="10"/>
  <c r="D52" i="10"/>
  <c r="D54" i="10"/>
  <c r="D56" i="10"/>
  <c r="D58" i="10"/>
  <c r="D60" i="10"/>
  <c r="D62" i="10"/>
  <c r="D64" i="10"/>
  <c r="D68" i="10"/>
  <c r="D73" i="10"/>
  <c r="D80" i="10"/>
  <c r="D85" i="10"/>
  <c r="D87" i="10"/>
  <c r="D91" i="10"/>
  <c r="D93" i="10"/>
  <c r="D95" i="10"/>
  <c r="D97" i="10"/>
  <c r="D99" i="10"/>
  <c r="D103" i="10"/>
  <c r="D105" i="10"/>
  <c r="D109" i="10"/>
  <c r="D112" i="10"/>
  <c r="D116" i="10"/>
  <c r="D118" i="10"/>
  <c r="D122" i="10"/>
  <c r="D125" i="10"/>
  <c r="D128" i="10"/>
  <c r="D133" i="10"/>
  <c r="D140" i="10"/>
  <c r="D145" i="10"/>
  <c r="D148" i="10"/>
  <c r="D150" i="10"/>
  <c r="D5" i="10"/>
  <c r="D9" i="10"/>
  <c r="D13" i="10"/>
  <c r="D17" i="10"/>
  <c r="D19" i="10"/>
  <c r="D21" i="10"/>
  <c r="D27" i="10"/>
  <c r="D31" i="10"/>
  <c r="D33" i="10"/>
  <c r="D35" i="10"/>
  <c r="D38" i="10"/>
  <c r="D40" i="10"/>
  <c r="D42" i="10"/>
  <c r="D44" i="10"/>
  <c r="D46" i="10"/>
  <c r="D51" i="10"/>
  <c r="D65" i="10"/>
  <c r="D67" i="10"/>
  <c r="D69" i="10"/>
  <c r="D71" i="10"/>
  <c r="D74" i="10"/>
  <c r="D77" i="10"/>
  <c r="D79" i="10"/>
  <c r="D7" i="10"/>
  <c r="D90" i="10"/>
  <c r="D92" i="10"/>
  <c r="D94" i="10"/>
  <c r="D98" i="10"/>
  <c r="D100" i="10"/>
  <c r="D102" i="10"/>
  <c r="D104" i="10"/>
  <c r="D113" i="10"/>
  <c r="D124" i="10"/>
  <c r="D127" i="10"/>
  <c r="D131" i="10"/>
  <c r="D138" i="10"/>
  <c r="D142" i="10"/>
  <c r="D144" i="10"/>
  <c r="D147" i="10"/>
  <c r="D6" i="10"/>
  <c r="D11" i="10"/>
  <c r="D15" i="10"/>
  <c r="D20" i="10"/>
  <c r="D23" i="10"/>
  <c r="D25" i="10"/>
  <c r="D29" i="10"/>
  <c r="D36" i="10"/>
  <c r="D39" i="10"/>
  <c r="D41" i="10"/>
  <c r="D49" i="10"/>
  <c r="D53" i="10"/>
  <c r="D55" i="10"/>
  <c r="D57" i="10"/>
  <c r="D59" i="10"/>
  <c r="D61" i="10"/>
  <c r="D63" i="10"/>
  <c r="D66" i="10"/>
  <c r="D70" i="10"/>
  <c r="D72" i="10"/>
  <c r="D76" i="10"/>
  <c r="D82" i="10"/>
  <c r="D84" i="10"/>
  <c r="D89" i="10"/>
  <c r="D96" i="10"/>
  <c r="D106" i="10"/>
  <c r="D108" i="10"/>
  <c r="D111" i="10"/>
  <c r="D115" i="10"/>
  <c r="D119" i="10"/>
  <c r="D121" i="10"/>
  <c r="D123" i="10"/>
  <c r="D129" i="10"/>
  <c r="D132" i="10"/>
  <c r="D135" i="10"/>
  <c r="D137" i="10"/>
  <c r="D139" i="10"/>
  <c r="D141" i="10"/>
  <c r="D143" i="10"/>
  <c r="D146" i="10"/>
  <c r="D149" i="10"/>
  <c r="D47" i="10"/>
  <c r="D75" i="10"/>
  <c r="D78" i="10"/>
  <c r="D81" i="10"/>
  <c r="D83" i="10"/>
  <c r="D88" i="10"/>
  <c r="D101" i="10"/>
  <c r="D107" i="10"/>
  <c r="D110" i="10"/>
  <c r="D114" i="10"/>
  <c r="D117" i="10"/>
  <c r="D120" i="10"/>
  <c r="D126" i="10"/>
  <c r="D130" i="10"/>
  <c r="D134" i="10"/>
  <c r="D136" i="10"/>
  <c r="D4" i="10"/>
  <c r="D102" i="8"/>
  <c r="D33" i="8"/>
  <c r="D36" i="8"/>
  <c r="D38" i="8"/>
  <c r="D40" i="8"/>
  <c r="D45" i="8"/>
  <c r="D47" i="8"/>
  <c r="D49" i="8"/>
  <c r="D51" i="8"/>
  <c r="D53" i="8"/>
  <c r="D55" i="8"/>
  <c r="D57" i="8"/>
  <c r="D59" i="8"/>
  <c r="D61" i="8"/>
  <c r="D64" i="8"/>
  <c r="D66" i="8"/>
  <c r="D68" i="8"/>
  <c r="D70" i="8"/>
  <c r="D72" i="8"/>
  <c r="D76" i="8"/>
  <c r="D78" i="8"/>
  <c r="D80" i="8"/>
  <c r="D87" i="8"/>
  <c r="D89" i="8"/>
  <c r="D92" i="8"/>
  <c r="D99" i="8"/>
  <c r="D103" i="8"/>
  <c r="D108" i="8"/>
  <c r="D114" i="8"/>
  <c r="D117" i="8"/>
  <c r="D119" i="8"/>
  <c r="D130" i="8"/>
  <c r="D132" i="8"/>
  <c r="D141" i="8"/>
  <c r="D143" i="8"/>
  <c r="D148" i="8"/>
  <c r="D150" i="8"/>
  <c r="D5" i="8"/>
  <c r="D8" i="8"/>
  <c r="D11" i="8"/>
  <c r="D13" i="8"/>
  <c r="D15" i="8"/>
  <c r="D17" i="8"/>
  <c r="D19" i="8"/>
  <c r="D21" i="8"/>
  <c r="D23" i="8"/>
  <c r="D25" i="8"/>
  <c r="D27" i="8"/>
  <c r="D29" i="8"/>
  <c r="D31" i="8"/>
  <c r="D35" i="8"/>
  <c r="D39" i="8"/>
  <c r="D41" i="8"/>
  <c r="D43" i="8"/>
  <c r="D46" i="8"/>
  <c r="D50" i="8"/>
  <c r="D54" i="8"/>
  <c r="D56" i="8"/>
  <c r="D62" i="8"/>
  <c r="D65" i="8"/>
  <c r="D67" i="8"/>
  <c r="D69" i="8"/>
  <c r="D71" i="8"/>
  <c r="D73" i="8"/>
  <c r="D75" i="8"/>
  <c r="D79" i="8"/>
  <c r="D81" i="8"/>
  <c r="D83" i="8"/>
  <c r="D86" i="8"/>
  <c r="D88" i="8"/>
  <c r="D90" i="8"/>
  <c r="D93" i="8"/>
  <c r="D97" i="8"/>
  <c r="D10" i="8"/>
  <c r="D104" i="8"/>
  <c r="D110" i="8"/>
  <c r="D112" i="8"/>
  <c r="D118" i="8"/>
  <c r="D121" i="8"/>
  <c r="D126" i="8"/>
  <c r="D129" i="8"/>
  <c r="D131" i="8"/>
  <c r="D136" i="8"/>
  <c r="D147" i="8"/>
  <c r="D6" i="8"/>
  <c r="D7" i="8"/>
  <c r="D9" i="8"/>
  <c r="D12" i="8"/>
  <c r="D14" i="8"/>
  <c r="D16" i="8"/>
  <c r="D18" i="8"/>
  <c r="D20" i="8"/>
  <c r="D22" i="8"/>
  <c r="D24" i="8"/>
  <c r="D26" i="8"/>
  <c r="D28" i="8"/>
  <c r="D30" i="8"/>
  <c r="D32" i="8"/>
  <c r="D34" i="8"/>
  <c r="D37" i="8"/>
  <c r="D42" i="8"/>
  <c r="D44" i="8"/>
  <c r="D48" i="8"/>
  <c r="D52" i="8"/>
  <c r="D58" i="8"/>
  <c r="D60" i="8"/>
  <c r="D63" i="8"/>
  <c r="D74" i="8"/>
  <c r="D77" i="8"/>
  <c r="D82" i="8"/>
  <c r="D84" i="8"/>
  <c r="D94" i="8"/>
  <c r="D96" i="8"/>
  <c r="D101" i="8"/>
  <c r="D105" i="8"/>
  <c r="D107" i="8"/>
  <c r="D111" i="8"/>
  <c r="D115" i="8"/>
  <c r="D122" i="8"/>
  <c r="D124" i="8"/>
  <c r="D128" i="8"/>
  <c r="D133" i="8"/>
  <c r="D135" i="8"/>
  <c r="D137" i="8"/>
  <c r="D139" i="8"/>
  <c r="D145" i="8"/>
  <c r="D149" i="8"/>
  <c r="D85" i="8"/>
  <c r="D91" i="8"/>
  <c r="D95" i="8"/>
  <c r="D98" i="8"/>
  <c r="D100" i="8"/>
  <c r="D106" i="8"/>
  <c r="D109" i="8"/>
  <c r="D113" i="8"/>
  <c r="D116" i="8"/>
  <c r="D120" i="8"/>
  <c r="D123" i="8"/>
  <c r="D125" i="8"/>
  <c r="D127" i="8"/>
  <c r="D134" i="8"/>
  <c r="D138" i="8"/>
  <c r="D140" i="8"/>
  <c r="D142" i="8"/>
  <c r="D144" i="8"/>
  <c r="D146" i="8"/>
  <c r="D4" i="8"/>
  <c r="D144" i="7"/>
  <c r="D19" i="7"/>
  <c r="D26" i="7"/>
  <c r="D36" i="7"/>
  <c r="D39" i="7"/>
  <c r="D41" i="7"/>
  <c r="D43" i="7"/>
  <c r="D47" i="7"/>
  <c r="D50" i="7"/>
  <c r="D52" i="7"/>
  <c r="D56" i="7"/>
  <c r="D62" i="7"/>
  <c r="D64" i="7"/>
  <c r="D67" i="7"/>
  <c r="D70" i="7"/>
  <c r="D72" i="7"/>
  <c r="D74" i="7"/>
  <c r="D76" i="7"/>
  <c r="D79" i="7"/>
  <c r="D83" i="7"/>
  <c r="D87" i="7"/>
  <c r="D95" i="7"/>
  <c r="D99" i="7"/>
  <c r="D102" i="7"/>
  <c r="D109" i="7"/>
  <c r="D113" i="7"/>
  <c r="D117" i="7"/>
  <c r="D120" i="7"/>
  <c r="D124" i="7"/>
  <c r="D126" i="7"/>
  <c r="D130" i="7"/>
  <c r="D134" i="7"/>
  <c r="D138" i="7"/>
  <c r="D141" i="7"/>
  <c r="D143" i="7"/>
  <c r="D147" i="7"/>
  <c r="D149" i="7"/>
  <c r="D4" i="7"/>
  <c r="D5" i="7"/>
  <c r="D7" i="7"/>
  <c r="D10" i="7"/>
  <c r="D14" i="7"/>
  <c r="D16" i="7"/>
  <c r="D18" i="7"/>
  <c r="D21" i="7"/>
  <c r="D23" i="7"/>
  <c r="D25" i="7"/>
  <c r="D27" i="7"/>
  <c r="D29" i="7"/>
  <c r="D31" i="7"/>
  <c r="D33" i="7"/>
  <c r="D35" i="7"/>
  <c r="D38" i="7"/>
  <c r="D40" i="7"/>
  <c r="D45" i="7"/>
  <c r="D48" i="7"/>
  <c r="D51" i="7"/>
  <c r="D55" i="7"/>
  <c r="D59" i="7"/>
  <c r="D66" i="7"/>
  <c r="D68" i="7"/>
  <c r="D82" i="7"/>
  <c r="D84" i="7"/>
  <c r="D86" i="7"/>
  <c r="D88" i="7"/>
  <c r="D90" i="7"/>
  <c r="D92" i="7"/>
  <c r="D104" i="7"/>
  <c r="D106" i="7"/>
  <c r="D108" i="7"/>
  <c r="D111" i="7"/>
  <c r="D127" i="7"/>
  <c r="D137" i="7"/>
  <c r="D8" i="7"/>
  <c r="D146" i="7"/>
  <c r="D6" i="7"/>
  <c r="D9" i="7"/>
  <c r="D11" i="7"/>
  <c r="D13" i="7"/>
  <c r="D15" i="7"/>
  <c r="D17" i="7"/>
  <c r="D20" i="7"/>
  <c r="D22" i="7"/>
  <c r="D24" i="7"/>
  <c r="D28" i="7"/>
  <c r="D30" i="7"/>
  <c r="D32" i="7"/>
  <c r="D34" i="7"/>
  <c r="D37" i="7"/>
  <c r="D42" i="7"/>
  <c r="D46" i="7"/>
  <c r="D49" i="7"/>
  <c r="D53" i="7"/>
  <c r="D57" i="7"/>
  <c r="D61" i="7"/>
  <c r="D63" i="7"/>
  <c r="D69" i="7"/>
  <c r="D73" i="7"/>
  <c r="D77" i="7"/>
  <c r="D80" i="7"/>
  <c r="D91" i="7"/>
  <c r="D93" i="7"/>
  <c r="D97" i="7"/>
  <c r="D101" i="7"/>
  <c r="D103" i="7"/>
  <c r="D110" i="7"/>
  <c r="D112" i="7"/>
  <c r="D115" i="7"/>
  <c r="D119" i="7"/>
  <c r="D122" i="7"/>
  <c r="D129" i="7"/>
  <c r="D132" i="7"/>
  <c r="D135" i="7"/>
  <c r="D139" i="7"/>
  <c r="D142" i="7"/>
  <c r="D12" i="7"/>
  <c r="D44" i="7"/>
  <c r="D54" i="7"/>
  <c r="D58" i="7"/>
  <c r="D60" i="7"/>
  <c r="D65" i="7"/>
  <c r="D71" i="7"/>
  <c r="D75" i="7"/>
  <c r="D78" i="7"/>
  <c r="D81" i="7"/>
  <c r="D85" i="7"/>
  <c r="D89" i="7"/>
  <c r="D94" i="7"/>
  <c r="D96" i="7"/>
  <c r="D98" i="7"/>
  <c r="D100" i="7"/>
  <c r="D105" i="7"/>
  <c r="D107" i="7"/>
  <c r="D114" i="7"/>
  <c r="D116" i="7"/>
  <c r="D118" i="7"/>
  <c r="D121" i="7"/>
  <c r="D123" i="7"/>
  <c r="D125" i="7"/>
  <c r="D128" i="7"/>
  <c r="D131" i="7"/>
  <c r="D133" i="7"/>
  <c r="D136" i="7"/>
  <c r="D140" i="7"/>
  <c r="D145" i="7"/>
  <c r="D148" i="7"/>
  <c r="D150" i="7"/>
  <c r="D121" i="6"/>
  <c r="D8" i="6"/>
  <c r="D11" i="6"/>
  <c r="D17" i="6"/>
  <c r="D20" i="6"/>
  <c r="D22" i="6"/>
  <c r="D24" i="6"/>
  <c r="D26" i="6"/>
  <c r="D28" i="6"/>
  <c r="D30" i="6"/>
  <c r="D34" i="6"/>
  <c r="D37" i="6"/>
  <c r="D39" i="6"/>
  <c r="D41" i="6"/>
  <c r="D43" i="6"/>
  <c r="D45" i="6"/>
  <c r="D49" i="6"/>
  <c r="D51" i="6"/>
  <c r="D53" i="6"/>
  <c r="D57" i="6"/>
  <c r="D59" i="6"/>
  <c r="D62" i="6"/>
  <c r="D64" i="6"/>
  <c r="D68" i="6"/>
  <c r="D74" i="6"/>
  <c r="D87" i="6"/>
  <c r="D90" i="6"/>
  <c r="D100" i="6"/>
  <c r="D102" i="6"/>
  <c r="D104" i="6"/>
  <c r="D108" i="6"/>
  <c r="D111" i="6"/>
  <c r="D115" i="6"/>
  <c r="D133" i="6"/>
  <c r="D136" i="6"/>
  <c r="D141" i="6"/>
  <c r="D145" i="6"/>
  <c r="D148" i="6"/>
  <c r="D5" i="6"/>
  <c r="D9" i="6"/>
  <c r="D12" i="6"/>
  <c r="D14" i="6"/>
  <c r="D16" i="6"/>
  <c r="D18" i="6"/>
  <c r="D21" i="6"/>
  <c r="D23" i="6"/>
  <c r="D25" i="6"/>
  <c r="D27" i="6"/>
  <c r="D32" i="6"/>
  <c r="D33" i="6"/>
  <c r="D36" i="6"/>
  <c r="D38" i="6"/>
  <c r="D40" i="6"/>
  <c r="D42" i="6"/>
  <c r="D44" i="6"/>
  <c r="D46" i="6"/>
  <c r="D48" i="6"/>
  <c r="D52" i="6"/>
  <c r="D55" i="6"/>
  <c r="D60" i="6"/>
  <c r="D63" i="6"/>
  <c r="D66" i="6"/>
  <c r="D70" i="6"/>
  <c r="D72" i="6"/>
  <c r="D76" i="6"/>
  <c r="D80" i="6"/>
  <c r="D83" i="6"/>
  <c r="D89" i="6"/>
  <c r="D92" i="6"/>
  <c r="D94" i="6"/>
  <c r="D96" i="6"/>
  <c r="D113" i="6"/>
  <c r="D119" i="6"/>
  <c r="D6" i="6"/>
  <c r="D123" i="6"/>
  <c r="D125" i="6"/>
  <c r="D128" i="6"/>
  <c r="D130" i="6"/>
  <c r="D132" i="6"/>
  <c r="D134" i="6"/>
  <c r="D137" i="6"/>
  <c r="D140" i="6"/>
  <c r="D142" i="6"/>
  <c r="D144" i="6"/>
  <c r="D150" i="6"/>
  <c r="D4" i="6"/>
  <c r="D7" i="6"/>
  <c r="D10" i="6"/>
  <c r="D13" i="6"/>
  <c r="D15" i="6"/>
  <c r="D19" i="6"/>
  <c r="D29" i="6"/>
  <c r="D31" i="6"/>
  <c r="D35" i="6"/>
  <c r="D47" i="6"/>
  <c r="D50" i="6"/>
  <c r="D54" i="6"/>
  <c r="D58" i="6"/>
  <c r="D61" i="6"/>
  <c r="D65" i="6"/>
  <c r="D67" i="6"/>
  <c r="D69" i="6"/>
  <c r="D71" i="6"/>
  <c r="D73" i="6"/>
  <c r="D75" i="6"/>
  <c r="D77" i="6"/>
  <c r="D79" i="6"/>
  <c r="D81" i="6"/>
  <c r="D84" i="6"/>
  <c r="D86" i="6"/>
  <c r="D91" i="6"/>
  <c r="D93" i="6"/>
  <c r="D97" i="6"/>
  <c r="D99" i="6"/>
  <c r="D101" i="6"/>
  <c r="D103" i="6"/>
  <c r="D105" i="6"/>
  <c r="D107" i="6"/>
  <c r="D110" i="6"/>
  <c r="D112" i="6"/>
  <c r="D116" i="6"/>
  <c r="D118" i="6"/>
  <c r="D122" i="6"/>
  <c r="D124" i="6"/>
  <c r="D127" i="6"/>
  <c r="D129" i="6"/>
  <c r="D138" i="6"/>
  <c r="D143" i="6"/>
  <c r="D146" i="6"/>
  <c r="D56" i="6"/>
  <c r="D78" i="6"/>
  <c r="D82" i="6"/>
  <c r="D85" i="6"/>
  <c r="D88" i="6"/>
  <c r="D95" i="6"/>
  <c r="D98" i="6"/>
  <c r="D106" i="6"/>
  <c r="D109" i="6"/>
  <c r="D114" i="6"/>
  <c r="D117" i="6"/>
  <c r="D120" i="6"/>
  <c r="D126" i="6"/>
  <c r="D131" i="6"/>
  <c r="D135" i="6"/>
  <c r="D139" i="6"/>
  <c r="D147" i="6"/>
  <c r="D149" i="6"/>
  <c r="D111" i="5"/>
  <c r="D41" i="5"/>
  <c r="D44" i="5"/>
  <c r="D54" i="5"/>
  <c r="D57" i="5"/>
  <c r="D59" i="5"/>
  <c r="D61" i="5"/>
  <c r="D63" i="5"/>
  <c r="D65" i="5"/>
  <c r="D67" i="5"/>
  <c r="D74" i="5"/>
  <c r="D76" i="5"/>
  <c r="D79" i="5"/>
  <c r="D81" i="5"/>
  <c r="D83" i="5"/>
  <c r="D86" i="5"/>
  <c r="D91" i="5"/>
  <c r="D95" i="5"/>
  <c r="D97" i="5"/>
  <c r="D99" i="5"/>
  <c r="D101" i="5"/>
  <c r="D103" i="5"/>
  <c r="D105" i="5"/>
  <c r="D108" i="5"/>
  <c r="D110" i="5"/>
  <c r="D112" i="5"/>
  <c r="D114" i="5"/>
  <c r="D118" i="5"/>
  <c r="D120" i="5"/>
  <c r="D126" i="5"/>
  <c r="D128" i="5"/>
  <c r="D133" i="5"/>
  <c r="D141" i="5"/>
  <c r="D143" i="5"/>
  <c r="D5" i="5"/>
  <c r="D7" i="5"/>
  <c r="D10" i="5"/>
  <c r="D12" i="5"/>
  <c r="D14" i="5"/>
  <c r="D15" i="5"/>
  <c r="D16" i="5"/>
  <c r="D18" i="5"/>
  <c r="D20" i="5"/>
  <c r="D22" i="5"/>
  <c r="D25" i="5"/>
  <c r="D27" i="5"/>
  <c r="D29" i="5"/>
  <c r="D31" i="5"/>
  <c r="D33" i="5"/>
  <c r="D35" i="5"/>
  <c r="D36" i="5"/>
  <c r="D38" i="5"/>
  <c r="D40" i="5"/>
  <c r="D42" i="5"/>
  <c r="D45" i="5"/>
  <c r="D47" i="5"/>
  <c r="D49" i="5"/>
  <c r="D51" i="5"/>
  <c r="D53" i="5"/>
  <c r="D55" i="5"/>
  <c r="D60" i="5"/>
  <c r="D64" i="5"/>
  <c r="D68" i="5"/>
  <c r="D70" i="5"/>
  <c r="D72" i="5"/>
  <c r="D77" i="5"/>
  <c r="D80" i="5"/>
  <c r="D84" i="5"/>
  <c r="D87" i="5"/>
  <c r="D89" i="5"/>
  <c r="D96" i="5"/>
  <c r="D100" i="5"/>
  <c r="D106" i="5"/>
  <c r="D24" i="5"/>
  <c r="D113" i="5"/>
  <c r="D115" i="5"/>
  <c r="D117" i="5"/>
  <c r="D119" i="5"/>
  <c r="D121" i="5"/>
  <c r="D123" i="5"/>
  <c r="D127" i="5"/>
  <c r="D130" i="5"/>
  <c r="D132" i="5"/>
  <c r="D134" i="5"/>
  <c r="D136" i="5"/>
  <c r="D138" i="5"/>
  <c r="D140" i="5"/>
  <c r="D142" i="5"/>
  <c r="D146" i="5"/>
  <c r="D148" i="5"/>
  <c r="D150" i="5"/>
  <c r="D6" i="5"/>
  <c r="D8" i="5"/>
  <c r="D9" i="5"/>
  <c r="D11" i="5"/>
  <c r="D13" i="5"/>
  <c r="D17" i="5"/>
  <c r="D19" i="5"/>
  <c r="D21" i="5"/>
  <c r="D23" i="5"/>
  <c r="D26" i="5"/>
  <c r="D28" i="5"/>
  <c r="D30" i="5"/>
  <c r="D32" i="5"/>
  <c r="D34" i="5"/>
  <c r="D37" i="5"/>
  <c r="D39" i="5"/>
  <c r="D43" i="5"/>
  <c r="D46" i="5"/>
  <c r="D48" i="5"/>
  <c r="D50" i="5"/>
  <c r="D52" i="5"/>
  <c r="D56" i="5"/>
  <c r="D58" i="5"/>
  <c r="D62" i="5"/>
  <c r="D66" i="5"/>
  <c r="D69" i="5"/>
  <c r="D71" i="5"/>
  <c r="D73" i="5"/>
  <c r="D75" i="5"/>
  <c r="D78" i="5"/>
  <c r="D82" i="5"/>
  <c r="D85" i="5"/>
  <c r="D88" i="5"/>
  <c r="D90" i="5"/>
  <c r="D92" i="5"/>
  <c r="D94" i="5"/>
  <c r="D98" i="5"/>
  <c r="D102" i="5"/>
  <c r="D104" i="5"/>
  <c r="D107" i="5"/>
  <c r="D109" i="5"/>
  <c r="D116" i="5"/>
  <c r="D122" i="5"/>
  <c r="D124" i="5"/>
  <c r="D129" i="5"/>
  <c r="D131" i="5"/>
  <c r="D144" i="5"/>
  <c r="D4" i="5"/>
  <c r="D151" i="5" s="1"/>
  <c r="D93" i="5"/>
  <c r="D125" i="5"/>
  <c r="D135" i="5"/>
  <c r="D137" i="5"/>
  <c r="D139" i="5"/>
  <c r="D145" i="5"/>
  <c r="D147" i="5"/>
  <c r="D149" i="5"/>
  <c r="D18" i="4"/>
  <c r="D41" i="4"/>
  <c r="D46" i="4"/>
  <c r="D49" i="4"/>
  <c r="D53" i="4"/>
  <c r="D55" i="4"/>
  <c r="D58" i="4"/>
  <c r="D60" i="4"/>
  <c r="D62" i="4"/>
  <c r="D64" i="4"/>
  <c r="D68" i="4"/>
  <c r="D70" i="4"/>
  <c r="D73" i="4"/>
  <c r="D80" i="4"/>
  <c r="D83" i="4"/>
  <c r="D85" i="4"/>
  <c r="D90" i="4"/>
  <c r="D94" i="4"/>
  <c r="D98" i="4"/>
  <c r="D106" i="4"/>
  <c r="D113" i="4"/>
  <c r="D115" i="4"/>
  <c r="D124" i="4"/>
  <c r="D126" i="4"/>
  <c r="D129" i="4"/>
  <c r="D136" i="4"/>
  <c r="D139" i="4"/>
  <c r="D6" i="4"/>
  <c r="D9" i="4"/>
  <c r="D11" i="4"/>
  <c r="D13" i="4"/>
  <c r="D15" i="4"/>
  <c r="D17" i="4"/>
  <c r="D19" i="4"/>
  <c r="D21" i="4"/>
  <c r="D23" i="4"/>
  <c r="D27" i="4"/>
  <c r="D30" i="4"/>
  <c r="D33" i="4"/>
  <c r="D36" i="4"/>
  <c r="D38" i="4"/>
  <c r="D42" i="4"/>
  <c r="D47" i="4"/>
  <c r="D52" i="4"/>
  <c r="D59" i="4"/>
  <c r="D65" i="4"/>
  <c r="D67" i="4"/>
  <c r="D77" i="4"/>
  <c r="D79" i="4"/>
  <c r="D84" i="4"/>
  <c r="D87" i="4"/>
  <c r="D91" i="4"/>
  <c r="D97" i="4"/>
  <c r="D101" i="4"/>
  <c r="D103" i="4"/>
  <c r="D109" i="4"/>
  <c r="D111" i="4"/>
  <c r="D114" i="4"/>
  <c r="D118" i="4"/>
  <c r="D120" i="4"/>
  <c r="D123" i="4"/>
  <c r="D134" i="4"/>
  <c r="D138" i="4"/>
  <c r="D140" i="4"/>
  <c r="D145" i="4"/>
  <c r="D147" i="4"/>
  <c r="D150" i="4"/>
  <c r="D5" i="4"/>
  <c r="D8" i="4"/>
  <c r="D10" i="4"/>
  <c r="D12" i="4"/>
  <c r="D14" i="4"/>
  <c r="D16" i="4"/>
  <c r="D25" i="4"/>
  <c r="D20" i="4"/>
  <c r="D22" i="4"/>
  <c r="D26" i="4"/>
  <c r="D29" i="4"/>
  <c r="D31" i="4"/>
  <c r="D35" i="4"/>
  <c r="D37" i="4"/>
  <c r="D40" i="4"/>
  <c r="D43" i="4"/>
  <c r="D45" i="4"/>
  <c r="D48" i="4"/>
  <c r="D51" i="4"/>
  <c r="D57" i="4"/>
  <c r="D61" i="4"/>
  <c r="D63" i="4"/>
  <c r="D71" i="4"/>
  <c r="D74" i="4"/>
  <c r="D76" i="4"/>
  <c r="D78" i="4"/>
  <c r="D82" i="4"/>
  <c r="D89" i="4"/>
  <c r="D93" i="4"/>
  <c r="D95" i="4"/>
  <c r="D100" i="4"/>
  <c r="D104" i="4"/>
  <c r="D107" i="4"/>
  <c r="D110" i="4"/>
  <c r="D112" i="4"/>
  <c r="D117" i="4"/>
  <c r="D121" i="4"/>
  <c r="D125" i="4"/>
  <c r="D128" i="4"/>
  <c r="D131" i="4"/>
  <c r="D137" i="4"/>
  <c r="D142" i="4"/>
  <c r="D144" i="4"/>
  <c r="D148" i="4"/>
  <c r="D7" i="4"/>
  <c r="D24" i="4"/>
  <c r="D28" i="4"/>
  <c r="D32" i="4"/>
  <c r="D34" i="4"/>
  <c r="D39" i="4"/>
  <c r="D44" i="4"/>
  <c r="D50" i="4"/>
  <c r="D54" i="4"/>
  <c r="D56" i="4"/>
  <c r="D66" i="4"/>
  <c r="D69" i="4"/>
  <c r="D72" i="4"/>
  <c r="D75" i="4"/>
  <c r="D81" i="4"/>
  <c r="D86" i="4"/>
  <c r="D88" i="4"/>
  <c r="D92" i="4"/>
  <c r="D96" i="4"/>
  <c r="D99" i="4"/>
  <c r="D102" i="4"/>
  <c r="D105" i="4"/>
  <c r="D108" i="4"/>
  <c r="D116" i="4"/>
  <c r="D119" i="4"/>
  <c r="D122" i="4"/>
  <c r="D127" i="4"/>
  <c r="D130" i="4"/>
  <c r="D132" i="4"/>
  <c r="D133" i="4"/>
  <c r="D135" i="4"/>
  <c r="D141" i="4"/>
  <c r="D143" i="4"/>
  <c r="D146" i="4"/>
  <c r="D149" i="4"/>
  <c r="D4" i="4"/>
  <c r="D151" i="4" s="1"/>
  <c r="D5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7" i="3"/>
  <c r="D118" i="3"/>
  <c r="D119" i="3"/>
  <c r="D120" i="3"/>
  <c r="D122" i="3"/>
  <c r="D124" i="3"/>
  <c r="D126" i="3"/>
  <c r="D128" i="3"/>
  <c r="D98" i="3"/>
  <c r="D116" i="3"/>
  <c r="D121" i="3"/>
  <c r="D123" i="3"/>
  <c r="D125" i="3"/>
  <c r="D127" i="3"/>
  <c r="D129" i="3"/>
  <c r="D21" i="1"/>
  <c r="D73" i="1"/>
  <c r="D78" i="1"/>
  <c r="D80" i="1"/>
  <c r="D82" i="1"/>
  <c r="D84" i="1"/>
  <c r="D86" i="1"/>
  <c r="D88" i="1"/>
  <c r="D90" i="1"/>
  <c r="D95" i="1"/>
  <c r="D98" i="1"/>
  <c r="D102" i="1"/>
  <c r="D104" i="1"/>
  <c r="D106" i="1"/>
  <c r="D109" i="1"/>
  <c r="D112" i="1"/>
  <c r="D115" i="1"/>
  <c r="D118" i="1"/>
  <c r="D121" i="1"/>
  <c r="D123" i="1"/>
  <c r="D126" i="1"/>
  <c r="D128" i="1"/>
  <c r="D130" i="1"/>
  <c r="D132" i="1"/>
  <c r="D135" i="1"/>
  <c r="D137" i="1"/>
  <c r="D139" i="1"/>
  <c r="D141" i="1"/>
  <c r="D143" i="1"/>
  <c r="D145" i="1"/>
  <c r="D147" i="1"/>
  <c r="D149" i="1"/>
  <c r="D6" i="1"/>
  <c r="D5" i="1"/>
  <c r="D93" i="1"/>
  <c r="D99" i="1"/>
  <c r="D101" i="1"/>
  <c r="D103" i="1"/>
  <c r="D110" i="1"/>
  <c r="D114" i="1"/>
  <c r="D117" i="1"/>
  <c r="D119" i="1"/>
  <c r="D122" i="1"/>
  <c r="D124" i="1"/>
  <c r="D125" i="1"/>
  <c r="D127" i="1"/>
  <c r="D129" i="1"/>
  <c r="D131" i="1"/>
  <c r="D133" i="1"/>
  <c r="D134" i="1"/>
  <c r="D136" i="1"/>
  <c r="D138" i="1"/>
  <c r="D140" i="1"/>
  <c r="D142" i="1"/>
  <c r="D144" i="1"/>
  <c r="D146" i="1"/>
  <c r="D148" i="1"/>
  <c r="D150" i="1"/>
  <c r="D108" i="1"/>
  <c r="D71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2" i="1"/>
  <c r="D74" i="1"/>
  <c r="D75" i="1"/>
  <c r="D76" i="1"/>
  <c r="D77" i="1"/>
  <c r="D79" i="1"/>
  <c r="D81" i="1"/>
  <c r="D83" i="1"/>
  <c r="D85" i="1"/>
  <c r="D87" i="1"/>
  <c r="D89" i="1"/>
  <c r="D91" i="1"/>
  <c r="D92" i="1"/>
  <c r="D94" i="1"/>
  <c r="D96" i="1"/>
  <c r="D97" i="1"/>
  <c r="D100" i="1"/>
  <c r="D105" i="1"/>
  <c r="D107" i="1"/>
  <c r="D111" i="1"/>
  <c r="D113" i="1"/>
  <c r="D116" i="1"/>
  <c r="D120" i="1"/>
  <c r="D7" i="1"/>
  <c r="D4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7" i="3"/>
  <c r="D68" i="3"/>
  <c r="D69" i="3"/>
  <c r="D71" i="3"/>
  <c r="D72" i="3"/>
  <c r="D74" i="3"/>
  <c r="D76" i="3"/>
  <c r="D77" i="3"/>
  <c r="D78" i="3"/>
  <c r="D79" i="3"/>
  <c r="D81" i="3"/>
  <c r="D83" i="3"/>
  <c r="D85" i="3"/>
  <c r="D87" i="3"/>
  <c r="D89" i="3"/>
  <c r="D91" i="3"/>
  <c r="D93" i="3"/>
  <c r="D95" i="3"/>
  <c r="D97" i="3"/>
  <c r="D66" i="3"/>
  <c r="D70" i="3"/>
  <c r="D73" i="3"/>
  <c r="D75" i="3"/>
  <c r="D80" i="3"/>
  <c r="D82" i="3"/>
  <c r="D84" i="3"/>
  <c r="D86" i="3"/>
  <c r="D88" i="3"/>
  <c r="D90" i="3"/>
  <c r="D92" i="3"/>
  <c r="D94" i="3"/>
  <c r="D96" i="3"/>
  <c r="D44" i="3"/>
  <c r="D151" i="23" l="1"/>
  <c r="D151" i="17"/>
  <c r="D151" i="15"/>
  <c r="D151" i="14"/>
  <c r="D151" i="13"/>
  <c r="D151" i="10"/>
  <c r="D151" i="8"/>
  <c r="D151" i="7"/>
  <c r="D151" i="6"/>
  <c r="D151" i="1"/>
  <c r="D151" i="3"/>
</calcChain>
</file>

<file path=xl/sharedStrings.xml><?xml version="1.0" encoding="utf-8"?>
<sst xmlns="http://schemas.openxmlformats.org/spreadsheetml/2006/main" count="4052" uniqueCount="188">
  <si>
    <t>Company Name</t>
  </si>
  <si>
    <t>Facility Risk - Component</t>
  </si>
  <si>
    <t>Apple</t>
  </si>
  <si>
    <t>Meta</t>
  </si>
  <si>
    <t>Microsoft</t>
  </si>
  <si>
    <t>Ford</t>
  </si>
  <si>
    <t>Procter &amp; Gamble</t>
  </si>
  <si>
    <t>Samsung</t>
  </si>
  <si>
    <t>Amazon</t>
  </si>
  <si>
    <t>NVIDIA</t>
  </si>
  <si>
    <t>Allianz</t>
  </si>
  <si>
    <t>L'Oreal</t>
  </si>
  <si>
    <t>LVMH</t>
  </si>
  <si>
    <t>Novo Nordisk</t>
  </si>
  <si>
    <t>Reliance Industries</t>
  </si>
  <si>
    <t>SAP</t>
  </si>
  <si>
    <t>Sony</t>
  </si>
  <si>
    <t>Tencent</t>
  </si>
  <si>
    <t>TotaleEnergies</t>
  </si>
  <si>
    <t>Toyota</t>
  </si>
  <si>
    <t>TSMC</t>
  </si>
  <si>
    <t>Volkswagen</t>
  </si>
  <si>
    <t>JP Morgan</t>
  </si>
  <si>
    <t>ASML</t>
  </si>
  <si>
    <t>BNP Paribas</t>
  </si>
  <si>
    <t>Eli Lilly</t>
  </si>
  <si>
    <t>ENI</t>
  </si>
  <si>
    <t>Country of Revenue</t>
  </si>
  <si>
    <t>Country Geopolitical Risk Index</t>
  </si>
  <si>
    <t>Percentage of Facility Sites - Raw</t>
  </si>
  <si>
    <t>Percentage of Facility Sites - Standardized</t>
  </si>
  <si>
    <t>Albania</t>
  </si>
  <si>
    <t>Algeria</t>
  </si>
  <si>
    <t>Main Data</t>
  </si>
  <si>
    <t>Angola</t>
  </si>
  <si>
    <t>Country</t>
  </si>
  <si>
    <t>Geopolitical Risk Index</t>
  </si>
  <si>
    <t>Value</t>
  </si>
  <si>
    <t>Argentina</t>
  </si>
  <si>
    <t>Minimum</t>
  </si>
  <si>
    <t>Armenia</t>
  </si>
  <si>
    <t>Maximum</t>
  </si>
  <si>
    <t>Australia</t>
  </si>
  <si>
    <t>Component - Facility Risk</t>
  </si>
  <si>
    <t>Austria</t>
  </si>
  <si>
    <t>Azerbaijan</t>
  </si>
  <si>
    <t>Bahrain</t>
  </si>
  <si>
    <t>Bangladesh</t>
  </si>
  <si>
    <t>Belarus</t>
  </si>
  <si>
    <t>Belgium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</si>
  <si>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</si>
  <si>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</si>
  <si>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</si>
  <si>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</si>
  <si>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</si>
  <si>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</si>
  <si>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</si>
  <si>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</si>
  <si>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</si>
  <si>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</si>
  <si>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</si>
  <si>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</si>
  <si>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</si>
  <si>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</si>
  <si>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</si>
  <si>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</si>
  <si>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Includes Taiwan</t>
  </si>
  <si>
    <t>Colombia</t>
  </si>
  <si>
    <t>Congo, Rep.</t>
  </si>
  <si>
    <t>Costa Rica</t>
  </si>
  <si>
    <t>Cote d'Ivoire</t>
  </si>
  <si>
    <t>Croatia</t>
  </si>
  <si>
    <t>Cyprus</t>
  </si>
  <si>
    <t>Czech Republic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</si>
  <si>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</si>
  <si>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</si>
  <si>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</si>
  <si>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</si>
  <si>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</si>
  <si>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</si>
  <si>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</si>
  <si>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Eswatini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</si>
  <si>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</si>
  <si>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</si>
  <si>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</si>
  <si>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</si>
  <si>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</si>
  <si>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</si>
  <si>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</si>
  <si>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</si>
  <si>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</si>
  <si>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</si>
  <si>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</si>
  <si>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</si>
  <si>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</si>
  <si>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</si>
  <si>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</si>
  <si>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</si>
  <si>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</si>
  <si>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</si>
  <si>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</si>
  <si>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</si>
  <si>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</si>
  <si>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</si>
  <si>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</si>
  <si>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</si>
  <si>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</si>
  <si>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</si>
  <si>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</si>
  <si>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</si>
  <si>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</si>
  <si>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</si>
  <si>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 Republic</t>
  </si>
  <si>
    <t>Laos</t>
  </si>
  <si>
    <t>Latvia</t>
  </si>
  <si>
    <t>Lebanon</t>
  </si>
  <si>
    <t>Lesotho</t>
  </si>
  <si>
    <t>Liberia</t>
  </si>
  <si>
    <t>Libya</t>
  </si>
  <si>
    <t>Lithuania</t>
  </si>
  <si>
    <t>Madagascar</t>
  </si>
  <si>
    <t>Malawi</t>
  </si>
  <si>
    <t>Malaysia</t>
  </si>
  <si>
    <t>Mali</t>
  </si>
  <si>
    <t>Mauritania</t>
  </si>
  <si>
    <t>Mauritius</t>
  </si>
  <si>
    <t>Mexico</t>
  </si>
  <si>
    <t>Moldova</t>
  </si>
  <si>
    <t>Mongolia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</si>
  <si>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</si>
  <si>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</si>
  <si>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</si>
  <si>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</si>
  <si>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</si>
  <si>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</si>
  <si>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</si>
  <si>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</si>
  <si>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</si>
  <si>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</si>
  <si>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</si>
  <si>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</si>
  <si>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</si>
  <si>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</si>
  <si>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</si>
  <si>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</si>
  <si>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</si>
  <si>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</si>
  <si>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</si>
  <si>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</si>
  <si>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</si>
  <si>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</si>
  <si>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</si>
  <si>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</si>
  <si>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</si>
  <si>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</si>
  <si>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</si>
  <si>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</si>
  <si>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</si>
  <si>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</si>
  <si>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</si>
  <si>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South Africa</t>
  </si>
  <si>
    <t>South Korea</t>
  </si>
  <si>
    <t>Spain</t>
  </si>
  <si>
    <t>Sri Lanka</t>
  </si>
  <si>
    <t>Sudan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</si>
  <si>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</si>
  <si>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</si>
  <si>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</si>
  <si>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</si>
  <si>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</si>
  <si>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</si>
  <si>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</si>
  <si>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</si>
  <si>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</si>
  <si>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</si>
  <si>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</si>
  <si>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</si>
  <si>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</si>
  <si>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</si>
  <si>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United States</t>
  </si>
  <si>
    <t>Uruguay</t>
  </si>
  <si>
    <t>Venezuela</t>
  </si>
  <si>
    <t>Vietnam</t>
  </si>
  <si>
    <t>Yemen</t>
  </si>
  <si>
    <t>Zambia</t>
  </si>
  <si>
    <t>Zimbabwe</t>
  </si>
  <si>
    <t>TOTAL</t>
  </si>
  <si>
    <t>Total Energies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</si>
</sst>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22"/>
      <color theme="1"/>
      <name val="Aptos Narrow"/>
      <scheme val="minor"/>
    </font>
    <font>
      <sz val="13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b/>
      <sz val="13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scheme val="minor"/>
    </font>
    <font>
      <b/>
      <sz val="16"/>
      <color theme="0"/>
      <name val="Aptos Narrow"/>
      <scheme val="minor"/>
    </font>
    <font>
      <b/>
      <sz val="20"/>
      <color theme="1"/>
      <name val="Aptos Narrow"/>
      <scheme val="minor"/>
    </font>
    <font>
      <b/>
      <sz val="14"/>
      <color theme="0"/>
      <name val="Aptos Narrow"/>
      <family val="2"/>
      <scheme val="minor"/>
    </font>
    <font>
      <b/>
      <sz val="14"/>
      <color indexed="8"/>
      <name val="Aptos Narrow"/>
      <scheme val="minor"/>
    </font>
    <font>
      <sz val="14"/>
      <color theme="1"/>
      <name val="Aptos Narrow"/>
      <family val="2"/>
      <scheme val="minor"/>
    </font>
    <font>
      <b/>
      <sz val="13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3"/>
      <color indexed="8"/>
      <name val="Aptos Narrow"/>
      <scheme val="minor"/>
    </font>
    <font>
      <b/>
      <sz val="12"/>
      <color indexed="8"/>
      <name val="Aptos Narrow"/>
      <scheme val="minor"/>
    </font>
    <font>
      <sz val="12"/>
      <color rgb="FF000000"/>
      <name val="Aptos Narrow"/>
      <family val="2"/>
      <scheme val="minor"/>
    </font>
    <font>
      <b/>
      <sz val="14"/>
      <color theme="0"/>
      <name val="Aptos Narrow"/>
      <scheme val="minor"/>
    </font>
  </fonts>
  <fills count="13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5E6CE"/>
        <bgColor rgb="FF000000"/>
      </patternFill>
    </fill>
    <fill>
      <patternFill patternType="solid">
        <fgColor rgb="FFF2F9F4"/>
        <bgColor rgb="FF000000"/>
      </patternFill>
    </fill>
    <fill>
      <patternFill patternType="solid">
        <fgColor rgb="FFFFF6F6"/>
        <bgColor rgb="FF000000"/>
      </patternFill>
    </fill>
    <fill>
      <patternFill patternType="solid">
        <fgColor rgb="FFC4E6CD"/>
        <bgColor rgb="FF000000"/>
      </patternFill>
    </fill>
    <fill>
      <patternFill patternType="solid">
        <fgColor rgb="FFDBF0E1"/>
        <bgColor rgb="FF000000"/>
      </patternFill>
    </fill>
    <fill>
      <patternFill patternType="solid">
        <fgColor rgb="FF87CD99"/>
        <bgColor rgb="FF000000"/>
      </patternFill>
    </fill>
    <fill>
      <patternFill patternType="solid">
        <fgColor rgb="FF91D1A2"/>
        <bgColor rgb="FF000000"/>
      </patternFill>
    </fill>
    <fill>
      <patternFill patternType="solid">
        <fgColor rgb="FFBFE4C9"/>
        <bgColor rgb="FF000000"/>
      </patternFill>
    </fill>
    <fill>
      <patternFill patternType="solid">
        <fgColor rgb="FFFDD4D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8DCF9E"/>
        <bgColor rgb="FF000000"/>
      </patternFill>
    </fill>
    <fill>
      <patternFill patternType="solid">
        <fgColor rgb="FFFEE3E4"/>
        <bgColor rgb="FF000000"/>
      </patternFill>
    </fill>
    <fill>
      <patternFill patternType="solid">
        <fgColor rgb="FFE8F5EC"/>
        <bgColor rgb="FF000000"/>
      </patternFill>
    </fill>
    <fill>
      <patternFill patternType="solid">
        <fgColor rgb="FFFDFEFD"/>
        <bgColor rgb="FF000000"/>
      </patternFill>
    </fill>
    <fill>
      <patternFill patternType="solid">
        <fgColor rgb="FFF9FCFA"/>
        <bgColor rgb="FF000000"/>
      </patternFill>
    </fill>
    <fill>
      <patternFill patternType="solid">
        <fgColor rgb="FFC3E6CC"/>
        <bgColor rgb="FF000000"/>
      </patternFill>
    </fill>
    <fill>
      <patternFill patternType="solid">
        <fgColor rgb="FFFAFDFA"/>
        <bgColor rgb="FF000000"/>
      </patternFill>
    </fill>
    <fill>
      <patternFill patternType="solid">
        <fgColor rgb="FFC8E8D0"/>
        <bgColor rgb="FF000000"/>
      </patternFill>
    </fill>
    <fill>
      <patternFill patternType="solid">
        <fgColor rgb="FFFDC8C8"/>
        <bgColor rgb="FF000000"/>
      </patternFill>
    </fill>
    <fill>
      <patternFill patternType="solid">
        <fgColor rgb="FFFDD3D3"/>
        <bgColor rgb="FF000000"/>
      </patternFill>
    </fill>
    <fill>
      <patternFill patternType="solid">
        <fgColor rgb="FFFCB9BA"/>
        <bgColor rgb="FF000000"/>
      </patternFill>
    </fill>
    <fill>
      <patternFill patternType="solid">
        <fgColor rgb="FF93D2A3"/>
        <bgColor rgb="FF000000"/>
      </patternFill>
    </fill>
    <fill>
      <patternFill patternType="solid">
        <fgColor rgb="FFFCBBBC"/>
        <bgColor rgb="FF000000"/>
      </patternFill>
    </fill>
    <fill>
      <patternFill patternType="solid">
        <fgColor rgb="FFBFE4C8"/>
        <bgColor rgb="FF000000"/>
      </patternFill>
    </fill>
    <fill>
      <patternFill patternType="solid">
        <fgColor rgb="FFFFF1F1"/>
        <bgColor rgb="FF000000"/>
      </patternFill>
    </fill>
    <fill>
      <patternFill patternType="solid">
        <fgColor rgb="FFFFF5F5"/>
        <bgColor rgb="FF000000"/>
      </patternFill>
    </fill>
    <fill>
      <patternFill patternType="solid">
        <fgColor rgb="FFBDE3C7"/>
        <bgColor rgb="FF000000"/>
      </patternFill>
    </fill>
    <fill>
      <patternFill patternType="solid">
        <fgColor rgb="FFFFF8F8"/>
        <bgColor rgb="FF000000"/>
      </patternFill>
    </fill>
    <fill>
      <patternFill patternType="solid">
        <fgColor rgb="FFC0E4CA"/>
        <bgColor rgb="FF000000"/>
      </patternFill>
    </fill>
    <fill>
      <patternFill patternType="solid">
        <fgColor rgb="FFD5EDDB"/>
        <bgColor rgb="FF000000"/>
      </patternFill>
    </fill>
    <fill>
      <patternFill patternType="solid">
        <fgColor rgb="FFA3D8B1"/>
        <bgColor rgb="FF000000"/>
      </patternFill>
    </fill>
    <fill>
      <patternFill patternType="solid">
        <fgColor rgb="FF86CC98"/>
        <bgColor rgb="FF000000"/>
      </patternFill>
    </fill>
    <fill>
      <patternFill patternType="solid">
        <fgColor rgb="FFFEE4E5"/>
        <bgColor rgb="FF000000"/>
      </patternFill>
    </fill>
    <fill>
      <patternFill patternType="solid">
        <fgColor rgb="FFD6EEDC"/>
        <bgColor rgb="FF000000"/>
      </patternFill>
    </fill>
    <fill>
      <patternFill patternType="solid">
        <fgColor rgb="FFFFF2F2"/>
        <bgColor rgb="FF000000"/>
      </patternFill>
    </fill>
    <fill>
      <patternFill patternType="solid">
        <fgColor rgb="FFFFF7F7"/>
        <bgColor rgb="FF000000"/>
      </patternFill>
    </fill>
    <fill>
      <patternFill patternType="solid">
        <fgColor rgb="FFDCF0E1"/>
        <bgColor rgb="FF000000"/>
      </patternFill>
    </fill>
    <fill>
      <patternFill patternType="solid">
        <fgColor rgb="FF9AD5A9"/>
        <bgColor rgb="FF000000"/>
      </patternFill>
    </fill>
    <fill>
      <patternFill patternType="solid">
        <fgColor rgb="FFCCE9D3"/>
        <bgColor rgb="FF000000"/>
      </patternFill>
    </fill>
    <fill>
      <patternFill patternType="solid">
        <fgColor rgb="FFFCB4B5"/>
        <bgColor rgb="FF000000"/>
      </patternFill>
    </fill>
    <fill>
      <patternFill patternType="solid">
        <fgColor rgb="FF8ED09F"/>
        <bgColor rgb="FF000000"/>
      </patternFill>
    </fill>
    <fill>
      <patternFill patternType="solid">
        <fgColor rgb="FF9ED6AD"/>
        <bgColor rgb="FF000000"/>
      </patternFill>
    </fill>
    <fill>
      <patternFill patternType="solid">
        <fgColor rgb="FFFFEEEF"/>
        <bgColor rgb="FF000000"/>
      </patternFill>
    </fill>
    <fill>
      <patternFill patternType="solid">
        <fgColor rgb="FFFBFDFC"/>
        <bgColor rgb="FF000000"/>
      </patternFill>
    </fill>
    <fill>
      <patternFill patternType="solid">
        <fgColor rgb="FFE3F3E7"/>
        <bgColor rgb="FF000000"/>
      </patternFill>
    </fill>
    <fill>
      <patternFill patternType="solid">
        <fgColor rgb="FFD3ECD9"/>
        <bgColor rgb="FF000000"/>
      </patternFill>
    </fill>
    <fill>
      <patternFill patternType="solid">
        <fgColor rgb="FFFDD1D2"/>
        <bgColor rgb="FF000000"/>
      </patternFill>
    </fill>
    <fill>
      <patternFill patternType="solid">
        <fgColor rgb="FFFEE6E7"/>
        <bgColor rgb="FF000000"/>
      </patternFill>
    </fill>
    <fill>
      <patternFill patternType="solid">
        <fgColor rgb="FFE2F3E7"/>
        <bgColor rgb="FF000000"/>
      </patternFill>
    </fill>
    <fill>
      <patternFill patternType="solid">
        <fgColor rgb="FFFDC8C9"/>
        <bgColor rgb="FF000000"/>
      </patternFill>
    </fill>
    <fill>
      <patternFill patternType="solid">
        <fgColor rgb="FFFFEFEF"/>
        <bgColor rgb="FF000000"/>
      </patternFill>
    </fill>
    <fill>
      <patternFill patternType="solid">
        <fgColor rgb="FF9DD6AC"/>
        <bgColor rgb="FF000000"/>
      </patternFill>
    </fill>
    <fill>
      <patternFill patternType="solid">
        <fgColor rgb="FF8FD0A0"/>
        <bgColor rgb="FF000000"/>
      </patternFill>
    </fill>
    <fill>
      <patternFill patternType="solid">
        <fgColor rgb="FFEAF6ED"/>
        <bgColor rgb="FF000000"/>
      </patternFill>
    </fill>
    <fill>
      <patternFill patternType="solid">
        <fgColor rgb="FFFEE9EA"/>
        <bgColor rgb="FF000000"/>
      </patternFill>
    </fill>
    <fill>
      <patternFill patternType="solid">
        <fgColor rgb="FFFEE1E1"/>
        <bgColor rgb="FF000000"/>
      </patternFill>
    </fill>
    <fill>
      <patternFill patternType="solid">
        <fgColor rgb="FF89CD9B"/>
        <bgColor rgb="FF000000"/>
      </patternFill>
    </fill>
    <fill>
      <patternFill patternType="solid">
        <fgColor rgb="FFD2ECD9"/>
        <bgColor rgb="FF000000"/>
      </patternFill>
    </fill>
    <fill>
      <patternFill patternType="solid">
        <fgColor rgb="FFA8DBB5"/>
        <bgColor rgb="FF000000"/>
      </patternFill>
    </fill>
    <fill>
      <patternFill patternType="solid">
        <fgColor rgb="FFD9EFDF"/>
        <bgColor rgb="FF000000"/>
      </patternFill>
    </fill>
    <fill>
      <patternFill patternType="solid">
        <fgColor rgb="FFEEF8F0"/>
        <bgColor rgb="FF000000"/>
      </patternFill>
    </fill>
    <fill>
      <patternFill patternType="solid">
        <fgColor rgb="FFCEEAD5"/>
        <bgColor rgb="FF000000"/>
      </patternFill>
    </fill>
    <fill>
      <patternFill patternType="solid">
        <fgColor rgb="FFFEDDDD"/>
        <bgColor rgb="FF000000"/>
      </patternFill>
    </fill>
    <fill>
      <patternFill patternType="solid">
        <fgColor rgb="FFC1E5CA"/>
        <bgColor rgb="FF000000"/>
      </patternFill>
    </fill>
    <fill>
      <patternFill patternType="solid">
        <fgColor rgb="FFFBFDFB"/>
        <bgColor rgb="FF000000"/>
      </patternFill>
    </fill>
    <fill>
      <patternFill patternType="solid">
        <fgColor rgb="FFEEF8F1"/>
        <bgColor rgb="FF000000"/>
      </patternFill>
    </fill>
    <fill>
      <patternFill patternType="solid">
        <fgColor rgb="FFAFDDBB"/>
        <bgColor rgb="FF000000"/>
      </patternFill>
    </fill>
    <fill>
      <patternFill patternType="solid">
        <fgColor rgb="FFFEDDDE"/>
        <bgColor rgb="FF000000"/>
      </patternFill>
    </fill>
    <fill>
      <patternFill patternType="solid">
        <fgColor rgb="FFFFFDFD"/>
        <bgColor rgb="FF000000"/>
      </patternFill>
    </fill>
    <fill>
      <patternFill patternType="solid">
        <fgColor rgb="FFFEE5E5"/>
        <bgColor rgb="FF000000"/>
      </patternFill>
    </fill>
    <fill>
      <patternFill patternType="solid">
        <fgColor rgb="FFFFF4F4"/>
        <bgColor rgb="FF000000"/>
      </patternFill>
    </fill>
    <fill>
      <patternFill patternType="solid">
        <fgColor rgb="FFADDCB9"/>
        <bgColor rgb="FF000000"/>
      </patternFill>
    </fill>
    <fill>
      <patternFill patternType="solid">
        <fgColor rgb="FFFFECED"/>
        <bgColor rgb="FF000000"/>
      </patternFill>
    </fill>
    <fill>
      <patternFill patternType="solid">
        <fgColor rgb="FFFFF9F9"/>
        <bgColor rgb="FF000000"/>
      </patternFill>
    </fill>
    <fill>
      <patternFill patternType="solid">
        <fgColor rgb="FFB3DFBE"/>
        <bgColor rgb="FF000000"/>
      </patternFill>
    </fill>
    <fill>
      <patternFill patternType="solid">
        <fgColor rgb="FFFCACAD"/>
        <bgColor rgb="FF000000"/>
      </patternFill>
    </fill>
    <fill>
      <patternFill patternType="solid">
        <fgColor rgb="FFFED5D6"/>
        <bgColor rgb="FF000000"/>
      </patternFill>
    </fill>
    <fill>
      <patternFill patternType="solid">
        <fgColor rgb="FF94D2A4"/>
        <bgColor rgb="FF000000"/>
      </patternFill>
    </fill>
    <fill>
      <patternFill patternType="solid">
        <fgColor rgb="FFFEFEFE"/>
        <bgColor rgb="FF000000"/>
      </patternFill>
    </fill>
    <fill>
      <patternFill patternType="solid">
        <fgColor rgb="FFD4EDDA"/>
        <bgColor rgb="FF000000"/>
      </patternFill>
    </fill>
    <fill>
      <patternFill patternType="solid">
        <fgColor rgb="FFECF7EF"/>
        <bgColor rgb="FF000000"/>
      </patternFill>
    </fill>
    <fill>
      <patternFill patternType="solid">
        <fgColor rgb="FFD3EDDA"/>
        <bgColor rgb="FF000000"/>
      </patternFill>
    </fill>
    <fill>
      <patternFill patternType="solid">
        <fgColor rgb="FF9BD5AA"/>
        <bgColor rgb="FF000000"/>
      </patternFill>
    </fill>
    <fill>
      <patternFill patternType="solid">
        <fgColor rgb="FF8CCF9E"/>
        <bgColor rgb="FF000000"/>
      </patternFill>
    </fill>
    <fill>
      <patternFill patternType="solid">
        <fgColor rgb="FFFFEDEE"/>
        <bgColor rgb="FF000000"/>
      </patternFill>
    </fill>
    <fill>
      <patternFill patternType="solid">
        <fgColor rgb="FFFCADAE"/>
        <bgColor rgb="FF000000"/>
      </patternFill>
    </fill>
    <fill>
      <patternFill patternType="solid">
        <fgColor rgb="FFFDCACB"/>
        <bgColor rgb="FF000000"/>
      </patternFill>
    </fill>
    <fill>
      <patternFill patternType="solid">
        <fgColor rgb="FFBAE2C4"/>
        <bgColor rgb="FF000000"/>
      </patternFill>
    </fill>
    <fill>
      <patternFill patternType="solid">
        <fgColor rgb="FFB2DFBE"/>
        <bgColor rgb="FF000000"/>
      </patternFill>
    </fill>
    <fill>
      <patternFill patternType="solid">
        <fgColor rgb="FFFDC3C3"/>
        <bgColor rgb="FF000000"/>
      </patternFill>
    </fill>
    <fill>
      <patternFill patternType="solid">
        <fgColor rgb="FFCFEBD6"/>
        <bgColor rgb="FF000000"/>
      </patternFill>
    </fill>
    <fill>
      <patternFill patternType="solid">
        <fgColor rgb="FFD7EEDD"/>
        <bgColor rgb="FF000000"/>
      </patternFill>
    </fill>
    <fill>
      <patternFill patternType="solid">
        <fgColor rgb="FFF6FBF7"/>
        <bgColor rgb="FF000000"/>
      </patternFill>
    </fill>
    <fill>
      <patternFill patternType="solid">
        <fgColor rgb="FFB9E2C4"/>
        <bgColor rgb="FF000000"/>
      </patternFill>
    </fill>
    <fill>
      <patternFill patternType="solid">
        <fgColor rgb="FF92D1A3"/>
        <bgColor rgb="FF000000"/>
      </patternFill>
    </fill>
    <fill>
      <patternFill patternType="solid">
        <fgColor rgb="FFB3DFBF"/>
        <bgColor rgb="FF000000"/>
      </patternFill>
    </fill>
    <fill>
      <patternFill patternType="solid">
        <fgColor rgb="FFFEE5E6"/>
        <bgColor rgb="FF000000"/>
      </patternFill>
    </fill>
    <fill>
      <patternFill patternType="solid">
        <fgColor rgb="FFFFFEFE"/>
        <bgColor rgb="FF000000"/>
      </patternFill>
    </fill>
    <fill>
      <patternFill patternType="solid">
        <fgColor rgb="FFFCFDFC"/>
        <bgColor rgb="FF000000"/>
      </patternFill>
    </fill>
    <fill>
      <patternFill patternType="solid">
        <fgColor rgb="FFE9F5EC"/>
        <bgColor rgb="FF000000"/>
      </patternFill>
    </fill>
    <fill>
      <patternFill patternType="solid">
        <fgColor rgb="FFFFF5F6"/>
        <bgColor rgb="FF000000"/>
      </patternFill>
    </fill>
    <fill>
      <patternFill patternType="solid">
        <fgColor rgb="FF7DC991"/>
        <bgColor rgb="FF000000"/>
      </patternFill>
    </fill>
    <fill>
      <patternFill patternType="solid">
        <fgColor rgb="FFA6D9B3"/>
        <bgColor rgb="FF000000"/>
      </patternFill>
    </fill>
    <fill>
      <patternFill patternType="solid">
        <fgColor rgb="FF95D2A5"/>
        <bgColor rgb="FF000000"/>
      </patternFill>
    </fill>
    <fill>
      <patternFill patternType="solid">
        <fgColor rgb="FFF3FAF5"/>
        <bgColor rgb="FF000000"/>
      </patternFill>
    </fill>
    <fill>
      <patternFill patternType="solid">
        <fgColor rgb="FF9AD4A9"/>
        <bgColor rgb="FF000000"/>
      </patternFill>
    </fill>
    <fill>
      <patternFill patternType="solid">
        <fgColor rgb="FFA1D7AF"/>
        <bgColor rgb="FF000000"/>
      </patternFill>
    </fill>
    <fill>
      <patternFill patternType="solid">
        <fgColor rgb="FFEDF7EF"/>
        <bgColor rgb="FF000000"/>
      </patternFill>
    </fill>
    <fill>
      <patternFill patternType="solid">
        <fgColor rgb="FF97D3A7"/>
        <bgColor rgb="FF000000"/>
      </patternFill>
    </fill>
    <fill>
      <patternFill patternType="solid">
        <fgColor rgb="FF6FC385"/>
        <bgColor rgb="FF000000"/>
      </patternFill>
    </fill>
    <fill>
      <patternFill patternType="solid">
        <fgColor rgb="FFFBA0A1"/>
        <bgColor rgb="FF000000"/>
      </patternFill>
    </fill>
    <fill>
      <patternFill patternType="solid">
        <fgColor rgb="FFFFF3F3"/>
        <bgColor rgb="FF000000"/>
      </patternFill>
    </fill>
    <fill>
      <patternFill patternType="solid">
        <fgColor rgb="FFEFF8F1"/>
        <bgColor rgb="FF000000"/>
      </patternFill>
    </fill>
    <fill>
      <patternFill patternType="solid">
        <fgColor rgb="FFFEEAEA"/>
        <bgColor rgb="FF000000"/>
      </patternFill>
    </fill>
    <fill>
      <patternFill patternType="solid">
        <fgColor rgb="FFC5E7CE"/>
        <bgColor rgb="FF000000"/>
      </patternFill>
    </fill>
    <fill>
      <patternFill patternType="solid">
        <fgColor rgb="FFEEF7F0"/>
        <bgColor rgb="FF000000"/>
      </patternFill>
    </fill>
    <fill>
      <patternFill patternType="solid">
        <fgColor rgb="FFF5FAF6"/>
        <bgColor rgb="FF000000"/>
      </patternFill>
    </fill>
    <fill>
      <patternFill patternType="solid">
        <fgColor rgb="FFFED5D5"/>
        <bgColor rgb="FF000000"/>
      </patternFill>
    </fill>
    <fill>
      <patternFill patternType="solid">
        <fgColor rgb="FFFDD2D2"/>
        <bgColor rgb="FF000000"/>
      </patternFill>
    </fill>
    <fill>
      <patternFill patternType="solid">
        <fgColor rgb="FFA2D8B0"/>
        <bgColor rgb="FF000000"/>
      </patternFill>
    </fill>
    <fill>
      <patternFill patternType="solid">
        <fgColor rgb="FFBBE2C5"/>
        <bgColor rgb="FF000000"/>
      </patternFill>
    </fill>
    <fill>
      <patternFill patternType="solid">
        <fgColor rgb="FFACDCB9"/>
        <bgColor rgb="FF000000"/>
      </patternFill>
    </fill>
    <fill>
      <patternFill patternType="solid">
        <fgColor rgb="FFC2E5CC"/>
        <bgColor rgb="FF000000"/>
      </patternFill>
    </fill>
    <fill>
      <patternFill patternType="solid">
        <fgColor rgb="FFE4F3E8"/>
        <bgColor rgb="FF000000"/>
      </patternFill>
    </fill>
    <fill>
      <patternFill patternType="solid">
        <fgColor rgb="FFFEDCDC"/>
        <bgColor rgb="FF000000"/>
      </patternFill>
    </fill>
    <fill>
      <patternFill patternType="solid">
        <fgColor theme="4"/>
        <bgColor indexed="64"/>
      </patternFill>
    </fill>
  </fills>
  <borders count="37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theme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 style="thin">
        <color theme="1"/>
      </top>
      <bottom/>
      <diagonal/>
    </border>
    <border>
      <left style="thin">
        <color auto="1"/>
      </left>
      <right/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theme="1"/>
      </top>
      <bottom/>
      <diagonal/>
    </border>
    <border>
      <left/>
      <right style="thin">
        <color auto="1"/>
      </right>
      <top style="thin">
        <color theme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Dashed">
        <color auto="1"/>
      </right>
      <top style="medium">
        <color auto="1"/>
      </top>
      <bottom style="medium">
        <color auto="1"/>
      </bottom>
      <diagonal/>
    </border>
    <border>
      <left style="mediumDashed">
        <color auto="1"/>
      </left>
      <right style="mediumDashed">
        <color auto="1"/>
      </right>
      <top style="medium">
        <color auto="1"/>
      </top>
      <bottom style="medium">
        <color auto="1"/>
      </bottom>
      <diagonal/>
    </border>
    <border>
      <left style="medium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0">
    <xf numFmtId="0" fontId="0" fillId="0" borderId="0" xfId="0"/>
    <xf numFmtId="0" fontId="6" fillId="0" borderId="0" xfId="0" applyFont="1"/>
    <xf numFmtId="10" fontId="4" fillId="0" borderId="6" xfId="1" applyNumberFormat="1" applyFont="1" applyBorder="1"/>
    <xf numFmtId="10" fontId="6" fillId="0" borderId="0" xfId="0" applyNumberFormat="1" applyFont="1"/>
    <xf numFmtId="10" fontId="0" fillId="0" borderId="0" xfId="0" applyNumberFormat="1"/>
    <xf numFmtId="0" fontId="4" fillId="4" borderId="10" xfId="0" applyFont="1" applyFill="1" applyBorder="1"/>
    <xf numFmtId="10" fontId="7" fillId="3" borderId="8" xfId="0" applyNumberFormat="1" applyFont="1" applyFill="1" applyBorder="1"/>
    <xf numFmtId="0" fontId="5" fillId="0" borderId="7" xfId="0" applyFont="1" applyBorder="1"/>
    <xf numFmtId="10" fontId="4" fillId="2" borderId="5" xfId="1" applyNumberFormat="1" applyFont="1" applyFill="1" applyBorder="1"/>
    <xf numFmtId="10" fontId="4" fillId="0" borderId="5" xfId="1" applyNumberFormat="1" applyFont="1" applyBorder="1"/>
    <xf numFmtId="10" fontId="4" fillId="2" borderId="10" xfId="1" applyNumberFormat="1" applyFont="1" applyFill="1" applyBorder="1"/>
    <xf numFmtId="10" fontId="4" fillId="0" borderId="5" xfId="1" applyNumberFormat="1" applyFont="1" applyBorder="1" applyAlignment="1">
      <alignment wrapText="1"/>
    </xf>
    <xf numFmtId="0" fontId="5" fillId="0" borderId="1" xfId="0" applyFont="1" applyBorder="1"/>
    <xf numFmtId="0" fontId="5" fillId="0" borderId="13" xfId="0" applyFont="1" applyBorder="1"/>
    <xf numFmtId="0" fontId="5" fillId="0" borderId="14" xfId="0" applyFont="1" applyBorder="1"/>
    <xf numFmtId="10" fontId="4" fillId="2" borderId="17" xfId="1" applyNumberFormat="1" applyFont="1" applyFill="1" applyBorder="1"/>
    <xf numFmtId="10" fontId="4" fillId="2" borderId="6" xfId="1" applyNumberFormat="1" applyFont="1" applyFill="1" applyBorder="1"/>
    <xf numFmtId="10" fontId="4" fillId="2" borderId="16" xfId="1" applyNumberFormat="1" applyFont="1" applyFill="1" applyBorder="1"/>
    <xf numFmtId="0" fontId="4" fillId="4" borderId="12" xfId="0" applyFont="1" applyFill="1" applyBorder="1"/>
    <xf numFmtId="10" fontId="7" fillId="3" borderId="12" xfId="0" applyNumberFormat="1" applyFont="1" applyFill="1" applyBorder="1"/>
    <xf numFmtId="0" fontId="9" fillId="5" borderId="20" xfId="0" applyFont="1" applyFill="1" applyBorder="1"/>
    <xf numFmtId="0" fontId="9" fillId="0" borderId="26" xfId="0" applyFont="1" applyBorder="1"/>
    <xf numFmtId="0" fontId="9" fillId="0" borderId="27" xfId="0" applyFont="1" applyBorder="1"/>
    <xf numFmtId="0" fontId="9" fillId="0" borderId="28" xfId="0" applyFont="1" applyBorder="1"/>
    <xf numFmtId="0" fontId="9" fillId="0" borderId="29" xfId="0" applyFont="1" applyBorder="1"/>
    <xf numFmtId="0" fontId="9" fillId="0" borderId="30" xfId="0" applyFont="1" applyBorder="1"/>
    <xf numFmtId="0" fontId="9" fillId="0" borderId="31" xfId="0" applyFont="1" applyBorder="1"/>
    <xf numFmtId="0" fontId="9" fillId="0" borderId="32" xfId="0" applyFont="1" applyBorder="1"/>
    <xf numFmtId="0" fontId="9" fillId="0" borderId="33" xfId="0" applyFont="1" applyBorder="1"/>
    <xf numFmtId="0" fontId="9" fillId="5" borderId="24" xfId="0" applyFont="1" applyFill="1" applyBorder="1"/>
    <xf numFmtId="0" fontId="10" fillId="6" borderId="23" xfId="0" applyFont="1" applyFill="1" applyBorder="1"/>
    <xf numFmtId="10" fontId="9" fillId="0" borderId="34" xfId="1" applyNumberFormat="1" applyFont="1" applyBorder="1"/>
    <xf numFmtId="0" fontId="1" fillId="0" borderId="21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/>
    <xf numFmtId="10" fontId="9" fillId="0" borderId="0" xfId="1" applyNumberFormat="1" applyFont="1" applyFill="1" applyBorder="1"/>
    <xf numFmtId="0" fontId="10" fillId="0" borderId="0" xfId="0" applyFont="1"/>
    <xf numFmtId="0" fontId="5" fillId="0" borderId="0" xfId="0" applyFont="1"/>
    <xf numFmtId="0" fontId="12" fillId="6" borderId="15" xfId="0" applyFont="1" applyFill="1" applyBorder="1"/>
    <xf numFmtId="10" fontId="1" fillId="2" borderId="18" xfId="0" applyNumberFormat="1" applyFont="1" applyFill="1" applyBorder="1"/>
    <xf numFmtId="10" fontId="1" fillId="0" borderId="4" xfId="0" applyNumberFormat="1" applyFont="1" applyBorder="1"/>
    <xf numFmtId="10" fontId="1" fillId="2" borderId="4" xfId="0" applyNumberFormat="1" applyFont="1" applyFill="1" applyBorder="1"/>
    <xf numFmtId="10" fontId="1" fillId="3" borderId="10" xfId="0" applyNumberFormat="1" applyFont="1" applyFill="1" applyBorder="1"/>
    <xf numFmtId="10" fontId="13" fillId="2" borderId="5" xfId="1" applyNumberFormat="1" applyFont="1" applyFill="1" applyBorder="1"/>
    <xf numFmtId="10" fontId="13" fillId="0" borderId="5" xfId="1" applyNumberFormat="1" applyFont="1" applyBorder="1"/>
    <xf numFmtId="10" fontId="13" fillId="2" borderId="10" xfId="1" applyNumberFormat="1" applyFont="1" applyFill="1" applyBorder="1"/>
    <xf numFmtId="10" fontId="13" fillId="3" borderId="8" xfId="0" applyNumberFormat="1" applyFont="1" applyFill="1" applyBorder="1"/>
    <xf numFmtId="10" fontId="13" fillId="0" borderId="5" xfId="1" applyNumberFormat="1" applyFont="1" applyBorder="1" applyAlignment="1">
      <alignment wrapText="1"/>
    </xf>
    <xf numFmtId="0" fontId="14" fillId="0" borderId="0" xfId="0" applyFont="1"/>
    <xf numFmtId="0" fontId="15" fillId="2" borderId="15" xfId="0" applyFont="1" applyFill="1" applyBorder="1"/>
    <xf numFmtId="0" fontId="15" fillId="0" borderId="0" xfId="0" applyFont="1"/>
    <xf numFmtId="0" fontId="15" fillId="2" borderId="0" xfId="0" applyFont="1" applyFill="1"/>
    <xf numFmtId="0" fontId="16" fillId="2" borderId="0" xfId="0" applyFont="1" applyFill="1"/>
    <xf numFmtId="0" fontId="15" fillId="3" borderId="9" xfId="0" applyFont="1" applyFill="1" applyBorder="1"/>
    <xf numFmtId="0" fontId="17" fillId="2" borderId="15" xfId="0" applyFont="1" applyFill="1" applyBorder="1"/>
    <xf numFmtId="0" fontId="17" fillId="0" borderId="0" xfId="0" applyFont="1"/>
    <xf numFmtId="0" fontId="17" fillId="2" borderId="0" xfId="0" applyFont="1" applyFill="1"/>
    <xf numFmtId="0" fontId="18" fillId="2" borderId="0" xfId="0" applyFont="1" applyFill="1"/>
    <xf numFmtId="0" fontId="17" fillId="2" borderId="9" xfId="0" applyFont="1" applyFill="1" applyBorder="1"/>
    <xf numFmtId="0" fontId="17" fillId="3" borderId="8" xfId="0" applyFont="1" applyFill="1" applyBorder="1"/>
    <xf numFmtId="2" fontId="19" fillId="7" borderId="35" xfId="0" applyNumberFormat="1" applyFont="1" applyFill="1" applyBorder="1" applyAlignment="1">
      <alignment horizontal="center" vertical="center"/>
    </xf>
    <xf numFmtId="2" fontId="19" fillId="8" borderId="35" xfId="0" applyNumberFormat="1" applyFont="1" applyFill="1" applyBorder="1" applyAlignment="1">
      <alignment horizontal="center" vertical="center"/>
    </xf>
    <xf numFmtId="2" fontId="19" fillId="9" borderId="35" xfId="0" applyNumberFormat="1" applyFont="1" applyFill="1" applyBorder="1" applyAlignment="1">
      <alignment horizontal="center" vertical="center"/>
    </xf>
    <xf numFmtId="2" fontId="19" fillId="10" borderId="35" xfId="0" applyNumberFormat="1" applyFont="1" applyFill="1" applyBorder="1" applyAlignment="1">
      <alignment horizontal="center" vertical="center"/>
    </xf>
    <xf numFmtId="2" fontId="19" fillId="11" borderId="35" xfId="0" applyNumberFormat="1" applyFont="1" applyFill="1" applyBorder="1" applyAlignment="1">
      <alignment horizontal="center" vertical="center"/>
    </xf>
    <xf numFmtId="2" fontId="19" fillId="12" borderId="35" xfId="0" applyNumberFormat="1" applyFont="1" applyFill="1" applyBorder="1" applyAlignment="1">
      <alignment horizontal="center" vertical="center"/>
    </xf>
    <xf numFmtId="2" fontId="19" fillId="13" borderId="35" xfId="0" applyNumberFormat="1" applyFont="1" applyFill="1" applyBorder="1" applyAlignment="1">
      <alignment horizontal="center" vertical="center"/>
    </xf>
    <xf numFmtId="2" fontId="19" fillId="14" borderId="35" xfId="0" applyNumberFormat="1" applyFont="1" applyFill="1" applyBorder="1" applyAlignment="1">
      <alignment horizontal="center" vertical="center"/>
    </xf>
    <xf numFmtId="2" fontId="19" fillId="15" borderId="35" xfId="0" applyNumberFormat="1" applyFont="1" applyFill="1" applyBorder="1" applyAlignment="1">
      <alignment horizontal="center" vertical="center"/>
    </xf>
    <xf numFmtId="2" fontId="19" fillId="16" borderId="35" xfId="0" applyNumberFormat="1" applyFont="1" applyFill="1" applyBorder="1" applyAlignment="1">
      <alignment horizontal="center" vertical="center"/>
    </xf>
    <xf numFmtId="2" fontId="19" fillId="17" borderId="35" xfId="0" applyNumberFormat="1" applyFont="1" applyFill="1" applyBorder="1" applyAlignment="1">
      <alignment horizontal="center" vertical="center"/>
    </xf>
    <xf numFmtId="2" fontId="19" fillId="18" borderId="35" xfId="0" applyNumberFormat="1" applyFont="1" applyFill="1" applyBorder="1" applyAlignment="1">
      <alignment horizontal="center" vertical="center"/>
    </xf>
    <xf numFmtId="2" fontId="19" fillId="19" borderId="35" xfId="0" applyNumberFormat="1" applyFont="1" applyFill="1" applyBorder="1" applyAlignment="1">
      <alignment horizontal="center" vertical="center"/>
    </xf>
    <xf numFmtId="2" fontId="19" fillId="20" borderId="35" xfId="0" applyNumberFormat="1" applyFont="1" applyFill="1" applyBorder="1" applyAlignment="1">
      <alignment horizontal="center" vertical="center"/>
    </xf>
    <xf numFmtId="2" fontId="19" fillId="21" borderId="35" xfId="0" applyNumberFormat="1" applyFont="1" applyFill="1" applyBorder="1" applyAlignment="1">
      <alignment horizontal="center" vertical="center"/>
    </xf>
    <xf numFmtId="2" fontId="19" fillId="22" borderId="35" xfId="0" applyNumberFormat="1" applyFont="1" applyFill="1" applyBorder="1" applyAlignment="1">
      <alignment horizontal="center" vertical="center"/>
    </xf>
    <xf numFmtId="2" fontId="19" fillId="23" borderId="35" xfId="0" applyNumberFormat="1" applyFont="1" applyFill="1" applyBorder="1" applyAlignment="1">
      <alignment horizontal="center" vertical="center"/>
    </xf>
    <xf numFmtId="2" fontId="19" fillId="24" borderId="35" xfId="0" applyNumberFormat="1" applyFont="1" applyFill="1" applyBorder="1" applyAlignment="1">
      <alignment horizontal="center" vertical="center"/>
    </xf>
    <xf numFmtId="2" fontId="19" fillId="25" borderId="35" xfId="0" applyNumberFormat="1" applyFont="1" applyFill="1" applyBorder="1" applyAlignment="1">
      <alignment horizontal="center" vertical="center"/>
    </xf>
    <xf numFmtId="2" fontId="19" fillId="26" borderId="35" xfId="0" applyNumberFormat="1" applyFont="1" applyFill="1" applyBorder="1" applyAlignment="1">
      <alignment horizontal="center" vertical="center"/>
    </xf>
    <xf numFmtId="2" fontId="19" fillId="27" borderId="35" xfId="0" applyNumberFormat="1" applyFont="1" applyFill="1" applyBorder="1" applyAlignment="1">
      <alignment horizontal="center" vertical="center"/>
    </xf>
    <xf numFmtId="2" fontId="19" fillId="28" borderId="35" xfId="0" applyNumberFormat="1" applyFont="1" applyFill="1" applyBorder="1" applyAlignment="1">
      <alignment horizontal="center" vertical="center"/>
    </xf>
    <xf numFmtId="2" fontId="19" fillId="29" borderId="35" xfId="0" applyNumberFormat="1" applyFont="1" applyFill="1" applyBorder="1" applyAlignment="1">
      <alignment horizontal="center" vertical="center"/>
    </xf>
    <xf numFmtId="2" fontId="19" fillId="30" borderId="35" xfId="0" applyNumberFormat="1" applyFont="1" applyFill="1" applyBorder="1" applyAlignment="1">
      <alignment horizontal="center" vertical="center"/>
    </xf>
    <xf numFmtId="2" fontId="19" fillId="31" borderId="35" xfId="0" applyNumberFormat="1" applyFont="1" applyFill="1" applyBorder="1" applyAlignment="1">
      <alignment horizontal="center" vertical="center"/>
    </xf>
    <xf numFmtId="2" fontId="19" fillId="32" borderId="35" xfId="0" applyNumberFormat="1" applyFont="1" applyFill="1" applyBorder="1" applyAlignment="1">
      <alignment horizontal="center" vertical="center"/>
    </xf>
    <xf numFmtId="2" fontId="19" fillId="33" borderId="35" xfId="0" applyNumberFormat="1" applyFont="1" applyFill="1" applyBorder="1" applyAlignment="1">
      <alignment horizontal="center" vertical="center"/>
    </xf>
    <xf numFmtId="2" fontId="19" fillId="34" borderId="35" xfId="0" applyNumberFormat="1" applyFont="1" applyFill="1" applyBorder="1" applyAlignment="1">
      <alignment horizontal="center" vertical="center"/>
    </xf>
    <xf numFmtId="2" fontId="19" fillId="35" borderId="35" xfId="0" applyNumberFormat="1" applyFont="1" applyFill="1" applyBorder="1" applyAlignment="1">
      <alignment horizontal="center" vertical="center"/>
    </xf>
    <xf numFmtId="2" fontId="19" fillId="36" borderId="35" xfId="0" applyNumberFormat="1" applyFont="1" applyFill="1" applyBorder="1" applyAlignment="1">
      <alignment horizontal="center" vertical="center"/>
    </xf>
    <xf numFmtId="2" fontId="19" fillId="37" borderId="35" xfId="0" applyNumberFormat="1" applyFont="1" applyFill="1" applyBorder="1" applyAlignment="1">
      <alignment horizontal="center" vertical="center"/>
    </xf>
    <xf numFmtId="2" fontId="19" fillId="38" borderId="35" xfId="0" applyNumberFormat="1" applyFont="1" applyFill="1" applyBorder="1" applyAlignment="1">
      <alignment horizontal="center" vertical="center"/>
    </xf>
    <xf numFmtId="2" fontId="19" fillId="39" borderId="35" xfId="0" applyNumberFormat="1" applyFont="1" applyFill="1" applyBorder="1" applyAlignment="1">
      <alignment horizontal="center" vertical="center"/>
    </xf>
    <xf numFmtId="2" fontId="19" fillId="40" borderId="35" xfId="0" applyNumberFormat="1" applyFont="1" applyFill="1" applyBorder="1" applyAlignment="1">
      <alignment horizontal="center" vertical="center"/>
    </xf>
    <xf numFmtId="2" fontId="19" fillId="41" borderId="35" xfId="0" applyNumberFormat="1" applyFont="1" applyFill="1" applyBorder="1" applyAlignment="1">
      <alignment horizontal="center" vertical="center"/>
    </xf>
    <xf numFmtId="2" fontId="19" fillId="42" borderId="35" xfId="0" applyNumberFormat="1" applyFont="1" applyFill="1" applyBorder="1" applyAlignment="1">
      <alignment horizontal="center" vertical="center"/>
    </xf>
    <xf numFmtId="2" fontId="19" fillId="43" borderId="35" xfId="0" applyNumberFormat="1" applyFont="1" applyFill="1" applyBorder="1" applyAlignment="1">
      <alignment horizontal="center" vertical="center"/>
    </xf>
    <xf numFmtId="2" fontId="19" fillId="44" borderId="35" xfId="0" applyNumberFormat="1" applyFont="1" applyFill="1" applyBorder="1" applyAlignment="1">
      <alignment horizontal="center" vertical="center"/>
    </xf>
    <xf numFmtId="2" fontId="19" fillId="45" borderId="35" xfId="0" applyNumberFormat="1" applyFont="1" applyFill="1" applyBorder="1" applyAlignment="1">
      <alignment horizontal="center" vertical="center"/>
    </xf>
    <xf numFmtId="2" fontId="19" fillId="46" borderId="35" xfId="0" applyNumberFormat="1" applyFont="1" applyFill="1" applyBorder="1" applyAlignment="1">
      <alignment horizontal="center" vertical="center"/>
    </xf>
    <xf numFmtId="2" fontId="19" fillId="47" borderId="35" xfId="0" applyNumberFormat="1" applyFont="1" applyFill="1" applyBorder="1" applyAlignment="1">
      <alignment horizontal="center" vertical="center"/>
    </xf>
    <xf numFmtId="2" fontId="19" fillId="48" borderId="35" xfId="0" applyNumberFormat="1" applyFont="1" applyFill="1" applyBorder="1" applyAlignment="1">
      <alignment horizontal="center" vertical="center"/>
    </xf>
    <xf numFmtId="2" fontId="19" fillId="49" borderId="35" xfId="0" applyNumberFormat="1" applyFont="1" applyFill="1" applyBorder="1" applyAlignment="1">
      <alignment horizontal="center" vertical="center"/>
    </xf>
    <xf numFmtId="2" fontId="19" fillId="50" borderId="35" xfId="0" applyNumberFormat="1" applyFont="1" applyFill="1" applyBorder="1" applyAlignment="1">
      <alignment horizontal="center" vertical="center"/>
    </xf>
    <xf numFmtId="2" fontId="19" fillId="51" borderId="35" xfId="0" applyNumberFormat="1" applyFont="1" applyFill="1" applyBorder="1" applyAlignment="1">
      <alignment horizontal="center" vertical="center"/>
    </xf>
    <xf numFmtId="2" fontId="19" fillId="52" borderId="35" xfId="0" applyNumberFormat="1" applyFont="1" applyFill="1" applyBorder="1" applyAlignment="1">
      <alignment horizontal="center" vertical="center"/>
    </xf>
    <xf numFmtId="2" fontId="19" fillId="53" borderId="35" xfId="0" applyNumberFormat="1" applyFont="1" applyFill="1" applyBorder="1" applyAlignment="1">
      <alignment horizontal="center" vertical="center"/>
    </xf>
    <xf numFmtId="2" fontId="19" fillId="54" borderId="35" xfId="0" applyNumberFormat="1" applyFont="1" applyFill="1" applyBorder="1" applyAlignment="1">
      <alignment horizontal="center" vertical="center"/>
    </xf>
    <xf numFmtId="2" fontId="19" fillId="55" borderId="35" xfId="0" applyNumberFormat="1" applyFont="1" applyFill="1" applyBorder="1" applyAlignment="1">
      <alignment horizontal="center" vertical="center"/>
    </xf>
    <xf numFmtId="2" fontId="19" fillId="56" borderId="35" xfId="0" applyNumberFormat="1" applyFont="1" applyFill="1" applyBorder="1" applyAlignment="1">
      <alignment horizontal="center" vertical="center"/>
    </xf>
    <xf numFmtId="2" fontId="19" fillId="57" borderId="35" xfId="0" applyNumberFormat="1" applyFont="1" applyFill="1" applyBorder="1" applyAlignment="1">
      <alignment horizontal="center" vertical="center"/>
    </xf>
    <xf numFmtId="2" fontId="19" fillId="58" borderId="35" xfId="0" applyNumberFormat="1" applyFont="1" applyFill="1" applyBorder="1" applyAlignment="1">
      <alignment horizontal="center" vertical="center"/>
    </xf>
    <xf numFmtId="2" fontId="19" fillId="59" borderId="35" xfId="0" applyNumberFormat="1" applyFont="1" applyFill="1" applyBorder="1" applyAlignment="1">
      <alignment horizontal="center" vertical="center"/>
    </xf>
    <xf numFmtId="2" fontId="19" fillId="60" borderId="35" xfId="0" applyNumberFormat="1" applyFont="1" applyFill="1" applyBorder="1" applyAlignment="1">
      <alignment horizontal="center" vertical="center"/>
    </xf>
    <xf numFmtId="2" fontId="19" fillId="61" borderId="35" xfId="0" applyNumberFormat="1" applyFont="1" applyFill="1" applyBorder="1" applyAlignment="1">
      <alignment horizontal="center" vertical="center"/>
    </xf>
    <xf numFmtId="2" fontId="19" fillId="62" borderId="35" xfId="0" applyNumberFormat="1" applyFont="1" applyFill="1" applyBorder="1" applyAlignment="1">
      <alignment horizontal="center" vertical="center"/>
    </xf>
    <xf numFmtId="2" fontId="19" fillId="63" borderId="35" xfId="0" applyNumberFormat="1" applyFont="1" applyFill="1" applyBorder="1" applyAlignment="1">
      <alignment horizontal="center" vertical="center"/>
    </xf>
    <xf numFmtId="2" fontId="19" fillId="64" borderId="35" xfId="0" applyNumberFormat="1" applyFont="1" applyFill="1" applyBorder="1" applyAlignment="1">
      <alignment horizontal="center" vertical="center"/>
    </xf>
    <xf numFmtId="2" fontId="19" fillId="65" borderId="35" xfId="0" applyNumberFormat="1" applyFont="1" applyFill="1" applyBorder="1" applyAlignment="1">
      <alignment horizontal="center" vertical="center"/>
    </xf>
    <xf numFmtId="2" fontId="19" fillId="66" borderId="35" xfId="0" applyNumberFormat="1" applyFont="1" applyFill="1" applyBorder="1" applyAlignment="1">
      <alignment horizontal="center" vertical="center"/>
    </xf>
    <xf numFmtId="2" fontId="19" fillId="67" borderId="35" xfId="0" applyNumberFormat="1" applyFont="1" applyFill="1" applyBorder="1" applyAlignment="1">
      <alignment horizontal="center" vertical="center"/>
    </xf>
    <xf numFmtId="2" fontId="19" fillId="68" borderId="35" xfId="0" applyNumberFormat="1" applyFont="1" applyFill="1" applyBorder="1" applyAlignment="1">
      <alignment horizontal="center" vertical="center"/>
    </xf>
    <xf numFmtId="2" fontId="19" fillId="69" borderId="35" xfId="0" applyNumberFormat="1" applyFont="1" applyFill="1" applyBorder="1" applyAlignment="1">
      <alignment horizontal="center" vertical="center"/>
    </xf>
    <xf numFmtId="2" fontId="19" fillId="70" borderId="35" xfId="0" applyNumberFormat="1" applyFont="1" applyFill="1" applyBorder="1" applyAlignment="1">
      <alignment horizontal="center" vertical="center"/>
    </xf>
    <xf numFmtId="2" fontId="19" fillId="71" borderId="35" xfId="0" applyNumberFormat="1" applyFont="1" applyFill="1" applyBorder="1" applyAlignment="1">
      <alignment horizontal="center" vertical="center"/>
    </xf>
    <xf numFmtId="2" fontId="19" fillId="72" borderId="35" xfId="0" applyNumberFormat="1" applyFont="1" applyFill="1" applyBorder="1" applyAlignment="1">
      <alignment horizontal="center" vertical="center"/>
    </xf>
    <xf numFmtId="2" fontId="19" fillId="73" borderId="35" xfId="0" applyNumberFormat="1" applyFont="1" applyFill="1" applyBorder="1" applyAlignment="1">
      <alignment horizontal="center" vertical="center"/>
    </xf>
    <xf numFmtId="2" fontId="19" fillId="74" borderId="35" xfId="0" applyNumberFormat="1" applyFont="1" applyFill="1" applyBorder="1" applyAlignment="1">
      <alignment horizontal="center" vertical="center"/>
    </xf>
    <xf numFmtId="2" fontId="19" fillId="75" borderId="35" xfId="0" applyNumberFormat="1" applyFont="1" applyFill="1" applyBorder="1" applyAlignment="1">
      <alignment horizontal="center" vertical="center"/>
    </xf>
    <xf numFmtId="2" fontId="19" fillId="76" borderId="35" xfId="0" applyNumberFormat="1" applyFont="1" applyFill="1" applyBorder="1" applyAlignment="1">
      <alignment horizontal="center" vertical="center"/>
    </xf>
    <xf numFmtId="2" fontId="19" fillId="77" borderId="35" xfId="0" applyNumberFormat="1" applyFont="1" applyFill="1" applyBorder="1" applyAlignment="1">
      <alignment horizontal="center" vertical="center"/>
    </xf>
    <xf numFmtId="2" fontId="19" fillId="78" borderId="35" xfId="0" applyNumberFormat="1" applyFont="1" applyFill="1" applyBorder="1" applyAlignment="1">
      <alignment horizontal="center" vertical="center"/>
    </xf>
    <xf numFmtId="2" fontId="19" fillId="79" borderId="35" xfId="0" applyNumberFormat="1" applyFont="1" applyFill="1" applyBorder="1" applyAlignment="1">
      <alignment horizontal="center" vertical="center"/>
    </xf>
    <xf numFmtId="2" fontId="19" fillId="80" borderId="35" xfId="0" applyNumberFormat="1" applyFont="1" applyFill="1" applyBorder="1" applyAlignment="1">
      <alignment horizontal="center" vertical="center"/>
    </xf>
    <xf numFmtId="2" fontId="19" fillId="81" borderId="35" xfId="0" applyNumberFormat="1" applyFont="1" applyFill="1" applyBorder="1" applyAlignment="1">
      <alignment horizontal="center" vertical="center"/>
    </xf>
    <xf numFmtId="2" fontId="19" fillId="82" borderId="35" xfId="0" applyNumberFormat="1" applyFont="1" applyFill="1" applyBorder="1" applyAlignment="1">
      <alignment horizontal="center" vertical="center"/>
    </xf>
    <xf numFmtId="2" fontId="19" fillId="83" borderId="35" xfId="0" applyNumberFormat="1" applyFont="1" applyFill="1" applyBorder="1" applyAlignment="1">
      <alignment horizontal="center" vertical="center"/>
    </xf>
    <xf numFmtId="2" fontId="19" fillId="84" borderId="35" xfId="0" applyNumberFormat="1" applyFont="1" applyFill="1" applyBorder="1" applyAlignment="1">
      <alignment horizontal="center" vertical="center"/>
    </xf>
    <xf numFmtId="2" fontId="19" fillId="85" borderId="35" xfId="0" applyNumberFormat="1" applyFont="1" applyFill="1" applyBorder="1" applyAlignment="1">
      <alignment horizontal="center" vertical="center"/>
    </xf>
    <xf numFmtId="2" fontId="19" fillId="86" borderId="35" xfId="0" applyNumberFormat="1" applyFont="1" applyFill="1" applyBorder="1" applyAlignment="1">
      <alignment horizontal="center" vertical="center"/>
    </xf>
    <xf numFmtId="2" fontId="19" fillId="87" borderId="35" xfId="0" applyNumberFormat="1" applyFont="1" applyFill="1" applyBorder="1" applyAlignment="1">
      <alignment horizontal="center" vertical="center"/>
    </xf>
    <xf numFmtId="2" fontId="19" fillId="88" borderId="35" xfId="0" applyNumberFormat="1" applyFont="1" applyFill="1" applyBorder="1" applyAlignment="1">
      <alignment horizontal="center" vertical="center"/>
    </xf>
    <xf numFmtId="2" fontId="19" fillId="89" borderId="35" xfId="0" applyNumberFormat="1" applyFont="1" applyFill="1" applyBorder="1" applyAlignment="1">
      <alignment horizontal="center" vertical="center"/>
    </xf>
    <xf numFmtId="2" fontId="19" fillId="90" borderId="35" xfId="0" applyNumberFormat="1" applyFont="1" applyFill="1" applyBorder="1" applyAlignment="1">
      <alignment horizontal="center" vertical="center"/>
    </xf>
    <xf numFmtId="2" fontId="19" fillId="91" borderId="35" xfId="0" applyNumberFormat="1" applyFont="1" applyFill="1" applyBorder="1" applyAlignment="1">
      <alignment horizontal="center" vertical="center"/>
    </xf>
    <xf numFmtId="2" fontId="19" fillId="92" borderId="35" xfId="0" applyNumberFormat="1" applyFont="1" applyFill="1" applyBorder="1" applyAlignment="1">
      <alignment horizontal="center" vertical="center"/>
    </xf>
    <xf numFmtId="2" fontId="19" fillId="93" borderId="35" xfId="0" applyNumberFormat="1" applyFont="1" applyFill="1" applyBorder="1" applyAlignment="1">
      <alignment horizontal="center" vertical="center"/>
    </xf>
    <xf numFmtId="2" fontId="19" fillId="94" borderId="35" xfId="0" applyNumberFormat="1" applyFont="1" applyFill="1" applyBorder="1" applyAlignment="1">
      <alignment horizontal="center" vertical="center"/>
    </xf>
    <xf numFmtId="2" fontId="19" fillId="95" borderId="35" xfId="0" applyNumberFormat="1" applyFont="1" applyFill="1" applyBorder="1" applyAlignment="1">
      <alignment horizontal="center" vertical="center"/>
    </xf>
    <xf numFmtId="2" fontId="19" fillId="96" borderId="35" xfId="0" applyNumberFormat="1" applyFont="1" applyFill="1" applyBorder="1" applyAlignment="1">
      <alignment horizontal="center" vertical="center"/>
    </xf>
    <xf numFmtId="2" fontId="19" fillId="97" borderId="35" xfId="0" applyNumberFormat="1" applyFont="1" applyFill="1" applyBorder="1" applyAlignment="1">
      <alignment horizontal="center" vertical="center"/>
    </xf>
    <xf numFmtId="2" fontId="19" fillId="98" borderId="35" xfId="0" applyNumberFormat="1" applyFont="1" applyFill="1" applyBorder="1" applyAlignment="1">
      <alignment horizontal="center" vertical="center"/>
    </xf>
    <xf numFmtId="2" fontId="19" fillId="99" borderId="35" xfId="0" applyNumberFormat="1" applyFont="1" applyFill="1" applyBorder="1" applyAlignment="1">
      <alignment horizontal="center" vertical="center"/>
    </xf>
    <xf numFmtId="2" fontId="19" fillId="100" borderId="35" xfId="0" applyNumberFormat="1" applyFont="1" applyFill="1" applyBorder="1" applyAlignment="1">
      <alignment horizontal="center" vertical="center"/>
    </xf>
    <xf numFmtId="2" fontId="19" fillId="101" borderId="35" xfId="0" applyNumberFormat="1" applyFont="1" applyFill="1" applyBorder="1" applyAlignment="1">
      <alignment horizontal="center" vertical="center"/>
    </xf>
    <xf numFmtId="2" fontId="19" fillId="102" borderId="35" xfId="0" applyNumberFormat="1" applyFont="1" applyFill="1" applyBorder="1" applyAlignment="1">
      <alignment horizontal="center" vertical="center"/>
    </xf>
    <xf numFmtId="2" fontId="19" fillId="103" borderId="35" xfId="0" applyNumberFormat="1" applyFont="1" applyFill="1" applyBorder="1" applyAlignment="1">
      <alignment horizontal="center" vertical="center"/>
    </xf>
    <xf numFmtId="2" fontId="19" fillId="104" borderId="35" xfId="0" applyNumberFormat="1" applyFont="1" applyFill="1" applyBorder="1" applyAlignment="1">
      <alignment horizontal="center" vertical="center"/>
    </xf>
    <xf numFmtId="2" fontId="19" fillId="105" borderId="35" xfId="0" applyNumberFormat="1" applyFont="1" applyFill="1" applyBorder="1" applyAlignment="1">
      <alignment horizontal="center" vertical="center"/>
    </xf>
    <xf numFmtId="2" fontId="19" fillId="106" borderId="35" xfId="0" applyNumberFormat="1" applyFont="1" applyFill="1" applyBorder="1" applyAlignment="1">
      <alignment horizontal="center" vertical="center"/>
    </xf>
    <xf numFmtId="2" fontId="19" fillId="107" borderId="35" xfId="0" applyNumberFormat="1" applyFont="1" applyFill="1" applyBorder="1" applyAlignment="1">
      <alignment horizontal="center" vertical="center"/>
    </xf>
    <xf numFmtId="2" fontId="19" fillId="108" borderId="35" xfId="0" applyNumberFormat="1" applyFont="1" applyFill="1" applyBorder="1" applyAlignment="1">
      <alignment horizontal="center" vertical="center"/>
    </xf>
    <xf numFmtId="2" fontId="19" fillId="109" borderId="35" xfId="0" applyNumberFormat="1" applyFont="1" applyFill="1" applyBorder="1" applyAlignment="1">
      <alignment horizontal="center" vertical="center"/>
    </xf>
    <xf numFmtId="2" fontId="19" fillId="110" borderId="35" xfId="0" applyNumberFormat="1" applyFont="1" applyFill="1" applyBorder="1" applyAlignment="1">
      <alignment horizontal="center" vertical="center"/>
    </xf>
    <xf numFmtId="2" fontId="19" fillId="111" borderId="35" xfId="0" applyNumberFormat="1" applyFont="1" applyFill="1" applyBorder="1" applyAlignment="1">
      <alignment horizontal="center" vertical="center"/>
    </xf>
    <xf numFmtId="2" fontId="19" fillId="112" borderId="35" xfId="0" applyNumberFormat="1" applyFont="1" applyFill="1" applyBorder="1" applyAlignment="1">
      <alignment horizontal="center" vertical="center"/>
    </xf>
    <xf numFmtId="2" fontId="19" fillId="113" borderId="35" xfId="0" applyNumberFormat="1" applyFont="1" applyFill="1" applyBorder="1" applyAlignment="1">
      <alignment horizontal="center" vertical="center"/>
    </xf>
    <xf numFmtId="2" fontId="19" fillId="114" borderId="35" xfId="0" applyNumberFormat="1" applyFont="1" applyFill="1" applyBorder="1" applyAlignment="1">
      <alignment horizontal="center" vertical="center"/>
    </xf>
    <xf numFmtId="2" fontId="19" fillId="115" borderId="35" xfId="0" applyNumberFormat="1" applyFont="1" applyFill="1" applyBorder="1" applyAlignment="1">
      <alignment horizontal="center" vertical="center"/>
    </xf>
    <xf numFmtId="2" fontId="19" fillId="116" borderId="35" xfId="0" applyNumberFormat="1" applyFont="1" applyFill="1" applyBorder="1" applyAlignment="1">
      <alignment horizontal="center" vertical="center"/>
    </xf>
    <xf numFmtId="2" fontId="19" fillId="117" borderId="35" xfId="0" applyNumberFormat="1" applyFont="1" applyFill="1" applyBorder="1" applyAlignment="1">
      <alignment horizontal="center" vertical="center"/>
    </xf>
    <xf numFmtId="2" fontId="19" fillId="118" borderId="35" xfId="0" applyNumberFormat="1" applyFont="1" applyFill="1" applyBorder="1" applyAlignment="1">
      <alignment horizontal="center" vertical="center"/>
    </xf>
    <xf numFmtId="2" fontId="19" fillId="119" borderId="35" xfId="0" applyNumberFormat="1" applyFont="1" applyFill="1" applyBorder="1" applyAlignment="1">
      <alignment horizontal="center" vertical="center"/>
    </xf>
    <xf numFmtId="2" fontId="19" fillId="120" borderId="35" xfId="0" applyNumberFormat="1" applyFont="1" applyFill="1" applyBorder="1" applyAlignment="1">
      <alignment horizontal="center" vertical="center"/>
    </xf>
    <xf numFmtId="2" fontId="19" fillId="121" borderId="35" xfId="0" applyNumberFormat="1" applyFont="1" applyFill="1" applyBorder="1" applyAlignment="1">
      <alignment horizontal="center" vertical="center"/>
    </xf>
    <xf numFmtId="2" fontId="19" fillId="122" borderId="35" xfId="0" applyNumberFormat="1" applyFont="1" applyFill="1" applyBorder="1" applyAlignment="1">
      <alignment horizontal="center" vertical="center"/>
    </xf>
    <xf numFmtId="2" fontId="19" fillId="123" borderId="35" xfId="0" applyNumberFormat="1" applyFont="1" applyFill="1" applyBorder="1" applyAlignment="1">
      <alignment horizontal="center" vertical="center"/>
    </xf>
    <xf numFmtId="2" fontId="19" fillId="124" borderId="35" xfId="0" applyNumberFormat="1" applyFont="1" applyFill="1" applyBorder="1" applyAlignment="1">
      <alignment horizontal="center" vertical="center"/>
    </xf>
    <xf numFmtId="2" fontId="19" fillId="125" borderId="35" xfId="0" applyNumberFormat="1" applyFont="1" applyFill="1" applyBorder="1" applyAlignment="1">
      <alignment horizontal="center" vertical="center"/>
    </xf>
    <xf numFmtId="2" fontId="19" fillId="126" borderId="35" xfId="0" applyNumberFormat="1" applyFont="1" applyFill="1" applyBorder="1" applyAlignment="1">
      <alignment horizontal="center" vertical="center"/>
    </xf>
    <xf numFmtId="2" fontId="19" fillId="127" borderId="35" xfId="0" applyNumberFormat="1" applyFont="1" applyFill="1" applyBorder="1" applyAlignment="1">
      <alignment horizontal="center" vertical="center"/>
    </xf>
    <xf numFmtId="2" fontId="19" fillId="128" borderId="35" xfId="0" applyNumberFormat="1" applyFont="1" applyFill="1" applyBorder="1" applyAlignment="1">
      <alignment horizontal="center" vertical="center"/>
    </xf>
    <xf numFmtId="2" fontId="19" fillId="129" borderId="35" xfId="0" applyNumberFormat="1" applyFont="1" applyFill="1" applyBorder="1" applyAlignment="1">
      <alignment horizontal="center" vertical="center"/>
    </xf>
    <xf numFmtId="2" fontId="19" fillId="130" borderId="35" xfId="0" applyNumberFormat="1" applyFont="1" applyFill="1" applyBorder="1" applyAlignment="1">
      <alignment horizontal="center" vertical="center"/>
    </xf>
    <xf numFmtId="2" fontId="19" fillId="131" borderId="35" xfId="0" applyNumberFormat="1" applyFont="1" applyFill="1" applyBorder="1" applyAlignment="1">
      <alignment horizontal="center" vertical="center"/>
    </xf>
    <xf numFmtId="2" fontId="20" fillId="132" borderId="25" xfId="0" applyNumberFormat="1" applyFont="1" applyFill="1" applyBorder="1"/>
    <xf numFmtId="0" fontId="3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2" fontId="16" fillId="2" borderId="36" xfId="0" applyNumberFormat="1" applyFont="1" applyFill="1" applyBorder="1"/>
    <xf numFmtId="2" fontId="16" fillId="0" borderId="36" xfId="0" applyNumberFormat="1" applyFont="1" applyBorder="1"/>
    <xf numFmtId="0" fontId="12" fillId="132" borderId="15" xfId="0" applyFont="1" applyFill="1" applyBorder="1"/>
    <xf numFmtId="0" fontId="5" fillId="2" borderId="36" xfId="0" applyFont="1" applyFill="1" applyBorder="1"/>
    <xf numFmtId="0" fontId="5" fillId="0" borderId="36" xfId="0" applyFont="1" applyBorder="1"/>
    <xf numFmtId="0" fontId="0" fillId="0" borderId="0" xfId="0" applyFill="1" applyBorder="1"/>
    <xf numFmtId="0" fontId="11" fillId="0" borderId="0" xfId="0" applyFont="1" applyFill="1" applyBorder="1" applyAlignment="1"/>
    <xf numFmtId="0" fontId="0" fillId="0" borderId="0" xfId="0" applyFill="1" applyBorder="1" applyAlignment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colors>
    <mruColors>
      <color rgb="FFF8696B"/>
      <color rgb="FF6FDA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E2261-F884-CE46-9638-246C096CD0F5}">
  <dimension ref="A1:K27"/>
  <sheetViews>
    <sheetView tabSelected="1" workbookViewId="0">
      <selection activeCell="B2" sqref="B2:B26"/>
    </sheetView>
  </sheetViews>
  <sheetFormatPr baseColWidth="10" defaultColWidth="11" defaultRowHeight="16" x14ac:dyDescent="0.2"/>
  <cols>
    <col min="1" max="1" width="19.83203125" bestFit="1" customWidth="1"/>
    <col min="2" max="2" width="28" customWidth="1"/>
  </cols>
  <sheetData>
    <row r="1" spans="1:11" ht="19" x14ac:dyDescent="0.25">
      <c r="A1" s="194" t="s">
        <v>0</v>
      </c>
      <c r="B1" s="40" t="s">
        <v>1</v>
      </c>
    </row>
    <row r="2" spans="1:11" ht="19" x14ac:dyDescent="0.25">
      <c r="A2" s="195" t="s">
        <v>2</v>
      </c>
      <c r="B2" s="192">
        <f>'Facility Risk - Apple'!J9</f>
        <v>4.2493629362936289</v>
      </c>
    </row>
    <row r="3" spans="1:11" ht="19" x14ac:dyDescent="0.25">
      <c r="A3" s="196" t="s">
        <v>3</v>
      </c>
      <c r="B3" s="193">
        <f>'Facility Risk - Meta'!J9</f>
        <v>3.32</v>
      </c>
    </row>
    <row r="4" spans="1:11" ht="19" x14ac:dyDescent="0.25">
      <c r="A4" s="195" t="s">
        <v>4</v>
      </c>
      <c r="B4" s="192">
        <f>'Facility Risk - Microsoft'!J9</f>
        <v>4.0500000000000016</v>
      </c>
      <c r="F4" s="197"/>
      <c r="G4" s="197"/>
      <c r="H4" s="197"/>
      <c r="I4" s="197"/>
      <c r="J4" s="197"/>
      <c r="K4" s="197"/>
    </row>
    <row r="5" spans="1:11" ht="19" x14ac:dyDescent="0.25">
      <c r="A5" s="196" t="s">
        <v>5</v>
      </c>
      <c r="B5" s="193">
        <f>'Facility Risk - Ford'!J9</f>
        <v>4.2394476591267756</v>
      </c>
      <c r="F5" s="197"/>
      <c r="G5" s="197"/>
      <c r="H5" s="197"/>
      <c r="I5" s="197"/>
      <c r="J5" s="197"/>
      <c r="K5" s="197"/>
    </row>
    <row r="6" spans="1:11" ht="19" customHeight="1" x14ac:dyDescent="0.35">
      <c r="A6" s="195" t="s">
        <v>6</v>
      </c>
      <c r="B6" s="192">
        <f>'Facility Risk - P&amp;G'!J9</f>
        <v>4.3110533044846564</v>
      </c>
      <c r="F6" s="197"/>
      <c r="G6" s="198"/>
      <c r="H6" s="198"/>
      <c r="I6" s="198"/>
      <c r="J6" s="198"/>
      <c r="K6" s="197"/>
    </row>
    <row r="7" spans="1:11" ht="19" customHeight="1" x14ac:dyDescent="0.35">
      <c r="A7" s="196" t="s">
        <v>7</v>
      </c>
      <c r="B7" s="193">
        <f>'Facility Risk - Samsung'!J9</f>
        <v>4.0176366050454497</v>
      </c>
      <c r="F7" s="197"/>
      <c r="G7" s="198"/>
      <c r="H7" s="198"/>
      <c r="I7" s="198"/>
      <c r="J7" s="198"/>
      <c r="K7" s="197"/>
    </row>
    <row r="8" spans="1:11" ht="19" x14ac:dyDescent="0.25">
      <c r="A8" s="195" t="s">
        <v>8</v>
      </c>
      <c r="B8" s="192">
        <f>'Facility Risk - Amazon'!J9</f>
        <v>4.0365251351892653</v>
      </c>
      <c r="F8" s="197"/>
      <c r="G8" s="199"/>
      <c r="H8" s="199"/>
      <c r="I8" s="199"/>
      <c r="J8" s="197"/>
      <c r="K8" s="197"/>
    </row>
    <row r="9" spans="1:11" ht="19" x14ac:dyDescent="0.25">
      <c r="A9" s="196" t="s">
        <v>9</v>
      </c>
      <c r="B9" s="193">
        <f>'Facility Risk - NVIDIA'!J9</f>
        <v>4.4000000000000004</v>
      </c>
    </row>
    <row r="10" spans="1:11" ht="19" x14ac:dyDescent="0.25">
      <c r="A10" s="195" t="s">
        <v>10</v>
      </c>
      <c r="B10" s="192">
        <f>'Facility Risk - Allianz'!J9</f>
        <v>0</v>
      </c>
    </row>
    <row r="11" spans="1:11" ht="19" x14ac:dyDescent="0.25">
      <c r="A11" s="196" t="s">
        <v>11</v>
      </c>
      <c r="B11" s="193">
        <f>'Facility Risk - L''Oreal'!J9</f>
        <v>4.110906637345062</v>
      </c>
    </row>
    <row r="12" spans="1:11" ht="19" x14ac:dyDescent="0.25">
      <c r="A12" s="195" t="s">
        <v>12</v>
      </c>
      <c r="B12" s="192">
        <f>'Facility Risk - LVMH'!J9</f>
        <v>3.7645546336099174</v>
      </c>
    </row>
    <row r="13" spans="1:11" ht="19" x14ac:dyDescent="0.25">
      <c r="A13" s="196" t="s">
        <v>13</v>
      </c>
      <c r="B13" s="193">
        <f>'Facility Risk - Nordisk'!J9</f>
        <v>3.8971999999999998</v>
      </c>
    </row>
    <row r="14" spans="1:11" ht="19" x14ac:dyDescent="0.25">
      <c r="A14" s="195" t="s">
        <v>14</v>
      </c>
      <c r="B14" s="192">
        <f>'Facility Risk - Reliance'!J9</f>
        <v>5.07</v>
      </c>
    </row>
    <row r="15" spans="1:11" ht="19" x14ac:dyDescent="0.25">
      <c r="A15" s="196" t="s">
        <v>15</v>
      </c>
      <c r="B15" s="193">
        <f>'Facility Risk - SAP'!J9</f>
        <v>0</v>
      </c>
    </row>
    <row r="16" spans="1:11" ht="19" x14ac:dyDescent="0.25">
      <c r="A16" s="195" t="s">
        <v>16</v>
      </c>
      <c r="B16" s="192">
        <f>'Facility Risk - Sony'!J9</f>
        <v>3.6262216221622157</v>
      </c>
    </row>
    <row r="17" spans="1:2" ht="19" x14ac:dyDescent="0.25">
      <c r="A17" s="196" t="s">
        <v>17</v>
      </c>
      <c r="B17" s="193">
        <f>'Facility Risk - Tencent'!J9</f>
        <v>0</v>
      </c>
    </row>
    <row r="18" spans="1:2" ht="19" x14ac:dyDescent="0.25">
      <c r="A18" s="195" t="s">
        <v>18</v>
      </c>
      <c r="B18" s="192">
        <f>'Facility Risk - Total en'!J9</f>
        <v>4.2137973408541525</v>
      </c>
    </row>
    <row r="19" spans="1:2" ht="19" x14ac:dyDescent="0.25">
      <c r="A19" s="196" t="s">
        <v>19</v>
      </c>
      <c r="B19" s="193">
        <f>'Facility Risk - Toyota'!J9</f>
        <v>4.0088225204318437</v>
      </c>
    </row>
    <row r="20" spans="1:2" ht="19" x14ac:dyDescent="0.25">
      <c r="A20" s="195" t="s">
        <v>20</v>
      </c>
      <c r="B20" s="192">
        <f>'Facility Risk - ASML'!J9</f>
        <v>3.9969190000000001</v>
      </c>
    </row>
    <row r="21" spans="1:2" ht="19" x14ac:dyDescent="0.25">
      <c r="A21" s="196" t="s">
        <v>21</v>
      </c>
      <c r="B21" s="193">
        <f>'Facility Risk - VW'!J9</f>
        <v>4.1877050810380814</v>
      </c>
    </row>
    <row r="22" spans="1:2" ht="19" x14ac:dyDescent="0.25">
      <c r="A22" s="195" t="s">
        <v>22</v>
      </c>
      <c r="B22" s="192">
        <f>'Facility Risk - JP Morgan'!J9</f>
        <v>0</v>
      </c>
    </row>
    <row r="23" spans="1:2" ht="19" x14ac:dyDescent="0.25">
      <c r="A23" s="196" t="s">
        <v>23</v>
      </c>
      <c r="B23" s="193">
        <f>'Facility Risk - ASML'!J9</f>
        <v>3.9969190000000001</v>
      </c>
    </row>
    <row r="24" spans="1:2" ht="19" x14ac:dyDescent="0.25">
      <c r="A24" s="195" t="s">
        <v>24</v>
      </c>
      <c r="B24" s="192">
        <f>'Facility Risk - BNP'!J9</f>
        <v>0</v>
      </c>
    </row>
    <row r="25" spans="1:2" ht="19" x14ac:dyDescent="0.25">
      <c r="A25" s="196" t="s">
        <v>25</v>
      </c>
      <c r="B25" s="193">
        <f>'Facility Risk - Eli Lilly'!J9</f>
        <v>3.9675000000000002</v>
      </c>
    </row>
    <row r="26" spans="1:2" ht="19" x14ac:dyDescent="0.25">
      <c r="A26" s="195" t="s">
        <v>26</v>
      </c>
      <c r="B26" s="192">
        <f>'Facility Risk - Eni'!J9</f>
        <v>0</v>
      </c>
    </row>
    <row r="27" spans="1:2" ht="19" x14ac:dyDescent="0.25">
      <c r="A27" s="39"/>
    </row>
  </sheetData>
  <conditionalFormatting sqref="B2:B26">
    <cfRule type="colorScale" priority="1">
      <colorScale>
        <cfvo type="min"/>
        <cfvo type="percentile" val="50"/>
        <cfvo type="max"/>
        <color rgb="FF6FDA6F"/>
        <color theme="0"/>
        <color rgb="FFF8696B"/>
      </colorScale>
    </cfRule>
  </conditionalFormatting>
  <conditionalFormatting sqref="E1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4B71D-25E4-224D-8088-EC08D5CE1431}">
  <dimension ref="A1:J151"/>
  <sheetViews>
    <sheetView workbookViewId="0">
      <selection activeCell="B5" sqref="B5"/>
    </sheetView>
  </sheetViews>
  <sheetFormatPr baseColWidth="10" defaultColWidth="11" defaultRowHeight="16" x14ac:dyDescent="0.2"/>
  <cols>
    <col min="1" max="1" width="23" bestFit="1" customWidth="1"/>
    <col min="2" max="2" width="32" bestFit="1" customWidth="1"/>
    <col min="3" max="3" width="33.6640625" bestFit="1" customWidth="1"/>
    <col min="4" max="4" width="42.6640625" bestFit="1" customWidth="1"/>
    <col min="5" max="5" width="16" bestFit="1" customWidth="1"/>
    <col min="7" max="7" width="29.33203125" bestFit="1" customWidth="1"/>
    <col min="8" max="8" width="13.6640625" bestFit="1" customWidth="1"/>
    <col min="9" max="9" width="22.5" bestFit="1" customWidth="1"/>
    <col min="10" max="10" width="12.33203125" bestFit="1" customWidth="1"/>
  </cols>
  <sheetData>
    <row r="1" spans="1:10" ht="17" customHeight="1" x14ac:dyDescent="0.2">
      <c r="A1" s="188" t="s">
        <v>2</v>
      </c>
      <c r="B1" s="189"/>
      <c r="C1" s="189"/>
      <c r="D1" s="189"/>
    </row>
    <row r="2" spans="1:10" ht="17" customHeight="1" thickBot="1" x14ac:dyDescent="0.25">
      <c r="A2" s="188"/>
      <c r="B2" s="189"/>
      <c r="C2" s="189"/>
      <c r="D2" s="189"/>
    </row>
    <row r="3" spans="1:10" ht="20" thickTop="1" x14ac:dyDescent="0.25">
      <c r="A3" s="12" t="s">
        <v>27</v>
      </c>
      <c r="B3" s="13" t="s">
        <v>28</v>
      </c>
      <c r="C3" s="13" t="s">
        <v>29</v>
      </c>
      <c r="D3" s="14" t="s">
        <v>30</v>
      </c>
    </row>
    <row r="4" spans="1:10" ht="20" thickBot="1" x14ac:dyDescent="0.3">
      <c r="A4" s="51" t="s">
        <v>31</v>
      </c>
      <c r="B4" s="62">
        <v>4.37</v>
      </c>
      <c r="C4" s="17">
        <v>0</v>
      </c>
      <c r="D4" s="41">
        <f>'Facility Risk - Apple'!$C4/$C$151</f>
        <v>0</v>
      </c>
      <c r="E4" s="4"/>
    </row>
    <row r="5" spans="1:10" ht="20" thickBot="1" x14ac:dyDescent="0.3">
      <c r="A5" s="52" t="s">
        <v>32</v>
      </c>
      <c r="B5" s="63">
        <v>5.21</v>
      </c>
      <c r="C5" s="2">
        <v>0</v>
      </c>
      <c r="D5" s="42">
        <f>'Facility Risk - Apple'!$C5/$C$151</f>
        <v>0</v>
      </c>
      <c r="G5" s="32" t="s">
        <v>33</v>
      </c>
      <c r="H5" s="33"/>
      <c r="I5" s="33"/>
      <c r="J5" s="34"/>
    </row>
    <row r="6" spans="1:10" ht="20" thickBot="1" x14ac:dyDescent="0.3">
      <c r="A6" s="53" t="s">
        <v>34</v>
      </c>
      <c r="B6" s="64">
        <v>5.63</v>
      </c>
      <c r="C6" s="16">
        <v>0</v>
      </c>
      <c r="D6" s="43">
        <f>'Facility Risk - Apple'!$C6/$C$151</f>
        <v>0</v>
      </c>
      <c r="G6" s="20"/>
      <c r="H6" s="21" t="s">
        <v>35</v>
      </c>
      <c r="I6" s="22" t="s">
        <v>36</v>
      </c>
      <c r="J6" s="23" t="s">
        <v>37</v>
      </c>
    </row>
    <row r="7" spans="1:10" ht="19" x14ac:dyDescent="0.25">
      <c r="A7" s="52" t="s">
        <v>38</v>
      </c>
      <c r="B7" s="65">
        <v>4.3600000000000003</v>
      </c>
      <c r="C7" s="2">
        <v>0</v>
      </c>
      <c r="D7" s="42">
        <f>'Facility Risk - Apple'!$C7/$C$151</f>
        <v>0</v>
      </c>
      <c r="G7" s="24" t="s">
        <v>39</v>
      </c>
      <c r="H7" s="25" t="str">
        <f>INDEX(A4:A150,MATCH(MIN(D4:D150),D4:D150,0))</f>
        <v>Albania</v>
      </c>
      <c r="I7" s="25">
        <f>INDEX(B4:B150,MATCH(MIN(D4:D150),D4:D150,0))</f>
        <v>4.37</v>
      </c>
      <c r="J7" s="26">
        <f>INDEX(D4:D150,MATCH(MIN(D4:D150),D4:D150,0))</f>
        <v>0</v>
      </c>
    </row>
    <row r="8" spans="1:10" ht="20" thickBot="1" x14ac:dyDescent="0.3">
      <c r="A8" s="53" t="s">
        <v>40</v>
      </c>
      <c r="B8" s="66">
        <v>4.79</v>
      </c>
      <c r="C8" s="16">
        <v>0</v>
      </c>
      <c r="D8" s="43">
        <f>'Facility Risk - Apple'!$C8/$C$151</f>
        <v>0</v>
      </c>
      <c r="G8" s="27" t="s">
        <v>41</v>
      </c>
      <c r="H8" s="28" t="str">
        <f>INDEX(A4:A150,MATCH(MAX(D4:D150),D4:D150,0))</f>
        <v>United States</v>
      </c>
      <c r="I8" s="28">
        <f>INDEX(B4:B150,MATCH(MAX(D4:D150),D4:D150,0))</f>
        <v>4.1900000000000004</v>
      </c>
      <c r="J8" s="31">
        <f>INDEX(D4:D150,MATCH(MAX(D4:D150),D4:D150,0))</f>
        <v>0.35713571357135715</v>
      </c>
    </row>
    <row r="9" spans="1:10" ht="23" thickBot="1" x14ac:dyDescent="0.35">
      <c r="A9" s="52" t="s">
        <v>42</v>
      </c>
      <c r="B9" s="67">
        <v>3.22</v>
      </c>
      <c r="C9" s="2">
        <v>0</v>
      </c>
      <c r="D9" s="42">
        <f>'Facility Risk - Apple'!$C9/$C$151</f>
        <v>0</v>
      </c>
      <c r="G9" s="30" t="s">
        <v>43</v>
      </c>
      <c r="H9" s="29"/>
      <c r="I9" s="29"/>
      <c r="J9" s="187">
        <f>SUMPRODUCT(B4:B150,D4:D150)</f>
        <v>4.2493629362936289</v>
      </c>
    </row>
    <row r="10" spans="1:10" ht="19" x14ac:dyDescent="0.25">
      <c r="A10" s="53" t="s">
        <v>44</v>
      </c>
      <c r="B10" s="68">
        <v>3.41</v>
      </c>
      <c r="C10" s="16">
        <v>0</v>
      </c>
      <c r="D10" s="43">
        <f>'Facility Risk - Apple'!$C10/$C$151</f>
        <v>0</v>
      </c>
    </row>
    <row r="11" spans="1:10" ht="19" x14ac:dyDescent="0.25">
      <c r="A11" s="52" t="s">
        <v>45</v>
      </c>
      <c r="B11" s="63">
        <v>5.21</v>
      </c>
      <c r="C11" s="2">
        <v>0</v>
      </c>
      <c r="D11" s="42">
        <f>'Facility Risk - Apple'!$C11/$C$151</f>
        <v>0</v>
      </c>
      <c r="G11" s="35"/>
      <c r="H11" s="35"/>
      <c r="I11" s="35"/>
      <c r="J11" s="35"/>
    </row>
    <row r="12" spans="1:10" ht="19" x14ac:dyDescent="0.25">
      <c r="A12" s="53" t="s">
        <v>46</v>
      </c>
      <c r="B12" s="69">
        <v>4.26</v>
      </c>
      <c r="C12" s="16">
        <v>0</v>
      </c>
      <c r="D12" s="43">
        <f>'Facility Risk - Apple'!$C12/$C$151</f>
        <v>0</v>
      </c>
      <c r="G12" s="36"/>
      <c r="H12" s="36"/>
      <c r="I12" s="36"/>
      <c r="J12" s="36"/>
    </row>
    <row r="13" spans="1:10" ht="19" x14ac:dyDescent="0.25">
      <c r="A13" s="52" t="s">
        <v>47</v>
      </c>
      <c r="B13" s="70">
        <v>6.29</v>
      </c>
      <c r="C13" s="2">
        <v>0</v>
      </c>
      <c r="D13" s="42">
        <f>'Facility Risk - Apple'!$C13/$C$151</f>
        <v>0</v>
      </c>
      <c r="G13" s="36"/>
      <c r="H13" s="36"/>
      <c r="I13" s="36"/>
      <c r="J13" s="36"/>
    </row>
    <row r="14" spans="1:10" ht="19" x14ac:dyDescent="0.25">
      <c r="A14" s="53" t="s">
        <v>48</v>
      </c>
      <c r="B14" s="71">
        <v>5.45</v>
      </c>
      <c r="C14" s="16">
        <v>0</v>
      </c>
      <c r="D14" s="43">
        <f>'Facility Risk - Apple'!$C14/$C$151</f>
        <v>0</v>
      </c>
      <c r="G14" s="36"/>
      <c r="H14" s="36"/>
      <c r="I14" s="36"/>
      <c r="J14" s="37"/>
    </row>
    <row r="15" spans="1:10" ht="22" x14ac:dyDescent="0.3">
      <c r="A15" s="52" t="s">
        <v>49</v>
      </c>
      <c r="B15" s="72">
        <v>3.33</v>
      </c>
      <c r="C15" s="2">
        <v>0</v>
      </c>
      <c r="D15" s="42">
        <f>'Facility Risk - Apple'!$C15/$C$151</f>
        <v>0</v>
      </c>
      <c r="G15" s="38"/>
      <c r="H15" s="36"/>
      <c r="I15" s="36"/>
      <c r="J15" s="36"/>
    </row>
    <row r="16" spans="1:10" ht="19" x14ac:dyDescent="0.25">
      <c r="A16" s="53" t="s">
        <v>50</v>
      </c>
      <c r="B16" s="73">
        <v>6</v>
      </c>
      <c r="C16" s="16">
        <v>0</v>
      </c>
      <c r="D16" s="43">
        <f>'Facility Risk - Apple'!$C16/$C$151</f>
        <v>0</v>
      </c>
    </row>
    <row r="17" spans="1:5" ht="19" x14ac:dyDescent="0.25">
      <c r="A17" s="52" t="s">
        <v>51</v>
      </c>
      <c r="B17" s="74">
        <v>5.0199999999999996</v>
      </c>
      <c r="C17" s="2">
        <v>0</v>
      </c>
      <c r="D17" s="42">
        <f>'Facility Risk - Apple'!$C17/$C$151</f>
        <v>0</v>
      </c>
    </row>
    <row r="18" spans="1:5" ht="19" x14ac:dyDescent="0.25">
      <c r="A18" s="53" t="s">
        <v>52</v>
      </c>
      <c r="B18" s="75">
        <v>5.41</v>
      </c>
      <c r="C18" s="16">
        <v>0</v>
      </c>
      <c r="D18" s="43">
        <f>'Facility Risk - Apple'!$C18/$C$151</f>
        <v>0</v>
      </c>
    </row>
    <row r="19" spans="1:5" ht="19" x14ac:dyDescent="0.25">
      <c r="A19" s="52" t="s">
        <v>53</v>
      </c>
      <c r="B19" s="76">
        <v>5.34</v>
      </c>
      <c r="C19" s="2">
        <v>0</v>
      </c>
      <c r="D19" s="42">
        <f>'Facility Risk - Apple'!$C19/$C$151</f>
        <v>0</v>
      </c>
    </row>
    <row r="20" spans="1:5" ht="19" x14ac:dyDescent="0.25">
      <c r="A20" s="53" t="s">
        <v>54</v>
      </c>
      <c r="B20" s="77">
        <v>4.34</v>
      </c>
      <c r="C20" s="16">
        <v>0</v>
      </c>
      <c r="D20" s="43">
        <f>'Facility Risk - Apple'!$C20/$C$151</f>
        <v>0</v>
      </c>
    </row>
    <row r="21" spans="1:5" ht="19" x14ac:dyDescent="0.25">
      <c r="A21" s="52" t="s">
        <v>55</v>
      </c>
      <c r="B21" s="78">
        <v>5.35</v>
      </c>
      <c r="C21" s="2">
        <v>0</v>
      </c>
      <c r="D21" s="42">
        <f>'Facility Risk - Apple'!$C21/$C$151</f>
        <v>0</v>
      </c>
    </row>
    <row r="22" spans="1:5" ht="19" x14ac:dyDescent="0.25">
      <c r="A22" s="53" t="s">
        <v>56</v>
      </c>
      <c r="B22" s="79">
        <v>4.43</v>
      </c>
      <c r="C22" s="16">
        <v>0</v>
      </c>
      <c r="D22" s="43">
        <f>'Facility Risk - Apple'!$C22/$C$151</f>
        <v>0</v>
      </c>
    </row>
    <row r="23" spans="1:5" ht="19" x14ac:dyDescent="0.25">
      <c r="A23" s="52" t="s">
        <v>57</v>
      </c>
      <c r="B23" s="80">
        <v>6.55</v>
      </c>
      <c r="C23" s="2">
        <v>0</v>
      </c>
      <c r="D23" s="42">
        <f>'Facility Risk - Apple'!$C23/$C$151</f>
        <v>0</v>
      </c>
    </row>
    <row r="24" spans="1:5" ht="19" x14ac:dyDescent="0.25">
      <c r="A24" s="53" t="s">
        <v>58</v>
      </c>
      <c r="B24" s="81">
        <v>6.33</v>
      </c>
      <c r="C24" s="16">
        <v>0</v>
      </c>
      <c r="D24" s="43">
        <f>'Facility Risk - Apple'!$C24/$C$151</f>
        <v>0</v>
      </c>
    </row>
    <row r="25" spans="1:5" ht="19" x14ac:dyDescent="0.25">
      <c r="A25" s="52" t="s">
        <v>59</v>
      </c>
      <c r="B25" s="64">
        <v>5.64</v>
      </c>
      <c r="C25" s="2">
        <v>0</v>
      </c>
      <c r="D25" s="42">
        <f>'Facility Risk - Apple'!$C25/$C$151</f>
        <v>0</v>
      </c>
    </row>
    <row r="26" spans="1:5" ht="19" x14ac:dyDescent="0.25">
      <c r="A26" s="53" t="s">
        <v>60</v>
      </c>
      <c r="B26" s="82">
        <v>6.83</v>
      </c>
      <c r="C26" s="16">
        <v>0</v>
      </c>
      <c r="D26" s="43">
        <f>'Facility Risk - Apple'!$C26/$C$151</f>
        <v>0</v>
      </c>
    </row>
    <row r="27" spans="1:5" ht="19" x14ac:dyDescent="0.25">
      <c r="A27" s="52" t="s">
        <v>61</v>
      </c>
      <c r="B27" s="83">
        <v>3.44</v>
      </c>
      <c r="C27" s="2">
        <v>0</v>
      </c>
      <c r="D27" s="42">
        <f>'Facility Risk - Apple'!$C27/$C$151</f>
        <v>0</v>
      </c>
    </row>
    <row r="28" spans="1:5" ht="19" x14ac:dyDescent="0.25">
      <c r="A28" s="53" t="s">
        <v>62</v>
      </c>
      <c r="B28" s="84">
        <v>6.79</v>
      </c>
      <c r="C28" s="16">
        <v>0</v>
      </c>
      <c r="D28" s="43">
        <f>'Facility Risk - Apple'!$C28/$C$151</f>
        <v>0</v>
      </c>
    </row>
    <row r="29" spans="1:5" ht="19" x14ac:dyDescent="0.25">
      <c r="A29" s="52" t="s">
        <v>63</v>
      </c>
      <c r="B29" s="82">
        <v>6.84</v>
      </c>
      <c r="C29" s="2">
        <v>0</v>
      </c>
      <c r="D29" s="42">
        <f>'Facility Risk - Apple'!$C29/$C$151</f>
        <v>0</v>
      </c>
    </row>
    <row r="30" spans="1:5" ht="19" x14ac:dyDescent="0.25">
      <c r="A30" s="53" t="s">
        <v>64</v>
      </c>
      <c r="B30" s="65">
        <v>4.3600000000000003</v>
      </c>
      <c r="C30" s="16">
        <v>0</v>
      </c>
      <c r="D30" s="43">
        <f>'Facility Risk - Apple'!$C30/$C$151</f>
        <v>0</v>
      </c>
    </row>
    <row r="31" spans="1:5" ht="19" x14ac:dyDescent="0.25">
      <c r="A31" s="52" t="s">
        <v>65</v>
      </c>
      <c r="B31" s="85">
        <v>4.26</v>
      </c>
      <c r="C31" s="2">
        <f>21.43%+7.14%</f>
        <v>0.28569999999999995</v>
      </c>
      <c r="D31" s="42">
        <f>'Facility Risk - Apple'!$C31/$C$151</f>
        <v>0.2857285728572857</v>
      </c>
      <c r="E31" s="50" t="s">
        <v>66</v>
      </c>
    </row>
    <row r="32" spans="1:5" ht="19" x14ac:dyDescent="0.25">
      <c r="A32" s="53" t="s">
        <v>67</v>
      </c>
      <c r="B32" s="86">
        <v>5.72</v>
      </c>
      <c r="C32" s="16">
        <v>0</v>
      </c>
      <c r="D32" s="43">
        <f>'Facility Risk - Apple'!$C32/$C$151</f>
        <v>0</v>
      </c>
    </row>
    <row r="33" spans="1:4" ht="19" x14ac:dyDescent="0.25">
      <c r="A33" s="52" t="s">
        <v>68</v>
      </c>
      <c r="B33" s="87">
        <v>5.65</v>
      </c>
      <c r="C33" s="2">
        <v>0</v>
      </c>
      <c r="D33" s="42">
        <f>'Facility Risk - Apple'!$C33/$C$151</f>
        <v>0</v>
      </c>
    </row>
    <row r="34" spans="1:4" ht="19" x14ac:dyDescent="0.25">
      <c r="A34" s="53" t="s">
        <v>69</v>
      </c>
      <c r="B34" s="88">
        <v>4.2300000000000004</v>
      </c>
      <c r="C34" s="16">
        <v>0</v>
      </c>
      <c r="D34" s="43">
        <f>'Facility Risk - Apple'!$C34/$C$151</f>
        <v>0</v>
      </c>
    </row>
    <row r="35" spans="1:4" ht="19" x14ac:dyDescent="0.25">
      <c r="A35" s="52" t="s">
        <v>70</v>
      </c>
      <c r="B35" s="89">
        <v>5.6</v>
      </c>
      <c r="C35" s="2">
        <v>0</v>
      </c>
      <c r="D35" s="42">
        <f>'Facility Risk - Apple'!$C35/$C$151</f>
        <v>0</v>
      </c>
    </row>
    <row r="36" spans="1:4" ht="19" x14ac:dyDescent="0.25">
      <c r="A36" s="53" t="s">
        <v>71</v>
      </c>
      <c r="B36" s="90">
        <v>4.28</v>
      </c>
      <c r="C36" s="16">
        <v>0</v>
      </c>
      <c r="D36" s="43">
        <f>'Facility Risk - Apple'!$C36/$C$151</f>
        <v>0</v>
      </c>
    </row>
    <row r="37" spans="1:4" ht="19" x14ac:dyDescent="0.25">
      <c r="A37" s="52" t="s">
        <v>72</v>
      </c>
      <c r="B37" s="91">
        <v>4.67</v>
      </c>
      <c r="C37" s="2">
        <v>0</v>
      </c>
      <c r="D37" s="42">
        <f>'Facility Risk - Apple'!$C37/$C$151</f>
        <v>0</v>
      </c>
    </row>
    <row r="38" spans="1:4" ht="19" x14ac:dyDescent="0.25">
      <c r="A38" s="53" t="s">
        <v>73</v>
      </c>
      <c r="B38" s="92">
        <v>3.75</v>
      </c>
      <c r="C38" s="16">
        <v>0</v>
      </c>
      <c r="D38" s="43">
        <f>'Facility Risk - Apple'!$C38/$C$151</f>
        <v>0</v>
      </c>
    </row>
    <row r="39" spans="1:4" ht="19" x14ac:dyDescent="0.25">
      <c r="A39" s="52" t="s">
        <v>74</v>
      </c>
      <c r="B39" s="93">
        <v>3.2</v>
      </c>
      <c r="C39" s="2">
        <v>0</v>
      </c>
      <c r="D39" s="42">
        <f>'Facility Risk - Apple'!$C39/$C$151</f>
        <v>0</v>
      </c>
    </row>
    <row r="40" spans="1:4" ht="19" x14ac:dyDescent="0.25">
      <c r="A40" s="53" t="s">
        <v>75</v>
      </c>
      <c r="B40" s="94">
        <v>5.98</v>
      </c>
      <c r="C40" s="16">
        <v>0</v>
      </c>
      <c r="D40" s="43">
        <f>'Facility Risk - Apple'!$C40/$C$151</f>
        <v>0</v>
      </c>
    </row>
    <row r="41" spans="1:4" ht="19" x14ac:dyDescent="0.25">
      <c r="A41" s="52" t="s">
        <v>76</v>
      </c>
      <c r="B41" s="95">
        <v>4.7</v>
      </c>
      <c r="C41" s="2">
        <v>0</v>
      </c>
      <c r="D41" s="42">
        <f>'Facility Risk - Apple'!$C41/$C$151</f>
        <v>0</v>
      </c>
    </row>
    <row r="42" spans="1:4" ht="19" x14ac:dyDescent="0.25">
      <c r="A42" s="53" t="s">
        <v>77</v>
      </c>
      <c r="B42" s="96">
        <v>5.71</v>
      </c>
      <c r="C42" s="16">
        <v>0</v>
      </c>
      <c r="D42" s="43">
        <f>'Facility Risk - Apple'!$C42/$C$151</f>
        <v>0</v>
      </c>
    </row>
    <row r="43" spans="1:4" ht="19" x14ac:dyDescent="0.25">
      <c r="A43" s="52" t="s">
        <v>78</v>
      </c>
      <c r="B43" s="97">
        <v>5.6</v>
      </c>
      <c r="C43" s="2">
        <v>0</v>
      </c>
      <c r="D43" s="42">
        <f>'Facility Risk - Apple'!$C43/$C$151</f>
        <v>0</v>
      </c>
    </row>
    <row r="44" spans="1:4" ht="19" x14ac:dyDescent="0.25">
      <c r="A44" s="53" t="s">
        <v>79</v>
      </c>
      <c r="B44" s="98">
        <v>4.79</v>
      </c>
      <c r="C44" s="16">
        <v>0</v>
      </c>
      <c r="D44" s="43">
        <f>'Facility Risk - Apple'!$C44/$C$151</f>
        <v>0</v>
      </c>
    </row>
    <row r="45" spans="1:4" ht="19" x14ac:dyDescent="0.25">
      <c r="A45" s="52" t="s">
        <v>80</v>
      </c>
      <c r="B45" s="99">
        <v>3.57</v>
      </c>
      <c r="C45" s="2">
        <v>0</v>
      </c>
      <c r="D45" s="42">
        <f>'Facility Risk - Apple'!$C45/$C$151</f>
        <v>0</v>
      </c>
    </row>
    <row r="46" spans="1:4" ht="19" x14ac:dyDescent="0.25">
      <c r="A46" s="53" t="s">
        <v>81</v>
      </c>
      <c r="B46" s="100">
        <v>4.5</v>
      </c>
      <c r="C46" s="16">
        <v>0</v>
      </c>
      <c r="D46" s="43">
        <f>'Facility Risk - Apple'!$C46/$C$151</f>
        <v>0</v>
      </c>
    </row>
    <row r="47" spans="1:4" ht="19" x14ac:dyDescent="0.25">
      <c r="A47" s="52" t="s">
        <v>82</v>
      </c>
      <c r="B47" s="101">
        <v>6.93</v>
      </c>
      <c r="C47" s="2">
        <v>0</v>
      </c>
      <c r="D47" s="42">
        <f>'Facility Risk - Apple'!$C47/$C$151</f>
        <v>0</v>
      </c>
    </row>
    <row r="48" spans="1:4" ht="19" x14ac:dyDescent="0.25">
      <c r="A48" s="53" t="s">
        <v>83</v>
      </c>
      <c r="B48" s="102">
        <v>3.35</v>
      </c>
      <c r="C48" s="16">
        <v>0</v>
      </c>
      <c r="D48" s="43">
        <f>'Facility Risk - Apple'!$C48/$C$151</f>
        <v>0</v>
      </c>
    </row>
    <row r="49" spans="1:4" ht="19" x14ac:dyDescent="0.25">
      <c r="A49" s="52" t="s">
        <v>84</v>
      </c>
      <c r="B49" s="103">
        <v>3.65</v>
      </c>
      <c r="C49" s="2">
        <v>0</v>
      </c>
      <c r="D49" s="42">
        <f>'Facility Risk - Apple'!$C49/$C$151</f>
        <v>0</v>
      </c>
    </row>
    <row r="50" spans="1:4" ht="19" x14ac:dyDescent="0.25">
      <c r="A50" s="53" t="s">
        <v>85</v>
      </c>
      <c r="B50" s="104">
        <v>5.78</v>
      </c>
      <c r="C50" s="16">
        <v>0</v>
      </c>
      <c r="D50" s="43">
        <f>'Facility Risk - Apple'!$C50/$C$151</f>
        <v>0</v>
      </c>
    </row>
    <row r="51" spans="1:4" ht="19" x14ac:dyDescent="0.25">
      <c r="A51" s="52" t="s">
        <v>86</v>
      </c>
      <c r="B51" s="105">
        <v>5.38</v>
      </c>
      <c r="C51" s="2">
        <v>0</v>
      </c>
      <c r="D51" s="42">
        <f>'Facility Risk - Apple'!$C51/$C$151</f>
        <v>0</v>
      </c>
    </row>
    <row r="52" spans="1:4" ht="19" x14ac:dyDescent="0.25">
      <c r="A52" s="53" t="s">
        <v>87</v>
      </c>
      <c r="B52" s="106">
        <v>4.93</v>
      </c>
      <c r="C52" s="16">
        <v>0</v>
      </c>
      <c r="D52" s="43">
        <f>'Facility Risk - Apple'!$C52/$C$151</f>
        <v>0</v>
      </c>
    </row>
    <row r="53" spans="1:4" ht="19" x14ac:dyDescent="0.25">
      <c r="A53" s="52" t="s">
        <v>88</v>
      </c>
      <c r="B53" s="68">
        <v>3.42</v>
      </c>
      <c r="C53" s="2">
        <v>0</v>
      </c>
      <c r="D53" s="42">
        <f>'Facility Risk - Apple'!$C53/$C$151</f>
        <v>0</v>
      </c>
    </row>
    <row r="54" spans="1:4" ht="19" x14ac:dyDescent="0.25">
      <c r="A54" s="53" t="s">
        <v>89</v>
      </c>
      <c r="B54" s="107">
        <v>4.63</v>
      </c>
      <c r="C54" s="16">
        <v>0</v>
      </c>
      <c r="D54" s="43">
        <f>'Facility Risk - Apple'!$C54/$C$151</f>
        <v>0</v>
      </c>
    </row>
    <row r="55" spans="1:4" ht="19" x14ac:dyDescent="0.25">
      <c r="A55" s="52" t="s">
        <v>90</v>
      </c>
      <c r="B55" s="77">
        <v>4.34</v>
      </c>
      <c r="C55" s="2">
        <v>0</v>
      </c>
      <c r="D55" s="42">
        <f>'Facility Risk - Apple'!$C55/$C$151</f>
        <v>0</v>
      </c>
    </row>
    <row r="56" spans="1:4" ht="19" x14ac:dyDescent="0.25">
      <c r="A56" s="53" t="s">
        <v>91</v>
      </c>
      <c r="B56" s="71">
        <v>5.45</v>
      </c>
      <c r="C56" s="16">
        <v>0</v>
      </c>
      <c r="D56" s="43">
        <f>'Facility Risk - Apple'!$C56/$C$151</f>
        <v>0</v>
      </c>
    </row>
    <row r="57" spans="1:4" ht="19" x14ac:dyDescent="0.25">
      <c r="A57" s="52" t="s">
        <v>92</v>
      </c>
      <c r="B57" s="108">
        <v>6.36</v>
      </c>
      <c r="C57" s="2">
        <v>0</v>
      </c>
      <c r="D57" s="42">
        <f>'Facility Risk - Apple'!$C57/$C$151</f>
        <v>0</v>
      </c>
    </row>
    <row r="58" spans="1:4" ht="19" x14ac:dyDescent="0.25">
      <c r="A58" s="53" t="s">
        <v>93</v>
      </c>
      <c r="B58" s="109">
        <v>5.94</v>
      </c>
      <c r="C58" s="16">
        <v>0</v>
      </c>
      <c r="D58" s="43">
        <f>'Facility Risk - Apple'!$C58/$C$151</f>
        <v>0</v>
      </c>
    </row>
    <row r="59" spans="1:4" ht="19" x14ac:dyDescent="0.25">
      <c r="A59" s="52" t="s">
        <v>94</v>
      </c>
      <c r="B59" s="110">
        <v>4.92</v>
      </c>
      <c r="C59" s="2">
        <v>0</v>
      </c>
      <c r="D59" s="42">
        <f>'Facility Risk - Apple'!$C59/$C$151</f>
        <v>0</v>
      </c>
    </row>
    <row r="60" spans="1:4" ht="19" x14ac:dyDescent="0.25">
      <c r="A60" s="53" t="s">
        <v>95</v>
      </c>
      <c r="B60" s="111">
        <v>6.53</v>
      </c>
      <c r="C60" s="16">
        <v>0</v>
      </c>
      <c r="D60" s="43">
        <f>'Facility Risk - Apple'!$C60/$C$151</f>
        <v>0</v>
      </c>
    </row>
    <row r="61" spans="1:4" ht="19" x14ac:dyDescent="0.25">
      <c r="A61" s="52" t="s">
        <v>96</v>
      </c>
      <c r="B61" s="112">
        <v>5.77</v>
      </c>
      <c r="C61" s="2">
        <v>0</v>
      </c>
      <c r="D61" s="42">
        <f>'Facility Risk - Apple'!$C61/$C$151</f>
        <v>0</v>
      </c>
    </row>
    <row r="62" spans="1:4" ht="19" x14ac:dyDescent="0.25">
      <c r="A62" s="53" t="s">
        <v>97</v>
      </c>
      <c r="B62" s="113">
        <v>3.63</v>
      </c>
      <c r="C62" s="16">
        <v>0</v>
      </c>
      <c r="D62" s="43">
        <f>'Facility Risk - Apple'!$C62/$C$151</f>
        <v>0</v>
      </c>
    </row>
    <row r="63" spans="1:4" ht="19" x14ac:dyDescent="0.25">
      <c r="A63" s="52" t="s">
        <v>98</v>
      </c>
      <c r="B63" s="114">
        <v>3.38</v>
      </c>
      <c r="C63" s="2">
        <v>0</v>
      </c>
      <c r="D63" s="42">
        <f>'Facility Risk - Apple'!$C63/$C$151</f>
        <v>0</v>
      </c>
    </row>
    <row r="64" spans="1:4" ht="19" x14ac:dyDescent="0.25">
      <c r="A64" s="53" t="s">
        <v>99</v>
      </c>
      <c r="B64" s="115">
        <v>5.07</v>
      </c>
      <c r="C64" s="16">
        <v>0.21429999999999999</v>
      </c>
      <c r="D64" s="43">
        <f>'Facility Risk - Apple'!$C64/$C$151</f>
        <v>0.21432143214321434</v>
      </c>
    </row>
    <row r="65" spans="1:4" ht="19" x14ac:dyDescent="0.25">
      <c r="A65" s="52" t="s">
        <v>100</v>
      </c>
      <c r="B65" s="106">
        <v>4.92</v>
      </c>
      <c r="C65" s="2">
        <v>0</v>
      </c>
      <c r="D65" s="42">
        <f>'Facility Risk - Apple'!$C65/$C$151</f>
        <v>0</v>
      </c>
    </row>
    <row r="66" spans="1:4" ht="19" x14ac:dyDescent="0.25">
      <c r="A66" s="53" t="s">
        <v>101</v>
      </c>
      <c r="B66" s="116">
        <v>5.88</v>
      </c>
      <c r="C66" s="16">
        <v>0</v>
      </c>
      <c r="D66" s="43">
        <f>'Facility Risk - Apple'!$C66/$C$151</f>
        <v>0</v>
      </c>
    </row>
    <row r="67" spans="1:4" ht="19" x14ac:dyDescent="0.25">
      <c r="A67" s="52" t="s">
        <v>102</v>
      </c>
      <c r="B67" s="117">
        <v>6.05</v>
      </c>
      <c r="C67" s="2">
        <v>0</v>
      </c>
      <c r="D67" s="42">
        <f>'Facility Risk - Apple'!$C67/$C$151</f>
        <v>0</v>
      </c>
    </row>
    <row r="68" spans="1:4" ht="19" x14ac:dyDescent="0.25">
      <c r="A68" s="53" t="s">
        <v>103</v>
      </c>
      <c r="B68" s="118">
        <v>3.25</v>
      </c>
      <c r="C68" s="16">
        <v>7.1400000000000005E-2</v>
      </c>
      <c r="D68" s="43">
        <f>'Facility Risk - Apple'!$C68/$C$151</f>
        <v>7.1407140714071421E-2</v>
      </c>
    </row>
    <row r="69" spans="1:4" ht="19" x14ac:dyDescent="0.25">
      <c r="A69" s="52" t="s">
        <v>104</v>
      </c>
      <c r="B69" s="119">
        <v>4.6100000000000003</v>
      </c>
      <c r="C69" s="2">
        <v>0</v>
      </c>
      <c r="D69" s="42">
        <f>'Facility Risk - Apple'!$C69/$C$151</f>
        <v>0</v>
      </c>
    </row>
    <row r="70" spans="1:4" ht="19" x14ac:dyDescent="0.25">
      <c r="A70" s="53" t="s">
        <v>105</v>
      </c>
      <c r="B70" s="120">
        <v>3.84</v>
      </c>
      <c r="C70" s="16">
        <v>0</v>
      </c>
      <c r="D70" s="43">
        <f>'Facility Risk - Apple'!$C70/$C$151</f>
        <v>0</v>
      </c>
    </row>
    <row r="71" spans="1:4" ht="19" x14ac:dyDescent="0.25">
      <c r="A71" s="52" t="s">
        <v>106</v>
      </c>
      <c r="B71" s="121">
        <v>4.75</v>
      </c>
      <c r="C71" s="2">
        <v>0</v>
      </c>
      <c r="D71" s="42">
        <f>'Facility Risk - Apple'!$C71/$C$151</f>
        <v>0</v>
      </c>
    </row>
    <row r="72" spans="1:4" ht="19" x14ac:dyDescent="0.25">
      <c r="A72" s="53" t="s">
        <v>107</v>
      </c>
      <c r="B72" s="114">
        <v>3.38</v>
      </c>
      <c r="C72" s="16">
        <v>0</v>
      </c>
      <c r="D72" s="43">
        <f>'Facility Risk - Apple'!$C72/$C$151</f>
        <v>0</v>
      </c>
    </row>
    <row r="73" spans="1:4" ht="19" x14ac:dyDescent="0.25">
      <c r="A73" s="52" t="s">
        <v>108</v>
      </c>
      <c r="B73" s="122">
        <v>5.13</v>
      </c>
      <c r="C73" s="2">
        <v>0</v>
      </c>
      <c r="D73" s="42">
        <f>'Facility Risk - Apple'!$C73/$C$151</f>
        <v>0</v>
      </c>
    </row>
    <row r="74" spans="1:4" ht="19" x14ac:dyDescent="0.25">
      <c r="A74" s="53" t="s">
        <v>109</v>
      </c>
      <c r="B74" s="123">
        <v>4.54</v>
      </c>
      <c r="C74" s="16">
        <v>0</v>
      </c>
      <c r="D74" s="43">
        <f>'Facility Risk - Apple'!$C74/$C$151</f>
        <v>0</v>
      </c>
    </row>
    <row r="75" spans="1:4" ht="19" x14ac:dyDescent="0.25">
      <c r="A75" s="52" t="s">
        <v>110</v>
      </c>
      <c r="B75" s="124">
        <v>6.13</v>
      </c>
      <c r="C75" s="2">
        <v>0</v>
      </c>
      <c r="D75" s="42">
        <f>'Facility Risk - Apple'!$C75/$C$151</f>
        <v>0</v>
      </c>
    </row>
    <row r="76" spans="1:4" ht="19" x14ac:dyDescent="0.25">
      <c r="A76" s="53" t="s">
        <v>111</v>
      </c>
      <c r="B76" s="125">
        <v>4.3</v>
      </c>
      <c r="C76" s="16">
        <v>0</v>
      </c>
      <c r="D76" s="43">
        <f>'Facility Risk - Apple'!$C76/$C$151</f>
        <v>0</v>
      </c>
    </row>
    <row r="77" spans="1:4" ht="19" x14ac:dyDescent="0.25">
      <c r="A77" s="52" t="s">
        <v>112</v>
      </c>
      <c r="B77" s="126">
        <v>5.37</v>
      </c>
      <c r="C77" s="2">
        <v>0</v>
      </c>
      <c r="D77" s="42">
        <f>'Facility Risk - Apple'!$C77/$C$151</f>
        <v>0</v>
      </c>
    </row>
    <row r="78" spans="1:4" ht="19" x14ac:dyDescent="0.25">
      <c r="A78" s="53" t="s">
        <v>113</v>
      </c>
      <c r="B78" s="127">
        <v>5.14</v>
      </c>
      <c r="C78" s="16">
        <v>0</v>
      </c>
      <c r="D78" s="43">
        <f>'Facility Risk - Apple'!$C78/$C$151</f>
        <v>0</v>
      </c>
    </row>
    <row r="79" spans="1:4" ht="19" x14ac:dyDescent="0.25">
      <c r="A79" s="52" t="s">
        <v>114</v>
      </c>
      <c r="B79" s="128">
        <v>3.97</v>
      </c>
      <c r="C79" s="2">
        <v>0</v>
      </c>
      <c r="D79" s="42">
        <f>'Facility Risk - Apple'!$C79/$C$151</f>
        <v>0</v>
      </c>
    </row>
    <row r="80" spans="1:4" ht="19" x14ac:dyDescent="0.25">
      <c r="A80" s="53" t="s">
        <v>115</v>
      </c>
      <c r="B80" s="129">
        <v>6.12</v>
      </c>
      <c r="C80" s="16">
        <v>0</v>
      </c>
      <c r="D80" s="43">
        <f>'Facility Risk - Apple'!$C80/$C$151</f>
        <v>0</v>
      </c>
    </row>
    <row r="81" spans="1:4" ht="19" x14ac:dyDescent="0.25">
      <c r="A81" s="52" t="s">
        <v>116</v>
      </c>
      <c r="B81" s="130">
        <v>5.49</v>
      </c>
      <c r="C81" s="2">
        <v>0</v>
      </c>
      <c r="D81" s="42">
        <f>'Facility Risk - Apple'!$C81/$C$151</f>
        <v>0</v>
      </c>
    </row>
    <row r="82" spans="1:4" ht="19" x14ac:dyDescent="0.25">
      <c r="A82" s="53" t="s">
        <v>117</v>
      </c>
      <c r="B82" s="131">
        <v>5.97</v>
      </c>
      <c r="C82" s="16">
        <v>0</v>
      </c>
      <c r="D82" s="43">
        <f>'Facility Risk - Apple'!$C82/$C$151</f>
        <v>0</v>
      </c>
    </row>
    <row r="83" spans="1:4" ht="19" x14ac:dyDescent="0.25">
      <c r="A83" s="52" t="s">
        <v>118</v>
      </c>
      <c r="B83" s="132">
        <v>5.68</v>
      </c>
      <c r="C83" s="2">
        <v>0</v>
      </c>
      <c r="D83" s="42">
        <f>'Facility Risk - Apple'!$C83/$C$151</f>
        <v>0</v>
      </c>
    </row>
    <row r="84" spans="1:4" ht="19" x14ac:dyDescent="0.25">
      <c r="A84" s="53" t="s">
        <v>119</v>
      </c>
      <c r="B84" s="133">
        <v>3.93</v>
      </c>
      <c r="C84" s="16">
        <v>0</v>
      </c>
      <c r="D84" s="43">
        <f>'Facility Risk - Apple'!$C84/$C$151</f>
        <v>0</v>
      </c>
    </row>
    <row r="85" spans="1:4" ht="19" x14ac:dyDescent="0.25">
      <c r="A85" s="52" t="s">
        <v>120</v>
      </c>
      <c r="B85" s="134">
        <v>5.82</v>
      </c>
      <c r="C85" s="2">
        <v>0</v>
      </c>
      <c r="D85" s="42">
        <f>'Facility Risk - Apple'!$C85/$C$151</f>
        <v>0</v>
      </c>
    </row>
    <row r="86" spans="1:4" ht="19" x14ac:dyDescent="0.25">
      <c r="A86" s="53" t="s">
        <v>121</v>
      </c>
      <c r="B86" s="135">
        <v>5.58</v>
      </c>
      <c r="C86" s="16">
        <v>0</v>
      </c>
      <c r="D86" s="43">
        <f>'Facility Risk - Apple'!$C86/$C$151</f>
        <v>0</v>
      </c>
    </row>
    <row r="87" spans="1:4" ht="19" x14ac:dyDescent="0.25">
      <c r="A87" s="52" t="s">
        <v>122</v>
      </c>
      <c r="B87" s="136">
        <v>4.03</v>
      </c>
      <c r="C87" s="2">
        <v>0</v>
      </c>
      <c r="D87" s="42">
        <f>'Facility Risk - Apple'!$C87/$C$151</f>
        <v>0</v>
      </c>
    </row>
    <row r="88" spans="1:4" ht="19" x14ac:dyDescent="0.25">
      <c r="A88" s="53" t="s">
        <v>123</v>
      </c>
      <c r="B88" s="137">
        <v>7.1</v>
      </c>
      <c r="C88" s="16">
        <v>0</v>
      </c>
      <c r="D88" s="43">
        <f>'Facility Risk - Apple'!$C88/$C$151</f>
        <v>0</v>
      </c>
    </row>
    <row r="89" spans="1:4" ht="19" x14ac:dyDescent="0.25">
      <c r="A89" s="52" t="s">
        <v>124</v>
      </c>
      <c r="B89" s="138">
        <v>6.28</v>
      </c>
      <c r="C89" s="2">
        <v>0</v>
      </c>
      <c r="D89" s="42">
        <f>'Facility Risk - Apple'!$C89/$C$151</f>
        <v>0</v>
      </c>
    </row>
    <row r="90" spans="1:4" ht="19" x14ac:dyDescent="0.25">
      <c r="A90" s="53" t="s">
        <v>125</v>
      </c>
      <c r="B90" s="139">
        <v>3.47</v>
      </c>
      <c r="C90" s="16">
        <v>0</v>
      </c>
      <c r="D90" s="43">
        <f>'Facility Risk - Apple'!$C90/$C$151</f>
        <v>0</v>
      </c>
    </row>
    <row r="91" spans="1:4" ht="19" x14ac:dyDescent="0.25">
      <c r="A91" s="52" t="s">
        <v>126</v>
      </c>
      <c r="B91" s="140">
        <v>5.42</v>
      </c>
      <c r="C91" s="2">
        <v>0</v>
      </c>
      <c r="D91" s="42">
        <f>'Facility Risk - Apple'!$C91/$C$151</f>
        <v>0</v>
      </c>
    </row>
    <row r="92" spans="1:4" ht="19" x14ac:dyDescent="0.25">
      <c r="A92" s="53" t="s">
        <v>127</v>
      </c>
      <c r="B92" s="127">
        <v>5.14</v>
      </c>
      <c r="C92" s="16">
        <v>0</v>
      </c>
      <c r="D92" s="43">
        <f>'Facility Risk - Apple'!$C92/$C$151</f>
        <v>0</v>
      </c>
    </row>
    <row r="93" spans="1:4" ht="19" x14ac:dyDescent="0.25">
      <c r="A93" s="52" t="s">
        <v>128</v>
      </c>
      <c r="B93" s="141">
        <v>4.6500000000000004</v>
      </c>
      <c r="C93" s="2">
        <v>0</v>
      </c>
      <c r="D93" s="42">
        <f>'Facility Risk - Apple'!$C93/$C$151</f>
        <v>0</v>
      </c>
    </row>
    <row r="94" spans="1:4" ht="19" x14ac:dyDescent="0.25">
      <c r="A94" s="53" t="s">
        <v>129</v>
      </c>
      <c r="B94" s="142">
        <v>5.0999999999999996</v>
      </c>
      <c r="C94" s="16">
        <v>0</v>
      </c>
      <c r="D94" s="43">
        <f>'Facility Risk - Apple'!$C94/$C$151</f>
        <v>0</v>
      </c>
    </row>
    <row r="95" spans="1:4" ht="19" x14ac:dyDescent="0.25">
      <c r="A95" s="52" t="s">
        <v>130</v>
      </c>
      <c r="B95" s="70">
        <v>6.3</v>
      </c>
      <c r="C95" s="2">
        <v>0</v>
      </c>
      <c r="D95" s="42">
        <f>'Facility Risk - Apple'!$C95/$C$151</f>
        <v>0</v>
      </c>
    </row>
    <row r="96" spans="1:4" ht="19" x14ac:dyDescent="0.25">
      <c r="A96" s="53" t="s">
        <v>131</v>
      </c>
      <c r="B96" s="143">
        <v>4.6399999999999997</v>
      </c>
      <c r="C96" s="16">
        <v>0</v>
      </c>
      <c r="D96" s="43">
        <f>'Facility Risk - Apple'!$C96/$C$151</f>
        <v>0</v>
      </c>
    </row>
    <row r="97" spans="1:4" ht="19" x14ac:dyDescent="0.25">
      <c r="A97" s="52" t="s">
        <v>132</v>
      </c>
      <c r="B97" s="104">
        <v>5.78</v>
      </c>
      <c r="C97" s="2">
        <v>0</v>
      </c>
      <c r="D97" s="42">
        <f>'Facility Risk - Apple'!$C97/$C$151</f>
        <v>0</v>
      </c>
    </row>
    <row r="98" spans="1:4" ht="19" x14ac:dyDescent="0.25">
      <c r="A98" s="53" t="s">
        <v>133</v>
      </c>
      <c r="B98" s="144">
        <v>3.59</v>
      </c>
      <c r="C98" s="16">
        <v>0</v>
      </c>
      <c r="D98" s="43">
        <f>'Facility Risk - Apple'!$C98/$C$151</f>
        <v>0</v>
      </c>
    </row>
    <row r="99" spans="1:4" ht="19" x14ac:dyDescent="0.25">
      <c r="A99" s="52" t="s">
        <v>134</v>
      </c>
      <c r="B99" s="145">
        <v>3.32</v>
      </c>
      <c r="C99" s="2">
        <v>0</v>
      </c>
      <c r="D99" s="42">
        <f>'Facility Risk - Apple'!$C99/$C$151</f>
        <v>0</v>
      </c>
    </row>
    <row r="100" spans="1:4" ht="19" x14ac:dyDescent="0.25">
      <c r="A100" s="53" t="s">
        <v>135</v>
      </c>
      <c r="B100" s="146">
        <v>5.8</v>
      </c>
      <c r="C100" s="16">
        <v>0</v>
      </c>
      <c r="D100" s="43">
        <f>'Facility Risk - Apple'!$C100/$C$151</f>
        <v>0</v>
      </c>
    </row>
    <row r="101" spans="1:4" ht="19" x14ac:dyDescent="0.25">
      <c r="A101" s="52" t="s">
        <v>136</v>
      </c>
      <c r="B101" s="147">
        <v>7.07</v>
      </c>
      <c r="C101" s="2">
        <v>0</v>
      </c>
      <c r="D101" s="42">
        <f>'Facility Risk - Apple'!$C101/$C$151</f>
        <v>0</v>
      </c>
    </row>
    <row r="102" spans="1:4" ht="19" x14ac:dyDescent="0.25">
      <c r="A102" s="53" t="s">
        <v>137</v>
      </c>
      <c r="B102" s="148">
        <v>6.5</v>
      </c>
      <c r="C102" s="16">
        <v>0</v>
      </c>
      <c r="D102" s="43">
        <f>'Facility Risk - Apple'!$C102/$C$151</f>
        <v>0</v>
      </c>
    </row>
    <row r="103" spans="1:4" ht="19" x14ac:dyDescent="0.25">
      <c r="A103" s="52" t="s">
        <v>138</v>
      </c>
      <c r="B103" s="149">
        <v>4.16</v>
      </c>
      <c r="C103" s="2">
        <v>0</v>
      </c>
      <c r="D103" s="42">
        <f>'Facility Risk - Apple'!$C103/$C$151</f>
        <v>0</v>
      </c>
    </row>
    <row r="104" spans="1:4" ht="19" x14ac:dyDescent="0.25">
      <c r="A104" s="53" t="s">
        <v>139</v>
      </c>
      <c r="B104" s="114">
        <v>3.38</v>
      </c>
      <c r="C104" s="16">
        <v>0</v>
      </c>
      <c r="D104" s="43">
        <f>'Facility Risk - Apple'!$C104/$C$151</f>
        <v>0</v>
      </c>
    </row>
    <row r="105" spans="1:4" ht="19" x14ac:dyDescent="0.25">
      <c r="A105" s="52" t="s">
        <v>140</v>
      </c>
      <c r="B105" s="150">
        <v>4.0199999999999996</v>
      </c>
      <c r="C105" s="2">
        <v>0</v>
      </c>
      <c r="D105" s="42">
        <f>'Facility Risk - Apple'!$C105/$C$151</f>
        <v>0</v>
      </c>
    </row>
    <row r="106" spans="1:4" ht="19" x14ac:dyDescent="0.25">
      <c r="A106" s="53" t="s">
        <v>141</v>
      </c>
      <c r="B106" s="151">
        <v>6.65</v>
      </c>
      <c r="C106" s="16">
        <v>0</v>
      </c>
      <c r="D106" s="43">
        <f>'Facility Risk - Apple'!$C106/$C$151</f>
        <v>0</v>
      </c>
    </row>
    <row r="107" spans="1:4" ht="19" x14ac:dyDescent="0.25">
      <c r="A107" s="52" t="s">
        <v>142</v>
      </c>
      <c r="B107" s="152">
        <v>4.5599999999999996</v>
      </c>
      <c r="C107" s="2">
        <v>0</v>
      </c>
      <c r="D107" s="42">
        <f>'Facility Risk - Apple'!$C107/$C$151</f>
        <v>0</v>
      </c>
    </row>
    <row r="108" spans="1:4" ht="19" x14ac:dyDescent="0.25">
      <c r="A108" s="53" t="s">
        <v>143</v>
      </c>
      <c r="B108" s="76">
        <v>5.34</v>
      </c>
      <c r="C108" s="16">
        <v>0</v>
      </c>
      <c r="D108" s="43">
        <f>'Facility Risk - Apple'!$C108/$C$151</f>
        <v>0</v>
      </c>
    </row>
    <row r="109" spans="1:4" ht="19" x14ac:dyDescent="0.25">
      <c r="A109" s="52" t="s">
        <v>144</v>
      </c>
      <c r="B109" s="153">
        <v>4.72</v>
      </c>
      <c r="C109" s="2">
        <v>0</v>
      </c>
      <c r="D109" s="42">
        <f>'Facility Risk - Apple'!$C109/$C$151</f>
        <v>0</v>
      </c>
    </row>
    <row r="110" spans="1:4" ht="19" x14ac:dyDescent="0.25">
      <c r="A110" s="53" t="s">
        <v>145</v>
      </c>
      <c r="B110" s="154">
        <v>5.28</v>
      </c>
      <c r="C110" s="16">
        <v>0</v>
      </c>
      <c r="D110" s="43">
        <f>'Facility Risk - Apple'!$C110/$C$151</f>
        <v>0</v>
      </c>
    </row>
    <row r="111" spans="1:4" ht="19" x14ac:dyDescent="0.25">
      <c r="A111" s="52" t="s">
        <v>146</v>
      </c>
      <c r="B111" s="146">
        <v>5.8</v>
      </c>
      <c r="C111" s="2">
        <v>0</v>
      </c>
      <c r="D111" s="42">
        <f>'Facility Risk - Apple'!$C111/$C$151</f>
        <v>0</v>
      </c>
    </row>
    <row r="112" spans="1:4" ht="19" x14ac:dyDescent="0.25">
      <c r="A112" s="53" t="s">
        <v>147</v>
      </c>
      <c r="B112" s="155">
        <v>4.1500000000000004</v>
      </c>
      <c r="C112" s="16">
        <v>0</v>
      </c>
      <c r="D112" s="43">
        <f>'Facility Risk - Apple'!$C112/$C$151</f>
        <v>0</v>
      </c>
    </row>
    <row r="113" spans="1:4" ht="19" x14ac:dyDescent="0.25">
      <c r="A113" s="52" t="s">
        <v>148</v>
      </c>
      <c r="B113" s="156">
        <v>3.43</v>
      </c>
      <c r="C113" s="2">
        <v>0</v>
      </c>
      <c r="D113" s="42">
        <f>'Facility Risk - Apple'!$C113/$C$151</f>
        <v>0</v>
      </c>
    </row>
    <row r="114" spans="1:4" ht="19" x14ac:dyDescent="0.25">
      <c r="A114" s="53" t="s">
        <v>149</v>
      </c>
      <c r="B114" s="93">
        <v>3.2</v>
      </c>
      <c r="C114" s="16">
        <v>0</v>
      </c>
      <c r="D114" s="43">
        <f>'Facility Risk - Apple'!$C114/$C$151</f>
        <v>0</v>
      </c>
    </row>
    <row r="115" spans="1:4" ht="19" x14ac:dyDescent="0.25">
      <c r="A115" s="52" t="s">
        <v>150</v>
      </c>
      <c r="B115" s="157">
        <v>4.05</v>
      </c>
      <c r="C115" s="2">
        <v>0</v>
      </c>
      <c r="D115" s="42">
        <f>'Facility Risk - Apple'!$C115/$C$151</f>
        <v>0</v>
      </c>
    </row>
    <row r="116" spans="1:4" ht="19" x14ac:dyDescent="0.25">
      <c r="A116" s="53" t="s">
        <v>151</v>
      </c>
      <c r="B116" s="158">
        <v>5.96</v>
      </c>
      <c r="C116" s="16">
        <v>0</v>
      </c>
      <c r="D116" s="43">
        <f>'Facility Risk - Apple'!$C116/$C$151</f>
        <v>0</v>
      </c>
    </row>
    <row r="117" spans="1:4" ht="19" x14ac:dyDescent="0.25">
      <c r="A117" s="52" t="s">
        <v>152</v>
      </c>
      <c r="B117" s="159">
        <v>5.47</v>
      </c>
      <c r="C117" s="2">
        <v>0</v>
      </c>
      <c r="D117" s="42">
        <f>'Facility Risk - Apple'!$C117/$C$151</f>
        <v>0</v>
      </c>
    </row>
    <row r="118" spans="1:4" ht="19" x14ac:dyDescent="0.25">
      <c r="A118" s="53" t="s">
        <v>153</v>
      </c>
      <c r="B118" s="79">
        <v>4.42</v>
      </c>
      <c r="C118" s="16">
        <v>0</v>
      </c>
      <c r="D118" s="43">
        <f>'Facility Risk - Apple'!$C118/$C$151</f>
        <v>0</v>
      </c>
    </row>
    <row r="119" spans="1:4" ht="19" x14ac:dyDescent="0.25">
      <c r="A119" s="52" t="s">
        <v>154</v>
      </c>
      <c r="B119" s="160">
        <v>5.4</v>
      </c>
      <c r="C119" s="2">
        <v>0</v>
      </c>
      <c r="D119" s="42">
        <f>'Facility Risk - Apple'!$C119/$C$151</f>
        <v>0</v>
      </c>
    </row>
    <row r="120" spans="1:4" ht="19" x14ac:dyDescent="0.25">
      <c r="A120" s="53" t="s">
        <v>155</v>
      </c>
      <c r="B120" s="161">
        <v>5.04</v>
      </c>
      <c r="C120" s="16">
        <v>0</v>
      </c>
      <c r="D120" s="43">
        <f>'Facility Risk - Apple'!$C120/$C$151</f>
        <v>0</v>
      </c>
    </row>
    <row r="121" spans="1:4" ht="19" x14ac:dyDescent="0.25">
      <c r="A121" s="52" t="s">
        <v>156</v>
      </c>
      <c r="B121" s="162">
        <v>5.64</v>
      </c>
      <c r="C121" s="2">
        <v>0</v>
      </c>
      <c r="D121" s="42">
        <f>'Facility Risk - Apple'!$C121/$C$151</f>
        <v>0</v>
      </c>
    </row>
    <row r="122" spans="1:4" ht="19" x14ac:dyDescent="0.25">
      <c r="A122" s="53" t="s">
        <v>157</v>
      </c>
      <c r="B122" s="163">
        <v>3.04</v>
      </c>
      <c r="C122" s="16">
        <v>7.1400000000000005E-2</v>
      </c>
      <c r="D122" s="43">
        <f>'Facility Risk - Apple'!$C122/$C$151</f>
        <v>7.1407140714071421E-2</v>
      </c>
    </row>
    <row r="123" spans="1:4" ht="19" x14ac:dyDescent="0.25">
      <c r="A123" s="52" t="s">
        <v>158</v>
      </c>
      <c r="B123" s="164">
        <v>3.79</v>
      </c>
      <c r="C123" s="2">
        <v>0</v>
      </c>
      <c r="D123" s="42">
        <f>'Facility Risk - Apple'!$C123/$C$151</f>
        <v>0</v>
      </c>
    </row>
    <row r="124" spans="1:4" ht="19" x14ac:dyDescent="0.25">
      <c r="A124" s="53" t="s">
        <v>159</v>
      </c>
      <c r="B124" s="165">
        <v>3.48</v>
      </c>
      <c r="C124" s="16">
        <v>0</v>
      </c>
      <c r="D124" s="43">
        <f>'Facility Risk - Apple'!$C124/$C$151</f>
        <v>0</v>
      </c>
    </row>
    <row r="125" spans="1:4" ht="19" x14ac:dyDescent="0.25">
      <c r="A125" s="52" t="s">
        <v>160</v>
      </c>
      <c r="B125" s="166">
        <v>5.22</v>
      </c>
      <c r="C125" s="2">
        <v>0</v>
      </c>
      <c r="D125" s="42">
        <f>'Facility Risk - Apple'!$C125/$C$151</f>
        <v>0</v>
      </c>
    </row>
    <row r="126" spans="1:4" ht="19" x14ac:dyDescent="0.25">
      <c r="A126" s="53" t="s">
        <v>161</v>
      </c>
      <c r="B126" s="167">
        <v>3.57</v>
      </c>
      <c r="C126" s="16">
        <v>0</v>
      </c>
      <c r="D126" s="43">
        <f>'Facility Risk - Apple'!$C126/$C$151</f>
        <v>0</v>
      </c>
    </row>
    <row r="127" spans="1:4" ht="19" x14ac:dyDescent="0.25">
      <c r="A127" s="52" t="s">
        <v>162</v>
      </c>
      <c r="B127" s="168">
        <v>3.7</v>
      </c>
      <c r="C127" s="2">
        <v>0</v>
      </c>
      <c r="D127" s="42">
        <f>'Facility Risk - Apple'!$C127/$C$151</f>
        <v>0</v>
      </c>
    </row>
    <row r="128" spans="1:4" ht="19" x14ac:dyDescent="0.25">
      <c r="A128" s="53" t="s">
        <v>163</v>
      </c>
      <c r="B128" s="169">
        <v>5.1100000000000003</v>
      </c>
      <c r="C128" s="16">
        <v>0</v>
      </c>
      <c r="D128" s="43">
        <f>'Facility Risk - Apple'!$C128/$C$151</f>
        <v>0</v>
      </c>
    </row>
    <row r="129" spans="1:4" ht="19" x14ac:dyDescent="0.25">
      <c r="A129" s="52" t="s">
        <v>164</v>
      </c>
      <c r="B129" s="137">
        <v>7.1</v>
      </c>
      <c r="C129" s="2">
        <v>0</v>
      </c>
      <c r="D129" s="42">
        <f>'Facility Risk - Apple'!$C129/$C$151</f>
        <v>0</v>
      </c>
    </row>
    <row r="130" spans="1:4" ht="19" x14ac:dyDescent="0.25">
      <c r="A130" s="53" t="s">
        <v>165</v>
      </c>
      <c r="B130" s="170">
        <v>3.52</v>
      </c>
      <c r="C130" s="16">
        <v>0</v>
      </c>
      <c r="D130" s="43">
        <f>'Facility Risk - Apple'!$C130/$C$151</f>
        <v>0</v>
      </c>
    </row>
    <row r="131" spans="1:4" ht="19" x14ac:dyDescent="0.25">
      <c r="A131" s="52" t="s">
        <v>166</v>
      </c>
      <c r="B131" s="171">
        <v>2.78</v>
      </c>
      <c r="C131" s="2">
        <v>0</v>
      </c>
      <c r="D131" s="42">
        <f>'Facility Risk - Apple'!$C131/$C$151</f>
        <v>0</v>
      </c>
    </row>
    <row r="132" spans="1:4" ht="19" x14ac:dyDescent="0.25">
      <c r="A132" s="54" t="s">
        <v>167</v>
      </c>
      <c r="B132" s="172">
        <v>7.33</v>
      </c>
      <c r="C132" s="16">
        <v>0</v>
      </c>
      <c r="D132" s="43">
        <f>'Facility Risk - Apple'!$C132/$C$151</f>
        <v>0</v>
      </c>
    </row>
    <row r="133" spans="1:4" ht="19" x14ac:dyDescent="0.25">
      <c r="A133" s="52" t="s">
        <v>168</v>
      </c>
      <c r="B133" s="173">
        <v>5.69</v>
      </c>
      <c r="C133" s="2">
        <v>0</v>
      </c>
      <c r="D133" s="42">
        <f>'Facility Risk - Apple'!$C133/$C$151</f>
        <v>0</v>
      </c>
    </row>
    <row r="134" spans="1:4" ht="19" x14ac:dyDescent="0.25">
      <c r="A134" s="53" t="s">
        <v>169</v>
      </c>
      <c r="B134" s="63">
        <v>5.21</v>
      </c>
      <c r="C134" s="16">
        <v>0</v>
      </c>
      <c r="D134" s="43">
        <f>'Facility Risk - Apple'!$C134/$C$151</f>
        <v>0</v>
      </c>
    </row>
    <row r="135" spans="1:4" ht="19" x14ac:dyDescent="0.25">
      <c r="A135" s="52" t="s">
        <v>170</v>
      </c>
      <c r="B135" s="174">
        <v>5.15</v>
      </c>
      <c r="C135" s="2">
        <v>0</v>
      </c>
      <c r="D135" s="42">
        <f>'Facility Risk - Apple'!$C135/$C$151</f>
        <v>0</v>
      </c>
    </row>
    <row r="136" spans="1:4" ht="19" x14ac:dyDescent="0.25">
      <c r="A136" s="53" t="s">
        <v>171</v>
      </c>
      <c r="B136" s="175">
        <v>5.87</v>
      </c>
      <c r="C136" s="16">
        <v>0</v>
      </c>
      <c r="D136" s="43">
        <f>'Facility Risk - Apple'!$C136/$C$151</f>
        <v>0</v>
      </c>
    </row>
    <row r="137" spans="1:4" ht="19" x14ac:dyDescent="0.25">
      <c r="A137" s="52" t="s">
        <v>172</v>
      </c>
      <c r="B137" s="176">
        <v>4.38</v>
      </c>
      <c r="C137" s="2">
        <v>0</v>
      </c>
      <c r="D137" s="42">
        <f>'Facility Risk - Apple'!$C137/$C$151</f>
        <v>0</v>
      </c>
    </row>
    <row r="138" spans="1:4" ht="19" x14ac:dyDescent="0.25">
      <c r="A138" s="53" t="s">
        <v>173</v>
      </c>
      <c r="B138" s="177">
        <v>5.13</v>
      </c>
      <c r="C138" s="16">
        <v>0</v>
      </c>
      <c r="D138" s="43">
        <f>'Facility Risk - Apple'!$C138/$C$151</f>
        <v>0</v>
      </c>
    </row>
    <row r="139" spans="1:4" ht="19" x14ac:dyDescent="0.25">
      <c r="A139" s="52" t="s">
        <v>174</v>
      </c>
      <c r="B139" s="178">
        <v>5.26</v>
      </c>
      <c r="C139" s="2">
        <v>0</v>
      </c>
      <c r="D139" s="42">
        <f>'Facility Risk - Apple'!$C139/$C$151</f>
        <v>0</v>
      </c>
    </row>
    <row r="140" spans="1:4" ht="19" x14ac:dyDescent="0.25">
      <c r="A140" s="53" t="s">
        <v>175</v>
      </c>
      <c r="B140" s="179">
        <v>6.29</v>
      </c>
      <c r="C140" s="16">
        <v>0</v>
      </c>
      <c r="D140" s="43">
        <f>'Facility Risk - Apple'!$C140/$C$151</f>
        <v>0</v>
      </c>
    </row>
    <row r="141" spans="1:4" ht="19" x14ac:dyDescent="0.25">
      <c r="A141" s="52" t="s">
        <v>176</v>
      </c>
      <c r="B141" s="180">
        <v>6.35</v>
      </c>
      <c r="C141" s="2">
        <v>0</v>
      </c>
      <c r="D141" s="42">
        <f>'Facility Risk - Apple'!$C141/$C$151</f>
        <v>0</v>
      </c>
    </row>
    <row r="142" spans="1:4" ht="19" x14ac:dyDescent="0.25">
      <c r="A142" s="53" t="s">
        <v>177</v>
      </c>
      <c r="B142" s="181">
        <v>3.72</v>
      </c>
      <c r="C142" s="16">
        <v>0</v>
      </c>
      <c r="D142" s="43">
        <f>'Facility Risk - Apple'!$C142/$C$151</f>
        <v>0</v>
      </c>
    </row>
    <row r="143" spans="1:4" ht="19" x14ac:dyDescent="0.25">
      <c r="A143" s="52" t="s">
        <v>178</v>
      </c>
      <c r="B143" s="145">
        <v>3.32</v>
      </c>
      <c r="C143" s="2">
        <v>0</v>
      </c>
      <c r="D143" s="42">
        <f>'Facility Risk - Apple'!$C143/$C$151</f>
        <v>0</v>
      </c>
    </row>
    <row r="144" spans="1:4" ht="19" x14ac:dyDescent="0.25">
      <c r="A144" s="53" t="s">
        <v>179</v>
      </c>
      <c r="B144" s="182">
        <v>4.1900000000000004</v>
      </c>
      <c r="C144" s="16">
        <v>0.35709999999999997</v>
      </c>
      <c r="D144" s="43">
        <f>'Facility Risk - Apple'!$C144/$C$151</f>
        <v>0.35713571357135715</v>
      </c>
    </row>
    <row r="145" spans="1:4" ht="19" x14ac:dyDescent="0.25">
      <c r="A145" s="52" t="s">
        <v>180</v>
      </c>
      <c r="B145" s="183">
        <v>3.91</v>
      </c>
      <c r="C145" s="2">
        <v>0</v>
      </c>
      <c r="D145" s="42">
        <f>'Facility Risk - Apple'!$C145/$C$151</f>
        <v>0</v>
      </c>
    </row>
    <row r="146" spans="1:4" ht="19" x14ac:dyDescent="0.25">
      <c r="A146" s="53" t="s">
        <v>181</v>
      </c>
      <c r="B146" s="112">
        <v>5.77</v>
      </c>
      <c r="C146" s="16">
        <v>0</v>
      </c>
      <c r="D146" s="43">
        <f>'Facility Risk - Apple'!$C146/$C$151</f>
        <v>0</v>
      </c>
    </row>
    <row r="147" spans="1:4" ht="19" x14ac:dyDescent="0.25">
      <c r="A147" s="52" t="s">
        <v>182</v>
      </c>
      <c r="B147" s="184">
        <v>4.32</v>
      </c>
      <c r="C147" s="2">
        <v>0</v>
      </c>
      <c r="D147" s="42">
        <f>'Facility Risk - Apple'!$C147/$C$151</f>
        <v>0</v>
      </c>
    </row>
    <row r="148" spans="1:4" ht="19" x14ac:dyDescent="0.25">
      <c r="A148" s="53" t="s">
        <v>183</v>
      </c>
      <c r="B148" s="70">
        <v>6.3</v>
      </c>
      <c r="C148" s="16">
        <v>0</v>
      </c>
      <c r="D148" s="43">
        <f>'Facility Risk - Apple'!$C148/$C$151</f>
        <v>0</v>
      </c>
    </row>
    <row r="149" spans="1:4" ht="19" x14ac:dyDescent="0.25">
      <c r="A149" s="52" t="s">
        <v>184</v>
      </c>
      <c r="B149" s="185">
        <v>4.95</v>
      </c>
      <c r="C149" s="2">
        <v>0</v>
      </c>
      <c r="D149" s="42">
        <f>'Facility Risk - Apple'!$C149/$C$151</f>
        <v>0</v>
      </c>
    </row>
    <row r="150" spans="1:4" ht="19" x14ac:dyDescent="0.25">
      <c r="A150" s="53" t="s">
        <v>185</v>
      </c>
      <c r="B150" s="186">
        <v>6.14</v>
      </c>
      <c r="C150" s="16">
        <v>0</v>
      </c>
      <c r="D150" s="43">
        <f>'Facility Risk - Apple'!$C150/$C$151</f>
        <v>0</v>
      </c>
    </row>
    <row r="151" spans="1:4" ht="19" x14ac:dyDescent="0.25">
      <c r="A151" s="55" t="s">
        <v>186</v>
      </c>
      <c r="B151" s="18"/>
      <c r="C151" s="19">
        <f>SUM(C4:C150)</f>
        <v>0.9998999999999999</v>
      </c>
      <c r="D151" s="44">
        <f>SUM(D4:D150)</f>
        <v>1</v>
      </c>
    </row>
  </sheetData>
  <mergeCells count="1">
    <mergeCell ref="A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532D-1FCF-0E4A-BE53-FB65B4A2340F}">
  <dimension ref="A1:J151"/>
  <sheetViews>
    <sheetView topLeftCell="D1" workbookViewId="0">
      <selection activeCell="I17" sqref="I17"/>
    </sheetView>
  </sheetViews>
  <sheetFormatPr baseColWidth="10" defaultColWidth="11" defaultRowHeight="16" x14ac:dyDescent="0.2"/>
  <cols>
    <col min="1" max="1" width="23" bestFit="1" customWidth="1"/>
    <col min="2" max="2" width="32" bestFit="1" customWidth="1"/>
    <col min="3" max="3" width="33.6640625" bestFit="1" customWidth="1"/>
    <col min="4" max="4" width="42.6640625" bestFit="1" customWidth="1"/>
    <col min="5" max="5" width="16" bestFit="1" customWidth="1"/>
    <col min="7" max="7" width="29.33203125" bestFit="1" customWidth="1"/>
    <col min="8" max="8" width="15.83203125" bestFit="1" customWidth="1"/>
    <col min="9" max="9" width="22.5" bestFit="1" customWidth="1"/>
    <col min="10" max="10" width="12.33203125" bestFit="1" customWidth="1"/>
  </cols>
  <sheetData>
    <row r="1" spans="1:10" ht="17" customHeight="1" x14ac:dyDescent="0.2">
      <c r="A1" s="188" t="s">
        <v>3</v>
      </c>
      <c r="B1" s="189"/>
      <c r="C1" s="189"/>
      <c r="D1" s="189"/>
    </row>
    <row r="2" spans="1:10" ht="17" customHeight="1" thickBot="1" x14ac:dyDescent="0.25">
      <c r="A2" s="190"/>
      <c r="B2" s="191"/>
      <c r="C2" s="191"/>
      <c r="D2" s="191"/>
    </row>
    <row r="3" spans="1:10" ht="20" thickTop="1" x14ac:dyDescent="0.25">
      <c r="A3" s="12" t="s">
        <v>27</v>
      </c>
      <c r="B3" s="13" t="s">
        <v>28</v>
      </c>
      <c r="C3" s="14" t="s">
        <v>29</v>
      </c>
      <c r="D3" s="7" t="s">
        <v>30</v>
      </c>
    </row>
    <row r="4" spans="1:10" ht="20" thickBot="1" x14ac:dyDescent="0.3">
      <c r="A4" s="56" t="s">
        <v>31</v>
      </c>
      <c r="B4" s="62">
        <v>4.37</v>
      </c>
      <c r="C4" s="15">
        <v>0</v>
      </c>
      <c r="D4" s="45">
        <f>'Facility Risk - Meta'!$C4/$C$151</f>
        <v>0</v>
      </c>
    </row>
    <row r="5" spans="1:10" ht="20" thickBot="1" x14ac:dyDescent="0.3">
      <c r="A5" s="57" t="s">
        <v>32</v>
      </c>
      <c r="B5" s="63">
        <v>5.21</v>
      </c>
      <c r="C5" s="9">
        <v>0</v>
      </c>
      <c r="D5" s="46">
        <f>'Facility Risk - Meta'!$C5/$C$151</f>
        <v>0</v>
      </c>
      <c r="G5" s="32" t="s">
        <v>33</v>
      </c>
      <c r="H5" s="33"/>
      <c r="I5" s="33"/>
      <c r="J5" s="34"/>
    </row>
    <row r="6" spans="1:10" ht="20" thickBot="1" x14ac:dyDescent="0.3">
      <c r="A6" s="58" t="s">
        <v>34</v>
      </c>
      <c r="B6" s="64">
        <v>5.63</v>
      </c>
      <c r="C6" s="8">
        <v>0</v>
      </c>
      <c r="D6" s="45">
        <f>'Facility Risk - Meta'!$C6/$C$151</f>
        <v>0</v>
      </c>
      <c r="G6" s="20"/>
      <c r="H6" s="21" t="s">
        <v>35</v>
      </c>
      <c r="I6" s="22" t="s">
        <v>36</v>
      </c>
      <c r="J6" s="23" t="s">
        <v>37</v>
      </c>
    </row>
    <row r="7" spans="1:10" ht="19" x14ac:dyDescent="0.25">
      <c r="A7" s="57" t="s">
        <v>38</v>
      </c>
      <c r="B7" s="65">
        <v>4.3600000000000003</v>
      </c>
      <c r="C7" s="9">
        <v>0</v>
      </c>
      <c r="D7" s="46">
        <f>'Facility Risk - Meta'!$C7/$C$151</f>
        <v>0</v>
      </c>
      <c r="G7" s="24" t="s">
        <v>39</v>
      </c>
      <c r="H7" s="25" t="str">
        <f>INDEX(A4:A150,MATCH(MIN(D4:D150),D4:D150,0))</f>
        <v>Albania</v>
      </c>
      <c r="I7" s="25">
        <f>INDEX(B4:B150,MATCH(MIN(D4:D150),D4:D150,0))</f>
        <v>4.37</v>
      </c>
      <c r="J7" s="26">
        <f>INDEX(D4:D150,MATCH(MIN(D4:D150),D4:D150,0))</f>
        <v>0</v>
      </c>
    </row>
    <row r="8" spans="1:10" ht="20" thickBot="1" x14ac:dyDescent="0.3">
      <c r="A8" s="58" t="s">
        <v>40</v>
      </c>
      <c r="B8" s="66">
        <v>4.79</v>
      </c>
      <c r="C8" s="8">
        <v>0</v>
      </c>
      <c r="D8" s="45">
        <f>'Facility Risk - Meta'!$C8/$C$151</f>
        <v>0</v>
      </c>
      <c r="G8" s="27" t="s">
        <v>41</v>
      </c>
      <c r="H8" s="28" t="str">
        <f>INDEX(A4:A150,MATCH(MAX(D4:D150),D4:D150,0))</f>
        <v>United Kingdom</v>
      </c>
      <c r="I8" s="28">
        <f>INDEX(B4:B150,MATCH(MAX(D4:D150),D4:D150,0))</f>
        <v>3.32</v>
      </c>
      <c r="J8" s="31">
        <f>INDEX(D4:D150,MATCH(MAX(D4:D150),D4:D150,0))</f>
        <v>1</v>
      </c>
    </row>
    <row r="9" spans="1:10" ht="23" thickBot="1" x14ac:dyDescent="0.35">
      <c r="A9" s="57" t="s">
        <v>42</v>
      </c>
      <c r="B9" s="67">
        <v>3.22</v>
      </c>
      <c r="C9" s="9">
        <v>0</v>
      </c>
      <c r="D9" s="46">
        <f>'Facility Risk - Meta'!$C9/$C$151</f>
        <v>0</v>
      </c>
      <c r="G9" s="30" t="s">
        <v>43</v>
      </c>
      <c r="H9" s="29"/>
      <c r="I9" s="29"/>
      <c r="J9" s="187">
        <f>SUMPRODUCT(B4:B150,D4:D150)</f>
        <v>3.32</v>
      </c>
    </row>
    <row r="10" spans="1:10" ht="19" x14ac:dyDescent="0.25">
      <c r="A10" s="58" t="s">
        <v>44</v>
      </c>
      <c r="B10" s="68">
        <v>3.41</v>
      </c>
      <c r="C10" s="8">
        <v>0</v>
      </c>
      <c r="D10" s="45">
        <f>'Facility Risk - Meta'!$C10/$C$151</f>
        <v>0</v>
      </c>
    </row>
    <row r="11" spans="1:10" ht="19" x14ac:dyDescent="0.25">
      <c r="A11" s="57" t="s">
        <v>45</v>
      </c>
      <c r="B11" s="63">
        <v>5.21</v>
      </c>
      <c r="C11" s="9">
        <v>0</v>
      </c>
      <c r="D11" s="46">
        <f>'Facility Risk - Meta'!$C11/$C$151</f>
        <v>0</v>
      </c>
    </row>
    <row r="12" spans="1:10" ht="19" x14ac:dyDescent="0.25">
      <c r="A12" s="58" t="s">
        <v>46</v>
      </c>
      <c r="B12" s="69">
        <v>4.26</v>
      </c>
      <c r="C12" s="8">
        <v>0</v>
      </c>
      <c r="D12" s="45">
        <f>'Facility Risk - Meta'!$C12/$C$151</f>
        <v>0</v>
      </c>
    </row>
    <row r="13" spans="1:10" ht="19" x14ac:dyDescent="0.25">
      <c r="A13" s="57" t="s">
        <v>47</v>
      </c>
      <c r="B13" s="70">
        <v>6.29</v>
      </c>
      <c r="C13" s="9">
        <v>0</v>
      </c>
      <c r="D13" s="46">
        <f>'Facility Risk - Meta'!$C13/$C$151</f>
        <v>0</v>
      </c>
    </row>
    <row r="14" spans="1:10" ht="19" x14ac:dyDescent="0.25">
      <c r="A14" s="58" t="s">
        <v>48</v>
      </c>
      <c r="B14" s="71">
        <v>5.45</v>
      </c>
      <c r="C14" s="8">
        <v>0</v>
      </c>
      <c r="D14" s="45">
        <f>'Facility Risk - Meta'!$C14/$C$151</f>
        <v>0</v>
      </c>
    </row>
    <row r="15" spans="1:10" ht="19" x14ac:dyDescent="0.25">
      <c r="A15" s="57" t="s">
        <v>49</v>
      </c>
      <c r="B15" s="72">
        <v>3.33</v>
      </c>
      <c r="C15" s="9">
        <v>0</v>
      </c>
      <c r="D15" s="46">
        <f>'Facility Risk - Meta'!$C15/$C$151</f>
        <v>0</v>
      </c>
    </row>
    <row r="16" spans="1:10" ht="19" x14ac:dyDescent="0.25">
      <c r="A16" s="58" t="s">
        <v>50</v>
      </c>
      <c r="B16" s="73">
        <v>6</v>
      </c>
      <c r="C16" s="8">
        <v>0</v>
      </c>
      <c r="D16" s="45">
        <f>'Facility Risk - Meta'!$C16/$C$151</f>
        <v>0</v>
      </c>
    </row>
    <row r="17" spans="1:5" ht="19" x14ac:dyDescent="0.25">
      <c r="A17" s="57" t="s">
        <v>51</v>
      </c>
      <c r="B17" s="74">
        <v>5.0199999999999996</v>
      </c>
      <c r="C17" s="9">
        <v>0</v>
      </c>
      <c r="D17" s="46">
        <f>'Facility Risk - Meta'!$C17/$C$151</f>
        <v>0</v>
      </c>
    </row>
    <row r="18" spans="1:5" ht="19" x14ac:dyDescent="0.25">
      <c r="A18" s="58" t="s">
        <v>52</v>
      </c>
      <c r="B18" s="75">
        <v>5.41</v>
      </c>
      <c r="C18" s="8">
        <v>0</v>
      </c>
      <c r="D18" s="45">
        <f>'Facility Risk - Meta'!$C18/$C$151</f>
        <v>0</v>
      </c>
    </row>
    <row r="19" spans="1:5" ht="19" x14ac:dyDescent="0.25">
      <c r="A19" s="57" t="s">
        <v>53</v>
      </c>
      <c r="B19" s="76">
        <v>5.34</v>
      </c>
      <c r="C19" s="9">
        <v>0</v>
      </c>
      <c r="D19" s="46">
        <f>'Facility Risk - Meta'!$C19/$C$151</f>
        <v>0</v>
      </c>
    </row>
    <row r="20" spans="1:5" ht="19" x14ac:dyDescent="0.25">
      <c r="A20" s="58" t="s">
        <v>54</v>
      </c>
      <c r="B20" s="77">
        <v>4.34</v>
      </c>
      <c r="C20" s="8">
        <v>0</v>
      </c>
      <c r="D20" s="45">
        <f>'Facility Risk - Meta'!$C20/$C$151</f>
        <v>0</v>
      </c>
    </row>
    <row r="21" spans="1:5" ht="19" x14ac:dyDescent="0.25">
      <c r="A21" s="57" t="s">
        <v>55</v>
      </c>
      <c r="B21" s="78">
        <v>5.35</v>
      </c>
      <c r="C21" s="9">
        <v>0</v>
      </c>
      <c r="D21" s="46">
        <f>'Facility Risk - Meta'!$C21/$C$151</f>
        <v>0</v>
      </c>
    </row>
    <row r="22" spans="1:5" ht="19" x14ac:dyDescent="0.25">
      <c r="A22" s="58" t="s">
        <v>56</v>
      </c>
      <c r="B22" s="79">
        <v>4.43</v>
      </c>
      <c r="C22" s="8">
        <v>0</v>
      </c>
      <c r="D22" s="45">
        <f>'Facility Risk - Meta'!$C22/$C$151</f>
        <v>0</v>
      </c>
    </row>
    <row r="23" spans="1:5" ht="19" x14ac:dyDescent="0.25">
      <c r="A23" s="57" t="s">
        <v>57</v>
      </c>
      <c r="B23" s="80">
        <v>6.55</v>
      </c>
      <c r="C23" s="9">
        <v>0</v>
      </c>
      <c r="D23" s="46">
        <f>'Facility Risk - Meta'!$C23/$C$151</f>
        <v>0</v>
      </c>
    </row>
    <row r="24" spans="1:5" ht="19" x14ac:dyDescent="0.25">
      <c r="A24" s="58" t="s">
        <v>58</v>
      </c>
      <c r="B24" s="81">
        <v>6.33</v>
      </c>
      <c r="C24" s="8">
        <v>0</v>
      </c>
      <c r="D24" s="45">
        <f>'Facility Risk - Meta'!$C24/$C$151</f>
        <v>0</v>
      </c>
    </row>
    <row r="25" spans="1:5" ht="19" x14ac:dyDescent="0.25">
      <c r="A25" s="57" t="s">
        <v>59</v>
      </c>
      <c r="B25" s="64">
        <v>5.64</v>
      </c>
      <c r="C25" s="9">
        <v>0</v>
      </c>
      <c r="D25" s="46">
        <f>'Facility Risk - Meta'!$C25/$C$151</f>
        <v>0</v>
      </c>
    </row>
    <row r="26" spans="1:5" ht="19" x14ac:dyDescent="0.25">
      <c r="A26" s="58" t="s">
        <v>60</v>
      </c>
      <c r="B26" s="82">
        <v>6.83</v>
      </c>
      <c r="C26" s="8">
        <v>0</v>
      </c>
      <c r="D26" s="45">
        <f>'Facility Risk - Meta'!$C26/$C$151</f>
        <v>0</v>
      </c>
    </row>
    <row r="27" spans="1:5" ht="19" x14ac:dyDescent="0.25">
      <c r="A27" s="57" t="s">
        <v>61</v>
      </c>
      <c r="B27" s="83">
        <v>3.44</v>
      </c>
      <c r="C27" s="9">
        <v>0</v>
      </c>
      <c r="D27" s="46">
        <f>'Facility Risk - Meta'!$C27/$C$151</f>
        <v>0</v>
      </c>
    </row>
    <row r="28" spans="1:5" ht="19" x14ac:dyDescent="0.25">
      <c r="A28" s="58" t="s">
        <v>62</v>
      </c>
      <c r="B28" s="84">
        <v>6.79</v>
      </c>
      <c r="C28" s="8">
        <v>0</v>
      </c>
      <c r="D28" s="45">
        <f>'Facility Risk - Meta'!$C28/$C$151</f>
        <v>0</v>
      </c>
    </row>
    <row r="29" spans="1:5" ht="19" x14ac:dyDescent="0.25">
      <c r="A29" s="57" t="s">
        <v>63</v>
      </c>
      <c r="B29" s="82">
        <v>6.84</v>
      </c>
      <c r="C29" s="9">
        <v>0</v>
      </c>
      <c r="D29" s="46">
        <f>'Facility Risk - Meta'!$C29/$C$151</f>
        <v>0</v>
      </c>
    </row>
    <row r="30" spans="1:5" ht="19" x14ac:dyDescent="0.25">
      <c r="A30" s="58" t="s">
        <v>64</v>
      </c>
      <c r="B30" s="65">
        <v>4.3600000000000003</v>
      </c>
      <c r="C30" s="8">
        <v>0</v>
      </c>
      <c r="D30" s="45">
        <f>'Facility Risk - Meta'!$C30/$C$151</f>
        <v>0</v>
      </c>
    </row>
    <row r="31" spans="1:5" ht="19" x14ac:dyDescent="0.25">
      <c r="A31" s="57" t="s">
        <v>65</v>
      </c>
      <c r="B31" s="85">
        <v>4.26</v>
      </c>
      <c r="C31" s="9">
        <v>0</v>
      </c>
      <c r="D31" s="46">
        <f>'Facility Risk - Meta'!$C31/$C$151</f>
        <v>0</v>
      </c>
      <c r="E31" s="50" t="s">
        <v>66</v>
      </c>
    </row>
    <row r="32" spans="1:5" ht="19" x14ac:dyDescent="0.25">
      <c r="A32" s="58" t="s">
        <v>67</v>
      </c>
      <c r="B32" s="86">
        <v>5.72</v>
      </c>
      <c r="C32" s="8">
        <v>0</v>
      </c>
      <c r="D32" s="45">
        <f>'Facility Risk - Meta'!$C32/$C$151</f>
        <v>0</v>
      </c>
    </row>
    <row r="33" spans="1:4" ht="19" x14ac:dyDescent="0.25">
      <c r="A33" s="57" t="s">
        <v>68</v>
      </c>
      <c r="B33" s="87">
        <v>5.65</v>
      </c>
      <c r="C33" s="9">
        <v>0</v>
      </c>
      <c r="D33" s="46">
        <f>'Facility Risk - Meta'!$C33/$C$151</f>
        <v>0</v>
      </c>
    </row>
    <row r="34" spans="1:4" ht="19" x14ac:dyDescent="0.25">
      <c r="A34" s="58" t="s">
        <v>69</v>
      </c>
      <c r="B34" s="88">
        <v>4.2300000000000004</v>
      </c>
      <c r="C34" s="8">
        <v>0</v>
      </c>
      <c r="D34" s="45">
        <f>'Facility Risk - Meta'!$C34/$C$151</f>
        <v>0</v>
      </c>
    </row>
    <row r="35" spans="1:4" ht="19" x14ac:dyDescent="0.25">
      <c r="A35" s="57" t="s">
        <v>70</v>
      </c>
      <c r="B35" s="89">
        <v>5.6</v>
      </c>
      <c r="C35" s="9">
        <v>0</v>
      </c>
      <c r="D35" s="46">
        <f>'Facility Risk - Meta'!$C35/$C$151</f>
        <v>0</v>
      </c>
    </row>
    <row r="36" spans="1:4" ht="19" x14ac:dyDescent="0.25">
      <c r="A36" s="58" t="s">
        <v>71</v>
      </c>
      <c r="B36" s="90">
        <v>4.28</v>
      </c>
      <c r="C36" s="8">
        <v>0</v>
      </c>
      <c r="D36" s="45">
        <f>'Facility Risk - Meta'!$C36/$C$151</f>
        <v>0</v>
      </c>
    </row>
    <row r="37" spans="1:4" ht="19" x14ac:dyDescent="0.25">
      <c r="A37" s="57" t="s">
        <v>72</v>
      </c>
      <c r="B37" s="91">
        <v>4.67</v>
      </c>
      <c r="C37" s="9">
        <v>0</v>
      </c>
      <c r="D37" s="46">
        <f>'Facility Risk - Meta'!$C37/$C$151</f>
        <v>0</v>
      </c>
    </row>
    <row r="38" spans="1:4" ht="19" x14ac:dyDescent="0.25">
      <c r="A38" s="58" t="s">
        <v>73</v>
      </c>
      <c r="B38" s="92">
        <v>3.75</v>
      </c>
      <c r="C38" s="8">
        <v>0</v>
      </c>
      <c r="D38" s="45">
        <f>'Facility Risk - Meta'!$C38/$C$151</f>
        <v>0</v>
      </c>
    </row>
    <row r="39" spans="1:4" ht="19" x14ac:dyDescent="0.25">
      <c r="A39" s="57" t="s">
        <v>74</v>
      </c>
      <c r="B39" s="93">
        <v>3.2</v>
      </c>
      <c r="C39" s="9">
        <v>0</v>
      </c>
      <c r="D39" s="46">
        <f>'Facility Risk - Meta'!$C39/$C$151</f>
        <v>0</v>
      </c>
    </row>
    <row r="40" spans="1:4" ht="19" x14ac:dyDescent="0.25">
      <c r="A40" s="58" t="s">
        <v>75</v>
      </c>
      <c r="B40" s="94">
        <v>5.98</v>
      </c>
      <c r="C40" s="8">
        <v>0</v>
      </c>
      <c r="D40" s="45">
        <f>'Facility Risk - Meta'!$C40/$C$151</f>
        <v>0</v>
      </c>
    </row>
    <row r="41" spans="1:4" ht="19" x14ac:dyDescent="0.25">
      <c r="A41" s="57" t="s">
        <v>76</v>
      </c>
      <c r="B41" s="95">
        <v>4.7</v>
      </c>
      <c r="C41" s="9">
        <v>0</v>
      </c>
      <c r="D41" s="46">
        <f>'Facility Risk - Meta'!$C41/$C$151</f>
        <v>0</v>
      </c>
    </row>
    <row r="42" spans="1:4" ht="19" x14ac:dyDescent="0.25">
      <c r="A42" s="58" t="s">
        <v>77</v>
      </c>
      <c r="B42" s="96">
        <v>5.71</v>
      </c>
      <c r="C42" s="8">
        <v>0</v>
      </c>
      <c r="D42" s="45">
        <f>'Facility Risk - Meta'!$C42/$C$151</f>
        <v>0</v>
      </c>
    </row>
    <row r="43" spans="1:4" ht="19" x14ac:dyDescent="0.25">
      <c r="A43" s="57" t="s">
        <v>78</v>
      </c>
      <c r="B43" s="97">
        <v>5.6</v>
      </c>
      <c r="C43" s="9">
        <v>0</v>
      </c>
      <c r="D43" s="46">
        <f>'Facility Risk - Meta'!$C43/$C$151</f>
        <v>0</v>
      </c>
    </row>
    <row r="44" spans="1:4" ht="19" x14ac:dyDescent="0.25">
      <c r="A44" s="58" t="s">
        <v>79</v>
      </c>
      <c r="B44" s="98">
        <v>4.79</v>
      </c>
      <c r="C44" s="8">
        <v>0</v>
      </c>
      <c r="D44" s="45">
        <f>'Facility Risk - Meta'!$C44/$C$151</f>
        <v>0</v>
      </c>
    </row>
    <row r="45" spans="1:4" ht="19" x14ac:dyDescent="0.25">
      <c r="A45" s="57" t="s">
        <v>80</v>
      </c>
      <c r="B45" s="99">
        <v>3.57</v>
      </c>
      <c r="C45" s="9">
        <v>0</v>
      </c>
      <c r="D45" s="46">
        <f>'Facility Risk - Meta'!$C45/$C$151</f>
        <v>0</v>
      </c>
    </row>
    <row r="46" spans="1:4" ht="19" x14ac:dyDescent="0.25">
      <c r="A46" s="58" t="s">
        <v>81</v>
      </c>
      <c r="B46" s="100">
        <v>4.5</v>
      </c>
      <c r="C46" s="8">
        <v>0</v>
      </c>
      <c r="D46" s="45">
        <f>'Facility Risk - Meta'!$C46/$C$151</f>
        <v>0</v>
      </c>
    </row>
    <row r="47" spans="1:4" ht="19" x14ac:dyDescent="0.25">
      <c r="A47" s="57" t="s">
        <v>82</v>
      </c>
      <c r="B47" s="101">
        <v>6.93</v>
      </c>
      <c r="C47" s="9">
        <v>0</v>
      </c>
      <c r="D47" s="46">
        <f>'Facility Risk - Meta'!$C47/$C$151</f>
        <v>0</v>
      </c>
    </row>
    <row r="48" spans="1:4" ht="19" x14ac:dyDescent="0.25">
      <c r="A48" s="58" t="s">
        <v>83</v>
      </c>
      <c r="B48" s="102">
        <v>3.35</v>
      </c>
      <c r="C48" s="8">
        <v>0</v>
      </c>
      <c r="D48" s="45">
        <f>'Facility Risk - Meta'!$C48/$C$151</f>
        <v>0</v>
      </c>
    </row>
    <row r="49" spans="1:4" ht="19" x14ac:dyDescent="0.25">
      <c r="A49" s="57" t="s">
        <v>84</v>
      </c>
      <c r="B49" s="103">
        <v>3.65</v>
      </c>
      <c r="C49" s="9">
        <v>0</v>
      </c>
      <c r="D49" s="46">
        <f>'Facility Risk - Meta'!$C49/$C$151</f>
        <v>0</v>
      </c>
    </row>
    <row r="50" spans="1:4" ht="19" x14ac:dyDescent="0.25">
      <c r="A50" s="58" t="s">
        <v>85</v>
      </c>
      <c r="B50" s="104">
        <v>5.78</v>
      </c>
      <c r="C50" s="8">
        <v>0</v>
      </c>
      <c r="D50" s="45">
        <f>'Facility Risk - Meta'!$C50/$C$151</f>
        <v>0</v>
      </c>
    </row>
    <row r="51" spans="1:4" ht="19" x14ac:dyDescent="0.25">
      <c r="A51" s="57" t="s">
        <v>86</v>
      </c>
      <c r="B51" s="105">
        <v>5.38</v>
      </c>
      <c r="C51" s="9">
        <v>0</v>
      </c>
      <c r="D51" s="46">
        <f>'Facility Risk - Meta'!$C51/$C$151</f>
        <v>0</v>
      </c>
    </row>
    <row r="52" spans="1:4" ht="19" x14ac:dyDescent="0.25">
      <c r="A52" s="58" t="s">
        <v>87</v>
      </c>
      <c r="B52" s="106">
        <v>4.93</v>
      </c>
      <c r="C52" s="8">
        <v>0</v>
      </c>
      <c r="D52" s="45">
        <f>'Facility Risk - Meta'!$C52/$C$151</f>
        <v>0</v>
      </c>
    </row>
    <row r="53" spans="1:4" ht="19" x14ac:dyDescent="0.25">
      <c r="A53" s="57" t="s">
        <v>88</v>
      </c>
      <c r="B53" s="68">
        <v>3.42</v>
      </c>
      <c r="C53" s="9">
        <v>0</v>
      </c>
      <c r="D53" s="46">
        <f>'Facility Risk - Meta'!$C53/$C$151</f>
        <v>0</v>
      </c>
    </row>
    <row r="54" spans="1:4" ht="19" x14ac:dyDescent="0.25">
      <c r="A54" s="58" t="s">
        <v>89</v>
      </c>
      <c r="B54" s="107">
        <v>4.63</v>
      </c>
      <c r="C54" s="8">
        <v>0</v>
      </c>
      <c r="D54" s="45">
        <f>'Facility Risk - Meta'!$C54/$C$151</f>
        <v>0</v>
      </c>
    </row>
    <row r="55" spans="1:4" ht="19" x14ac:dyDescent="0.25">
      <c r="A55" s="57" t="s">
        <v>90</v>
      </c>
      <c r="B55" s="77">
        <v>4.34</v>
      </c>
      <c r="C55" s="9">
        <v>0</v>
      </c>
      <c r="D55" s="46">
        <f>'Facility Risk - Meta'!$C55/$C$151</f>
        <v>0</v>
      </c>
    </row>
    <row r="56" spans="1:4" ht="19" x14ac:dyDescent="0.25">
      <c r="A56" s="58" t="s">
        <v>91</v>
      </c>
      <c r="B56" s="71">
        <v>5.45</v>
      </c>
      <c r="C56" s="8">
        <v>0</v>
      </c>
      <c r="D56" s="45">
        <f>'Facility Risk - Meta'!$C56/$C$151</f>
        <v>0</v>
      </c>
    </row>
    <row r="57" spans="1:4" ht="19" x14ac:dyDescent="0.25">
      <c r="A57" s="57" t="s">
        <v>92</v>
      </c>
      <c r="B57" s="108">
        <v>6.36</v>
      </c>
      <c r="C57" s="9">
        <v>0</v>
      </c>
      <c r="D57" s="46">
        <f>'Facility Risk - Meta'!$C57/$C$151</f>
        <v>0</v>
      </c>
    </row>
    <row r="58" spans="1:4" ht="19" x14ac:dyDescent="0.25">
      <c r="A58" s="58" t="s">
        <v>93</v>
      </c>
      <c r="B58" s="109">
        <v>5.94</v>
      </c>
      <c r="C58" s="8">
        <v>0</v>
      </c>
      <c r="D58" s="45">
        <f>'Facility Risk - Meta'!$C58/$C$151</f>
        <v>0</v>
      </c>
    </row>
    <row r="59" spans="1:4" ht="19" x14ac:dyDescent="0.25">
      <c r="A59" s="57" t="s">
        <v>94</v>
      </c>
      <c r="B59" s="110">
        <v>4.92</v>
      </c>
      <c r="C59" s="9">
        <v>0</v>
      </c>
      <c r="D59" s="46">
        <f>'Facility Risk - Meta'!$C59/$C$151</f>
        <v>0</v>
      </c>
    </row>
    <row r="60" spans="1:4" ht="19" x14ac:dyDescent="0.25">
      <c r="A60" s="58" t="s">
        <v>95</v>
      </c>
      <c r="B60" s="111">
        <v>6.53</v>
      </c>
      <c r="C60" s="8">
        <v>0</v>
      </c>
      <c r="D60" s="45">
        <f>'Facility Risk - Meta'!$C60/$C$151</f>
        <v>0</v>
      </c>
    </row>
    <row r="61" spans="1:4" ht="19" x14ac:dyDescent="0.25">
      <c r="A61" s="57" t="s">
        <v>96</v>
      </c>
      <c r="B61" s="112">
        <v>5.77</v>
      </c>
      <c r="C61" s="9">
        <v>0</v>
      </c>
      <c r="D61" s="46">
        <f>'Facility Risk - Meta'!$C61/$C$151</f>
        <v>0</v>
      </c>
    </row>
    <row r="62" spans="1:4" ht="19" x14ac:dyDescent="0.25">
      <c r="A62" s="58" t="s">
        <v>97</v>
      </c>
      <c r="B62" s="113">
        <v>3.63</v>
      </c>
      <c r="C62" s="8">
        <v>0</v>
      </c>
      <c r="D62" s="45">
        <f>'Facility Risk - Meta'!$C62/$C$151</f>
        <v>0</v>
      </c>
    </row>
    <row r="63" spans="1:4" ht="19" x14ac:dyDescent="0.25">
      <c r="A63" s="57" t="s">
        <v>98</v>
      </c>
      <c r="B63" s="114">
        <v>3.38</v>
      </c>
      <c r="C63" s="9">
        <v>0</v>
      </c>
      <c r="D63" s="46">
        <f>'Facility Risk - Meta'!$C63/$C$151</f>
        <v>0</v>
      </c>
    </row>
    <row r="64" spans="1:4" ht="19" x14ac:dyDescent="0.25">
      <c r="A64" s="58" t="s">
        <v>99</v>
      </c>
      <c r="B64" s="115">
        <v>5.07</v>
      </c>
      <c r="C64" s="8">
        <v>0</v>
      </c>
      <c r="D64" s="45">
        <f>'Facility Risk - Meta'!$C64/$C$151</f>
        <v>0</v>
      </c>
    </row>
    <row r="65" spans="1:4" ht="19" x14ac:dyDescent="0.25">
      <c r="A65" s="57" t="s">
        <v>100</v>
      </c>
      <c r="B65" s="106">
        <v>4.92</v>
      </c>
      <c r="C65" s="9">
        <v>0</v>
      </c>
      <c r="D65" s="46">
        <f>'Facility Risk - Meta'!$C65/$C$151</f>
        <v>0</v>
      </c>
    </row>
    <row r="66" spans="1:4" ht="19" x14ac:dyDescent="0.25">
      <c r="A66" s="58" t="s">
        <v>101</v>
      </c>
      <c r="B66" s="116">
        <v>5.88</v>
      </c>
      <c r="C66" s="8">
        <v>0</v>
      </c>
      <c r="D66" s="45">
        <f>'Facility Risk - Meta'!$C66/$C$151</f>
        <v>0</v>
      </c>
    </row>
    <row r="67" spans="1:4" ht="19" x14ac:dyDescent="0.25">
      <c r="A67" s="57" t="s">
        <v>102</v>
      </c>
      <c r="B67" s="117">
        <v>6.05</v>
      </c>
      <c r="C67" s="9">
        <v>0</v>
      </c>
      <c r="D67" s="46">
        <f>'Facility Risk - Meta'!$C67/$C$151</f>
        <v>0</v>
      </c>
    </row>
    <row r="68" spans="1:4" ht="19" x14ac:dyDescent="0.25">
      <c r="A68" s="58" t="s">
        <v>103</v>
      </c>
      <c r="B68" s="118">
        <v>3.25</v>
      </c>
      <c r="C68" s="8">
        <v>0</v>
      </c>
      <c r="D68" s="45">
        <f>'Facility Risk - Meta'!$C68/$C$151</f>
        <v>0</v>
      </c>
    </row>
    <row r="69" spans="1:4" ht="19" x14ac:dyDescent="0.25">
      <c r="A69" s="57" t="s">
        <v>104</v>
      </c>
      <c r="B69" s="119">
        <v>4.6100000000000003</v>
      </c>
      <c r="C69" s="9">
        <v>0</v>
      </c>
      <c r="D69" s="46">
        <f>'Facility Risk - Meta'!$C69/$C$151</f>
        <v>0</v>
      </c>
    </row>
    <row r="70" spans="1:4" ht="19" x14ac:dyDescent="0.25">
      <c r="A70" s="58" t="s">
        <v>105</v>
      </c>
      <c r="B70" s="120">
        <v>3.84</v>
      </c>
      <c r="C70" s="8">
        <v>0</v>
      </c>
      <c r="D70" s="45">
        <f>'Facility Risk - Meta'!$C70/$C$151</f>
        <v>0</v>
      </c>
    </row>
    <row r="71" spans="1:4" ht="19" x14ac:dyDescent="0.25">
      <c r="A71" s="57" t="s">
        <v>106</v>
      </c>
      <c r="B71" s="121">
        <v>4.75</v>
      </c>
      <c r="C71" s="9">
        <v>0</v>
      </c>
      <c r="D71" s="46">
        <f>'Facility Risk - Meta'!$C71/$C$151</f>
        <v>0</v>
      </c>
    </row>
    <row r="72" spans="1:4" ht="19" x14ac:dyDescent="0.25">
      <c r="A72" s="58" t="s">
        <v>107</v>
      </c>
      <c r="B72" s="114">
        <v>3.38</v>
      </c>
      <c r="C72" s="8">
        <v>0</v>
      </c>
      <c r="D72" s="45">
        <f>'Facility Risk - Meta'!$C72/$C$151</f>
        <v>0</v>
      </c>
    </row>
    <row r="73" spans="1:4" ht="19" x14ac:dyDescent="0.25">
      <c r="A73" s="57" t="s">
        <v>108</v>
      </c>
      <c r="B73" s="122">
        <v>5.13</v>
      </c>
      <c r="C73" s="9">
        <v>0</v>
      </c>
      <c r="D73" s="46">
        <f>'Facility Risk - Meta'!$C73/$C$151</f>
        <v>0</v>
      </c>
    </row>
    <row r="74" spans="1:4" ht="19" x14ac:dyDescent="0.25">
      <c r="A74" s="58" t="s">
        <v>109</v>
      </c>
      <c r="B74" s="123">
        <v>4.54</v>
      </c>
      <c r="C74" s="8">
        <v>0</v>
      </c>
      <c r="D74" s="45">
        <f>'Facility Risk - Meta'!$C74/$C$151</f>
        <v>0</v>
      </c>
    </row>
    <row r="75" spans="1:4" ht="19" x14ac:dyDescent="0.25">
      <c r="A75" s="57" t="s">
        <v>110</v>
      </c>
      <c r="B75" s="124">
        <v>6.13</v>
      </c>
      <c r="C75" s="9">
        <v>0</v>
      </c>
      <c r="D75" s="46">
        <f>'Facility Risk - Meta'!$C75/$C$151</f>
        <v>0</v>
      </c>
    </row>
    <row r="76" spans="1:4" ht="19" x14ac:dyDescent="0.25">
      <c r="A76" s="58" t="s">
        <v>111</v>
      </c>
      <c r="B76" s="125">
        <v>4.3</v>
      </c>
      <c r="C76" s="8">
        <v>0</v>
      </c>
      <c r="D76" s="45">
        <f>'Facility Risk - Meta'!$C76/$C$151</f>
        <v>0</v>
      </c>
    </row>
    <row r="77" spans="1:4" ht="19" x14ac:dyDescent="0.25">
      <c r="A77" s="57" t="s">
        <v>112</v>
      </c>
      <c r="B77" s="126">
        <v>5.37</v>
      </c>
      <c r="C77" s="9">
        <v>0</v>
      </c>
      <c r="D77" s="46">
        <f>'Facility Risk - Meta'!$C77/$C$151</f>
        <v>0</v>
      </c>
    </row>
    <row r="78" spans="1:4" ht="19" x14ac:dyDescent="0.25">
      <c r="A78" s="58" t="s">
        <v>113</v>
      </c>
      <c r="B78" s="127">
        <v>5.14</v>
      </c>
      <c r="C78" s="8">
        <v>0</v>
      </c>
      <c r="D78" s="45">
        <f>'Facility Risk - Meta'!$C78/$C$151</f>
        <v>0</v>
      </c>
    </row>
    <row r="79" spans="1:4" ht="19" x14ac:dyDescent="0.25">
      <c r="A79" s="57" t="s">
        <v>114</v>
      </c>
      <c r="B79" s="128">
        <v>3.97</v>
      </c>
      <c r="C79" s="9">
        <v>0</v>
      </c>
      <c r="D79" s="46">
        <f>'Facility Risk - Meta'!$C79/$C$151</f>
        <v>0</v>
      </c>
    </row>
    <row r="80" spans="1:4" ht="19" x14ac:dyDescent="0.25">
      <c r="A80" s="58" t="s">
        <v>115</v>
      </c>
      <c r="B80" s="129">
        <v>6.12</v>
      </c>
      <c r="C80" s="8">
        <v>0</v>
      </c>
      <c r="D80" s="45">
        <f>'Facility Risk - Meta'!$C80/$C$151</f>
        <v>0</v>
      </c>
    </row>
    <row r="81" spans="1:4" ht="19" x14ac:dyDescent="0.25">
      <c r="A81" s="57" t="s">
        <v>116</v>
      </c>
      <c r="B81" s="130">
        <v>5.49</v>
      </c>
      <c r="C81" s="9">
        <v>0</v>
      </c>
      <c r="D81" s="46">
        <f>'Facility Risk - Meta'!$C81/$C$151</f>
        <v>0</v>
      </c>
    </row>
    <row r="82" spans="1:4" ht="19" x14ac:dyDescent="0.25">
      <c r="A82" s="58" t="s">
        <v>117</v>
      </c>
      <c r="B82" s="131">
        <v>5.97</v>
      </c>
      <c r="C82" s="8">
        <v>0</v>
      </c>
      <c r="D82" s="45">
        <f>'Facility Risk - Meta'!$C82/$C$151</f>
        <v>0</v>
      </c>
    </row>
    <row r="83" spans="1:4" ht="19" x14ac:dyDescent="0.25">
      <c r="A83" s="57" t="s">
        <v>118</v>
      </c>
      <c r="B83" s="132">
        <v>5.68</v>
      </c>
      <c r="C83" s="9">
        <v>0</v>
      </c>
      <c r="D83" s="46">
        <f>'Facility Risk - Meta'!$C83/$C$151</f>
        <v>0</v>
      </c>
    </row>
    <row r="84" spans="1:4" ht="19" x14ac:dyDescent="0.25">
      <c r="A84" s="58" t="s">
        <v>119</v>
      </c>
      <c r="B84" s="133">
        <v>3.93</v>
      </c>
      <c r="C84" s="8">
        <v>0</v>
      </c>
      <c r="D84" s="45">
        <f>'Facility Risk - Meta'!$C84/$C$151</f>
        <v>0</v>
      </c>
    </row>
    <row r="85" spans="1:4" ht="19" x14ac:dyDescent="0.25">
      <c r="A85" s="57" t="s">
        <v>120</v>
      </c>
      <c r="B85" s="134">
        <v>5.82</v>
      </c>
      <c r="C85" s="9">
        <v>0</v>
      </c>
      <c r="D85" s="46">
        <f>'Facility Risk - Meta'!$C85/$C$151</f>
        <v>0</v>
      </c>
    </row>
    <row r="86" spans="1:4" ht="19" x14ac:dyDescent="0.25">
      <c r="A86" s="58" t="s">
        <v>121</v>
      </c>
      <c r="B86" s="135">
        <v>5.58</v>
      </c>
      <c r="C86" s="8">
        <v>0</v>
      </c>
      <c r="D86" s="45">
        <f>'Facility Risk - Meta'!$C86/$C$151</f>
        <v>0</v>
      </c>
    </row>
    <row r="87" spans="1:4" ht="19" x14ac:dyDescent="0.25">
      <c r="A87" s="57" t="s">
        <v>122</v>
      </c>
      <c r="B87" s="136">
        <v>4.03</v>
      </c>
      <c r="C87" s="9">
        <v>0</v>
      </c>
      <c r="D87" s="46">
        <f>'Facility Risk - Meta'!$C87/$C$151</f>
        <v>0</v>
      </c>
    </row>
    <row r="88" spans="1:4" ht="19" x14ac:dyDescent="0.25">
      <c r="A88" s="58" t="s">
        <v>123</v>
      </c>
      <c r="B88" s="137">
        <v>7.1</v>
      </c>
      <c r="C88" s="8">
        <v>0</v>
      </c>
      <c r="D88" s="45">
        <f>'Facility Risk - Meta'!$C88/$C$151</f>
        <v>0</v>
      </c>
    </row>
    <row r="89" spans="1:4" ht="19" x14ac:dyDescent="0.25">
      <c r="A89" s="57" t="s">
        <v>124</v>
      </c>
      <c r="B89" s="138">
        <v>6.28</v>
      </c>
      <c r="C89" s="9">
        <v>0</v>
      </c>
      <c r="D89" s="46">
        <f>'Facility Risk - Meta'!$C89/$C$151</f>
        <v>0</v>
      </c>
    </row>
    <row r="90" spans="1:4" ht="19" x14ac:dyDescent="0.25">
      <c r="A90" s="58" t="s">
        <v>125</v>
      </c>
      <c r="B90" s="139">
        <v>3.47</v>
      </c>
      <c r="C90" s="8">
        <v>0</v>
      </c>
      <c r="D90" s="45">
        <f>'Facility Risk - Meta'!$C90/$C$151</f>
        <v>0</v>
      </c>
    </row>
    <row r="91" spans="1:4" ht="19" x14ac:dyDescent="0.25">
      <c r="A91" s="57" t="s">
        <v>126</v>
      </c>
      <c r="B91" s="140">
        <v>5.42</v>
      </c>
      <c r="C91" s="9">
        <v>0</v>
      </c>
      <c r="D91" s="46">
        <f>'Facility Risk - Meta'!$C91/$C$151</f>
        <v>0</v>
      </c>
    </row>
    <row r="92" spans="1:4" ht="19" x14ac:dyDescent="0.25">
      <c r="A92" s="58" t="s">
        <v>127</v>
      </c>
      <c r="B92" s="127">
        <v>5.14</v>
      </c>
      <c r="C92" s="8">
        <v>0</v>
      </c>
      <c r="D92" s="45">
        <f>'Facility Risk - Meta'!$C92/$C$151</f>
        <v>0</v>
      </c>
    </row>
    <row r="93" spans="1:4" ht="19" x14ac:dyDescent="0.25">
      <c r="A93" s="57" t="s">
        <v>128</v>
      </c>
      <c r="B93" s="141">
        <v>4.6500000000000004</v>
      </c>
      <c r="C93" s="9">
        <v>0</v>
      </c>
      <c r="D93" s="46">
        <f>'Facility Risk - Meta'!$C93/$C$151</f>
        <v>0</v>
      </c>
    </row>
    <row r="94" spans="1:4" ht="19" x14ac:dyDescent="0.25">
      <c r="A94" s="58" t="s">
        <v>129</v>
      </c>
      <c r="B94" s="142">
        <v>5.0999999999999996</v>
      </c>
      <c r="C94" s="8">
        <v>0</v>
      </c>
      <c r="D94" s="45">
        <f>'Facility Risk - Meta'!$C94/$C$151</f>
        <v>0</v>
      </c>
    </row>
    <row r="95" spans="1:4" ht="19" x14ac:dyDescent="0.25">
      <c r="A95" s="57" t="s">
        <v>130</v>
      </c>
      <c r="B95" s="70">
        <v>6.3</v>
      </c>
      <c r="C95" s="9">
        <v>0</v>
      </c>
      <c r="D95" s="46">
        <f>'Facility Risk - Meta'!$C95/$C$151</f>
        <v>0</v>
      </c>
    </row>
    <row r="96" spans="1:4" ht="19" x14ac:dyDescent="0.25">
      <c r="A96" s="58" t="s">
        <v>131</v>
      </c>
      <c r="B96" s="143">
        <v>4.6399999999999997</v>
      </c>
      <c r="C96" s="8">
        <v>0</v>
      </c>
      <c r="D96" s="45">
        <f>'Facility Risk - Meta'!$C96/$C$151</f>
        <v>0</v>
      </c>
    </row>
    <row r="97" spans="1:4" ht="19" x14ac:dyDescent="0.25">
      <c r="A97" s="57" t="s">
        <v>132</v>
      </c>
      <c r="B97" s="104">
        <v>5.78</v>
      </c>
      <c r="C97" s="9">
        <v>0</v>
      </c>
      <c r="D97" s="46">
        <f>'Facility Risk - Meta'!$C97/$C$151</f>
        <v>0</v>
      </c>
    </row>
    <row r="98" spans="1:4" ht="19" x14ac:dyDescent="0.25">
      <c r="A98" s="58" t="s">
        <v>133</v>
      </c>
      <c r="B98" s="144">
        <v>3.59</v>
      </c>
      <c r="C98" s="8">
        <v>0</v>
      </c>
      <c r="D98" s="45">
        <f>'Facility Risk - Meta'!$C98/$C$151</f>
        <v>0</v>
      </c>
    </row>
    <row r="99" spans="1:4" ht="19" x14ac:dyDescent="0.25">
      <c r="A99" s="57" t="s">
        <v>134</v>
      </c>
      <c r="B99" s="145">
        <v>3.32</v>
      </c>
      <c r="C99" s="9">
        <v>0</v>
      </c>
      <c r="D99" s="46">
        <f>'Facility Risk - Meta'!$C99/$C$151</f>
        <v>0</v>
      </c>
    </row>
    <row r="100" spans="1:4" ht="19" x14ac:dyDescent="0.25">
      <c r="A100" s="58" t="s">
        <v>135</v>
      </c>
      <c r="B100" s="146">
        <v>5.8</v>
      </c>
      <c r="C100" s="8">
        <v>0</v>
      </c>
      <c r="D100" s="45">
        <f>'Facility Risk - Meta'!$C100/$C$151</f>
        <v>0</v>
      </c>
    </row>
    <row r="101" spans="1:4" ht="19" x14ac:dyDescent="0.25">
      <c r="A101" s="57" t="s">
        <v>136</v>
      </c>
      <c r="B101" s="147">
        <v>7.07</v>
      </c>
      <c r="C101" s="9">
        <v>0</v>
      </c>
      <c r="D101" s="46">
        <f>'Facility Risk - Meta'!$C101/$C$151</f>
        <v>0</v>
      </c>
    </row>
    <row r="102" spans="1:4" ht="19" x14ac:dyDescent="0.25">
      <c r="A102" s="58" t="s">
        <v>137</v>
      </c>
      <c r="B102" s="148">
        <v>6.5</v>
      </c>
      <c r="C102" s="8">
        <v>0</v>
      </c>
      <c r="D102" s="45">
        <f>'Facility Risk - Meta'!$C102/$C$151</f>
        <v>0</v>
      </c>
    </row>
    <row r="103" spans="1:4" ht="19" x14ac:dyDescent="0.25">
      <c r="A103" s="57" t="s">
        <v>138</v>
      </c>
      <c r="B103" s="149">
        <v>4.16</v>
      </c>
      <c r="C103" s="9">
        <v>0</v>
      </c>
      <c r="D103" s="46">
        <f>'Facility Risk - Meta'!$C103/$C$151</f>
        <v>0</v>
      </c>
    </row>
    <row r="104" spans="1:4" ht="19" x14ac:dyDescent="0.25">
      <c r="A104" s="58" t="s">
        <v>139</v>
      </c>
      <c r="B104" s="114">
        <v>3.38</v>
      </c>
      <c r="C104" s="8">
        <v>0</v>
      </c>
      <c r="D104" s="45">
        <f>'Facility Risk - Meta'!$C104/$C$151</f>
        <v>0</v>
      </c>
    </row>
    <row r="105" spans="1:4" ht="19" x14ac:dyDescent="0.25">
      <c r="A105" s="57" t="s">
        <v>140</v>
      </c>
      <c r="B105" s="150">
        <v>4.0199999999999996</v>
      </c>
      <c r="C105" s="9">
        <v>0</v>
      </c>
      <c r="D105" s="46">
        <f>'Facility Risk - Meta'!$C105/$C$151</f>
        <v>0</v>
      </c>
    </row>
    <row r="106" spans="1:4" ht="19" x14ac:dyDescent="0.25">
      <c r="A106" s="58" t="s">
        <v>141</v>
      </c>
      <c r="B106" s="151">
        <v>6.65</v>
      </c>
      <c r="C106" s="8">
        <v>0</v>
      </c>
      <c r="D106" s="45">
        <f>'Facility Risk - Meta'!$C106/$C$151</f>
        <v>0</v>
      </c>
    </row>
    <row r="107" spans="1:4" ht="19" x14ac:dyDescent="0.25">
      <c r="A107" s="57" t="s">
        <v>142</v>
      </c>
      <c r="B107" s="152">
        <v>4.5599999999999996</v>
      </c>
      <c r="C107" s="9">
        <v>0</v>
      </c>
      <c r="D107" s="46">
        <f>'Facility Risk - Meta'!$C107/$C$151</f>
        <v>0</v>
      </c>
    </row>
    <row r="108" spans="1:4" ht="19" x14ac:dyDescent="0.25">
      <c r="A108" s="58" t="s">
        <v>143</v>
      </c>
      <c r="B108" s="76">
        <v>5.34</v>
      </c>
      <c r="C108" s="8">
        <v>0</v>
      </c>
      <c r="D108" s="45">
        <f>'Facility Risk - Meta'!$C108/$C$151</f>
        <v>0</v>
      </c>
    </row>
    <row r="109" spans="1:4" ht="19" x14ac:dyDescent="0.25">
      <c r="A109" s="57" t="s">
        <v>144</v>
      </c>
      <c r="B109" s="153">
        <v>4.72</v>
      </c>
      <c r="C109" s="9">
        <v>0</v>
      </c>
      <c r="D109" s="46">
        <f>'Facility Risk - Meta'!$C109/$C$151</f>
        <v>0</v>
      </c>
    </row>
    <row r="110" spans="1:4" ht="19" x14ac:dyDescent="0.25">
      <c r="A110" s="58" t="s">
        <v>145</v>
      </c>
      <c r="B110" s="154">
        <v>5.28</v>
      </c>
      <c r="C110" s="8">
        <v>0</v>
      </c>
      <c r="D110" s="45">
        <f>'Facility Risk - Meta'!$C110/$C$151</f>
        <v>0</v>
      </c>
    </row>
    <row r="111" spans="1:4" ht="19" x14ac:dyDescent="0.25">
      <c r="A111" s="57" t="s">
        <v>146</v>
      </c>
      <c r="B111" s="146">
        <v>5.8</v>
      </c>
      <c r="C111" s="9">
        <v>0</v>
      </c>
      <c r="D111" s="46">
        <f>'Facility Risk - Meta'!$C111/$C$151</f>
        <v>0</v>
      </c>
    </row>
    <row r="112" spans="1:4" ht="19" x14ac:dyDescent="0.25">
      <c r="A112" s="58" t="s">
        <v>147</v>
      </c>
      <c r="B112" s="155">
        <v>4.1500000000000004</v>
      </c>
      <c r="C112" s="8">
        <v>0</v>
      </c>
      <c r="D112" s="45">
        <f>'Facility Risk - Meta'!$C112/$C$151</f>
        <v>0</v>
      </c>
    </row>
    <row r="113" spans="1:4" ht="19" x14ac:dyDescent="0.25">
      <c r="A113" s="57" t="s">
        <v>148</v>
      </c>
      <c r="B113" s="156">
        <v>3.43</v>
      </c>
      <c r="C113" s="9">
        <v>0</v>
      </c>
      <c r="D113" s="46">
        <f>'Facility Risk - Meta'!$C113/$C$151</f>
        <v>0</v>
      </c>
    </row>
    <row r="114" spans="1:4" ht="19" x14ac:dyDescent="0.25">
      <c r="A114" s="58" t="s">
        <v>149</v>
      </c>
      <c r="B114" s="93">
        <v>3.2</v>
      </c>
      <c r="C114" s="8">
        <v>0</v>
      </c>
      <c r="D114" s="45">
        <f>'Facility Risk - Meta'!$C114/$C$151</f>
        <v>0</v>
      </c>
    </row>
    <row r="115" spans="1:4" ht="19" x14ac:dyDescent="0.25">
      <c r="A115" s="57" t="s">
        <v>150</v>
      </c>
      <c r="B115" s="157">
        <v>4.05</v>
      </c>
      <c r="C115" s="9">
        <v>0</v>
      </c>
      <c r="D115" s="46">
        <f>'Facility Risk - Meta'!$C115/$C$151</f>
        <v>0</v>
      </c>
    </row>
    <row r="116" spans="1:4" ht="19" x14ac:dyDescent="0.25">
      <c r="A116" s="58" t="s">
        <v>151</v>
      </c>
      <c r="B116" s="158">
        <v>5.96</v>
      </c>
      <c r="C116" s="8">
        <v>0</v>
      </c>
      <c r="D116" s="45">
        <f>'Facility Risk - Meta'!$C116/$C$151</f>
        <v>0</v>
      </c>
    </row>
    <row r="117" spans="1:4" ht="19" x14ac:dyDescent="0.25">
      <c r="A117" s="57" t="s">
        <v>152</v>
      </c>
      <c r="B117" s="159">
        <v>5.47</v>
      </c>
      <c r="C117" s="9">
        <v>0</v>
      </c>
      <c r="D117" s="46">
        <f>'Facility Risk - Meta'!$C117/$C$151</f>
        <v>0</v>
      </c>
    </row>
    <row r="118" spans="1:4" ht="19" x14ac:dyDescent="0.25">
      <c r="A118" s="58" t="s">
        <v>153</v>
      </c>
      <c r="B118" s="79">
        <v>4.42</v>
      </c>
      <c r="C118" s="8">
        <v>0</v>
      </c>
      <c r="D118" s="45">
        <f>'Facility Risk - Meta'!$C118/$C$151</f>
        <v>0</v>
      </c>
    </row>
    <row r="119" spans="1:4" ht="19" x14ac:dyDescent="0.25">
      <c r="A119" s="57" t="s">
        <v>154</v>
      </c>
      <c r="B119" s="160">
        <v>5.4</v>
      </c>
      <c r="C119" s="9">
        <v>0</v>
      </c>
      <c r="D119" s="46">
        <f>'Facility Risk - Meta'!$C119/$C$151</f>
        <v>0</v>
      </c>
    </row>
    <row r="120" spans="1:4" ht="19" x14ac:dyDescent="0.25">
      <c r="A120" s="58" t="s">
        <v>155</v>
      </c>
      <c r="B120" s="161">
        <v>5.04</v>
      </c>
      <c r="C120" s="8">
        <v>0</v>
      </c>
      <c r="D120" s="45">
        <f>'Facility Risk - Meta'!$C120/$C$151</f>
        <v>0</v>
      </c>
    </row>
    <row r="121" spans="1:4" ht="19" x14ac:dyDescent="0.25">
      <c r="A121" s="57" t="s">
        <v>156</v>
      </c>
      <c r="B121" s="162">
        <v>5.64</v>
      </c>
      <c r="C121" s="9">
        <v>0</v>
      </c>
      <c r="D121" s="46">
        <f>'Facility Risk - Meta'!$C121/$C$151</f>
        <v>0</v>
      </c>
    </row>
    <row r="122" spans="1:4" ht="19" x14ac:dyDescent="0.25">
      <c r="A122" s="58" t="s">
        <v>157</v>
      </c>
      <c r="B122" s="163">
        <v>3.04</v>
      </c>
      <c r="C122" s="8">
        <v>0</v>
      </c>
      <c r="D122" s="45">
        <f>'Facility Risk - Meta'!$C122/$C$151</f>
        <v>0</v>
      </c>
    </row>
    <row r="123" spans="1:4" ht="19" x14ac:dyDescent="0.25">
      <c r="A123" s="57" t="s">
        <v>158</v>
      </c>
      <c r="B123" s="164">
        <v>3.79</v>
      </c>
      <c r="C123" s="9">
        <v>0</v>
      </c>
      <c r="D123" s="46">
        <f>'Facility Risk - Meta'!$C123/$C$151</f>
        <v>0</v>
      </c>
    </row>
    <row r="124" spans="1:4" ht="19" x14ac:dyDescent="0.25">
      <c r="A124" s="58" t="s">
        <v>159</v>
      </c>
      <c r="B124" s="165">
        <v>3.48</v>
      </c>
      <c r="C124" s="8">
        <v>0</v>
      </c>
      <c r="D124" s="45">
        <f>'Facility Risk - Meta'!$C124/$C$151</f>
        <v>0</v>
      </c>
    </row>
    <row r="125" spans="1:4" ht="19" x14ac:dyDescent="0.25">
      <c r="A125" s="57" t="s">
        <v>160</v>
      </c>
      <c r="B125" s="166">
        <v>5.22</v>
      </c>
      <c r="C125" s="9">
        <v>0</v>
      </c>
      <c r="D125" s="46">
        <f>'Facility Risk - Meta'!$C125/$C$151</f>
        <v>0</v>
      </c>
    </row>
    <row r="126" spans="1:4" ht="19" x14ac:dyDescent="0.25">
      <c r="A126" s="58" t="s">
        <v>161</v>
      </c>
      <c r="B126" s="167">
        <v>3.57</v>
      </c>
      <c r="C126" s="8">
        <v>0</v>
      </c>
      <c r="D126" s="45">
        <f>'Facility Risk - Meta'!$C126/$C$151</f>
        <v>0</v>
      </c>
    </row>
    <row r="127" spans="1:4" ht="19" x14ac:dyDescent="0.25">
      <c r="A127" s="57" t="s">
        <v>162</v>
      </c>
      <c r="B127" s="168">
        <v>3.7</v>
      </c>
      <c r="C127" s="9">
        <v>0</v>
      </c>
      <c r="D127" s="46">
        <f>'Facility Risk - Meta'!$C127/$C$151</f>
        <v>0</v>
      </c>
    </row>
    <row r="128" spans="1:4" ht="19" x14ac:dyDescent="0.25">
      <c r="A128" s="58" t="s">
        <v>163</v>
      </c>
      <c r="B128" s="169">
        <v>5.1100000000000003</v>
      </c>
      <c r="C128" s="8">
        <v>0</v>
      </c>
      <c r="D128" s="45">
        <f>'Facility Risk - Meta'!$C128/$C$151</f>
        <v>0</v>
      </c>
    </row>
    <row r="129" spans="1:4" ht="19" x14ac:dyDescent="0.25">
      <c r="A129" s="57" t="s">
        <v>164</v>
      </c>
      <c r="B129" s="137">
        <v>7.1</v>
      </c>
      <c r="C129" s="9">
        <v>0</v>
      </c>
      <c r="D129" s="46">
        <f>'Facility Risk - Meta'!$C129/$C$151</f>
        <v>0</v>
      </c>
    </row>
    <row r="130" spans="1:4" ht="19" x14ac:dyDescent="0.25">
      <c r="A130" s="58" t="s">
        <v>165</v>
      </c>
      <c r="B130" s="170">
        <v>3.52</v>
      </c>
      <c r="C130" s="8">
        <v>0</v>
      </c>
      <c r="D130" s="45">
        <f>'Facility Risk - Meta'!$C130/$C$151</f>
        <v>0</v>
      </c>
    </row>
    <row r="131" spans="1:4" ht="19" x14ac:dyDescent="0.25">
      <c r="A131" s="57" t="s">
        <v>166</v>
      </c>
      <c r="B131" s="171">
        <v>2.78</v>
      </c>
      <c r="C131" s="9">
        <v>0</v>
      </c>
      <c r="D131" s="46">
        <f>'Facility Risk - Meta'!$C131/$C$151</f>
        <v>0</v>
      </c>
    </row>
    <row r="132" spans="1:4" ht="19" x14ac:dyDescent="0.25">
      <c r="A132" s="59" t="s">
        <v>167</v>
      </c>
      <c r="B132" s="172">
        <v>7.33</v>
      </c>
      <c r="C132" s="8">
        <v>0</v>
      </c>
      <c r="D132" s="45">
        <f>'Facility Risk - Meta'!$C132/$C$151</f>
        <v>0</v>
      </c>
    </row>
    <row r="133" spans="1:4" ht="19" x14ac:dyDescent="0.25">
      <c r="A133" s="57" t="s">
        <v>168</v>
      </c>
      <c r="B133" s="173">
        <v>5.69</v>
      </c>
      <c r="C133" s="9">
        <v>0</v>
      </c>
      <c r="D133" s="46">
        <f>'Facility Risk - Meta'!$C133/$C$151</f>
        <v>0</v>
      </c>
    </row>
    <row r="134" spans="1:4" ht="19" x14ac:dyDescent="0.25">
      <c r="A134" s="58" t="s">
        <v>169</v>
      </c>
      <c r="B134" s="63">
        <v>5.21</v>
      </c>
      <c r="C134" s="8">
        <v>0</v>
      </c>
      <c r="D134" s="45">
        <f>'Facility Risk - Meta'!$C134/$C$151</f>
        <v>0</v>
      </c>
    </row>
    <row r="135" spans="1:4" ht="19" x14ac:dyDescent="0.25">
      <c r="A135" s="57" t="s">
        <v>170</v>
      </c>
      <c r="B135" s="174">
        <v>5.15</v>
      </c>
      <c r="C135" s="9">
        <v>0</v>
      </c>
      <c r="D135" s="46">
        <f>'Facility Risk - Meta'!$C135/$C$151</f>
        <v>0</v>
      </c>
    </row>
    <row r="136" spans="1:4" ht="19" x14ac:dyDescent="0.25">
      <c r="A136" s="58" t="s">
        <v>171</v>
      </c>
      <c r="B136" s="175">
        <v>5.87</v>
      </c>
      <c r="C136" s="8">
        <v>0</v>
      </c>
      <c r="D136" s="45">
        <f>'Facility Risk - Meta'!$C136/$C$151</f>
        <v>0</v>
      </c>
    </row>
    <row r="137" spans="1:4" ht="19" x14ac:dyDescent="0.25">
      <c r="A137" s="57" t="s">
        <v>172</v>
      </c>
      <c r="B137" s="176">
        <v>4.38</v>
      </c>
      <c r="C137" s="9">
        <v>0</v>
      </c>
      <c r="D137" s="46">
        <f>'Facility Risk - Meta'!$C137/$C$151</f>
        <v>0</v>
      </c>
    </row>
    <row r="138" spans="1:4" ht="19" x14ac:dyDescent="0.25">
      <c r="A138" s="58" t="s">
        <v>173</v>
      </c>
      <c r="B138" s="177">
        <v>5.13</v>
      </c>
      <c r="C138" s="8">
        <v>0</v>
      </c>
      <c r="D138" s="45">
        <f>'Facility Risk - Meta'!$C138/$C$151</f>
        <v>0</v>
      </c>
    </row>
    <row r="139" spans="1:4" ht="19" x14ac:dyDescent="0.25">
      <c r="A139" s="57" t="s">
        <v>174</v>
      </c>
      <c r="B139" s="178">
        <v>5.26</v>
      </c>
      <c r="C139" s="9">
        <v>0</v>
      </c>
      <c r="D139" s="46">
        <f>'Facility Risk - Meta'!$C139/$C$151</f>
        <v>0</v>
      </c>
    </row>
    <row r="140" spans="1:4" ht="19" x14ac:dyDescent="0.25">
      <c r="A140" s="58" t="s">
        <v>175</v>
      </c>
      <c r="B140" s="179">
        <v>6.29</v>
      </c>
      <c r="C140" s="8">
        <v>0</v>
      </c>
      <c r="D140" s="45">
        <f>'Facility Risk - Meta'!$C140/$C$151</f>
        <v>0</v>
      </c>
    </row>
    <row r="141" spans="1:4" ht="19" x14ac:dyDescent="0.25">
      <c r="A141" s="57" t="s">
        <v>176</v>
      </c>
      <c r="B141" s="180">
        <v>6.35</v>
      </c>
      <c r="C141" s="9">
        <v>0</v>
      </c>
      <c r="D141" s="46">
        <f>'Facility Risk - Meta'!$C141/$C$151</f>
        <v>0</v>
      </c>
    </row>
    <row r="142" spans="1:4" ht="19" x14ac:dyDescent="0.25">
      <c r="A142" s="58" t="s">
        <v>177</v>
      </c>
      <c r="B142" s="181">
        <v>3.72</v>
      </c>
      <c r="C142" s="8">
        <v>0</v>
      </c>
      <c r="D142" s="45">
        <f>'Facility Risk - Meta'!$C142/$C$151</f>
        <v>0</v>
      </c>
    </row>
    <row r="143" spans="1:4" ht="19" x14ac:dyDescent="0.25">
      <c r="A143" s="57" t="s">
        <v>178</v>
      </c>
      <c r="B143" s="145">
        <v>3.32</v>
      </c>
      <c r="C143" s="9">
        <v>1</v>
      </c>
      <c r="D143" s="46">
        <f>'Facility Risk - Meta'!$C143/$C$151</f>
        <v>1</v>
      </c>
    </row>
    <row r="144" spans="1:4" ht="19" x14ac:dyDescent="0.25">
      <c r="A144" s="58" t="s">
        <v>179</v>
      </c>
      <c r="B144" s="182">
        <v>4.1900000000000004</v>
      </c>
      <c r="C144" s="8">
        <v>0</v>
      </c>
      <c r="D144" s="45">
        <f>'Facility Risk - Meta'!$C144/$C$151</f>
        <v>0</v>
      </c>
    </row>
    <row r="145" spans="1:4" ht="19" x14ac:dyDescent="0.25">
      <c r="A145" s="57" t="s">
        <v>180</v>
      </c>
      <c r="B145" s="183">
        <v>3.91</v>
      </c>
      <c r="C145" s="9">
        <v>0</v>
      </c>
      <c r="D145" s="46">
        <f>'Facility Risk - Meta'!$C145/$C$151</f>
        <v>0</v>
      </c>
    </row>
    <row r="146" spans="1:4" ht="19" x14ac:dyDescent="0.25">
      <c r="A146" s="58" t="s">
        <v>181</v>
      </c>
      <c r="B146" s="112">
        <v>5.77</v>
      </c>
      <c r="C146" s="8">
        <v>0</v>
      </c>
      <c r="D146" s="45">
        <f>'Facility Risk - Meta'!$C146/$C$151</f>
        <v>0</v>
      </c>
    </row>
    <row r="147" spans="1:4" ht="19" x14ac:dyDescent="0.25">
      <c r="A147" s="57" t="s">
        <v>182</v>
      </c>
      <c r="B147" s="184">
        <v>4.32</v>
      </c>
      <c r="C147" s="9">
        <v>0</v>
      </c>
      <c r="D147" s="46">
        <f>'Facility Risk - Meta'!$C147/$C$151</f>
        <v>0</v>
      </c>
    </row>
    <row r="148" spans="1:4" ht="19" x14ac:dyDescent="0.25">
      <c r="A148" s="58" t="s">
        <v>183</v>
      </c>
      <c r="B148" s="70">
        <v>6.3</v>
      </c>
      <c r="C148" s="8">
        <v>0</v>
      </c>
      <c r="D148" s="45">
        <f>'Facility Risk - Meta'!$C148/$C$151</f>
        <v>0</v>
      </c>
    </row>
    <row r="149" spans="1:4" ht="19" x14ac:dyDescent="0.25">
      <c r="A149" s="57" t="s">
        <v>184</v>
      </c>
      <c r="B149" s="185">
        <v>4.95</v>
      </c>
      <c r="C149" s="9">
        <v>0</v>
      </c>
      <c r="D149" s="46">
        <f>'Facility Risk - Meta'!$C149/$C$151</f>
        <v>0</v>
      </c>
    </row>
    <row r="150" spans="1:4" ht="19" x14ac:dyDescent="0.25">
      <c r="A150" s="60" t="s">
        <v>185</v>
      </c>
      <c r="B150" s="186">
        <v>6.14</v>
      </c>
      <c r="C150" s="10">
        <v>0</v>
      </c>
      <c r="D150" s="47">
        <f>'Facility Risk - Meta'!$C150/$C$151</f>
        <v>0</v>
      </c>
    </row>
    <row r="151" spans="1:4" ht="19" x14ac:dyDescent="0.25">
      <c r="A151" s="61" t="s">
        <v>186</v>
      </c>
      <c r="B151" s="5"/>
      <c r="C151" s="6">
        <f>SUM(C4:C150)</f>
        <v>1</v>
      </c>
      <c r="D151" s="48">
        <f>SUM(D4:D150)</f>
        <v>1</v>
      </c>
    </row>
  </sheetData>
  <mergeCells count="1">
    <mergeCell ref="A1:D2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B87E-CD2B-564E-A739-AEFCFB93639D}">
  <dimension ref="A1:J151"/>
  <sheetViews>
    <sheetView topLeftCell="A117" workbookViewId="0">
      <selection activeCell="B133" sqref="B133"/>
    </sheetView>
  </sheetViews>
  <sheetFormatPr baseColWidth="10" defaultColWidth="11" defaultRowHeight="16" x14ac:dyDescent="0.2"/>
  <cols>
    <col min="1" max="1" width="23" bestFit="1" customWidth="1"/>
    <col min="2" max="2" width="32" bestFit="1" customWidth="1"/>
    <col min="3" max="3" width="33.6640625" bestFit="1" customWidth="1"/>
    <col min="4" max="4" width="42.6640625" bestFit="1" customWidth="1"/>
    <col min="5" max="5" width="16" bestFit="1" customWidth="1"/>
    <col min="7" max="7" width="29.33203125" bestFit="1" customWidth="1"/>
    <col min="8" max="8" width="8.5" bestFit="1" customWidth="1"/>
    <col min="9" max="9" width="22.5" bestFit="1" customWidth="1"/>
    <col min="10" max="10" width="12.33203125" bestFit="1" customWidth="1"/>
  </cols>
  <sheetData>
    <row r="1" spans="1:10" ht="17" customHeight="1" x14ac:dyDescent="0.2">
      <c r="A1" s="188" t="s">
        <v>4</v>
      </c>
      <c r="B1" s="189"/>
      <c r="C1" s="189"/>
      <c r="D1" s="189"/>
    </row>
    <row r="2" spans="1:10" ht="17" customHeight="1" thickBot="1" x14ac:dyDescent="0.25">
      <c r="A2" s="190"/>
      <c r="B2" s="191"/>
      <c r="C2" s="191"/>
      <c r="D2" s="191"/>
    </row>
    <row r="3" spans="1:10" ht="20" thickTop="1" x14ac:dyDescent="0.25">
      <c r="A3" s="12" t="s">
        <v>27</v>
      </c>
      <c r="B3" s="13" t="s">
        <v>28</v>
      </c>
      <c r="C3" s="14" t="s">
        <v>29</v>
      </c>
      <c r="D3" s="7" t="s">
        <v>30</v>
      </c>
    </row>
    <row r="4" spans="1:10" ht="20" thickBot="1" x14ac:dyDescent="0.3">
      <c r="A4" s="56" t="s">
        <v>31</v>
      </c>
      <c r="B4" s="62">
        <v>4.37</v>
      </c>
      <c r="C4" s="15">
        <v>0</v>
      </c>
      <c r="D4" s="45">
        <f>'Facility Risk - Microsoft'!$C4/$C$151</f>
        <v>0</v>
      </c>
    </row>
    <row r="5" spans="1:10" ht="20" thickBot="1" x14ac:dyDescent="0.3">
      <c r="A5" s="57" t="s">
        <v>32</v>
      </c>
      <c r="B5" s="63">
        <v>5.21</v>
      </c>
      <c r="C5" s="9">
        <v>0</v>
      </c>
      <c r="D5" s="46">
        <f>'Facility Risk - Microsoft'!$C5/$C$151</f>
        <v>0</v>
      </c>
      <c r="G5" s="32" t="s">
        <v>33</v>
      </c>
      <c r="H5" s="33"/>
      <c r="I5" s="33"/>
      <c r="J5" s="34"/>
    </row>
    <row r="6" spans="1:10" ht="20" thickBot="1" x14ac:dyDescent="0.3">
      <c r="A6" s="58" t="s">
        <v>34</v>
      </c>
      <c r="B6" s="64">
        <v>5.63</v>
      </c>
      <c r="C6" s="8">
        <v>0</v>
      </c>
      <c r="D6" s="45">
        <f>'Facility Risk - Microsoft'!$C6/$C$151</f>
        <v>0</v>
      </c>
      <c r="G6" s="20"/>
      <c r="H6" s="21" t="s">
        <v>35</v>
      </c>
      <c r="I6" s="22" t="s">
        <v>36</v>
      </c>
      <c r="J6" s="23" t="s">
        <v>37</v>
      </c>
    </row>
    <row r="7" spans="1:10" ht="19" x14ac:dyDescent="0.25">
      <c r="A7" s="57" t="s">
        <v>38</v>
      </c>
      <c r="B7" s="65">
        <v>4.3600000000000003</v>
      </c>
      <c r="C7" s="9">
        <v>0</v>
      </c>
      <c r="D7" s="46">
        <f>'Facility Risk - Microsoft'!$C7/$C$151</f>
        <v>0</v>
      </c>
      <c r="G7" s="24" t="s">
        <v>39</v>
      </c>
      <c r="H7" s="25" t="str">
        <f>INDEX(A4:A150,MATCH(MIN(D4:D150),D4:D150,0))</f>
        <v>Albania</v>
      </c>
      <c r="I7" s="25">
        <f>INDEX(B4:B150,MATCH(MIN(D4:D150),D4:D150,0))</f>
        <v>4.37</v>
      </c>
      <c r="J7" s="26">
        <f>INDEX(D4:D150,MATCH(MIN(D4:D150),D4:D150,0))</f>
        <v>0</v>
      </c>
    </row>
    <row r="8" spans="1:10" ht="20" thickBot="1" x14ac:dyDescent="0.3">
      <c r="A8" s="58" t="s">
        <v>40</v>
      </c>
      <c r="B8" s="66">
        <v>4.79</v>
      </c>
      <c r="C8" s="8">
        <v>0</v>
      </c>
      <c r="D8" s="45">
        <f>'Facility Risk - Microsoft'!$C8/$C$151</f>
        <v>0</v>
      </c>
      <c r="G8" s="27" t="s">
        <v>41</v>
      </c>
      <c r="H8" s="28" t="str">
        <f>INDEX(A4:A150,MATCH(MAX(D4:D150),D4:D150,0))</f>
        <v>China</v>
      </c>
      <c r="I8" s="28">
        <f>INDEX(B4:B150,MATCH(MAX(D4:D150),D4:D150,0))</f>
        <v>4.26</v>
      </c>
      <c r="J8" s="31">
        <f>INDEX(D4:D150,MATCH(MAX(D4:D150),D4:D150,0))</f>
        <v>0.40000000000000008</v>
      </c>
    </row>
    <row r="9" spans="1:10" ht="23" thickBot="1" x14ac:dyDescent="0.35">
      <c r="A9" s="57" t="s">
        <v>42</v>
      </c>
      <c r="B9" s="67">
        <v>3.22</v>
      </c>
      <c r="C9" s="9">
        <v>0</v>
      </c>
      <c r="D9" s="46">
        <f>'Facility Risk - Microsoft'!$C9/$C$151</f>
        <v>0</v>
      </c>
      <c r="G9" s="30" t="s">
        <v>43</v>
      </c>
      <c r="H9" s="29"/>
      <c r="I9" s="29"/>
      <c r="J9" s="187">
        <f>SUMPRODUCT(B4:B150,D4:D150)</f>
        <v>4.0500000000000016</v>
      </c>
    </row>
    <row r="10" spans="1:10" ht="19" x14ac:dyDescent="0.25">
      <c r="A10" s="58" t="s">
        <v>44</v>
      </c>
      <c r="B10" s="68">
        <v>3.41</v>
      </c>
      <c r="C10" s="8">
        <v>0</v>
      </c>
      <c r="D10" s="45">
        <f>'Facility Risk - Microsoft'!$C10/$C$151</f>
        <v>0</v>
      </c>
    </row>
    <row r="11" spans="1:10" ht="19" x14ac:dyDescent="0.25">
      <c r="A11" s="57" t="s">
        <v>45</v>
      </c>
      <c r="B11" s="63">
        <v>5.21</v>
      </c>
      <c r="C11" s="9">
        <v>0</v>
      </c>
      <c r="D11" s="46">
        <f>'Facility Risk - Microsoft'!$C11/$C$151</f>
        <v>0</v>
      </c>
    </row>
    <row r="12" spans="1:10" ht="19" x14ac:dyDescent="0.25">
      <c r="A12" s="58" t="s">
        <v>46</v>
      </c>
      <c r="B12" s="69">
        <v>4.26</v>
      </c>
      <c r="C12" s="8">
        <v>0</v>
      </c>
      <c r="D12" s="45">
        <f>'Facility Risk - Microsoft'!$C12/$C$151</f>
        <v>0</v>
      </c>
    </row>
    <row r="13" spans="1:10" ht="19" x14ac:dyDescent="0.25">
      <c r="A13" s="57" t="s">
        <v>47</v>
      </c>
      <c r="B13" s="70">
        <v>6.29</v>
      </c>
      <c r="C13" s="9">
        <v>0</v>
      </c>
      <c r="D13" s="46">
        <f>'Facility Risk - Microsoft'!$C13/$C$151</f>
        <v>0</v>
      </c>
    </row>
    <row r="14" spans="1:10" ht="19" x14ac:dyDescent="0.25">
      <c r="A14" s="58" t="s">
        <v>48</v>
      </c>
      <c r="B14" s="71">
        <v>5.45</v>
      </c>
      <c r="C14" s="8">
        <v>0</v>
      </c>
      <c r="D14" s="45">
        <f>'Facility Risk - Microsoft'!$C14/$C$151</f>
        <v>0</v>
      </c>
    </row>
    <row r="15" spans="1:10" ht="19" x14ac:dyDescent="0.25">
      <c r="A15" s="57" t="s">
        <v>49</v>
      </c>
      <c r="B15" s="72">
        <v>3.33</v>
      </c>
      <c r="C15" s="9">
        <v>0</v>
      </c>
      <c r="D15" s="46">
        <f>'Facility Risk - Microsoft'!$C15/$C$151</f>
        <v>0</v>
      </c>
    </row>
    <row r="16" spans="1:10" ht="19" x14ac:dyDescent="0.25">
      <c r="A16" s="58" t="s">
        <v>50</v>
      </c>
      <c r="B16" s="73">
        <v>6</v>
      </c>
      <c r="C16" s="8">
        <v>0</v>
      </c>
      <c r="D16" s="45">
        <f>'Facility Risk - Microsoft'!$C16/$C$151</f>
        <v>0</v>
      </c>
    </row>
    <row r="17" spans="1:5" ht="19" x14ac:dyDescent="0.25">
      <c r="A17" s="57" t="s">
        <v>51</v>
      </c>
      <c r="B17" s="74">
        <v>5.0199999999999996</v>
      </c>
      <c r="C17" s="9">
        <v>0</v>
      </c>
      <c r="D17" s="46">
        <f>'Facility Risk - Microsoft'!$C17/$C$151</f>
        <v>0</v>
      </c>
    </row>
    <row r="18" spans="1:5" ht="19" x14ac:dyDescent="0.25">
      <c r="A18" s="58" t="s">
        <v>52</v>
      </c>
      <c r="B18" s="75">
        <v>5.41</v>
      </c>
      <c r="C18" s="8">
        <v>0</v>
      </c>
      <c r="D18" s="45">
        <f>'Facility Risk - Microsoft'!$C18/$C$151</f>
        <v>0</v>
      </c>
    </row>
    <row r="19" spans="1:5" ht="19" x14ac:dyDescent="0.25">
      <c r="A19" s="57" t="s">
        <v>53</v>
      </c>
      <c r="B19" s="76">
        <v>5.34</v>
      </c>
      <c r="C19" s="9">
        <v>0</v>
      </c>
      <c r="D19" s="46">
        <f>'Facility Risk - Microsoft'!$C19/$C$151</f>
        <v>0</v>
      </c>
    </row>
    <row r="20" spans="1:5" ht="19" x14ac:dyDescent="0.25">
      <c r="A20" s="58" t="s">
        <v>54</v>
      </c>
      <c r="B20" s="77">
        <v>4.34</v>
      </c>
      <c r="C20" s="8">
        <v>0</v>
      </c>
      <c r="D20" s="45">
        <f>'Facility Risk - Microsoft'!$C20/$C$151</f>
        <v>0</v>
      </c>
    </row>
    <row r="21" spans="1:5" ht="19" x14ac:dyDescent="0.25">
      <c r="A21" s="57" t="s">
        <v>55</v>
      </c>
      <c r="B21" s="78">
        <v>5.35</v>
      </c>
      <c r="C21" s="9">
        <v>0</v>
      </c>
      <c r="D21" s="46">
        <f>'Facility Risk - Microsoft'!$C21/$C$151</f>
        <v>0</v>
      </c>
    </row>
    <row r="22" spans="1:5" ht="19" x14ac:dyDescent="0.25">
      <c r="A22" s="58" t="s">
        <v>56</v>
      </c>
      <c r="B22" s="79">
        <v>4.43</v>
      </c>
      <c r="C22" s="8">
        <v>0</v>
      </c>
      <c r="D22" s="45">
        <f>'Facility Risk - Microsoft'!$C22/$C$151</f>
        <v>0</v>
      </c>
    </row>
    <row r="23" spans="1:5" ht="19" x14ac:dyDescent="0.25">
      <c r="A23" s="57" t="s">
        <v>57</v>
      </c>
      <c r="B23" s="80">
        <v>6.55</v>
      </c>
      <c r="C23" s="9">
        <v>0</v>
      </c>
      <c r="D23" s="46">
        <f>'Facility Risk - Microsoft'!$C23/$C$151</f>
        <v>0</v>
      </c>
    </row>
    <row r="24" spans="1:5" ht="19" x14ac:dyDescent="0.25">
      <c r="A24" s="58" t="s">
        <v>58</v>
      </c>
      <c r="B24" s="81">
        <v>6.33</v>
      </c>
      <c r="C24" s="8">
        <v>0</v>
      </c>
      <c r="D24" s="45">
        <f>'Facility Risk - Microsoft'!$C24/$C$151</f>
        <v>0</v>
      </c>
    </row>
    <row r="25" spans="1:5" ht="19" x14ac:dyDescent="0.25">
      <c r="A25" s="57" t="s">
        <v>59</v>
      </c>
      <c r="B25" s="64">
        <v>5.64</v>
      </c>
      <c r="C25" s="9">
        <v>0</v>
      </c>
      <c r="D25" s="46">
        <f>'Facility Risk - Microsoft'!$C25/$C$151</f>
        <v>0</v>
      </c>
    </row>
    <row r="26" spans="1:5" ht="19" x14ac:dyDescent="0.25">
      <c r="A26" s="58" t="s">
        <v>60</v>
      </c>
      <c r="B26" s="82">
        <v>6.83</v>
      </c>
      <c r="C26" s="8">
        <v>0</v>
      </c>
      <c r="D26" s="45">
        <f>'Facility Risk - Microsoft'!$C26/$C$151</f>
        <v>0</v>
      </c>
    </row>
    <row r="27" spans="1:5" ht="19" x14ac:dyDescent="0.25">
      <c r="A27" s="57" t="s">
        <v>61</v>
      </c>
      <c r="B27" s="83">
        <v>3.44</v>
      </c>
      <c r="C27" s="9">
        <v>0</v>
      </c>
      <c r="D27" s="46">
        <f>'Facility Risk - Microsoft'!$C27/$C$151</f>
        <v>0</v>
      </c>
    </row>
    <row r="28" spans="1:5" ht="19" x14ac:dyDescent="0.25">
      <c r="A28" s="58" t="s">
        <v>62</v>
      </c>
      <c r="B28" s="84">
        <v>6.79</v>
      </c>
      <c r="C28" s="8">
        <v>0</v>
      </c>
      <c r="D28" s="45">
        <f>'Facility Risk - Microsoft'!$C28/$C$151</f>
        <v>0</v>
      </c>
    </row>
    <row r="29" spans="1:5" ht="19" x14ac:dyDescent="0.25">
      <c r="A29" s="57" t="s">
        <v>63</v>
      </c>
      <c r="B29" s="82">
        <v>6.84</v>
      </c>
      <c r="C29" s="9">
        <v>0</v>
      </c>
      <c r="D29" s="46">
        <f>'Facility Risk - Microsoft'!$C29/$C$151</f>
        <v>0</v>
      </c>
    </row>
    <row r="30" spans="1:5" ht="19" x14ac:dyDescent="0.25">
      <c r="A30" s="58" t="s">
        <v>64</v>
      </c>
      <c r="B30" s="65">
        <v>4.3600000000000003</v>
      </c>
      <c r="C30" s="8">
        <v>0</v>
      </c>
      <c r="D30" s="45">
        <f>'Facility Risk - Microsoft'!$C30/$C$151</f>
        <v>0</v>
      </c>
    </row>
    <row r="31" spans="1:5" ht="19" x14ac:dyDescent="0.25">
      <c r="A31" s="57" t="s">
        <v>65</v>
      </c>
      <c r="B31" s="85">
        <v>4.26</v>
      </c>
      <c r="C31" s="9">
        <f>30%+10%</f>
        <v>0.4</v>
      </c>
      <c r="D31" s="46">
        <f>'Facility Risk - Microsoft'!$C31/$C$151</f>
        <v>0.40000000000000008</v>
      </c>
      <c r="E31" s="50" t="s">
        <v>66</v>
      </c>
    </row>
    <row r="32" spans="1:5" ht="19" x14ac:dyDescent="0.25">
      <c r="A32" s="58" t="s">
        <v>67</v>
      </c>
      <c r="B32" s="86">
        <v>5.72</v>
      </c>
      <c r="C32" s="8">
        <v>0</v>
      </c>
      <c r="D32" s="45">
        <f>'Facility Risk - Microsoft'!$C32/$C$151</f>
        <v>0</v>
      </c>
    </row>
    <row r="33" spans="1:4" ht="19" x14ac:dyDescent="0.25">
      <c r="A33" s="57" t="s">
        <v>68</v>
      </c>
      <c r="B33" s="87">
        <v>5.65</v>
      </c>
      <c r="C33" s="9">
        <v>0</v>
      </c>
      <c r="D33" s="46">
        <f>'Facility Risk - Microsoft'!$C33/$C$151</f>
        <v>0</v>
      </c>
    </row>
    <row r="34" spans="1:4" ht="19" x14ac:dyDescent="0.25">
      <c r="A34" s="58" t="s">
        <v>69</v>
      </c>
      <c r="B34" s="88">
        <v>4.2300000000000004</v>
      </c>
      <c r="C34" s="8">
        <v>0</v>
      </c>
      <c r="D34" s="45">
        <f>'Facility Risk - Microsoft'!$C34/$C$151</f>
        <v>0</v>
      </c>
    </row>
    <row r="35" spans="1:4" ht="19" x14ac:dyDescent="0.25">
      <c r="A35" s="57" t="s">
        <v>70</v>
      </c>
      <c r="B35" s="89">
        <v>5.6</v>
      </c>
      <c r="C35" s="9">
        <v>0</v>
      </c>
      <c r="D35" s="46">
        <f>'Facility Risk - Microsoft'!$C35/$C$151</f>
        <v>0</v>
      </c>
    </row>
    <row r="36" spans="1:4" ht="19" x14ac:dyDescent="0.25">
      <c r="A36" s="58" t="s">
        <v>71</v>
      </c>
      <c r="B36" s="90">
        <v>4.28</v>
      </c>
      <c r="C36" s="8">
        <v>0</v>
      </c>
      <c r="D36" s="45">
        <f>'Facility Risk - Microsoft'!$C36/$C$151</f>
        <v>0</v>
      </c>
    </row>
    <row r="37" spans="1:4" ht="19" x14ac:dyDescent="0.25">
      <c r="A37" s="57" t="s">
        <v>72</v>
      </c>
      <c r="B37" s="91">
        <v>4.67</v>
      </c>
      <c r="C37" s="9">
        <v>0</v>
      </c>
      <c r="D37" s="46">
        <f>'Facility Risk - Microsoft'!$C37/$C$151</f>
        <v>0</v>
      </c>
    </row>
    <row r="38" spans="1:4" ht="19" x14ac:dyDescent="0.25">
      <c r="A38" s="58" t="s">
        <v>73</v>
      </c>
      <c r="B38" s="92">
        <v>3.75</v>
      </c>
      <c r="C38" s="8">
        <v>0</v>
      </c>
      <c r="D38" s="45">
        <f>'Facility Risk - Microsoft'!$C38/$C$151</f>
        <v>0</v>
      </c>
    </row>
    <row r="39" spans="1:4" ht="19" x14ac:dyDescent="0.25">
      <c r="A39" s="57" t="s">
        <v>74</v>
      </c>
      <c r="B39" s="93">
        <v>3.2</v>
      </c>
      <c r="C39" s="9">
        <v>0</v>
      </c>
      <c r="D39" s="46">
        <f>'Facility Risk - Microsoft'!$C39/$C$151</f>
        <v>0</v>
      </c>
    </row>
    <row r="40" spans="1:4" ht="19" x14ac:dyDescent="0.25">
      <c r="A40" s="58" t="s">
        <v>75</v>
      </c>
      <c r="B40" s="94">
        <v>5.98</v>
      </c>
      <c r="C40" s="8">
        <v>0</v>
      </c>
      <c r="D40" s="45">
        <f>'Facility Risk - Microsoft'!$C40/$C$151</f>
        <v>0</v>
      </c>
    </row>
    <row r="41" spans="1:4" ht="19" x14ac:dyDescent="0.25">
      <c r="A41" s="57" t="s">
        <v>76</v>
      </c>
      <c r="B41" s="95">
        <v>4.7</v>
      </c>
      <c r="C41" s="9">
        <v>0</v>
      </c>
      <c r="D41" s="46">
        <f>'Facility Risk - Microsoft'!$C41/$C$151</f>
        <v>0</v>
      </c>
    </row>
    <row r="42" spans="1:4" ht="19" x14ac:dyDescent="0.25">
      <c r="A42" s="58" t="s">
        <v>77</v>
      </c>
      <c r="B42" s="96">
        <v>5.71</v>
      </c>
      <c r="C42" s="8">
        <v>0</v>
      </c>
      <c r="D42" s="45">
        <f>'Facility Risk - Microsoft'!$C42/$C$151</f>
        <v>0</v>
      </c>
    </row>
    <row r="43" spans="1:4" ht="19" x14ac:dyDescent="0.25">
      <c r="A43" s="57" t="s">
        <v>78</v>
      </c>
      <c r="B43" s="97">
        <v>5.6</v>
      </c>
      <c r="C43" s="9">
        <v>0</v>
      </c>
      <c r="D43" s="46">
        <f>'Facility Risk - Microsoft'!$C43/$C$151</f>
        <v>0</v>
      </c>
    </row>
    <row r="44" spans="1:4" ht="19" x14ac:dyDescent="0.25">
      <c r="A44" s="58" t="s">
        <v>79</v>
      </c>
      <c r="B44" s="98">
        <v>4.79</v>
      </c>
      <c r="C44" s="8">
        <v>0</v>
      </c>
      <c r="D44" s="45">
        <f>'Facility Risk - Microsoft'!$C44/$C$151</f>
        <v>0</v>
      </c>
    </row>
    <row r="45" spans="1:4" ht="19" x14ac:dyDescent="0.25">
      <c r="A45" s="57" t="s">
        <v>80</v>
      </c>
      <c r="B45" s="99">
        <v>3.57</v>
      </c>
      <c r="C45" s="9">
        <v>0</v>
      </c>
      <c r="D45" s="46">
        <f>'Facility Risk - Microsoft'!$C45/$C$151</f>
        <v>0</v>
      </c>
    </row>
    <row r="46" spans="1:4" ht="19" x14ac:dyDescent="0.25">
      <c r="A46" s="58" t="s">
        <v>81</v>
      </c>
      <c r="B46" s="100">
        <v>4.5</v>
      </c>
      <c r="C46" s="8">
        <v>0</v>
      </c>
      <c r="D46" s="45">
        <f>'Facility Risk - Microsoft'!$C46/$C$151</f>
        <v>0</v>
      </c>
    </row>
    <row r="47" spans="1:4" ht="19" x14ac:dyDescent="0.25">
      <c r="A47" s="57" t="s">
        <v>82</v>
      </c>
      <c r="B47" s="101">
        <v>6.93</v>
      </c>
      <c r="C47" s="9">
        <v>0</v>
      </c>
      <c r="D47" s="46">
        <f>'Facility Risk - Microsoft'!$C47/$C$151</f>
        <v>0</v>
      </c>
    </row>
    <row r="48" spans="1:4" ht="19" x14ac:dyDescent="0.25">
      <c r="A48" s="58" t="s">
        <v>83</v>
      </c>
      <c r="B48" s="102">
        <v>3.35</v>
      </c>
      <c r="C48" s="8">
        <v>0</v>
      </c>
      <c r="D48" s="45">
        <f>'Facility Risk - Microsoft'!$C48/$C$151</f>
        <v>0</v>
      </c>
    </row>
    <row r="49" spans="1:4" ht="19" x14ac:dyDescent="0.25">
      <c r="A49" s="57" t="s">
        <v>84</v>
      </c>
      <c r="B49" s="103">
        <v>3.65</v>
      </c>
      <c r="C49" s="9">
        <v>0</v>
      </c>
      <c r="D49" s="46">
        <f>'Facility Risk - Microsoft'!$C49/$C$151</f>
        <v>0</v>
      </c>
    </row>
    <row r="50" spans="1:4" ht="19" x14ac:dyDescent="0.25">
      <c r="A50" s="58" t="s">
        <v>85</v>
      </c>
      <c r="B50" s="104">
        <v>5.78</v>
      </c>
      <c r="C50" s="8">
        <v>0</v>
      </c>
      <c r="D50" s="45">
        <f>'Facility Risk - Microsoft'!$C50/$C$151</f>
        <v>0</v>
      </c>
    </row>
    <row r="51" spans="1:4" ht="19" x14ac:dyDescent="0.25">
      <c r="A51" s="57" t="s">
        <v>86</v>
      </c>
      <c r="B51" s="105">
        <v>5.38</v>
      </c>
      <c r="C51" s="9">
        <v>0</v>
      </c>
      <c r="D51" s="46">
        <f>'Facility Risk - Microsoft'!$C51/$C$151</f>
        <v>0</v>
      </c>
    </row>
    <row r="52" spans="1:4" ht="19" x14ac:dyDescent="0.25">
      <c r="A52" s="58" t="s">
        <v>87</v>
      </c>
      <c r="B52" s="106">
        <v>4.93</v>
      </c>
      <c r="C52" s="8">
        <v>0</v>
      </c>
      <c r="D52" s="45">
        <f>'Facility Risk - Microsoft'!$C52/$C$151</f>
        <v>0</v>
      </c>
    </row>
    <row r="53" spans="1:4" ht="19" x14ac:dyDescent="0.25">
      <c r="A53" s="57" t="s">
        <v>88</v>
      </c>
      <c r="B53" s="68">
        <v>3.42</v>
      </c>
      <c r="C53" s="9">
        <v>0</v>
      </c>
      <c r="D53" s="46">
        <f>'Facility Risk - Microsoft'!$C53/$C$151</f>
        <v>0</v>
      </c>
    </row>
    <row r="54" spans="1:4" ht="19" x14ac:dyDescent="0.25">
      <c r="A54" s="58" t="s">
        <v>89</v>
      </c>
      <c r="B54" s="107">
        <v>4.63</v>
      </c>
      <c r="C54" s="8">
        <v>0</v>
      </c>
      <c r="D54" s="45">
        <f>'Facility Risk - Microsoft'!$C54/$C$151</f>
        <v>0</v>
      </c>
    </row>
    <row r="55" spans="1:4" ht="19" x14ac:dyDescent="0.25">
      <c r="A55" s="57" t="s">
        <v>90</v>
      </c>
      <c r="B55" s="77">
        <v>4.34</v>
      </c>
      <c r="C55" s="9">
        <v>0</v>
      </c>
      <c r="D55" s="46">
        <f>'Facility Risk - Microsoft'!$C55/$C$151</f>
        <v>0</v>
      </c>
    </row>
    <row r="56" spans="1:4" ht="19" x14ac:dyDescent="0.25">
      <c r="A56" s="58" t="s">
        <v>91</v>
      </c>
      <c r="B56" s="71">
        <v>5.45</v>
      </c>
      <c r="C56" s="8">
        <v>0</v>
      </c>
      <c r="D56" s="45">
        <f>'Facility Risk - Microsoft'!$C56/$C$151</f>
        <v>0</v>
      </c>
    </row>
    <row r="57" spans="1:4" ht="19" x14ac:dyDescent="0.25">
      <c r="A57" s="57" t="s">
        <v>92</v>
      </c>
      <c r="B57" s="108">
        <v>6.36</v>
      </c>
      <c r="C57" s="9">
        <v>0</v>
      </c>
      <c r="D57" s="46">
        <f>'Facility Risk - Microsoft'!$C57/$C$151</f>
        <v>0</v>
      </c>
    </row>
    <row r="58" spans="1:4" ht="19" x14ac:dyDescent="0.25">
      <c r="A58" s="58" t="s">
        <v>93</v>
      </c>
      <c r="B58" s="109">
        <v>5.94</v>
      </c>
      <c r="C58" s="8">
        <v>0</v>
      </c>
      <c r="D58" s="45">
        <f>'Facility Risk - Microsoft'!$C58/$C$151</f>
        <v>0</v>
      </c>
    </row>
    <row r="59" spans="1:4" ht="19" x14ac:dyDescent="0.25">
      <c r="A59" s="57" t="s">
        <v>94</v>
      </c>
      <c r="B59" s="110">
        <v>4.92</v>
      </c>
      <c r="C59" s="9">
        <v>0</v>
      </c>
      <c r="D59" s="46">
        <f>'Facility Risk - Microsoft'!$C59/$C$151</f>
        <v>0</v>
      </c>
    </row>
    <row r="60" spans="1:4" ht="19" x14ac:dyDescent="0.25">
      <c r="A60" s="58" t="s">
        <v>95</v>
      </c>
      <c r="B60" s="111">
        <v>6.53</v>
      </c>
      <c r="C60" s="8">
        <v>0</v>
      </c>
      <c r="D60" s="45">
        <f>'Facility Risk - Microsoft'!$C60/$C$151</f>
        <v>0</v>
      </c>
    </row>
    <row r="61" spans="1:4" ht="19" x14ac:dyDescent="0.25">
      <c r="A61" s="57" t="s">
        <v>96</v>
      </c>
      <c r="B61" s="112">
        <v>5.77</v>
      </c>
      <c r="C61" s="9">
        <v>0</v>
      </c>
      <c r="D61" s="46">
        <f>'Facility Risk - Microsoft'!$C61/$C$151</f>
        <v>0</v>
      </c>
    </row>
    <row r="62" spans="1:4" ht="19" x14ac:dyDescent="0.25">
      <c r="A62" s="58" t="s">
        <v>97</v>
      </c>
      <c r="B62" s="113">
        <v>3.63</v>
      </c>
      <c r="C62" s="8">
        <v>0</v>
      </c>
      <c r="D62" s="45">
        <f>'Facility Risk - Microsoft'!$C62/$C$151</f>
        <v>0</v>
      </c>
    </row>
    <row r="63" spans="1:4" ht="19" x14ac:dyDescent="0.25">
      <c r="A63" s="57" t="s">
        <v>98</v>
      </c>
      <c r="B63" s="114">
        <v>3.38</v>
      </c>
      <c r="C63" s="9">
        <v>0</v>
      </c>
      <c r="D63" s="46">
        <f>'Facility Risk - Microsoft'!$C63/$C$151</f>
        <v>0</v>
      </c>
    </row>
    <row r="64" spans="1:4" ht="19" x14ac:dyDescent="0.25">
      <c r="A64" s="58" t="s">
        <v>99</v>
      </c>
      <c r="B64" s="115">
        <v>5.07</v>
      </c>
      <c r="C64" s="8">
        <v>0</v>
      </c>
      <c r="D64" s="45">
        <f>'Facility Risk - Microsoft'!$C64/$C$151</f>
        <v>0</v>
      </c>
    </row>
    <row r="65" spans="1:4" ht="19" x14ac:dyDescent="0.25">
      <c r="A65" s="57" t="s">
        <v>100</v>
      </c>
      <c r="B65" s="106">
        <v>4.92</v>
      </c>
      <c r="C65" s="9">
        <v>0</v>
      </c>
      <c r="D65" s="46">
        <f>'Facility Risk - Microsoft'!$C65/$C$151</f>
        <v>0</v>
      </c>
    </row>
    <row r="66" spans="1:4" ht="19" x14ac:dyDescent="0.25">
      <c r="A66" s="58" t="s">
        <v>101</v>
      </c>
      <c r="B66" s="116">
        <v>5.88</v>
      </c>
      <c r="C66" s="8">
        <v>0</v>
      </c>
      <c r="D66" s="45">
        <f>'Facility Risk - Microsoft'!$C66/$C$151</f>
        <v>0</v>
      </c>
    </row>
    <row r="67" spans="1:4" ht="19" x14ac:dyDescent="0.25">
      <c r="A67" s="57" t="s">
        <v>102</v>
      </c>
      <c r="B67" s="117">
        <v>6.05</v>
      </c>
      <c r="C67" s="9">
        <v>0</v>
      </c>
      <c r="D67" s="46">
        <f>'Facility Risk - Microsoft'!$C67/$C$151</f>
        <v>0</v>
      </c>
    </row>
    <row r="68" spans="1:4" ht="19" x14ac:dyDescent="0.25">
      <c r="A68" s="58" t="s">
        <v>103</v>
      </c>
      <c r="B68" s="118">
        <v>3.25</v>
      </c>
      <c r="C68" s="8">
        <v>0.1</v>
      </c>
      <c r="D68" s="45">
        <f>'Facility Risk - Microsoft'!$C68/$C$151</f>
        <v>0.10000000000000002</v>
      </c>
    </row>
    <row r="69" spans="1:4" ht="19" x14ac:dyDescent="0.25">
      <c r="A69" s="57" t="s">
        <v>104</v>
      </c>
      <c r="B69" s="119">
        <v>4.6100000000000003</v>
      </c>
      <c r="C69" s="9">
        <v>0</v>
      </c>
      <c r="D69" s="46">
        <f>'Facility Risk - Microsoft'!$C69/$C$151</f>
        <v>0</v>
      </c>
    </row>
    <row r="70" spans="1:4" ht="19" x14ac:dyDescent="0.25">
      <c r="A70" s="58" t="s">
        <v>105</v>
      </c>
      <c r="B70" s="120">
        <v>3.84</v>
      </c>
      <c r="C70" s="8">
        <v>0</v>
      </c>
      <c r="D70" s="45">
        <f>'Facility Risk - Microsoft'!$C70/$C$151</f>
        <v>0</v>
      </c>
    </row>
    <row r="71" spans="1:4" ht="19" x14ac:dyDescent="0.25">
      <c r="A71" s="57" t="s">
        <v>106</v>
      </c>
      <c r="B71" s="121">
        <v>4.75</v>
      </c>
      <c r="C71" s="9">
        <v>0</v>
      </c>
      <c r="D71" s="46">
        <f>'Facility Risk - Microsoft'!$C71/$C$151</f>
        <v>0</v>
      </c>
    </row>
    <row r="72" spans="1:4" ht="19" x14ac:dyDescent="0.25">
      <c r="A72" s="58" t="s">
        <v>107</v>
      </c>
      <c r="B72" s="114">
        <v>3.38</v>
      </c>
      <c r="C72" s="8">
        <v>0</v>
      </c>
      <c r="D72" s="45">
        <f>'Facility Risk - Microsoft'!$C72/$C$151</f>
        <v>0</v>
      </c>
    </row>
    <row r="73" spans="1:4" ht="19" x14ac:dyDescent="0.25">
      <c r="A73" s="57" t="s">
        <v>108</v>
      </c>
      <c r="B73" s="122">
        <v>5.13</v>
      </c>
      <c r="C73" s="9">
        <v>0</v>
      </c>
      <c r="D73" s="46">
        <f>'Facility Risk - Microsoft'!$C73/$C$151</f>
        <v>0</v>
      </c>
    </row>
    <row r="74" spans="1:4" ht="19" x14ac:dyDescent="0.25">
      <c r="A74" s="58" t="s">
        <v>109</v>
      </c>
      <c r="B74" s="123">
        <v>4.54</v>
      </c>
      <c r="C74" s="8">
        <v>0</v>
      </c>
      <c r="D74" s="45">
        <f>'Facility Risk - Microsoft'!$C74/$C$151</f>
        <v>0</v>
      </c>
    </row>
    <row r="75" spans="1:4" ht="19" x14ac:dyDescent="0.25">
      <c r="A75" s="57" t="s">
        <v>110</v>
      </c>
      <c r="B75" s="124">
        <v>6.13</v>
      </c>
      <c r="C75" s="9">
        <v>0</v>
      </c>
      <c r="D75" s="46">
        <f>'Facility Risk - Microsoft'!$C75/$C$151</f>
        <v>0</v>
      </c>
    </row>
    <row r="76" spans="1:4" ht="19" x14ac:dyDescent="0.25">
      <c r="A76" s="58" t="s">
        <v>111</v>
      </c>
      <c r="B76" s="125">
        <v>4.3</v>
      </c>
      <c r="C76" s="8">
        <v>0</v>
      </c>
      <c r="D76" s="45">
        <f>'Facility Risk - Microsoft'!$C76/$C$151</f>
        <v>0</v>
      </c>
    </row>
    <row r="77" spans="1:4" ht="19" x14ac:dyDescent="0.25">
      <c r="A77" s="57" t="s">
        <v>112</v>
      </c>
      <c r="B77" s="126">
        <v>5.37</v>
      </c>
      <c r="C77" s="9">
        <v>0</v>
      </c>
      <c r="D77" s="46">
        <f>'Facility Risk - Microsoft'!$C77/$C$151</f>
        <v>0</v>
      </c>
    </row>
    <row r="78" spans="1:4" ht="19" x14ac:dyDescent="0.25">
      <c r="A78" s="58" t="s">
        <v>113</v>
      </c>
      <c r="B78" s="127">
        <v>5.14</v>
      </c>
      <c r="C78" s="8">
        <v>0</v>
      </c>
      <c r="D78" s="45">
        <f>'Facility Risk - Microsoft'!$C78/$C$151</f>
        <v>0</v>
      </c>
    </row>
    <row r="79" spans="1:4" ht="19" x14ac:dyDescent="0.25">
      <c r="A79" s="57" t="s">
        <v>114</v>
      </c>
      <c r="B79" s="128">
        <v>3.97</v>
      </c>
      <c r="C79" s="9">
        <v>0</v>
      </c>
      <c r="D79" s="46">
        <f>'Facility Risk - Microsoft'!$C79/$C$151</f>
        <v>0</v>
      </c>
    </row>
    <row r="80" spans="1:4" ht="19" x14ac:dyDescent="0.25">
      <c r="A80" s="58" t="s">
        <v>115</v>
      </c>
      <c r="B80" s="129">
        <v>6.12</v>
      </c>
      <c r="C80" s="8">
        <v>0</v>
      </c>
      <c r="D80" s="45">
        <f>'Facility Risk - Microsoft'!$C80/$C$151</f>
        <v>0</v>
      </c>
    </row>
    <row r="81" spans="1:4" ht="19" x14ac:dyDescent="0.25">
      <c r="A81" s="57" t="s">
        <v>116</v>
      </c>
      <c r="B81" s="130">
        <v>5.49</v>
      </c>
      <c r="C81" s="9">
        <v>0</v>
      </c>
      <c r="D81" s="46">
        <f>'Facility Risk - Microsoft'!$C81/$C$151</f>
        <v>0</v>
      </c>
    </row>
    <row r="82" spans="1:4" ht="19" x14ac:dyDescent="0.25">
      <c r="A82" s="58" t="s">
        <v>117</v>
      </c>
      <c r="B82" s="131">
        <v>5.97</v>
      </c>
      <c r="C82" s="8">
        <v>0</v>
      </c>
      <c r="D82" s="45">
        <f>'Facility Risk - Microsoft'!$C82/$C$151</f>
        <v>0</v>
      </c>
    </row>
    <row r="83" spans="1:4" ht="19" x14ac:dyDescent="0.25">
      <c r="A83" s="57" t="s">
        <v>118</v>
      </c>
      <c r="B83" s="132">
        <v>5.68</v>
      </c>
      <c r="C83" s="9">
        <v>0</v>
      </c>
      <c r="D83" s="46">
        <f>'Facility Risk - Microsoft'!$C83/$C$151</f>
        <v>0</v>
      </c>
    </row>
    <row r="84" spans="1:4" ht="19" x14ac:dyDescent="0.25">
      <c r="A84" s="58" t="s">
        <v>119</v>
      </c>
      <c r="B84" s="133">
        <v>3.93</v>
      </c>
      <c r="C84" s="8">
        <v>0</v>
      </c>
      <c r="D84" s="45">
        <f>'Facility Risk - Microsoft'!$C84/$C$151</f>
        <v>0</v>
      </c>
    </row>
    <row r="85" spans="1:4" ht="19" x14ac:dyDescent="0.25">
      <c r="A85" s="57" t="s">
        <v>120</v>
      </c>
      <c r="B85" s="134">
        <v>5.82</v>
      </c>
      <c r="C85" s="9">
        <v>0</v>
      </c>
      <c r="D85" s="46">
        <f>'Facility Risk - Microsoft'!$C85/$C$151</f>
        <v>0</v>
      </c>
    </row>
    <row r="86" spans="1:4" ht="19" x14ac:dyDescent="0.25">
      <c r="A86" s="58" t="s">
        <v>121</v>
      </c>
      <c r="B86" s="135">
        <v>5.58</v>
      </c>
      <c r="C86" s="8">
        <v>0</v>
      </c>
      <c r="D86" s="45">
        <f>'Facility Risk - Microsoft'!$C86/$C$151</f>
        <v>0</v>
      </c>
    </row>
    <row r="87" spans="1:4" ht="19" x14ac:dyDescent="0.25">
      <c r="A87" s="57" t="s">
        <v>122</v>
      </c>
      <c r="B87" s="136">
        <v>4.03</v>
      </c>
      <c r="C87" s="9">
        <v>0</v>
      </c>
      <c r="D87" s="46">
        <f>'Facility Risk - Microsoft'!$C87/$C$151</f>
        <v>0</v>
      </c>
    </row>
    <row r="88" spans="1:4" ht="19" x14ac:dyDescent="0.25">
      <c r="A88" s="58" t="s">
        <v>123</v>
      </c>
      <c r="B88" s="137">
        <v>7.1</v>
      </c>
      <c r="C88" s="8">
        <v>0</v>
      </c>
      <c r="D88" s="45">
        <f>'Facility Risk - Microsoft'!$C88/$C$151</f>
        <v>0</v>
      </c>
    </row>
    <row r="89" spans="1:4" ht="19" x14ac:dyDescent="0.25">
      <c r="A89" s="57" t="s">
        <v>124</v>
      </c>
      <c r="B89" s="138">
        <v>6.28</v>
      </c>
      <c r="C89" s="9">
        <v>0</v>
      </c>
      <c r="D89" s="46">
        <f>'Facility Risk - Microsoft'!$C89/$C$151</f>
        <v>0</v>
      </c>
    </row>
    <row r="90" spans="1:4" ht="19" x14ac:dyDescent="0.25">
      <c r="A90" s="58" t="s">
        <v>125</v>
      </c>
      <c r="B90" s="139">
        <v>3.47</v>
      </c>
      <c r="C90" s="8">
        <v>0</v>
      </c>
      <c r="D90" s="45">
        <f>'Facility Risk - Microsoft'!$C90/$C$151</f>
        <v>0</v>
      </c>
    </row>
    <row r="91" spans="1:4" ht="19" x14ac:dyDescent="0.25">
      <c r="A91" s="57" t="s">
        <v>126</v>
      </c>
      <c r="B91" s="140">
        <v>5.42</v>
      </c>
      <c r="C91" s="9">
        <v>0</v>
      </c>
      <c r="D91" s="46">
        <f>'Facility Risk - Microsoft'!$C91/$C$151</f>
        <v>0</v>
      </c>
    </row>
    <row r="92" spans="1:4" ht="19" x14ac:dyDescent="0.25">
      <c r="A92" s="58" t="s">
        <v>127</v>
      </c>
      <c r="B92" s="127">
        <v>5.14</v>
      </c>
      <c r="C92" s="8">
        <v>0</v>
      </c>
      <c r="D92" s="45">
        <f>'Facility Risk - Microsoft'!$C92/$C$151</f>
        <v>0</v>
      </c>
    </row>
    <row r="93" spans="1:4" ht="19" x14ac:dyDescent="0.25">
      <c r="A93" s="57" t="s">
        <v>128</v>
      </c>
      <c r="B93" s="141">
        <v>4.6500000000000004</v>
      </c>
      <c r="C93" s="9">
        <v>0</v>
      </c>
      <c r="D93" s="46">
        <f>'Facility Risk - Microsoft'!$C93/$C$151</f>
        <v>0</v>
      </c>
    </row>
    <row r="94" spans="1:4" ht="19" x14ac:dyDescent="0.25">
      <c r="A94" s="58" t="s">
        <v>129</v>
      </c>
      <c r="B94" s="142">
        <v>5.0999999999999996</v>
      </c>
      <c r="C94" s="8">
        <v>0</v>
      </c>
      <c r="D94" s="45">
        <f>'Facility Risk - Microsoft'!$C94/$C$151</f>
        <v>0</v>
      </c>
    </row>
    <row r="95" spans="1:4" ht="19" x14ac:dyDescent="0.25">
      <c r="A95" s="57" t="s">
        <v>130</v>
      </c>
      <c r="B95" s="70">
        <v>6.3</v>
      </c>
      <c r="C95" s="9">
        <v>0</v>
      </c>
      <c r="D95" s="46">
        <f>'Facility Risk - Microsoft'!$C95/$C$151</f>
        <v>0</v>
      </c>
    </row>
    <row r="96" spans="1:4" ht="19" x14ac:dyDescent="0.25">
      <c r="A96" s="58" t="s">
        <v>131</v>
      </c>
      <c r="B96" s="143">
        <v>4.6399999999999997</v>
      </c>
      <c r="C96" s="8">
        <v>0</v>
      </c>
      <c r="D96" s="45">
        <f>'Facility Risk - Microsoft'!$C96/$C$151</f>
        <v>0</v>
      </c>
    </row>
    <row r="97" spans="1:4" ht="19" x14ac:dyDescent="0.25">
      <c r="A97" s="57" t="s">
        <v>132</v>
      </c>
      <c r="B97" s="104">
        <v>5.78</v>
      </c>
      <c r="C97" s="9">
        <v>0</v>
      </c>
      <c r="D97" s="46">
        <f>'Facility Risk - Microsoft'!$C97/$C$151</f>
        <v>0</v>
      </c>
    </row>
    <row r="98" spans="1:4" ht="19" x14ac:dyDescent="0.25">
      <c r="A98" s="58" t="s">
        <v>133</v>
      </c>
      <c r="B98" s="144">
        <v>3.59</v>
      </c>
      <c r="C98" s="8">
        <v>0</v>
      </c>
      <c r="D98" s="45">
        <f>'Facility Risk - Microsoft'!$C98/$C$151</f>
        <v>0</v>
      </c>
    </row>
    <row r="99" spans="1:4" ht="19" x14ac:dyDescent="0.25">
      <c r="A99" s="57" t="s">
        <v>134</v>
      </c>
      <c r="B99" s="145">
        <v>3.32</v>
      </c>
      <c r="C99" s="9">
        <v>0</v>
      </c>
      <c r="D99" s="46">
        <f>'Facility Risk - Microsoft'!$C99/$C$151</f>
        <v>0</v>
      </c>
    </row>
    <row r="100" spans="1:4" ht="19" x14ac:dyDescent="0.25">
      <c r="A100" s="58" t="s">
        <v>135</v>
      </c>
      <c r="B100" s="146">
        <v>5.8</v>
      </c>
      <c r="C100" s="8">
        <v>0</v>
      </c>
      <c r="D100" s="45">
        <f>'Facility Risk - Microsoft'!$C100/$C$151</f>
        <v>0</v>
      </c>
    </row>
    <row r="101" spans="1:4" ht="19" x14ac:dyDescent="0.25">
      <c r="A101" s="57" t="s">
        <v>136</v>
      </c>
      <c r="B101" s="147">
        <v>7.07</v>
      </c>
      <c r="C101" s="9">
        <v>0</v>
      </c>
      <c r="D101" s="46">
        <f>'Facility Risk - Microsoft'!$C101/$C$151</f>
        <v>0</v>
      </c>
    </row>
    <row r="102" spans="1:4" ht="19" x14ac:dyDescent="0.25">
      <c r="A102" s="58" t="s">
        <v>137</v>
      </c>
      <c r="B102" s="148">
        <v>6.5</v>
      </c>
      <c r="C102" s="8">
        <v>0</v>
      </c>
      <c r="D102" s="45">
        <f>'Facility Risk - Microsoft'!$C102/$C$151</f>
        <v>0</v>
      </c>
    </row>
    <row r="103" spans="1:4" ht="19" x14ac:dyDescent="0.25">
      <c r="A103" s="57" t="s">
        <v>138</v>
      </c>
      <c r="B103" s="149">
        <v>4.16</v>
      </c>
      <c r="C103" s="9">
        <v>0</v>
      </c>
      <c r="D103" s="46">
        <f>'Facility Risk - Microsoft'!$C103/$C$151</f>
        <v>0</v>
      </c>
    </row>
    <row r="104" spans="1:4" ht="19" x14ac:dyDescent="0.25">
      <c r="A104" s="58" t="s">
        <v>139</v>
      </c>
      <c r="B104" s="114">
        <v>3.38</v>
      </c>
      <c r="C104" s="8">
        <v>0</v>
      </c>
      <c r="D104" s="45">
        <f>'Facility Risk - Microsoft'!$C104/$C$151</f>
        <v>0</v>
      </c>
    </row>
    <row r="105" spans="1:4" ht="19" x14ac:dyDescent="0.25">
      <c r="A105" s="57" t="s">
        <v>140</v>
      </c>
      <c r="B105" s="150">
        <v>4.0199999999999996</v>
      </c>
      <c r="C105" s="9">
        <v>0</v>
      </c>
      <c r="D105" s="46">
        <f>'Facility Risk - Microsoft'!$C105/$C$151</f>
        <v>0</v>
      </c>
    </row>
    <row r="106" spans="1:4" ht="19" x14ac:dyDescent="0.25">
      <c r="A106" s="58" t="s">
        <v>141</v>
      </c>
      <c r="B106" s="151">
        <v>6.65</v>
      </c>
      <c r="C106" s="8">
        <v>0</v>
      </c>
      <c r="D106" s="45">
        <f>'Facility Risk - Microsoft'!$C106/$C$151</f>
        <v>0</v>
      </c>
    </row>
    <row r="107" spans="1:4" ht="19" x14ac:dyDescent="0.25">
      <c r="A107" s="57" t="s">
        <v>142</v>
      </c>
      <c r="B107" s="152">
        <v>4.5599999999999996</v>
      </c>
      <c r="C107" s="9">
        <v>0</v>
      </c>
      <c r="D107" s="46">
        <f>'Facility Risk - Microsoft'!$C107/$C$151</f>
        <v>0</v>
      </c>
    </row>
    <row r="108" spans="1:4" ht="19" x14ac:dyDescent="0.25">
      <c r="A108" s="58" t="s">
        <v>143</v>
      </c>
      <c r="B108" s="76">
        <v>5.34</v>
      </c>
      <c r="C108" s="8">
        <v>0</v>
      </c>
      <c r="D108" s="45">
        <f>'Facility Risk - Microsoft'!$C108/$C$151</f>
        <v>0</v>
      </c>
    </row>
    <row r="109" spans="1:4" ht="19" x14ac:dyDescent="0.25">
      <c r="A109" s="57" t="s">
        <v>144</v>
      </c>
      <c r="B109" s="153">
        <v>4.72</v>
      </c>
      <c r="C109" s="9">
        <v>0</v>
      </c>
      <c r="D109" s="46">
        <f>'Facility Risk - Microsoft'!$C109/$C$151</f>
        <v>0</v>
      </c>
    </row>
    <row r="110" spans="1:4" ht="19" x14ac:dyDescent="0.25">
      <c r="A110" s="58" t="s">
        <v>145</v>
      </c>
      <c r="B110" s="154">
        <v>5.28</v>
      </c>
      <c r="C110" s="8">
        <v>0</v>
      </c>
      <c r="D110" s="45">
        <f>'Facility Risk - Microsoft'!$C110/$C$151</f>
        <v>0</v>
      </c>
    </row>
    <row r="111" spans="1:4" ht="19" x14ac:dyDescent="0.25">
      <c r="A111" s="57" t="s">
        <v>146</v>
      </c>
      <c r="B111" s="146">
        <v>5.8</v>
      </c>
      <c r="C111" s="9">
        <v>0</v>
      </c>
      <c r="D111" s="46">
        <f>'Facility Risk - Microsoft'!$C111/$C$151</f>
        <v>0</v>
      </c>
    </row>
    <row r="112" spans="1:4" ht="19" x14ac:dyDescent="0.25">
      <c r="A112" s="58" t="s">
        <v>147</v>
      </c>
      <c r="B112" s="155">
        <v>4.1500000000000004</v>
      </c>
      <c r="C112" s="8">
        <v>0</v>
      </c>
      <c r="D112" s="45">
        <f>'Facility Risk - Microsoft'!$C112/$C$151</f>
        <v>0</v>
      </c>
    </row>
    <row r="113" spans="1:4" ht="19" x14ac:dyDescent="0.25">
      <c r="A113" s="57" t="s">
        <v>148</v>
      </c>
      <c r="B113" s="156">
        <v>3.43</v>
      </c>
      <c r="C113" s="9">
        <v>0</v>
      </c>
      <c r="D113" s="46">
        <f>'Facility Risk - Microsoft'!$C113/$C$151</f>
        <v>0</v>
      </c>
    </row>
    <row r="114" spans="1:4" ht="19" x14ac:dyDescent="0.25">
      <c r="A114" s="58" t="s">
        <v>149</v>
      </c>
      <c r="B114" s="93">
        <v>3.2</v>
      </c>
      <c r="C114" s="8">
        <v>0</v>
      </c>
      <c r="D114" s="45">
        <f>'Facility Risk - Microsoft'!$C114/$C$151</f>
        <v>0</v>
      </c>
    </row>
    <row r="115" spans="1:4" ht="19" x14ac:dyDescent="0.25">
      <c r="A115" s="57" t="s">
        <v>150</v>
      </c>
      <c r="B115" s="157">
        <v>4.05</v>
      </c>
      <c r="C115" s="9">
        <v>0</v>
      </c>
      <c r="D115" s="46">
        <f>'Facility Risk - Microsoft'!$C115/$C$151</f>
        <v>0</v>
      </c>
    </row>
    <row r="116" spans="1:4" ht="19" x14ac:dyDescent="0.25">
      <c r="A116" s="58" t="s">
        <v>151</v>
      </c>
      <c r="B116" s="158">
        <v>5.96</v>
      </c>
      <c r="C116" s="8">
        <v>0</v>
      </c>
      <c r="D116" s="45">
        <f>'Facility Risk - Microsoft'!$C116/$C$151</f>
        <v>0</v>
      </c>
    </row>
    <row r="117" spans="1:4" ht="19" x14ac:dyDescent="0.25">
      <c r="A117" s="57" t="s">
        <v>152</v>
      </c>
      <c r="B117" s="159">
        <v>5.47</v>
      </c>
      <c r="C117" s="9">
        <v>0</v>
      </c>
      <c r="D117" s="46">
        <f>'Facility Risk - Microsoft'!$C117/$C$151</f>
        <v>0</v>
      </c>
    </row>
    <row r="118" spans="1:4" ht="19" x14ac:dyDescent="0.25">
      <c r="A118" s="58" t="s">
        <v>153</v>
      </c>
      <c r="B118" s="79">
        <v>4.42</v>
      </c>
      <c r="C118" s="8">
        <v>0</v>
      </c>
      <c r="D118" s="45">
        <f>'Facility Risk - Microsoft'!$C118/$C$151</f>
        <v>0</v>
      </c>
    </row>
    <row r="119" spans="1:4" ht="19" x14ac:dyDescent="0.25">
      <c r="A119" s="57" t="s">
        <v>154</v>
      </c>
      <c r="B119" s="160">
        <v>5.4</v>
      </c>
      <c r="C119" s="9">
        <v>0</v>
      </c>
      <c r="D119" s="46">
        <f>'Facility Risk - Microsoft'!$C119/$C$151</f>
        <v>0</v>
      </c>
    </row>
    <row r="120" spans="1:4" ht="19" x14ac:dyDescent="0.25">
      <c r="A120" s="58" t="s">
        <v>155</v>
      </c>
      <c r="B120" s="161">
        <v>5.04</v>
      </c>
      <c r="C120" s="8">
        <v>0</v>
      </c>
      <c r="D120" s="45">
        <f>'Facility Risk - Microsoft'!$C120/$C$151</f>
        <v>0</v>
      </c>
    </row>
    <row r="121" spans="1:4" ht="19" x14ac:dyDescent="0.25">
      <c r="A121" s="57" t="s">
        <v>156</v>
      </c>
      <c r="B121" s="162">
        <v>5.64</v>
      </c>
      <c r="C121" s="9">
        <v>0</v>
      </c>
      <c r="D121" s="46">
        <f>'Facility Risk - Microsoft'!$C121/$C$151</f>
        <v>0</v>
      </c>
    </row>
    <row r="122" spans="1:4" ht="19" x14ac:dyDescent="0.25">
      <c r="A122" s="58" t="s">
        <v>157</v>
      </c>
      <c r="B122" s="163">
        <v>3.04</v>
      </c>
      <c r="C122" s="8">
        <v>0</v>
      </c>
      <c r="D122" s="45">
        <f>'Facility Risk - Microsoft'!$C122/$C$151</f>
        <v>0</v>
      </c>
    </row>
    <row r="123" spans="1:4" ht="19" x14ac:dyDescent="0.25">
      <c r="A123" s="57" t="s">
        <v>158</v>
      </c>
      <c r="B123" s="164">
        <v>3.79</v>
      </c>
      <c r="C123" s="9">
        <v>0</v>
      </c>
      <c r="D123" s="46">
        <f>'Facility Risk - Microsoft'!$C123/$C$151</f>
        <v>0</v>
      </c>
    </row>
    <row r="124" spans="1:4" ht="19" x14ac:dyDescent="0.25">
      <c r="A124" s="58" t="s">
        <v>159</v>
      </c>
      <c r="B124" s="165">
        <v>3.48</v>
      </c>
      <c r="C124" s="8">
        <v>0</v>
      </c>
      <c r="D124" s="45">
        <f>'Facility Risk - Microsoft'!$C124/$C$151</f>
        <v>0</v>
      </c>
    </row>
    <row r="125" spans="1:4" ht="19" x14ac:dyDescent="0.25">
      <c r="A125" s="57" t="s">
        <v>160</v>
      </c>
      <c r="B125" s="166">
        <v>5.22</v>
      </c>
      <c r="C125" s="9">
        <v>0</v>
      </c>
      <c r="D125" s="46">
        <f>'Facility Risk - Microsoft'!$C125/$C$151</f>
        <v>0</v>
      </c>
    </row>
    <row r="126" spans="1:4" ht="19" x14ac:dyDescent="0.25">
      <c r="A126" s="58" t="s">
        <v>161</v>
      </c>
      <c r="B126" s="167">
        <v>3.57</v>
      </c>
      <c r="C126" s="8">
        <v>0</v>
      </c>
      <c r="D126" s="45">
        <f>'Facility Risk - Microsoft'!$C126/$C$151</f>
        <v>0</v>
      </c>
    </row>
    <row r="127" spans="1:4" ht="19" x14ac:dyDescent="0.25">
      <c r="A127" s="57" t="s">
        <v>162</v>
      </c>
      <c r="B127" s="168">
        <v>3.7</v>
      </c>
      <c r="C127" s="9">
        <v>0</v>
      </c>
      <c r="D127" s="46">
        <f>'Facility Risk - Microsoft'!$C127/$C$151</f>
        <v>0</v>
      </c>
    </row>
    <row r="128" spans="1:4" ht="19" x14ac:dyDescent="0.25">
      <c r="A128" s="58" t="s">
        <v>163</v>
      </c>
      <c r="B128" s="169">
        <v>5.1100000000000003</v>
      </c>
      <c r="C128" s="8">
        <v>0</v>
      </c>
      <c r="D128" s="45">
        <f>'Facility Risk - Microsoft'!$C128/$C$151</f>
        <v>0</v>
      </c>
    </row>
    <row r="129" spans="1:4" ht="19" x14ac:dyDescent="0.25">
      <c r="A129" s="57" t="s">
        <v>164</v>
      </c>
      <c r="B129" s="137">
        <v>7.1</v>
      </c>
      <c r="C129" s="9">
        <v>0</v>
      </c>
      <c r="D129" s="46">
        <f>'Facility Risk - Microsoft'!$C129/$C$151</f>
        <v>0</v>
      </c>
    </row>
    <row r="130" spans="1:4" ht="19" x14ac:dyDescent="0.25">
      <c r="A130" s="58" t="s">
        <v>165</v>
      </c>
      <c r="B130" s="170">
        <v>3.52</v>
      </c>
      <c r="C130" s="8">
        <v>0</v>
      </c>
      <c r="D130" s="45">
        <f>'Facility Risk - Microsoft'!$C130/$C$151</f>
        <v>0</v>
      </c>
    </row>
    <row r="131" spans="1:4" ht="19" x14ac:dyDescent="0.25">
      <c r="A131" s="57" t="s">
        <v>166</v>
      </c>
      <c r="B131" s="171">
        <v>2.78</v>
      </c>
      <c r="C131" s="9">
        <v>0</v>
      </c>
      <c r="D131" s="46">
        <f>'Facility Risk - Microsoft'!$C131/$C$151</f>
        <v>0</v>
      </c>
    </row>
    <row r="132" spans="1:4" ht="19" x14ac:dyDescent="0.25">
      <c r="A132" s="59" t="s">
        <v>167</v>
      </c>
      <c r="B132" s="172">
        <v>7.33</v>
      </c>
      <c r="C132" s="8">
        <v>0</v>
      </c>
      <c r="D132" s="45">
        <f>'Facility Risk - Microsoft'!$C132/$C$151</f>
        <v>0</v>
      </c>
    </row>
    <row r="133" spans="1:4" ht="19" x14ac:dyDescent="0.25">
      <c r="A133" s="57" t="s">
        <v>168</v>
      </c>
      <c r="B133" s="173">
        <v>5.69</v>
      </c>
      <c r="C133" s="9">
        <v>0</v>
      </c>
      <c r="D133" s="46">
        <f>'Facility Risk - Microsoft'!$C133/$C$151</f>
        <v>0</v>
      </c>
    </row>
    <row r="134" spans="1:4" ht="19" x14ac:dyDescent="0.25">
      <c r="A134" s="58" t="s">
        <v>169</v>
      </c>
      <c r="B134" s="63">
        <v>5.21</v>
      </c>
      <c r="C134" s="8">
        <v>0</v>
      </c>
      <c r="D134" s="45">
        <f>'Facility Risk - Microsoft'!$C134/$C$151</f>
        <v>0</v>
      </c>
    </row>
    <row r="135" spans="1:4" ht="19" x14ac:dyDescent="0.25">
      <c r="A135" s="57" t="s">
        <v>170</v>
      </c>
      <c r="B135" s="174">
        <v>5.15</v>
      </c>
      <c r="C135" s="9">
        <v>0</v>
      </c>
      <c r="D135" s="46">
        <f>'Facility Risk - Microsoft'!$C135/$C$151</f>
        <v>0</v>
      </c>
    </row>
    <row r="136" spans="1:4" ht="19" x14ac:dyDescent="0.25">
      <c r="A136" s="58" t="s">
        <v>171</v>
      </c>
      <c r="B136" s="175">
        <v>5.87</v>
      </c>
      <c r="C136" s="8">
        <v>0</v>
      </c>
      <c r="D136" s="45">
        <f>'Facility Risk - Microsoft'!$C136/$C$151</f>
        <v>0</v>
      </c>
    </row>
    <row r="137" spans="1:4" ht="19" x14ac:dyDescent="0.25">
      <c r="A137" s="57" t="s">
        <v>172</v>
      </c>
      <c r="B137" s="176">
        <v>4.38</v>
      </c>
      <c r="C137" s="9">
        <v>0</v>
      </c>
      <c r="D137" s="46">
        <f>'Facility Risk - Microsoft'!$C137/$C$151</f>
        <v>0</v>
      </c>
    </row>
    <row r="138" spans="1:4" ht="19" x14ac:dyDescent="0.25">
      <c r="A138" s="58" t="s">
        <v>173</v>
      </c>
      <c r="B138" s="177">
        <v>5.13</v>
      </c>
      <c r="C138" s="8">
        <v>0</v>
      </c>
      <c r="D138" s="45">
        <f>'Facility Risk - Microsoft'!$C138/$C$151</f>
        <v>0</v>
      </c>
    </row>
    <row r="139" spans="1:4" ht="19" x14ac:dyDescent="0.25">
      <c r="A139" s="57" t="s">
        <v>174</v>
      </c>
      <c r="B139" s="178">
        <v>5.26</v>
      </c>
      <c r="C139" s="9">
        <v>0</v>
      </c>
      <c r="D139" s="46">
        <f>'Facility Risk - Microsoft'!$C139/$C$151</f>
        <v>0</v>
      </c>
    </row>
    <row r="140" spans="1:4" ht="19" x14ac:dyDescent="0.25">
      <c r="A140" s="58" t="s">
        <v>175</v>
      </c>
      <c r="B140" s="179">
        <v>6.29</v>
      </c>
      <c r="C140" s="8">
        <v>0</v>
      </c>
      <c r="D140" s="45">
        <f>'Facility Risk - Microsoft'!$C140/$C$151</f>
        <v>0</v>
      </c>
    </row>
    <row r="141" spans="1:4" ht="19" x14ac:dyDescent="0.25">
      <c r="A141" s="57" t="s">
        <v>176</v>
      </c>
      <c r="B141" s="180">
        <v>6.35</v>
      </c>
      <c r="C141" s="9">
        <v>0</v>
      </c>
      <c r="D141" s="46">
        <f>'Facility Risk - Microsoft'!$C141/$C$151</f>
        <v>0</v>
      </c>
    </row>
    <row r="142" spans="1:4" ht="19" x14ac:dyDescent="0.25">
      <c r="A142" s="58" t="s">
        <v>177</v>
      </c>
      <c r="B142" s="181">
        <v>3.72</v>
      </c>
      <c r="C142" s="8">
        <v>0</v>
      </c>
      <c r="D142" s="45">
        <f>'Facility Risk - Microsoft'!$C142/$C$151</f>
        <v>0</v>
      </c>
    </row>
    <row r="143" spans="1:4" ht="19" x14ac:dyDescent="0.25">
      <c r="A143" s="57" t="s">
        <v>178</v>
      </c>
      <c r="B143" s="145">
        <v>3.32</v>
      </c>
      <c r="C143" s="9">
        <v>0.1</v>
      </c>
      <c r="D143" s="46">
        <f>'Facility Risk - Microsoft'!$C143/$C$151</f>
        <v>0.10000000000000002</v>
      </c>
    </row>
    <row r="144" spans="1:4" ht="19" x14ac:dyDescent="0.25">
      <c r="A144" s="58" t="s">
        <v>179</v>
      </c>
      <c r="B144" s="182">
        <v>4.1900000000000004</v>
      </c>
      <c r="C144" s="8">
        <v>0.3</v>
      </c>
      <c r="D144" s="45">
        <f>'Facility Risk - Microsoft'!$C144/$C$151</f>
        <v>0.30000000000000004</v>
      </c>
    </row>
    <row r="145" spans="1:4" ht="19" x14ac:dyDescent="0.25">
      <c r="A145" s="57" t="s">
        <v>180</v>
      </c>
      <c r="B145" s="183">
        <v>3.91</v>
      </c>
      <c r="C145" s="9">
        <v>0</v>
      </c>
      <c r="D145" s="46">
        <f>'Facility Risk - Microsoft'!$C145/$C$151</f>
        <v>0</v>
      </c>
    </row>
    <row r="146" spans="1:4" ht="19" x14ac:dyDescent="0.25">
      <c r="A146" s="58" t="s">
        <v>181</v>
      </c>
      <c r="B146" s="112">
        <v>5.77</v>
      </c>
      <c r="C146" s="8">
        <v>0</v>
      </c>
      <c r="D146" s="45">
        <f>'Facility Risk - Microsoft'!$C146/$C$151</f>
        <v>0</v>
      </c>
    </row>
    <row r="147" spans="1:4" ht="19" x14ac:dyDescent="0.25">
      <c r="A147" s="57" t="s">
        <v>182</v>
      </c>
      <c r="B147" s="184">
        <v>4.32</v>
      </c>
      <c r="C147" s="9">
        <v>0.1</v>
      </c>
      <c r="D147" s="46">
        <f>'Facility Risk - Microsoft'!$C147/$C$151</f>
        <v>0.10000000000000002</v>
      </c>
    </row>
    <row r="148" spans="1:4" ht="19" x14ac:dyDescent="0.25">
      <c r="A148" s="58" t="s">
        <v>183</v>
      </c>
      <c r="B148" s="70">
        <v>6.3</v>
      </c>
      <c r="C148" s="8">
        <v>0</v>
      </c>
      <c r="D148" s="45">
        <f>'Facility Risk - Microsoft'!$C148/$C$151</f>
        <v>0</v>
      </c>
    </row>
    <row r="149" spans="1:4" ht="19" x14ac:dyDescent="0.25">
      <c r="A149" s="57" t="s">
        <v>184</v>
      </c>
      <c r="B149" s="185">
        <v>4.95</v>
      </c>
      <c r="C149" s="9">
        <v>0</v>
      </c>
      <c r="D149" s="46">
        <f>'Facility Risk - Microsoft'!$C149/$C$151</f>
        <v>0</v>
      </c>
    </row>
    <row r="150" spans="1:4" ht="19" x14ac:dyDescent="0.25">
      <c r="A150" s="60" t="s">
        <v>185</v>
      </c>
      <c r="B150" s="186">
        <v>6.14</v>
      </c>
      <c r="C150" s="10">
        <v>0</v>
      </c>
      <c r="D150" s="47">
        <f>'Facility Risk - Microsoft'!$C150/$C$151</f>
        <v>0</v>
      </c>
    </row>
    <row r="151" spans="1:4" ht="19" x14ac:dyDescent="0.25">
      <c r="A151" s="61" t="s">
        <v>186</v>
      </c>
      <c r="B151" s="5"/>
      <c r="C151" s="6">
        <f>SUM(C4:C150)</f>
        <v>0.99999999999999989</v>
      </c>
      <c r="D151" s="48">
        <f>SUM(D4:D150)</f>
        <v>1.0000000000000002</v>
      </c>
    </row>
  </sheetData>
  <mergeCells count="1">
    <mergeCell ref="A1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4CAE-7B25-9E47-9BFB-7042B2682A1B}">
  <dimension ref="A1:J151"/>
  <sheetViews>
    <sheetView topLeftCell="A46" workbookViewId="0">
      <selection activeCell="I17" sqref="I17"/>
    </sheetView>
  </sheetViews>
  <sheetFormatPr baseColWidth="10" defaultColWidth="11" defaultRowHeight="16" x14ac:dyDescent="0.2"/>
  <cols>
    <col min="1" max="1" width="23" bestFit="1" customWidth="1"/>
    <col min="2" max="2" width="32" bestFit="1" customWidth="1"/>
    <col min="3" max="3" width="33.6640625" bestFit="1" customWidth="1"/>
    <col min="4" max="4" width="42.6640625" bestFit="1" customWidth="1"/>
    <col min="5" max="5" width="16" bestFit="1" customWidth="1"/>
    <col min="7" max="7" width="29.33203125" bestFit="1" customWidth="1"/>
    <col min="8" max="8" width="8.5" bestFit="1" customWidth="1"/>
    <col min="9" max="9" width="22.5" bestFit="1" customWidth="1"/>
    <col min="10" max="10" width="12.33203125" bestFit="1" customWidth="1"/>
  </cols>
  <sheetData>
    <row r="1" spans="1:10" ht="17" customHeight="1" x14ac:dyDescent="0.2">
      <c r="A1" s="188" t="s">
        <v>9</v>
      </c>
      <c r="B1" s="189"/>
      <c r="C1" s="189"/>
      <c r="D1" s="189"/>
    </row>
    <row r="2" spans="1:10" ht="17" customHeight="1" thickBot="1" x14ac:dyDescent="0.25">
      <c r="A2" s="190"/>
      <c r="B2" s="191"/>
      <c r="C2" s="191"/>
      <c r="D2" s="191"/>
    </row>
    <row r="3" spans="1:10" ht="20" thickTop="1" x14ac:dyDescent="0.25">
      <c r="A3" s="12" t="s">
        <v>27</v>
      </c>
      <c r="B3" s="13" t="s">
        <v>28</v>
      </c>
      <c r="C3" s="14" t="s">
        <v>29</v>
      </c>
      <c r="D3" s="7" t="s">
        <v>30</v>
      </c>
    </row>
    <row r="4" spans="1:10" ht="20" thickBot="1" x14ac:dyDescent="0.3">
      <c r="A4" s="56" t="s">
        <v>31</v>
      </c>
      <c r="B4" s="62">
        <v>4.37</v>
      </c>
      <c r="C4" s="15">
        <v>0</v>
      </c>
      <c r="D4" s="45">
        <f>'Facility Risk - NVIDIA'!$C4/$C$151</f>
        <v>0</v>
      </c>
    </row>
    <row r="5" spans="1:10" ht="20" thickBot="1" x14ac:dyDescent="0.3">
      <c r="A5" s="57" t="s">
        <v>32</v>
      </c>
      <c r="B5" s="63">
        <v>5.21</v>
      </c>
      <c r="C5" s="9">
        <v>0</v>
      </c>
      <c r="D5" s="46">
        <f>'Facility Risk - NVIDIA'!$C5/$C$151</f>
        <v>0</v>
      </c>
      <c r="G5" s="32" t="s">
        <v>33</v>
      </c>
      <c r="H5" s="33"/>
      <c r="I5" s="33"/>
      <c r="J5" s="34"/>
    </row>
    <row r="6" spans="1:10" ht="20" thickBot="1" x14ac:dyDescent="0.3">
      <c r="A6" s="58" t="s">
        <v>34</v>
      </c>
      <c r="B6" s="64">
        <v>5.63</v>
      </c>
      <c r="C6" s="8">
        <v>0</v>
      </c>
      <c r="D6" s="45">
        <f>'Facility Risk - NVIDIA'!$C6/$C$151</f>
        <v>0</v>
      </c>
      <c r="G6" s="20"/>
      <c r="H6" s="21" t="s">
        <v>35</v>
      </c>
      <c r="I6" s="22" t="s">
        <v>36</v>
      </c>
      <c r="J6" s="23" t="s">
        <v>37</v>
      </c>
    </row>
    <row r="7" spans="1:10" ht="19" x14ac:dyDescent="0.25">
      <c r="A7" s="57" t="s">
        <v>38</v>
      </c>
      <c r="B7" s="65">
        <v>4.3600000000000003</v>
      </c>
      <c r="C7" s="9">
        <v>0</v>
      </c>
      <c r="D7" s="46">
        <f>'Facility Risk - NVIDIA'!$C7/$C$151</f>
        <v>0</v>
      </c>
      <c r="G7" s="24" t="s">
        <v>39</v>
      </c>
      <c r="H7" s="25" t="str">
        <f>INDEX(A4:A150,MATCH(MIN(D4:D150),D4:D150,0))</f>
        <v>Albania</v>
      </c>
      <c r="I7" s="25">
        <f>INDEX(B4:B150,MATCH(MIN(D4:D150),D4:D150,0))</f>
        <v>4.37</v>
      </c>
      <c r="J7" s="26">
        <f>INDEX(D4:D150,MATCH(MIN(D4:D150),D4:D150,0))</f>
        <v>0</v>
      </c>
    </row>
    <row r="8" spans="1:10" ht="20" thickBot="1" x14ac:dyDescent="0.3">
      <c r="A8" s="58" t="s">
        <v>40</v>
      </c>
      <c r="B8" s="66">
        <v>4.79</v>
      </c>
      <c r="C8" s="8">
        <v>0</v>
      </c>
      <c r="D8" s="45">
        <f>'Facility Risk - NVIDIA'!$C8/$C$151</f>
        <v>0</v>
      </c>
      <c r="G8" s="27" t="s">
        <v>41</v>
      </c>
      <c r="H8" s="28" t="str">
        <f>INDEX(A4:A150,MATCH(MAX(D4:D150),D4:D150,0))</f>
        <v>Israel</v>
      </c>
      <c r="I8" s="28">
        <f>INDEX(B4:B150,MATCH(MAX(D4:D150),D4:D150,0))</f>
        <v>4.6100000000000003</v>
      </c>
      <c r="J8" s="31">
        <f>INDEX(D4:D150,MATCH(MAX(D4:D150),D4:D150,0))</f>
        <v>0.5</v>
      </c>
    </row>
    <row r="9" spans="1:10" ht="23" thickBot="1" x14ac:dyDescent="0.35">
      <c r="A9" s="57" t="s">
        <v>42</v>
      </c>
      <c r="B9" s="67">
        <v>3.22</v>
      </c>
      <c r="C9" s="9">
        <v>0</v>
      </c>
      <c r="D9" s="46">
        <f>'Facility Risk - NVIDIA'!$C9/$C$151</f>
        <v>0</v>
      </c>
      <c r="G9" s="30" t="s">
        <v>43</v>
      </c>
      <c r="H9" s="29"/>
      <c r="I9" s="29"/>
      <c r="J9" s="187">
        <f>SUMPRODUCT(B4:B150,D4:D150)</f>
        <v>4.4000000000000004</v>
      </c>
    </row>
    <row r="10" spans="1:10" ht="19" x14ac:dyDescent="0.25">
      <c r="A10" s="58" t="s">
        <v>44</v>
      </c>
      <c r="B10" s="68">
        <v>3.41</v>
      </c>
      <c r="C10" s="8">
        <v>0</v>
      </c>
      <c r="D10" s="45">
        <f>'Facility Risk - NVIDIA'!$C10/$C$151</f>
        <v>0</v>
      </c>
    </row>
    <row r="11" spans="1:10" ht="19" x14ac:dyDescent="0.25">
      <c r="A11" s="57" t="s">
        <v>45</v>
      </c>
      <c r="B11" s="63">
        <v>5.21</v>
      </c>
      <c r="C11" s="9">
        <v>0</v>
      </c>
      <c r="D11" s="46">
        <f>'Facility Risk - NVIDIA'!$C11/$C$151</f>
        <v>0</v>
      </c>
    </row>
    <row r="12" spans="1:10" ht="19" x14ac:dyDescent="0.25">
      <c r="A12" s="58" t="s">
        <v>46</v>
      </c>
      <c r="B12" s="69">
        <v>4.26</v>
      </c>
      <c r="C12" s="8">
        <v>0</v>
      </c>
      <c r="D12" s="45">
        <f>'Facility Risk - NVIDIA'!$C12/$C$151</f>
        <v>0</v>
      </c>
    </row>
    <row r="13" spans="1:10" ht="19" x14ac:dyDescent="0.25">
      <c r="A13" s="57" t="s">
        <v>47</v>
      </c>
      <c r="B13" s="70">
        <v>6.29</v>
      </c>
      <c r="C13" s="9">
        <v>0</v>
      </c>
      <c r="D13" s="46">
        <f>'Facility Risk - NVIDIA'!$C13/$C$151</f>
        <v>0</v>
      </c>
    </row>
    <row r="14" spans="1:10" ht="19" x14ac:dyDescent="0.25">
      <c r="A14" s="58" t="s">
        <v>48</v>
      </c>
      <c r="B14" s="71">
        <v>5.45</v>
      </c>
      <c r="C14" s="8">
        <v>0</v>
      </c>
      <c r="D14" s="45">
        <f>'Facility Risk - NVIDIA'!$C14/$C$151</f>
        <v>0</v>
      </c>
    </row>
    <row r="15" spans="1:10" ht="19" x14ac:dyDescent="0.25">
      <c r="A15" s="57" t="s">
        <v>49</v>
      </c>
      <c r="B15" s="72">
        <v>3.33</v>
      </c>
      <c r="C15" s="9">
        <v>0</v>
      </c>
      <c r="D15" s="46">
        <f>'Facility Risk - NVIDIA'!$C15/$C$151</f>
        <v>0</v>
      </c>
    </row>
    <row r="16" spans="1:10" ht="19" x14ac:dyDescent="0.25">
      <c r="A16" s="58" t="s">
        <v>50</v>
      </c>
      <c r="B16" s="73">
        <v>6</v>
      </c>
      <c r="C16" s="8">
        <v>0</v>
      </c>
      <c r="D16" s="45">
        <f>'Facility Risk - NVIDIA'!$C16/$C$151</f>
        <v>0</v>
      </c>
    </row>
    <row r="17" spans="1:5" ht="19" x14ac:dyDescent="0.25">
      <c r="A17" s="57" t="s">
        <v>51</v>
      </c>
      <c r="B17" s="74">
        <v>5.0199999999999996</v>
      </c>
      <c r="C17" s="9">
        <v>0</v>
      </c>
      <c r="D17" s="46">
        <f>'Facility Risk - NVIDIA'!$C17/$C$151</f>
        <v>0</v>
      </c>
    </row>
    <row r="18" spans="1:5" ht="19" x14ac:dyDescent="0.25">
      <c r="A18" s="58" t="s">
        <v>52</v>
      </c>
      <c r="B18" s="75">
        <v>5.41</v>
      </c>
      <c r="C18" s="8">
        <v>0</v>
      </c>
      <c r="D18" s="45">
        <f>'Facility Risk - NVIDIA'!$C18/$C$151</f>
        <v>0</v>
      </c>
    </row>
    <row r="19" spans="1:5" ht="19" x14ac:dyDescent="0.25">
      <c r="A19" s="57" t="s">
        <v>53</v>
      </c>
      <c r="B19" s="76">
        <v>5.34</v>
      </c>
      <c r="C19" s="9">
        <v>0</v>
      </c>
      <c r="D19" s="46">
        <f>'Facility Risk - NVIDIA'!$C19/$C$151</f>
        <v>0</v>
      </c>
    </row>
    <row r="20" spans="1:5" ht="19" x14ac:dyDescent="0.25">
      <c r="A20" s="58" t="s">
        <v>54</v>
      </c>
      <c r="B20" s="77">
        <v>4.34</v>
      </c>
      <c r="C20" s="8">
        <v>0</v>
      </c>
      <c r="D20" s="45">
        <f>'Facility Risk - NVIDIA'!$C20/$C$151</f>
        <v>0</v>
      </c>
    </row>
    <row r="21" spans="1:5" ht="19" x14ac:dyDescent="0.25">
      <c r="A21" s="57" t="s">
        <v>55</v>
      </c>
      <c r="B21" s="78">
        <v>5.35</v>
      </c>
      <c r="C21" s="9">
        <v>0</v>
      </c>
      <c r="D21" s="46">
        <f>'Facility Risk - NVIDIA'!$C21/$C$151</f>
        <v>0</v>
      </c>
    </row>
    <row r="22" spans="1:5" ht="19" x14ac:dyDescent="0.25">
      <c r="A22" s="58" t="s">
        <v>56</v>
      </c>
      <c r="B22" s="79">
        <v>4.43</v>
      </c>
      <c r="C22" s="8">
        <v>0</v>
      </c>
      <c r="D22" s="45">
        <f>'Facility Risk - NVIDIA'!$C22/$C$151</f>
        <v>0</v>
      </c>
    </row>
    <row r="23" spans="1:5" ht="19" x14ac:dyDescent="0.25">
      <c r="A23" s="57" t="s">
        <v>57</v>
      </c>
      <c r="B23" s="80">
        <v>6.55</v>
      </c>
      <c r="C23" s="9">
        <v>0</v>
      </c>
      <c r="D23" s="46">
        <f>'Facility Risk - NVIDIA'!$C23/$C$151</f>
        <v>0</v>
      </c>
    </row>
    <row r="24" spans="1:5" ht="19" x14ac:dyDescent="0.25">
      <c r="A24" s="58" t="s">
        <v>58</v>
      </c>
      <c r="B24" s="81">
        <v>6.33</v>
      </c>
      <c r="C24" s="8">
        <v>0</v>
      </c>
      <c r="D24" s="45">
        <f>'Facility Risk - NVIDIA'!$C24/$C$151</f>
        <v>0</v>
      </c>
    </row>
    <row r="25" spans="1:5" ht="19" x14ac:dyDescent="0.25">
      <c r="A25" s="57" t="s">
        <v>59</v>
      </c>
      <c r="B25" s="64">
        <v>5.64</v>
      </c>
      <c r="C25" s="9">
        <v>0</v>
      </c>
      <c r="D25" s="46">
        <f>'Facility Risk - NVIDIA'!$C25/$C$151</f>
        <v>0</v>
      </c>
    </row>
    <row r="26" spans="1:5" ht="19" x14ac:dyDescent="0.25">
      <c r="A26" s="58" t="s">
        <v>60</v>
      </c>
      <c r="B26" s="82">
        <v>6.83</v>
      </c>
      <c r="C26" s="8">
        <v>0</v>
      </c>
      <c r="D26" s="45">
        <f>'Facility Risk - NVIDIA'!$C26/$C$151</f>
        <v>0</v>
      </c>
    </row>
    <row r="27" spans="1:5" ht="19" x14ac:dyDescent="0.25">
      <c r="A27" s="57" t="s">
        <v>61</v>
      </c>
      <c r="B27" s="83">
        <v>3.44</v>
      </c>
      <c r="C27" s="9">
        <v>0</v>
      </c>
      <c r="D27" s="46">
        <f>'Facility Risk - NVIDIA'!$C27/$C$151</f>
        <v>0</v>
      </c>
    </row>
    <row r="28" spans="1:5" ht="19" x14ac:dyDescent="0.25">
      <c r="A28" s="58" t="s">
        <v>62</v>
      </c>
      <c r="B28" s="84">
        <v>6.79</v>
      </c>
      <c r="C28" s="8">
        <v>0</v>
      </c>
      <c r="D28" s="45">
        <f>'Facility Risk - NVIDIA'!$C28/$C$151</f>
        <v>0</v>
      </c>
    </row>
    <row r="29" spans="1:5" ht="19" x14ac:dyDescent="0.25">
      <c r="A29" s="57" t="s">
        <v>63</v>
      </c>
      <c r="B29" s="82">
        <v>6.84</v>
      </c>
      <c r="C29" s="9">
        <v>0</v>
      </c>
      <c r="D29" s="46">
        <f>'Facility Risk - NVIDIA'!$C29/$C$151</f>
        <v>0</v>
      </c>
    </row>
    <row r="30" spans="1:5" ht="19" x14ac:dyDescent="0.25">
      <c r="A30" s="58" t="s">
        <v>64</v>
      </c>
      <c r="B30" s="65">
        <v>4.3600000000000003</v>
      </c>
      <c r="C30" s="8">
        <v>0</v>
      </c>
      <c r="D30" s="45">
        <f>'Facility Risk - NVIDIA'!$C30/$C$151</f>
        <v>0</v>
      </c>
    </row>
    <row r="31" spans="1:5" ht="19" x14ac:dyDescent="0.25">
      <c r="A31" s="57" t="s">
        <v>65</v>
      </c>
      <c r="B31" s="85">
        <v>4.26</v>
      </c>
      <c r="C31" s="9">
        <v>0</v>
      </c>
      <c r="D31" s="46">
        <f>'Facility Risk - NVIDIA'!$C31/$C$151</f>
        <v>0</v>
      </c>
      <c r="E31" s="50" t="s">
        <v>66</v>
      </c>
    </row>
    <row r="32" spans="1:5" ht="19" x14ac:dyDescent="0.25">
      <c r="A32" s="58" t="s">
        <v>67</v>
      </c>
      <c r="B32" s="86">
        <v>5.72</v>
      </c>
      <c r="C32" s="8">
        <v>0</v>
      </c>
      <c r="D32" s="45">
        <f>'Facility Risk - NVIDIA'!$C32/$C$151</f>
        <v>0</v>
      </c>
    </row>
    <row r="33" spans="1:4" ht="19" x14ac:dyDescent="0.25">
      <c r="A33" s="57" t="s">
        <v>68</v>
      </c>
      <c r="B33" s="87">
        <v>5.65</v>
      </c>
      <c r="C33" s="9">
        <v>0</v>
      </c>
      <c r="D33" s="46">
        <f>'Facility Risk - NVIDIA'!$C33/$C$151</f>
        <v>0</v>
      </c>
    </row>
    <row r="34" spans="1:4" ht="19" x14ac:dyDescent="0.25">
      <c r="A34" s="58" t="s">
        <v>69</v>
      </c>
      <c r="B34" s="88">
        <v>4.2300000000000004</v>
      </c>
      <c r="C34" s="8">
        <v>0</v>
      </c>
      <c r="D34" s="45">
        <f>'Facility Risk - NVIDIA'!$C34/$C$151</f>
        <v>0</v>
      </c>
    </row>
    <row r="35" spans="1:4" ht="19" x14ac:dyDescent="0.25">
      <c r="A35" s="57" t="s">
        <v>70</v>
      </c>
      <c r="B35" s="89">
        <v>5.6</v>
      </c>
      <c r="C35" s="9">
        <v>0</v>
      </c>
      <c r="D35" s="46">
        <f>'Facility Risk - NVIDIA'!$C35/$C$151</f>
        <v>0</v>
      </c>
    </row>
    <row r="36" spans="1:4" ht="19" x14ac:dyDescent="0.25">
      <c r="A36" s="58" t="s">
        <v>71</v>
      </c>
      <c r="B36" s="90">
        <v>4.28</v>
      </c>
      <c r="C36" s="8">
        <v>0</v>
      </c>
      <c r="D36" s="45">
        <f>'Facility Risk - NVIDIA'!$C36/$C$151</f>
        <v>0</v>
      </c>
    </row>
    <row r="37" spans="1:4" ht="19" x14ac:dyDescent="0.25">
      <c r="A37" s="57" t="s">
        <v>72</v>
      </c>
      <c r="B37" s="91">
        <v>4.67</v>
      </c>
      <c r="C37" s="9">
        <v>0</v>
      </c>
      <c r="D37" s="46">
        <f>'Facility Risk - NVIDIA'!$C37/$C$151</f>
        <v>0</v>
      </c>
    </row>
    <row r="38" spans="1:4" ht="19" x14ac:dyDescent="0.25">
      <c r="A38" s="58" t="s">
        <v>73</v>
      </c>
      <c r="B38" s="92">
        <v>3.75</v>
      </c>
      <c r="C38" s="8">
        <v>0</v>
      </c>
      <c r="D38" s="45">
        <f>'Facility Risk - NVIDIA'!$C38/$C$151</f>
        <v>0</v>
      </c>
    </row>
    <row r="39" spans="1:4" ht="19" x14ac:dyDescent="0.25">
      <c r="A39" s="57" t="s">
        <v>74</v>
      </c>
      <c r="B39" s="93">
        <v>3.2</v>
      </c>
      <c r="C39" s="9">
        <v>0</v>
      </c>
      <c r="D39" s="46">
        <f>'Facility Risk - NVIDIA'!$C39/$C$151</f>
        <v>0</v>
      </c>
    </row>
    <row r="40" spans="1:4" ht="19" x14ac:dyDescent="0.25">
      <c r="A40" s="58" t="s">
        <v>75</v>
      </c>
      <c r="B40" s="94">
        <v>5.98</v>
      </c>
      <c r="C40" s="8">
        <v>0</v>
      </c>
      <c r="D40" s="45">
        <f>'Facility Risk - NVIDIA'!$C40/$C$151</f>
        <v>0</v>
      </c>
    </row>
    <row r="41" spans="1:4" ht="19" x14ac:dyDescent="0.25">
      <c r="A41" s="57" t="s">
        <v>76</v>
      </c>
      <c r="B41" s="95">
        <v>4.7</v>
      </c>
      <c r="C41" s="9">
        <v>0</v>
      </c>
      <c r="D41" s="46">
        <f>'Facility Risk - NVIDIA'!$C41/$C$151</f>
        <v>0</v>
      </c>
    </row>
    <row r="42" spans="1:4" ht="19" x14ac:dyDescent="0.25">
      <c r="A42" s="58" t="s">
        <v>77</v>
      </c>
      <c r="B42" s="96">
        <v>5.71</v>
      </c>
      <c r="C42" s="8">
        <v>0</v>
      </c>
      <c r="D42" s="45">
        <f>'Facility Risk - NVIDIA'!$C42/$C$151</f>
        <v>0</v>
      </c>
    </row>
    <row r="43" spans="1:4" ht="19" x14ac:dyDescent="0.25">
      <c r="A43" s="57" t="s">
        <v>78</v>
      </c>
      <c r="B43" s="97">
        <v>5.6</v>
      </c>
      <c r="C43" s="9">
        <v>0</v>
      </c>
      <c r="D43" s="46">
        <f>'Facility Risk - NVIDIA'!$C43/$C$151</f>
        <v>0</v>
      </c>
    </row>
    <row r="44" spans="1:4" ht="19" x14ac:dyDescent="0.25">
      <c r="A44" s="58" t="s">
        <v>79</v>
      </c>
      <c r="B44" s="98">
        <v>4.79</v>
      </c>
      <c r="C44" s="8">
        <v>0</v>
      </c>
      <c r="D44" s="45">
        <f>'Facility Risk - NVIDIA'!$C44/$C$151</f>
        <v>0</v>
      </c>
    </row>
    <row r="45" spans="1:4" ht="19" x14ac:dyDescent="0.25">
      <c r="A45" s="57" t="s">
        <v>80</v>
      </c>
      <c r="B45" s="99">
        <v>3.57</v>
      </c>
      <c r="C45" s="9">
        <v>0</v>
      </c>
      <c r="D45" s="46">
        <f>'Facility Risk - NVIDIA'!$C45/$C$151</f>
        <v>0</v>
      </c>
    </row>
    <row r="46" spans="1:4" ht="19" x14ac:dyDescent="0.25">
      <c r="A46" s="58" t="s">
        <v>81</v>
      </c>
      <c r="B46" s="100">
        <v>4.5</v>
      </c>
      <c r="C46" s="8">
        <v>0</v>
      </c>
      <c r="D46" s="45">
        <f>'Facility Risk - NVIDIA'!$C46/$C$151</f>
        <v>0</v>
      </c>
    </row>
    <row r="47" spans="1:4" ht="19" x14ac:dyDescent="0.25">
      <c r="A47" s="57" t="s">
        <v>82</v>
      </c>
      <c r="B47" s="101">
        <v>6.93</v>
      </c>
      <c r="C47" s="9">
        <v>0</v>
      </c>
      <c r="D47" s="46">
        <f>'Facility Risk - NVIDIA'!$C47/$C$151</f>
        <v>0</v>
      </c>
    </row>
    <row r="48" spans="1:4" ht="19" x14ac:dyDescent="0.25">
      <c r="A48" s="58" t="s">
        <v>83</v>
      </c>
      <c r="B48" s="102">
        <v>3.35</v>
      </c>
      <c r="C48" s="8">
        <v>0</v>
      </c>
      <c r="D48" s="45">
        <f>'Facility Risk - NVIDIA'!$C48/$C$151</f>
        <v>0</v>
      </c>
    </row>
    <row r="49" spans="1:4" ht="19" x14ac:dyDescent="0.25">
      <c r="A49" s="57" t="s">
        <v>84</v>
      </c>
      <c r="B49" s="103">
        <v>3.65</v>
      </c>
      <c r="C49" s="9">
        <v>0</v>
      </c>
      <c r="D49" s="46">
        <f>'Facility Risk - NVIDIA'!$C49/$C$151</f>
        <v>0</v>
      </c>
    </row>
    <row r="50" spans="1:4" ht="19" x14ac:dyDescent="0.25">
      <c r="A50" s="58" t="s">
        <v>85</v>
      </c>
      <c r="B50" s="104">
        <v>5.78</v>
      </c>
      <c r="C50" s="8">
        <v>0</v>
      </c>
      <c r="D50" s="45">
        <f>'Facility Risk - NVIDIA'!$C50/$C$151</f>
        <v>0</v>
      </c>
    </row>
    <row r="51" spans="1:4" ht="19" x14ac:dyDescent="0.25">
      <c r="A51" s="57" t="s">
        <v>86</v>
      </c>
      <c r="B51" s="105">
        <v>5.38</v>
      </c>
      <c r="C51" s="9">
        <v>0</v>
      </c>
      <c r="D51" s="46">
        <f>'Facility Risk - NVIDIA'!$C51/$C$151</f>
        <v>0</v>
      </c>
    </row>
    <row r="52" spans="1:4" ht="19" x14ac:dyDescent="0.25">
      <c r="A52" s="58" t="s">
        <v>87</v>
      </c>
      <c r="B52" s="106">
        <v>4.93</v>
      </c>
      <c r="C52" s="8">
        <v>0</v>
      </c>
      <c r="D52" s="45">
        <f>'Facility Risk - NVIDIA'!$C52/$C$151</f>
        <v>0</v>
      </c>
    </row>
    <row r="53" spans="1:4" ht="19" x14ac:dyDescent="0.25">
      <c r="A53" s="57" t="s">
        <v>88</v>
      </c>
      <c r="B53" s="68">
        <v>3.42</v>
      </c>
      <c r="C53" s="9">
        <v>0</v>
      </c>
      <c r="D53" s="46">
        <f>'Facility Risk - NVIDIA'!$C53/$C$151</f>
        <v>0</v>
      </c>
    </row>
    <row r="54" spans="1:4" ht="19" x14ac:dyDescent="0.25">
      <c r="A54" s="58" t="s">
        <v>89</v>
      </c>
      <c r="B54" s="107">
        <v>4.63</v>
      </c>
      <c r="C54" s="8">
        <v>0</v>
      </c>
      <c r="D54" s="45">
        <f>'Facility Risk - NVIDIA'!$C54/$C$151</f>
        <v>0</v>
      </c>
    </row>
    <row r="55" spans="1:4" ht="19" x14ac:dyDescent="0.25">
      <c r="A55" s="57" t="s">
        <v>90</v>
      </c>
      <c r="B55" s="77">
        <v>4.34</v>
      </c>
      <c r="C55" s="9">
        <v>0</v>
      </c>
      <c r="D55" s="46">
        <f>'Facility Risk - NVIDIA'!$C55/$C$151</f>
        <v>0</v>
      </c>
    </row>
    <row r="56" spans="1:4" ht="19" x14ac:dyDescent="0.25">
      <c r="A56" s="58" t="s">
        <v>91</v>
      </c>
      <c r="B56" s="71">
        <v>5.45</v>
      </c>
      <c r="C56" s="8">
        <v>0</v>
      </c>
      <c r="D56" s="45">
        <f>'Facility Risk - NVIDIA'!$C56/$C$151</f>
        <v>0</v>
      </c>
    </row>
    <row r="57" spans="1:4" ht="19" x14ac:dyDescent="0.25">
      <c r="A57" s="57" t="s">
        <v>92</v>
      </c>
      <c r="B57" s="108">
        <v>6.36</v>
      </c>
      <c r="C57" s="9">
        <v>0</v>
      </c>
      <c r="D57" s="46">
        <f>'Facility Risk - NVIDIA'!$C57/$C$151</f>
        <v>0</v>
      </c>
    </row>
    <row r="58" spans="1:4" ht="19" x14ac:dyDescent="0.25">
      <c r="A58" s="58" t="s">
        <v>93</v>
      </c>
      <c r="B58" s="109">
        <v>5.94</v>
      </c>
      <c r="C58" s="8">
        <v>0</v>
      </c>
      <c r="D58" s="45">
        <f>'Facility Risk - NVIDIA'!$C58/$C$151</f>
        <v>0</v>
      </c>
    </row>
    <row r="59" spans="1:4" ht="19" x14ac:dyDescent="0.25">
      <c r="A59" s="57" t="s">
        <v>94</v>
      </c>
      <c r="B59" s="110">
        <v>4.92</v>
      </c>
      <c r="C59" s="9">
        <v>0</v>
      </c>
      <c r="D59" s="46">
        <f>'Facility Risk - NVIDIA'!$C59/$C$151</f>
        <v>0</v>
      </c>
    </row>
    <row r="60" spans="1:4" ht="19" x14ac:dyDescent="0.25">
      <c r="A60" s="58" t="s">
        <v>95</v>
      </c>
      <c r="B60" s="111">
        <v>6.53</v>
      </c>
      <c r="C60" s="8">
        <v>0</v>
      </c>
      <c r="D60" s="45">
        <f>'Facility Risk - NVIDIA'!$C60/$C$151</f>
        <v>0</v>
      </c>
    </row>
    <row r="61" spans="1:4" ht="19" x14ac:dyDescent="0.25">
      <c r="A61" s="57" t="s">
        <v>96</v>
      </c>
      <c r="B61" s="112">
        <v>5.77</v>
      </c>
      <c r="C61" s="9">
        <v>0</v>
      </c>
      <c r="D61" s="46">
        <f>'Facility Risk - NVIDIA'!$C61/$C$151</f>
        <v>0</v>
      </c>
    </row>
    <row r="62" spans="1:4" ht="19" x14ac:dyDescent="0.25">
      <c r="A62" s="58" t="s">
        <v>97</v>
      </c>
      <c r="B62" s="113">
        <v>3.63</v>
      </c>
      <c r="C62" s="8">
        <v>0</v>
      </c>
      <c r="D62" s="45">
        <f>'Facility Risk - NVIDIA'!$C62/$C$151</f>
        <v>0</v>
      </c>
    </row>
    <row r="63" spans="1:4" ht="19" x14ac:dyDescent="0.25">
      <c r="A63" s="57" t="s">
        <v>98</v>
      </c>
      <c r="B63" s="114">
        <v>3.38</v>
      </c>
      <c r="C63" s="9">
        <v>0</v>
      </c>
      <c r="D63" s="46">
        <f>'Facility Risk - NVIDIA'!$C63/$C$151</f>
        <v>0</v>
      </c>
    </row>
    <row r="64" spans="1:4" ht="19" x14ac:dyDescent="0.25">
      <c r="A64" s="58" t="s">
        <v>99</v>
      </c>
      <c r="B64" s="115">
        <v>5.07</v>
      </c>
      <c r="C64" s="8">
        <v>0</v>
      </c>
      <c r="D64" s="45">
        <f>'Facility Risk - NVIDIA'!$C64/$C$151</f>
        <v>0</v>
      </c>
    </row>
    <row r="65" spans="1:4" ht="19" x14ac:dyDescent="0.25">
      <c r="A65" s="57" t="s">
        <v>100</v>
      </c>
      <c r="B65" s="106">
        <v>4.92</v>
      </c>
      <c r="C65" s="9">
        <v>0</v>
      </c>
      <c r="D65" s="46">
        <f>'Facility Risk - NVIDIA'!$C65/$C$151</f>
        <v>0</v>
      </c>
    </row>
    <row r="66" spans="1:4" ht="19" x14ac:dyDescent="0.25">
      <c r="A66" s="58" t="s">
        <v>101</v>
      </c>
      <c r="B66" s="116">
        <v>5.88</v>
      </c>
      <c r="C66" s="8">
        <v>0</v>
      </c>
      <c r="D66" s="45">
        <f>'Facility Risk - NVIDIA'!$C66/$C$151</f>
        <v>0</v>
      </c>
    </row>
    <row r="67" spans="1:4" ht="19" x14ac:dyDescent="0.25">
      <c r="A67" s="57" t="s">
        <v>102</v>
      </c>
      <c r="B67" s="117">
        <v>6.05</v>
      </c>
      <c r="C67" s="9">
        <v>0</v>
      </c>
      <c r="D67" s="46">
        <f>'Facility Risk - NVIDIA'!$C67/$C$151</f>
        <v>0</v>
      </c>
    </row>
    <row r="68" spans="1:4" ht="19" x14ac:dyDescent="0.25">
      <c r="A68" s="58" t="s">
        <v>103</v>
      </c>
      <c r="B68" s="118">
        <v>3.25</v>
      </c>
      <c r="C68" s="8">
        <v>0</v>
      </c>
      <c r="D68" s="45">
        <f>'Facility Risk - NVIDIA'!$C68/$C$151</f>
        <v>0</v>
      </c>
    </row>
    <row r="69" spans="1:4" ht="19" x14ac:dyDescent="0.25">
      <c r="A69" s="57" t="s">
        <v>104</v>
      </c>
      <c r="B69" s="119">
        <v>4.6100000000000003</v>
      </c>
      <c r="C69" s="11">
        <v>0.5</v>
      </c>
      <c r="D69" s="49">
        <f>'Facility Risk - NVIDIA'!$C69/$C$151</f>
        <v>0.5</v>
      </c>
    </row>
    <row r="70" spans="1:4" ht="19" x14ac:dyDescent="0.25">
      <c r="A70" s="58" t="s">
        <v>105</v>
      </c>
      <c r="B70" s="120">
        <v>3.84</v>
      </c>
      <c r="C70" s="8">
        <v>0</v>
      </c>
      <c r="D70" s="45">
        <f>'Facility Risk - NVIDIA'!$C70/$C$151</f>
        <v>0</v>
      </c>
    </row>
    <row r="71" spans="1:4" ht="19" x14ac:dyDescent="0.25">
      <c r="A71" s="57" t="s">
        <v>106</v>
      </c>
      <c r="B71" s="121">
        <v>4.75</v>
      </c>
      <c r="C71" s="9">
        <v>0</v>
      </c>
      <c r="D71" s="46">
        <f>'Facility Risk - NVIDIA'!$C71/$C$151</f>
        <v>0</v>
      </c>
    </row>
    <row r="72" spans="1:4" ht="19" x14ac:dyDescent="0.25">
      <c r="A72" s="58" t="s">
        <v>107</v>
      </c>
      <c r="B72" s="114">
        <v>3.38</v>
      </c>
      <c r="C72" s="8">
        <v>0</v>
      </c>
      <c r="D72" s="45">
        <f>'Facility Risk - NVIDIA'!$C72/$C$151</f>
        <v>0</v>
      </c>
    </row>
    <row r="73" spans="1:4" ht="19" x14ac:dyDescent="0.25">
      <c r="A73" s="57" t="s">
        <v>108</v>
      </c>
      <c r="B73" s="122">
        <v>5.13</v>
      </c>
      <c r="C73" s="9">
        <v>0</v>
      </c>
      <c r="D73" s="46">
        <f>'Facility Risk - NVIDIA'!$C73/$C$151</f>
        <v>0</v>
      </c>
    </row>
    <row r="74" spans="1:4" ht="19" x14ac:dyDescent="0.25">
      <c r="A74" s="58" t="s">
        <v>109</v>
      </c>
      <c r="B74" s="123">
        <v>4.54</v>
      </c>
      <c r="C74" s="8">
        <v>0</v>
      </c>
      <c r="D74" s="45">
        <f>'Facility Risk - NVIDIA'!$C74/$C$151</f>
        <v>0</v>
      </c>
    </row>
    <row r="75" spans="1:4" ht="19" x14ac:dyDescent="0.25">
      <c r="A75" s="57" t="s">
        <v>110</v>
      </c>
      <c r="B75" s="124">
        <v>6.13</v>
      </c>
      <c r="C75" s="9">
        <v>0</v>
      </c>
      <c r="D75" s="46">
        <f>'Facility Risk - NVIDIA'!$C75/$C$151</f>
        <v>0</v>
      </c>
    </row>
    <row r="76" spans="1:4" ht="19" x14ac:dyDescent="0.25">
      <c r="A76" s="58" t="s">
        <v>111</v>
      </c>
      <c r="B76" s="125">
        <v>4.3</v>
      </c>
      <c r="C76" s="8">
        <v>0</v>
      </c>
      <c r="D76" s="45">
        <f>'Facility Risk - NVIDIA'!$C76/$C$151</f>
        <v>0</v>
      </c>
    </row>
    <row r="77" spans="1:4" ht="19" x14ac:dyDescent="0.25">
      <c r="A77" s="57" t="s">
        <v>112</v>
      </c>
      <c r="B77" s="126">
        <v>5.37</v>
      </c>
      <c r="C77" s="9">
        <v>0</v>
      </c>
      <c r="D77" s="46">
        <f>'Facility Risk - NVIDIA'!$C77/$C$151</f>
        <v>0</v>
      </c>
    </row>
    <row r="78" spans="1:4" ht="19" x14ac:dyDescent="0.25">
      <c r="A78" s="58" t="s">
        <v>113</v>
      </c>
      <c r="B78" s="127">
        <v>5.14</v>
      </c>
      <c r="C78" s="8">
        <v>0</v>
      </c>
      <c r="D78" s="45">
        <f>'Facility Risk - NVIDIA'!$C78/$C$151</f>
        <v>0</v>
      </c>
    </row>
    <row r="79" spans="1:4" ht="19" x14ac:dyDescent="0.25">
      <c r="A79" s="57" t="s">
        <v>114</v>
      </c>
      <c r="B79" s="128">
        <v>3.97</v>
      </c>
      <c r="C79" s="9">
        <v>0</v>
      </c>
      <c r="D79" s="46">
        <f>'Facility Risk - NVIDIA'!$C79/$C$151</f>
        <v>0</v>
      </c>
    </row>
    <row r="80" spans="1:4" ht="19" x14ac:dyDescent="0.25">
      <c r="A80" s="58" t="s">
        <v>115</v>
      </c>
      <c r="B80" s="129">
        <v>6.12</v>
      </c>
      <c r="C80" s="8">
        <v>0</v>
      </c>
      <c r="D80" s="45">
        <f>'Facility Risk - NVIDIA'!$C80/$C$151</f>
        <v>0</v>
      </c>
    </row>
    <row r="81" spans="1:4" ht="19" x14ac:dyDescent="0.25">
      <c r="A81" s="57" t="s">
        <v>116</v>
      </c>
      <c r="B81" s="130">
        <v>5.49</v>
      </c>
      <c r="C81" s="9">
        <v>0</v>
      </c>
      <c r="D81" s="46">
        <f>'Facility Risk - NVIDIA'!$C81/$C$151</f>
        <v>0</v>
      </c>
    </row>
    <row r="82" spans="1:4" ht="19" x14ac:dyDescent="0.25">
      <c r="A82" s="58" t="s">
        <v>117</v>
      </c>
      <c r="B82" s="131">
        <v>5.97</v>
      </c>
      <c r="C82" s="8">
        <v>0</v>
      </c>
      <c r="D82" s="45">
        <f>'Facility Risk - NVIDIA'!$C82/$C$151</f>
        <v>0</v>
      </c>
    </row>
    <row r="83" spans="1:4" ht="19" x14ac:dyDescent="0.25">
      <c r="A83" s="57" t="s">
        <v>118</v>
      </c>
      <c r="B83" s="132">
        <v>5.68</v>
      </c>
      <c r="C83" s="9">
        <v>0</v>
      </c>
      <c r="D83" s="46">
        <f>'Facility Risk - NVIDIA'!$C83/$C$151</f>
        <v>0</v>
      </c>
    </row>
    <row r="84" spans="1:4" ht="19" x14ac:dyDescent="0.25">
      <c r="A84" s="58" t="s">
        <v>119</v>
      </c>
      <c r="B84" s="133">
        <v>3.93</v>
      </c>
      <c r="C84" s="8">
        <v>0</v>
      </c>
      <c r="D84" s="45">
        <f>'Facility Risk - NVIDIA'!$C84/$C$151</f>
        <v>0</v>
      </c>
    </row>
    <row r="85" spans="1:4" ht="19" x14ac:dyDescent="0.25">
      <c r="A85" s="57" t="s">
        <v>120</v>
      </c>
      <c r="B85" s="134">
        <v>5.82</v>
      </c>
      <c r="C85" s="9">
        <v>0</v>
      </c>
      <c r="D85" s="46">
        <f>'Facility Risk - NVIDIA'!$C85/$C$151</f>
        <v>0</v>
      </c>
    </row>
    <row r="86" spans="1:4" ht="19" x14ac:dyDescent="0.25">
      <c r="A86" s="58" t="s">
        <v>121</v>
      </c>
      <c r="B86" s="135">
        <v>5.58</v>
      </c>
      <c r="C86" s="8">
        <v>0</v>
      </c>
      <c r="D86" s="45">
        <f>'Facility Risk - NVIDIA'!$C86/$C$151</f>
        <v>0</v>
      </c>
    </row>
    <row r="87" spans="1:4" ht="19" x14ac:dyDescent="0.25">
      <c r="A87" s="57" t="s">
        <v>122</v>
      </c>
      <c r="B87" s="136">
        <v>4.03</v>
      </c>
      <c r="C87" s="9">
        <v>0</v>
      </c>
      <c r="D87" s="46">
        <f>'Facility Risk - NVIDIA'!$C87/$C$151</f>
        <v>0</v>
      </c>
    </row>
    <row r="88" spans="1:4" ht="19" x14ac:dyDescent="0.25">
      <c r="A88" s="58" t="s">
        <v>123</v>
      </c>
      <c r="B88" s="137">
        <v>7.1</v>
      </c>
      <c r="C88" s="8">
        <v>0</v>
      </c>
      <c r="D88" s="45">
        <f>'Facility Risk - NVIDIA'!$C88/$C$151</f>
        <v>0</v>
      </c>
    </row>
    <row r="89" spans="1:4" ht="19" x14ac:dyDescent="0.25">
      <c r="A89" s="57" t="s">
        <v>124</v>
      </c>
      <c r="B89" s="138">
        <v>6.28</v>
      </c>
      <c r="C89" s="9">
        <v>0</v>
      </c>
      <c r="D89" s="46">
        <f>'Facility Risk - NVIDIA'!$C89/$C$151</f>
        <v>0</v>
      </c>
    </row>
    <row r="90" spans="1:4" ht="19" x14ac:dyDescent="0.25">
      <c r="A90" s="58" t="s">
        <v>125</v>
      </c>
      <c r="B90" s="139">
        <v>3.47</v>
      </c>
      <c r="C90" s="8">
        <v>0</v>
      </c>
      <c r="D90" s="45">
        <f>'Facility Risk - NVIDIA'!$C90/$C$151</f>
        <v>0</v>
      </c>
    </row>
    <row r="91" spans="1:4" ht="19" x14ac:dyDescent="0.25">
      <c r="A91" s="57" t="s">
        <v>126</v>
      </c>
      <c r="B91" s="140">
        <v>5.42</v>
      </c>
      <c r="C91" s="9">
        <v>0</v>
      </c>
      <c r="D91" s="46">
        <f>'Facility Risk - NVIDIA'!$C91/$C$151</f>
        <v>0</v>
      </c>
    </row>
    <row r="92" spans="1:4" ht="19" x14ac:dyDescent="0.25">
      <c r="A92" s="58" t="s">
        <v>127</v>
      </c>
      <c r="B92" s="127">
        <v>5.14</v>
      </c>
      <c r="C92" s="8">
        <v>0</v>
      </c>
      <c r="D92" s="45">
        <f>'Facility Risk - NVIDIA'!$C92/$C$151</f>
        <v>0</v>
      </c>
    </row>
    <row r="93" spans="1:4" ht="19" x14ac:dyDescent="0.25">
      <c r="A93" s="57" t="s">
        <v>128</v>
      </c>
      <c r="B93" s="141">
        <v>4.6500000000000004</v>
      </c>
      <c r="C93" s="9">
        <v>0</v>
      </c>
      <c r="D93" s="46">
        <f>'Facility Risk - NVIDIA'!$C93/$C$151</f>
        <v>0</v>
      </c>
    </row>
    <row r="94" spans="1:4" ht="19" x14ac:dyDescent="0.25">
      <c r="A94" s="58" t="s">
        <v>129</v>
      </c>
      <c r="B94" s="142">
        <v>5.0999999999999996</v>
      </c>
      <c r="C94" s="8">
        <v>0</v>
      </c>
      <c r="D94" s="45">
        <f>'Facility Risk - NVIDIA'!$C94/$C$151</f>
        <v>0</v>
      </c>
    </row>
    <row r="95" spans="1:4" ht="19" x14ac:dyDescent="0.25">
      <c r="A95" s="57" t="s">
        <v>130</v>
      </c>
      <c r="B95" s="70">
        <v>6.3</v>
      </c>
      <c r="C95" s="9">
        <v>0</v>
      </c>
      <c r="D95" s="46">
        <f>'Facility Risk - NVIDIA'!$C95/$C$151</f>
        <v>0</v>
      </c>
    </row>
    <row r="96" spans="1:4" ht="19" x14ac:dyDescent="0.25">
      <c r="A96" s="58" t="s">
        <v>131</v>
      </c>
      <c r="B96" s="143">
        <v>4.6399999999999997</v>
      </c>
      <c r="C96" s="8">
        <v>0</v>
      </c>
      <c r="D96" s="45">
        <f>'Facility Risk - NVIDIA'!$C96/$C$151</f>
        <v>0</v>
      </c>
    </row>
    <row r="97" spans="1:4" ht="19" x14ac:dyDescent="0.25">
      <c r="A97" s="57" t="s">
        <v>132</v>
      </c>
      <c r="B97" s="104">
        <v>5.78</v>
      </c>
      <c r="C97" s="9">
        <v>0</v>
      </c>
      <c r="D97" s="46">
        <f>'Facility Risk - NVIDIA'!$C97/$C$151</f>
        <v>0</v>
      </c>
    </row>
    <row r="98" spans="1:4" ht="19" x14ac:dyDescent="0.25">
      <c r="A98" s="58" t="s">
        <v>133</v>
      </c>
      <c r="B98" s="144">
        <v>3.59</v>
      </c>
      <c r="C98" s="8">
        <v>0</v>
      </c>
      <c r="D98" s="45">
        <f>'Facility Risk - NVIDIA'!$C98/$C$151</f>
        <v>0</v>
      </c>
    </row>
    <row r="99" spans="1:4" ht="19" x14ac:dyDescent="0.25">
      <c r="A99" s="57" t="s">
        <v>134</v>
      </c>
      <c r="B99" s="145">
        <v>3.32</v>
      </c>
      <c r="C99" s="9">
        <v>0</v>
      </c>
      <c r="D99" s="46">
        <f>'Facility Risk - NVIDIA'!$C99/$C$151</f>
        <v>0</v>
      </c>
    </row>
    <row r="100" spans="1:4" ht="19" x14ac:dyDescent="0.25">
      <c r="A100" s="58" t="s">
        <v>135</v>
      </c>
      <c r="B100" s="146">
        <v>5.8</v>
      </c>
      <c r="C100" s="8">
        <v>0</v>
      </c>
      <c r="D100" s="45">
        <f>'Facility Risk - NVIDIA'!$C100/$C$151</f>
        <v>0</v>
      </c>
    </row>
    <row r="101" spans="1:4" ht="19" x14ac:dyDescent="0.25">
      <c r="A101" s="57" t="s">
        <v>136</v>
      </c>
      <c r="B101" s="147">
        <v>7.07</v>
      </c>
      <c r="C101" s="9">
        <v>0</v>
      </c>
      <c r="D101" s="46">
        <f>'Facility Risk - NVIDIA'!$C101/$C$151</f>
        <v>0</v>
      </c>
    </row>
    <row r="102" spans="1:4" ht="19" x14ac:dyDescent="0.25">
      <c r="A102" s="58" t="s">
        <v>137</v>
      </c>
      <c r="B102" s="148">
        <v>6.5</v>
      </c>
      <c r="C102" s="8">
        <v>0</v>
      </c>
      <c r="D102" s="45">
        <f>'Facility Risk - NVIDIA'!$C102/$C$151</f>
        <v>0</v>
      </c>
    </row>
    <row r="103" spans="1:4" ht="19" x14ac:dyDescent="0.25">
      <c r="A103" s="57" t="s">
        <v>138</v>
      </c>
      <c r="B103" s="149">
        <v>4.16</v>
      </c>
      <c r="C103" s="9">
        <v>0</v>
      </c>
      <c r="D103" s="46">
        <f>'Facility Risk - NVIDIA'!$C103/$C$151</f>
        <v>0</v>
      </c>
    </row>
    <row r="104" spans="1:4" ht="19" x14ac:dyDescent="0.25">
      <c r="A104" s="58" t="s">
        <v>139</v>
      </c>
      <c r="B104" s="114">
        <v>3.38</v>
      </c>
      <c r="C104" s="8">
        <v>0</v>
      </c>
      <c r="D104" s="45">
        <f>'Facility Risk - NVIDIA'!$C104/$C$151</f>
        <v>0</v>
      </c>
    </row>
    <row r="105" spans="1:4" ht="19" x14ac:dyDescent="0.25">
      <c r="A105" s="57" t="s">
        <v>140</v>
      </c>
      <c r="B105" s="150">
        <v>4.0199999999999996</v>
      </c>
      <c r="C105" s="9">
        <v>0</v>
      </c>
      <c r="D105" s="46">
        <f>'Facility Risk - NVIDIA'!$C105/$C$151</f>
        <v>0</v>
      </c>
    </row>
    <row r="106" spans="1:4" ht="19" x14ac:dyDescent="0.25">
      <c r="A106" s="58" t="s">
        <v>141</v>
      </c>
      <c r="B106" s="151">
        <v>6.65</v>
      </c>
      <c r="C106" s="8">
        <v>0</v>
      </c>
      <c r="D106" s="45">
        <f>'Facility Risk - NVIDIA'!$C106/$C$151</f>
        <v>0</v>
      </c>
    </row>
    <row r="107" spans="1:4" ht="19" x14ac:dyDescent="0.25">
      <c r="A107" s="57" t="s">
        <v>142</v>
      </c>
      <c r="B107" s="152">
        <v>4.5599999999999996</v>
      </c>
      <c r="C107" s="9">
        <v>0</v>
      </c>
      <c r="D107" s="46">
        <f>'Facility Risk - NVIDIA'!$C107/$C$151</f>
        <v>0</v>
      </c>
    </row>
    <row r="108" spans="1:4" ht="19" x14ac:dyDescent="0.25">
      <c r="A108" s="58" t="s">
        <v>143</v>
      </c>
      <c r="B108" s="76">
        <v>5.34</v>
      </c>
      <c r="C108" s="8">
        <v>0</v>
      </c>
      <c r="D108" s="45">
        <f>'Facility Risk - NVIDIA'!$C108/$C$151</f>
        <v>0</v>
      </c>
    </row>
    <row r="109" spans="1:4" ht="19" x14ac:dyDescent="0.25">
      <c r="A109" s="57" t="s">
        <v>144</v>
      </c>
      <c r="B109" s="153">
        <v>4.72</v>
      </c>
      <c r="C109" s="9">
        <v>0</v>
      </c>
      <c r="D109" s="46">
        <f>'Facility Risk - NVIDIA'!$C109/$C$151</f>
        <v>0</v>
      </c>
    </row>
    <row r="110" spans="1:4" ht="19" x14ac:dyDescent="0.25">
      <c r="A110" s="58" t="s">
        <v>145</v>
      </c>
      <c r="B110" s="154">
        <v>5.28</v>
      </c>
      <c r="C110" s="8">
        <v>0</v>
      </c>
      <c r="D110" s="45">
        <f>'Facility Risk - NVIDIA'!$C110/$C$151</f>
        <v>0</v>
      </c>
    </row>
    <row r="111" spans="1:4" ht="19" x14ac:dyDescent="0.25">
      <c r="A111" s="57" t="s">
        <v>146</v>
      </c>
      <c r="B111" s="146">
        <v>5.8</v>
      </c>
      <c r="C111" s="9">
        <v>0</v>
      </c>
      <c r="D111" s="46">
        <f>'Facility Risk - NVIDIA'!$C111/$C$151</f>
        <v>0</v>
      </c>
    </row>
    <row r="112" spans="1:4" ht="19" x14ac:dyDescent="0.25">
      <c r="A112" s="58" t="s">
        <v>147</v>
      </c>
      <c r="B112" s="155">
        <v>4.1500000000000004</v>
      </c>
      <c r="C112" s="8">
        <v>0</v>
      </c>
      <c r="D112" s="45">
        <f>'Facility Risk - NVIDIA'!$C112/$C$151</f>
        <v>0</v>
      </c>
    </row>
    <row r="113" spans="1:4" ht="19" x14ac:dyDescent="0.25">
      <c r="A113" s="57" t="s">
        <v>148</v>
      </c>
      <c r="B113" s="156">
        <v>3.43</v>
      </c>
      <c r="C113" s="9">
        <v>0</v>
      </c>
      <c r="D113" s="46">
        <f>'Facility Risk - NVIDIA'!$C113/$C$151</f>
        <v>0</v>
      </c>
    </row>
    <row r="114" spans="1:4" ht="19" x14ac:dyDescent="0.25">
      <c r="A114" s="58" t="s">
        <v>149</v>
      </c>
      <c r="B114" s="93">
        <v>3.2</v>
      </c>
      <c r="C114" s="8">
        <v>0</v>
      </c>
      <c r="D114" s="45">
        <f>'Facility Risk - NVIDIA'!$C114/$C$151</f>
        <v>0</v>
      </c>
    </row>
    <row r="115" spans="1:4" ht="19" x14ac:dyDescent="0.25">
      <c r="A115" s="57" t="s">
        <v>150</v>
      </c>
      <c r="B115" s="157">
        <v>4.05</v>
      </c>
      <c r="C115" s="9">
        <v>0</v>
      </c>
      <c r="D115" s="46">
        <f>'Facility Risk - NVIDIA'!$C115/$C$151</f>
        <v>0</v>
      </c>
    </row>
    <row r="116" spans="1:4" ht="19" x14ac:dyDescent="0.25">
      <c r="A116" s="58" t="s">
        <v>151</v>
      </c>
      <c r="B116" s="158">
        <v>5.96</v>
      </c>
      <c r="C116" s="8">
        <v>0</v>
      </c>
      <c r="D116" s="45">
        <f>'Facility Risk - NVIDIA'!$C116/$C$151</f>
        <v>0</v>
      </c>
    </row>
    <row r="117" spans="1:4" ht="19" x14ac:dyDescent="0.25">
      <c r="A117" s="57" t="s">
        <v>152</v>
      </c>
      <c r="B117" s="159">
        <v>5.47</v>
      </c>
      <c r="C117" s="9">
        <v>0</v>
      </c>
      <c r="D117" s="46">
        <f>'Facility Risk - NVIDIA'!$C117/$C$151</f>
        <v>0</v>
      </c>
    </row>
    <row r="118" spans="1:4" ht="19" x14ac:dyDescent="0.25">
      <c r="A118" s="58" t="s">
        <v>153</v>
      </c>
      <c r="B118" s="79">
        <v>4.42</v>
      </c>
      <c r="C118" s="8">
        <v>0</v>
      </c>
      <c r="D118" s="45">
        <f>'Facility Risk - NVIDIA'!$C118/$C$151</f>
        <v>0</v>
      </c>
    </row>
    <row r="119" spans="1:4" ht="19" x14ac:dyDescent="0.25">
      <c r="A119" s="57" t="s">
        <v>154</v>
      </c>
      <c r="B119" s="160">
        <v>5.4</v>
      </c>
      <c r="C119" s="9">
        <v>0</v>
      </c>
      <c r="D119" s="46">
        <f>'Facility Risk - NVIDIA'!$C119/$C$151</f>
        <v>0</v>
      </c>
    </row>
    <row r="120" spans="1:4" ht="19" x14ac:dyDescent="0.25">
      <c r="A120" s="58" t="s">
        <v>155</v>
      </c>
      <c r="B120" s="161">
        <v>5.04</v>
      </c>
      <c r="C120" s="8">
        <v>0</v>
      </c>
      <c r="D120" s="45">
        <f>'Facility Risk - NVIDIA'!$C120/$C$151</f>
        <v>0</v>
      </c>
    </row>
    <row r="121" spans="1:4" ht="19" x14ac:dyDescent="0.25">
      <c r="A121" s="57" t="s">
        <v>156</v>
      </c>
      <c r="B121" s="162">
        <v>5.64</v>
      </c>
      <c r="C121" s="9">
        <v>0</v>
      </c>
      <c r="D121" s="46">
        <f>'Facility Risk - NVIDIA'!$C121/$C$151</f>
        <v>0</v>
      </c>
    </row>
    <row r="122" spans="1:4" ht="19" x14ac:dyDescent="0.25">
      <c r="A122" s="58" t="s">
        <v>157</v>
      </c>
      <c r="B122" s="163">
        <v>3.04</v>
      </c>
      <c r="C122" s="8">
        <v>0</v>
      </c>
      <c r="D122" s="45">
        <f>'Facility Risk - NVIDIA'!$C122/$C$151</f>
        <v>0</v>
      </c>
    </row>
    <row r="123" spans="1:4" ht="19" x14ac:dyDescent="0.25">
      <c r="A123" s="57" t="s">
        <v>158</v>
      </c>
      <c r="B123" s="164">
        <v>3.79</v>
      </c>
      <c r="C123" s="9">
        <v>0</v>
      </c>
      <c r="D123" s="46">
        <f>'Facility Risk - NVIDIA'!$C123/$C$151</f>
        <v>0</v>
      </c>
    </row>
    <row r="124" spans="1:4" ht="19" x14ac:dyDescent="0.25">
      <c r="A124" s="58" t="s">
        <v>159</v>
      </c>
      <c r="B124" s="165">
        <v>3.48</v>
      </c>
      <c r="C124" s="8">
        <v>0</v>
      </c>
      <c r="D124" s="45">
        <f>'Facility Risk - NVIDIA'!$C124/$C$151</f>
        <v>0</v>
      </c>
    </row>
    <row r="125" spans="1:4" ht="19" x14ac:dyDescent="0.25">
      <c r="A125" s="57" t="s">
        <v>160</v>
      </c>
      <c r="B125" s="166">
        <v>5.22</v>
      </c>
      <c r="C125" s="9">
        <v>0</v>
      </c>
      <c r="D125" s="46">
        <f>'Facility Risk - NVIDIA'!$C125/$C$151</f>
        <v>0</v>
      </c>
    </row>
    <row r="126" spans="1:4" ht="19" x14ac:dyDescent="0.25">
      <c r="A126" s="58" t="s">
        <v>161</v>
      </c>
      <c r="B126" s="167">
        <v>3.57</v>
      </c>
      <c r="C126" s="8">
        <v>0</v>
      </c>
      <c r="D126" s="45">
        <f>'Facility Risk - NVIDIA'!$C126/$C$151</f>
        <v>0</v>
      </c>
    </row>
    <row r="127" spans="1:4" ht="19" x14ac:dyDescent="0.25">
      <c r="A127" s="57" t="s">
        <v>162</v>
      </c>
      <c r="B127" s="168">
        <v>3.7</v>
      </c>
      <c r="C127" s="9">
        <v>0</v>
      </c>
      <c r="D127" s="46">
        <f>'Facility Risk - NVIDIA'!$C127/$C$151</f>
        <v>0</v>
      </c>
    </row>
    <row r="128" spans="1:4" ht="19" x14ac:dyDescent="0.25">
      <c r="A128" s="58" t="s">
        <v>163</v>
      </c>
      <c r="B128" s="169">
        <v>5.1100000000000003</v>
      </c>
      <c r="C128" s="8">
        <v>0</v>
      </c>
      <c r="D128" s="45">
        <f>'Facility Risk - NVIDIA'!$C128/$C$151</f>
        <v>0</v>
      </c>
    </row>
    <row r="129" spans="1:4" ht="19" x14ac:dyDescent="0.25">
      <c r="A129" s="57" t="s">
        <v>164</v>
      </c>
      <c r="B129" s="137">
        <v>7.1</v>
      </c>
      <c r="C129" s="9">
        <v>0</v>
      </c>
      <c r="D129" s="46">
        <f>'Facility Risk - NVIDIA'!$C129/$C$151</f>
        <v>0</v>
      </c>
    </row>
    <row r="130" spans="1:4" ht="19" x14ac:dyDescent="0.25">
      <c r="A130" s="58" t="s">
        <v>165</v>
      </c>
      <c r="B130" s="170">
        <v>3.52</v>
      </c>
      <c r="C130" s="8">
        <v>0</v>
      </c>
      <c r="D130" s="45">
        <f>'Facility Risk - NVIDIA'!$C130/$C$151</f>
        <v>0</v>
      </c>
    </row>
    <row r="131" spans="1:4" ht="19" x14ac:dyDescent="0.25">
      <c r="A131" s="57" t="s">
        <v>166</v>
      </c>
      <c r="B131" s="171">
        <v>2.78</v>
      </c>
      <c r="C131" s="9">
        <v>0</v>
      </c>
      <c r="D131" s="46">
        <f>'Facility Risk - NVIDIA'!$C131/$C$151</f>
        <v>0</v>
      </c>
    </row>
    <row r="132" spans="1:4" ht="19" x14ac:dyDescent="0.25">
      <c r="A132" s="59" t="s">
        <v>167</v>
      </c>
      <c r="B132" s="172">
        <v>7.33</v>
      </c>
      <c r="C132" s="8">
        <v>0</v>
      </c>
      <c r="D132" s="45">
        <f>'Facility Risk - NVIDIA'!$C132/$C$151</f>
        <v>0</v>
      </c>
    </row>
    <row r="133" spans="1:4" ht="19" x14ac:dyDescent="0.25">
      <c r="A133" s="57" t="s">
        <v>168</v>
      </c>
      <c r="B133" s="173">
        <v>5.69</v>
      </c>
      <c r="C133" s="9">
        <v>0</v>
      </c>
      <c r="D133" s="46">
        <f>'Facility Risk - NVIDIA'!$C133/$C$151</f>
        <v>0</v>
      </c>
    </row>
    <row r="134" spans="1:4" ht="19" x14ac:dyDescent="0.25">
      <c r="A134" s="58" t="s">
        <v>169</v>
      </c>
      <c r="B134" s="63">
        <v>5.21</v>
      </c>
      <c r="C134" s="8">
        <v>0</v>
      </c>
      <c r="D134" s="45">
        <f>'Facility Risk - NVIDIA'!$C134/$C$151</f>
        <v>0</v>
      </c>
    </row>
    <row r="135" spans="1:4" ht="19" x14ac:dyDescent="0.25">
      <c r="A135" s="57" t="s">
        <v>170</v>
      </c>
      <c r="B135" s="174">
        <v>5.15</v>
      </c>
      <c r="C135" s="9">
        <v>0</v>
      </c>
      <c r="D135" s="46">
        <f>'Facility Risk - NVIDIA'!$C135/$C$151</f>
        <v>0</v>
      </c>
    </row>
    <row r="136" spans="1:4" ht="19" x14ac:dyDescent="0.25">
      <c r="A136" s="58" t="s">
        <v>171</v>
      </c>
      <c r="B136" s="175">
        <v>5.87</v>
      </c>
      <c r="C136" s="8">
        <v>0</v>
      </c>
      <c r="D136" s="45">
        <f>'Facility Risk - NVIDIA'!$C136/$C$151</f>
        <v>0</v>
      </c>
    </row>
    <row r="137" spans="1:4" ht="19" x14ac:dyDescent="0.25">
      <c r="A137" s="57" t="s">
        <v>172</v>
      </c>
      <c r="B137" s="176">
        <v>4.38</v>
      </c>
      <c r="C137" s="9">
        <v>0</v>
      </c>
      <c r="D137" s="46">
        <f>'Facility Risk - NVIDIA'!$C137/$C$151</f>
        <v>0</v>
      </c>
    </row>
    <row r="138" spans="1:4" ht="19" x14ac:dyDescent="0.25">
      <c r="A138" s="58" t="s">
        <v>173</v>
      </c>
      <c r="B138" s="177">
        <v>5.13</v>
      </c>
      <c r="C138" s="8">
        <v>0</v>
      </c>
      <c r="D138" s="45">
        <f>'Facility Risk - NVIDIA'!$C138/$C$151</f>
        <v>0</v>
      </c>
    </row>
    <row r="139" spans="1:4" ht="19" x14ac:dyDescent="0.25">
      <c r="A139" s="57" t="s">
        <v>174</v>
      </c>
      <c r="B139" s="178">
        <v>5.26</v>
      </c>
      <c r="C139" s="9">
        <v>0</v>
      </c>
      <c r="D139" s="46">
        <f>'Facility Risk - NVIDIA'!$C139/$C$151</f>
        <v>0</v>
      </c>
    </row>
    <row r="140" spans="1:4" ht="19" x14ac:dyDescent="0.25">
      <c r="A140" s="58" t="s">
        <v>175</v>
      </c>
      <c r="B140" s="179">
        <v>6.29</v>
      </c>
      <c r="C140" s="8">
        <v>0</v>
      </c>
      <c r="D140" s="45">
        <f>'Facility Risk - NVIDIA'!$C140/$C$151</f>
        <v>0</v>
      </c>
    </row>
    <row r="141" spans="1:4" ht="19" x14ac:dyDescent="0.25">
      <c r="A141" s="57" t="s">
        <v>176</v>
      </c>
      <c r="B141" s="180">
        <v>6.35</v>
      </c>
      <c r="C141" s="9">
        <v>0</v>
      </c>
      <c r="D141" s="46">
        <f>'Facility Risk - NVIDIA'!$C141/$C$151</f>
        <v>0</v>
      </c>
    </row>
    <row r="142" spans="1:4" ht="19" x14ac:dyDescent="0.25">
      <c r="A142" s="58" t="s">
        <v>177</v>
      </c>
      <c r="B142" s="181">
        <v>3.72</v>
      </c>
      <c r="C142" s="8">
        <v>0</v>
      </c>
      <c r="D142" s="45">
        <f>'Facility Risk - NVIDIA'!$C142/$C$151</f>
        <v>0</v>
      </c>
    </row>
    <row r="143" spans="1:4" ht="19" x14ac:dyDescent="0.25">
      <c r="A143" s="57" t="s">
        <v>178</v>
      </c>
      <c r="B143" s="145">
        <v>3.32</v>
      </c>
      <c r="C143" s="9">
        <v>0</v>
      </c>
      <c r="D143" s="46">
        <f>'Facility Risk - NVIDIA'!$C143/$C$151</f>
        <v>0</v>
      </c>
    </row>
    <row r="144" spans="1:4" ht="19" x14ac:dyDescent="0.25">
      <c r="A144" s="58" t="s">
        <v>179</v>
      </c>
      <c r="B144" s="182">
        <v>4.1900000000000004</v>
      </c>
      <c r="C144" s="8">
        <v>0.5</v>
      </c>
      <c r="D144" s="45">
        <f>'Facility Risk - NVIDIA'!$C144/$C$151</f>
        <v>0.5</v>
      </c>
    </row>
    <row r="145" spans="1:4" ht="19" x14ac:dyDescent="0.25">
      <c r="A145" s="57" t="s">
        <v>180</v>
      </c>
      <c r="B145" s="183">
        <v>3.91</v>
      </c>
      <c r="C145" s="9">
        <v>0</v>
      </c>
      <c r="D145" s="46">
        <f>'Facility Risk - NVIDIA'!$C145/$C$151</f>
        <v>0</v>
      </c>
    </row>
    <row r="146" spans="1:4" ht="19" x14ac:dyDescent="0.25">
      <c r="A146" s="58" t="s">
        <v>181</v>
      </c>
      <c r="B146" s="112">
        <v>5.77</v>
      </c>
      <c r="C146" s="8">
        <v>0</v>
      </c>
      <c r="D146" s="45">
        <f>'Facility Risk - NVIDIA'!$C146/$C$151</f>
        <v>0</v>
      </c>
    </row>
    <row r="147" spans="1:4" ht="19" x14ac:dyDescent="0.25">
      <c r="A147" s="57" t="s">
        <v>182</v>
      </c>
      <c r="B147" s="184">
        <v>4.32</v>
      </c>
      <c r="C147" s="9">
        <v>0</v>
      </c>
      <c r="D147" s="46">
        <f>'Facility Risk - NVIDIA'!$C147/$C$151</f>
        <v>0</v>
      </c>
    </row>
    <row r="148" spans="1:4" ht="19" x14ac:dyDescent="0.25">
      <c r="A148" s="58" t="s">
        <v>183</v>
      </c>
      <c r="B148" s="70">
        <v>6.3</v>
      </c>
      <c r="C148" s="8">
        <v>0</v>
      </c>
      <c r="D148" s="45">
        <f>'Facility Risk - NVIDIA'!$C148/$C$151</f>
        <v>0</v>
      </c>
    </row>
    <row r="149" spans="1:4" ht="19" x14ac:dyDescent="0.25">
      <c r="A149" s="57" t="s">
        <v>184</v>
      </c>
      <c r="B149" s="185">
        <v>4.95</v>
      </c>
      <c r="C149" s="9">
        <v>0</v>
      </c>
      <c r="D149" s="46">
        <f>'Facility Risk - NVIDIA'!$C149/$C$151</f>
        <v>0</v>
      </c>
    </row>
    <row r="150" spans="1:4" ht="19" x14ac:dyDescent="0.25">
      <c r="A150" s="60" t="s">
        <v>185</v>
      </c>
      <c r="B150" s="186">
        <v>6.14</v>
      </c>
      <c r="C150" s="10">
        <v>0</v>
      </c>
      <c r="D150" s="47">
        <f>'Facility Risk - NVIDIA'!$C150/$C$151</f>
        <v>0</v>
      </c>
    </row>
    <row r="151" spans="1:4" ht="19" x14ac:dyDescent="0.25">
      <c r="A151" s="61" t="s">
        <v>186</v>
      </c>
      <c r="B151" s="5"/>
      <c r="C151" s="6">
        <f>SUM(C4:C150)</f>
        <v>1</v>
      </c>
      <c r="D151" s="48">
        <f>SUM(D4:D150)</f>
        <v>1</v>
      </c>
    </row>
  </sheetData>
  <mergeCells count="1">
    <mergeCell ref="A1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7C26-6861-8244-958E-6AACA30BC7EA}">
  <dimension ref="A1:J151"/>
  <sheetViews>
    <sheetView workbookViewId="0">
      <selection activeCell="I17" sqref="I17"/>
    </sheetView>
  </sheetViews>
  <sheetFormatPr baseColWidth="10" defaultColWidth="11" defaultRowHeight="16" x14ac:dyDescent="0.2"/>
  <cols>
    <col min="1" max="1" width="23" bestFit="1" customWidth="1"/>
    <col min="2" max="2" width="32" bestFit="1" customWidth="1"/>
    <col min="3" max="3" width="33.6640625" bestFit="1" customWidth="1"/>
    <col min="4" max="4" width="42.6640625" bestFit="1" customWidth="1"/>
    <col min="5" max="5" width="16" bestFit="1" customWidth="1"/>
    <col min="7" max="7" width="29.33203125" bestFit="1" customWidth="1"/>
    <col min="8" max="8" width="8.5" bestFit="1" customWidth="1"/>
    <col min="9" max="9" width="22.5" bestFit="1" customWidth="1"/>
    <col min="10" max="10" width="12.33203125" bestFit="1" customWidth="1"/>
  </cols>
  <sheetData>
    <row r="1" spans="1:10" ht="17" customHeight="1" x14ac:dyDescent="0.2">
      <c r="A1" s="188" t="s">
        <v>21</v>
      </c>
      <c r="B1" s="189"/>
      <c r="C1" s="189"/>
      <c r="D1" s="189"/>
    </row>
    <row r="2" spans="1:10" ht="17" customHeight="1" thickBot="1" x14ac:dyDescent="0.25">
      <c r="A2" s="190"/>
      <c r="B2" s="191"/>
      <c r="C2" s="191"/>
      <c r="D2" s="191"/>
    </row>
    <row r="3" spans="1:10" ht="20" thickTop="1" x14ac:dyDescent="0.25">
      <c r="A3" s="12" t="s">
        <v>27</v>
      </c>
      <c r="B3" s="13" t="s">
        <v>28</v>
      </c>
      <c r="C3" s="14" t="s">
        <v>29</v>
      </c>
      <c r="D3" s="7" t="s">
        <v>30</v>
      </c>
    </row>
    <row r="4" spans="1:10" ht="20" thickBot="1" x14ac:dyDescent="0.3">
      <c r="A4" s="56" t="s">
        <v>31</v>
      </c>
      <c r="B4" s="62">
        <v>4.37</v>
      </c>
      <c r="C4" s="15">
        <v>0</v>
      </c>
      <c r="D4" s="45">
        <f>'Facility Risk - VW'!$C4/$C$151</f>
        <v>0</v>
      </c>
      <c r="E4" s="1"/>
      <c r="F4" s="1"/>
    </row>
    <row r="5" spans="1:10" ht="20" thickBot="1" x14ac:dyDescent="0.3">
      <c r="A5" s="57" t="s">
        <v>32</v>
      </c>
      <c r="B5" s="63">
        <v>5.21</v>
      </c>
      <c r="C5" s="9">
        <v>0</v>
      </c>
      <c r="D5" s="46">
        <f>'Facility Risk - VW'!$C5/$C$151</f>
        <v>0</v>
      </c>
      <c r="E5" s="1"/>
      <c r="F5" s="1"/>
      <c r="G5" s="32" t="s">
        <v>33</v>
      </c>
      <c r="H5" s="33"/>
      <c r="I5" s="33"/>
      <c r="J5" s="34"/>
    </row>
    <row r="6" spans="1:10" ht="20" thickBot="1" x14ac:dyDescent="0.3">
      <c r="A6" s="58" t="s">
        <v>34</v>
      </c>
      <c r="B6" s="64">
        <v>5.63</v>
      </c>
      <c r="C6" s="8">
        <v>0</v>
      </c>
      <c r="D6" s="45">
        <f>'Facility Risk - VW'!$C6/$C$151</f>
        <v>0</v>
      </c>
      <c r="E6" s="1"/>
      <c r="F6" s="1"/>
      <c r="G6" s="20"/>
      <c r="H6" s="21" t="s">
        <v>35</v>
      </c>
      <c r="I6" s="22" t="s">
        <v>36</v>
      </c>
      <c r="J6" s="23" t="s">
        <v>37</v>
      </c>
    </row>
    <row r="7" spans="1:10" ht="19" x14ac:dyDescent="0.25">
      <c r="A7" s="57" t="s">
        <v>38</v>
      </c>
      <c r="B7" s="65">
        <v>4.3600000000000003</v>
      </c>
      <c r="C7" s="9">
        <v>0</v>
      </c>
      <c r="D7" s="46">
        <f>'Facility Risk - VW'!$C7/$C$151</f>
        <v>0</v>
      </c>
      <c r="E7" s="1"/>
      <c r="F7" s="1"/>
      <c r="G7" s="24" t="s">
        <v>39</v>
      </c>
      <c r="H7" s="25" t="str">
        <f>INDEX(A4:A150,MATCH(MIN(D4:D150),D4:D150,0))</f>
        <v>Albania</v>
      </c>
      <c r="I7" s="25">
        <f>INDEX(B4:B150,MATCH(MIN(D4:D150),D4:D150,0))</f>
        <v>4.37</v>
      </c>
      <c r="J7" s="26">
        <f>INDEX(D4:D150,MATCH(MIN(D4:D150),D4:D150,0))</f>
        <v>0</v>
      </c>
    </row>
    <row r="8" spans="1:10" ht="20" thickBot="1" x14ac:dyDescent="0.3">
      <c r="A8" s="58" t="s">
        <v>40</v>
      </c>
      <c r="B8" s="66">
        <v>4.79</v>
      </c>
      <c r="C8" s="8">
        <v>0</v>
      </c>
      <c r="D8" s="45">
        <f>'Facility Risk - VW'!$C8/$C$151</f>
        <v>0</v>
      </c>
      <c r="E8" s="1"/>
      <c r="F8" s="1"/>
      <c r="G8" s="27" t="s">
        <v>41</v>
      </c>
      <c r="H8" s="28" t="str">
        <f>INDEX(A4:A150,MATCH(MAX(D4:D150),D4:D150,0))</f>
        <v>China</v>
      </c>
      <c r="I8" s="28">
        <f>INDEX(B4:B150,MATCH(MAX(D4:D150),D4:D150,0))</f>
        <v>4.26</v>
      </c>
      <c r="J8" s="31">
        <f>INDEX(D4:D150,MATCH(MAX(D4:D150),D4:D150,0))</f>
        <v>0.1830565775082032</v>
      </c>
    </row>
    <row r="9" spans="1:10" ht="23" thickBot="1" x14ac:dyDescent="0.35">
      <c r="A9" s="57" t="s">
        <v>42</v>
      </c>
      <c r="B9" s="67">
        <v>3.22</v>
      </c>
      <c r="C9" s="9">
        <v>0</v>
      </c>
      <c r="D9" s="46">
        <f>'Facility Risk - VW'!$C9/$C$151</f>
        <v>0</v>
      </c>
      <c r="E9" s="1"/>
      <c r="F9" s="1"/>
      <c r="G9" s="30" t="s">
        <v>43</v>
      </c>
      <c r="H9" s="29"/>
      <c r="I9" s="29"/>
      <c r="J9" s="187">
        <f>SUMPRODUCT(B4:B150,D4:D150)</f>
        <v>4.1877050810380814</v>
      </c>
    </row>
    <row r="10" spans="1:10" ht="19" x14ac:dyDescent="0.25">
      <c r="A10" s="58" t="s">
        <v>44</v>
      </c>
      <c r="B10" s="68">
        <v>3.41</v>
      </c>
      <c r="C10" s="8">
        <v>1.49E-2</v>
      </c>
      <c r="D10" s="45">
        <f>'Facility Risk - VW'!$C10/$C$151</f>
        <v>1.4815551357263593E-2</v>
      </c>
      <c r="E10" s="1"/>
      <c r="F10" s="1"/>
    </row>
    <row r="11" spans="1:10" ht="19" x14ac:dyDescent="0.25">
      <c r="A11" s="57" t="s">
        <v>45</v>
      </c>
      <c r="B11" s="63">
        <v>5.21</v>
      </c>
      <c r="C11" s="9">
        <v>0</v>
      </c>
      <c r="D11" s="46">
        <f>'Facility Risk - VW'!$C11/$C$151</f>
        <v>0</v>
      </c>
      <c r="E11" s="1"/>
      <c r="F11" s="1"/>
    </row>
    <row r="12" spans="1:10" ht="19" x14ac:dyDescent="0.25">
      <c r="A12" s="58" t="s">
        <v>46</v>
      </c>
      <c r="B12" s="69">
        <v>4.26</v>
      </c>
      <c r="C12" s="8">
        <v>0</v>
      </c>
      <c r="D12" s="45">
        <f>'Facility Risk - VW'!$C12/$C$151</f>
        <v>0</v>
      </c>
      <c r="E12" s="1"/>
      <c r="F12" s="1"/>
    </row>
    <row r="13" spans="1:10" ht="19" x14ac:dyDescent="0.25">
      <c r="A13" s="57" t="s">
        <v>47</v>
      </c>
      <c r="B13" s="70">
        <v>6.29</v>
      </c>
      <c r="C13" s="9">
        <v>0</v>
      </c>
      <c r="D13" s="46">
        <f>'Facility Risk - VW'!$C13/$C$151</f>
        <v>0</v>
      </c>
      <c r="E13" s="1"/>
      <c r="F13" s="1"/>
    </row>
    <row r="14" spans="1:10" ht="19" x14ac:dyDescent="0.25">
      <c r="A14" s="58" t="s">
        <v>48</v>
      </c>
      <c r="B14" s="71">
        <v>5.45</v>
      </c>
      <c r="C14" s="8">
        <v>0</v>
      </c>
      <c r="D14" s="45">
        <f>'Facility Risk - VW'!$C14/$C$151</f>
        <v>0</v>
      </c>
      <c r="E14" s="1"/>
      <c r="F14" s="1"/>
    </row>
    <row r="15" spans="1:10" ht="19" x14ac:dyDescent="0.25">
      <c r="A15" s="57" t="s">
        <v>49</v>
      </c>
      <c r="B15" s="72">
        <v>3.33</v>
      </c>
      <c r="C15" s="9">
        <v>0</v>
      </c>
      <c r="D15" s="46">
        <f>'Facility Risk - VW'!$C15/$C$151</f>
        <v>0</v>
      </c>
      <c r="E15" s="1"/>
      <c r="F15" s="1"/>
    </row>
    <row r="16" spans="1:10" ht="19" x14ac:dyDescent="0.25">
      <c r="A16" s="58" t="s">
        <v>50</v>
      </c>
      <c r="B16" s="73">
        <v>6</v>
      </c>
      <c r="C16" s="8">
        <v>0</v>
      </c>
      <c r="D16" s="45">
        <f>'Facility Risk - VW'!$C16/$C$151</f>
        <v>0</v>
      </c>
      <c r="E16" s="1"/>
      <c r="F16" s="1"/>
    </row>
    <row r="17" spans="1:6" ht="19" x14ac:dyDescent="0.25">
      <c r="A17" s="57" t="s">
        <v>51</v>
      </c>
      <c r="B17" s="74">
        <v>5.0199999999999996</v>
      </c>
      <c r="C17" s="9">
        <v>0</v>
      </c>
      <c r="D17" s="46">
        <f>'Facility Risk - VW'!$C17/$C$151</f>
        <v>0</v>
      </c>
      <c r="E17" s="1"/>
      <c r="F17" s="1"/>
    </row>
    <row r="18" spans="1:6" ht="19" x14ac:dyDescent="0.25">
      <c r="A18" s="58" t="s">
        <v>52</v>
      </c>
      <c r="B18" s="75">
        <v>5.41</v>
      </c>
      <c r="C18" s="8">
        <v>0</v>
      </c>
      <c r="D18" s="45">
        <f>'Facility Risk - VW'!$C18/$C$151</f>
        <v>0</v>
      </c>
      <c r="E18" s="1"/>
      <c r="F18" s="1"/>
    </row>
    <row r="19" spans="1:6" ht="19" x14ac:dyDescent="0.25">
      <c r="A19" s="57" t="s">
        <v>53</v>
      </c>
      <c r="B19" s="76">
        <v>5.34</v>
      </c>
      <c r="C19" s="9">
        <v>5.0000000000000001E-3</v>
      </c>
      <c r="D19" s="46">
        <f>'Facility Risk - VW'!$C19/$C$151</f>
        <v>4.9716615292830849E-3</v>
      </c>
      <c r="E19" s="1"/>
      <c r="F19" s="1"/>
    </row>
    <row r="20" spans="1:6" ht="19" x14ac:dyDescent="0.25">
      <c r="A20" s="58" t="s">
        <v>54</v>
      </c>
      <c r="B20" s="77">
        <v>4.34</v>
      </c>
      <c r="C20" s="8">
        <v>0</v>
      </c>
      <c r="D20" s="45">
        <f>'Facility Risk - VW'!$C20/$C$151</f>
        <v>0</v>
      </c>
      <c r="E20" s="1"/>
      <c r="F20" s="1"/>
    </row>
    <row r="21" spans="1:6" ht="19" x14ac:dyDescent="0.25">
      <c r="A21" s="57" t="s">
        <v>55</v>
      </c>
      <c r="B21" s="78">
        <v>5.35</v>
      </c>
      <c r="C21" s="9">
        <v>4.9799999999999997E-2</v>
      </c>
      <c r="D21" s="46">
        <f>'Facility Risk - VW'!$C21/$C$151</f>
        <v>4.9517748831659526E-2</v>
      </c>
      <c r="E21" s="1"/>
      <c r="F21" s="1"/>
    </row>
    <row r="22" spans="1:6" ht="19" x14ac:dyDescent="0.25">
      <c r="A22" s="58" t="s">
        <v>56</v>
      </c>
      <c r="B22" s="79">
        <v>4.43</v>
      </c>
      <c r="C22" s="8">
        <v>0</v>
      </c>
      <c r="D22" s="45">
        <f>'Facility Risk - VW'!$C22/$C$151</f>
        <v>0</v>
      </c>
      <c r="E22" s="1"/>
      <c r="F22" s="1"/>
    </row>
    <row r="23" spans="1:6" ht="19" x14ac:dyDescent="0.25">
      <c r="A23" s="57" t="s">
        <v>57</v>
      </c>
      <c r="B23" s="80">
        <v>6.55</v>
      </c>
      <c r="C23" s="9">
        <v>0</v>
      </c>
      <c r="D23" s="46">
        <f>'Facility Risk - VW'!$C23/$C$151</f>
        <v>0</v>
      </c>
      <c r="E23" s="1"/>
      <c r="F23" s="1"/>
    </row>
    <row r="24" spans="1:6" ht="19" x14ac:dyDescent="0.25">
      <c r="A24" s="58" t="s">
        <v>58</v>
      </c>
      <c r="B24" s="81">
        <v>6.33</v>
      </c>
      <c r="C24" s="8">
        <v>0</v>
      </c>
      <c r="D24" s="45">
        <f>'Facility Risk - VW'!$C24/$C$151</f>
        <v>0</v>
      </c>
      <c r="E24" s="1"/>
      <c r="F24" s="1"/>
    </row>
    <row r="25" spans="1:6" ht="19" x14ac:dyDescent="0.25">
      <c r="A25" s="57" t="s">
        <v>59</v>
      </c>
      <c r="B25" s="64">
        <v>5.64</v>
      </c>
      <c r="C25" s="9">
        <v>0</v>
      </c>
      <c r="D25" s="46">
        <f>'Facility Risk - VW'!$C25/$C$151</f>
        <v>0</v>
      </c>
      <c r="E25" s="1"/>
      <c r="F25" s="1"/>
    </row>
    <row r="26" spans="1:6" ht="19" x14ac:dyDescent="0.25">
      <c r="A26" s="58" t="s">
        <v>60</v>
      </c>
      <c r="B26" s="82">
        <v>6.83</v>
      </c>
      <c r="C26" s="8">
        <v>0</v>
      </c>
      <c r="D26" s="45">
        <f>'Facility Risk - VW'!$C26/$C$151</f>
        <v>0</v>
      </c>
      <c r="E26" s="1"/>
      <c r="F26" s="1"/>
    </row>
    <row r="27" spans="1:6" ht="19" x14ac:dyDescent="0.25">
      <c r="A27" s="57" t="s">
        <v>61</v>
      </c>
      <c r="B27" s="83">
        <v>3.44</v>
      </c>
      <c r="C27" s="9">
        <v>1.49E-2</v>
      </c>
      <c r="D27" s="46">
        <f>'Facility Risk - VW'!$C27/$C$151</f>
        <v>1.4815551357263593E-2</v>
      </c>
      <c r="E27" s="1"/>
      <c r="F27" s="1"/>
    </row>
    <row r="28" spans="1:6" ht="19" x14ac:dyDescent="0.25">
      <c r="A28" s="58" t="s">
        <v>62</v>
      </c>
      <c r="B28" s="84">
        <v>6.79</v>
      </c>
      <c r="C28" s="8">
        <v>0</v>
      </c>
      <c r="D28" s="45">
        <f>'Facility Risk - VW'!$C28/$C$151</f>
        <v>0</v>
      </c>
      <c r="E28" s="1"/>
      <c r="F28" s="1"/>
    </row>
    <row r="29" spans="1:6" ht="19" x14ac:dyDescent="0.25">
      <c r="A29" s="57" t="s">
        <v>63</v>
      </c>
      <c r="B29" s="82">
        <v>6.84</v>
      </c>
      <c r="C29" s="9">
        <v>0</v>
      </c>
      <c r="D29" s="46">
        <f>'Facility Risk - VW'!$C29/$C$151</f>
        <v>0</v>
      </c>
      <c r="E29" s="1"/>
      <c r="F29" s="1"/>
    </row>
    <row r="30" spans="1:6" ht="19" x14ac:dyDescent="0.25">
      <c r="A30" s="58" t="s">
        <v>64</v>
      </c>
      <c r="B30" s="65">
        <v>4.3600000000000003</v>
      </c>
      <c r="C30" s="8">
        <v>0</v>
      </c>
      <c r="D30" s="45">
        <f>'Facility Risk - VW'!$C30/$C$151</f>
        <v>0</v>
      </c>
      <c r="E30" s="1"/>
      <c r="F30" s="1"/>
    </row>
    <row r="31" spans="1:6" ht="19" x14ac:dyDescent="0.25">
      <c r="A31" s="57" t="s">
        <v>65</v>
      </c>
      <c r="B31" s="85">
        <v>4.26</v>
      </c>
      <c r="C31" s="9">
        <f>13.93%+4.48%</f>
        <v>0.18410000000000001</v>
      </c>
      <c r="D31" s="46">
        <f>'Facility Risk - VW'!$C31/$C$151</f>
        <v>0.1830565775082032</v>
      </c>
      <c r="E31" s="50" t="s">
        <v>66</v>
      </c>
      <c r="F31" s="1"/>
    </row>
    <row r="32" spans="1:6" ht="19" x14ac:dyDescent="0.25">
      <c r="A32" s="58" t="s">
        <v>67</v>
      </c>
      <c r="B32" s="86">
        <v>5.72</v>
      </c>
      <c r="C32" s="8">
        <v>0</v>
      </c>
      <c r="D32" s="45">
        <f>'Facility Risk - VW'!$C32/$C$151</f>
        <v>0</v>
      </c>
      <c r="E32" s="1"/>
      <c r="F32" s="1"/>
    </row>
    <row r="33" spans="1:6" ht="19" x14ac:dyDescent="0.25">
      <c r="A33" s="57" t="s">
        <v>68</v>
      </c>
      <c r="B33" s="87">
        <v>5.65</v>
      </c>
      <c r="C33" s="9">
        <v>0</v>
      </c>
      <c r="D33" s="46">
        <f>'Facility Risk - VW'!$C33/$C$151</f>
        <v>0</v>
      </c>
      <c r="E33" s="1"/>
      <c r="F33" s="1"/>
    </row>
    <row r="34" spans="1:6" ht="19" x14ac:dyDescent="0.25">
      <c r="A34" s="58" t="s">
        <v>69</v>
      </c>
      <c r="B34" s="88">
        <v>4.2300000000000004</v>
      </c>
      <c r="C34" s="8">
        <v>0</v>
      </c>
      <c r="D34" s="45">
        <f>'Facility Risk - VW'!$C34/$C$151</f>
        <v>0</v>
      </c>
      <c r="E34" s="1"/>
      <c r="F34" s="1"/>
    </row>
    <row r="35" spans="1:6" ht="19" x14ac:dyDescent="0.25">
      <c r="A35" s="57" t="s">
        <v>70</v>
      </c>
      <c r="B35" s="89">
        <v>5.6</v>
      </c>
      <c r="C35" s="9">
        <v>0</v>
      </c>
      <c r="D35" s="46">
        <f>'Facility Risk - VW'!$C35/$C$151</f>
        <v>0</v>
      </c>
      <c r="E35" s="1"/>
      <c r="F35" s="1"/>
    </row>
    <row r="36" spans="1:6" ht="19" x14ac:dyDescent="0.25">
      <c r="A36" s="58" t="s">
        <v>71</v>
      </c>
      <c r="B36" s="90">
        <v>4.28</v>
      </c>
      <c r="C36" s="8">
        <v>0</v>
      </c>
      <c r="D36" s="45">
        <f>'Facility Risk - VW'!$C36/$C$151</f>
        <v>0</v>
      </c>
      <c r="E36" s="1"/>
      <c r="F36" s="1"/>
    </row>
    <row r="37" spans="1:6" ht="19" x14ac:dyDescent="0.25">
      <c r="A37" s="57" t="s">
        <v>72</v>
      </c>
      <c r="B37" s="91">
        <v>4.67</v>
      </c>
      <c r="C37" s="9">
        <v>0</v>
      </c>
      <c r="D37" s="46">
        <f>'Facility Risk - VW'!$C37/$C$151</f>
        <v>0</v>
      </c>
      <c r="E37" s="1"/>
      <c r="F37" s="1"/>
    </row>
    <row r="38" spans="1:6" ht="19" x14ac:dyDescent="0.25">
      <c r="A38" s="58" t="s">
        <v>73</v>
      </c>
      <c r="B38" s="92">
        <v>3.75</v>
      </c>
      <c r="C38" s="8">
        <v>2.9899999999999999E-2</v>
      </c>
      <c r="D38" s="45">
        <f>'Facility Risk - VW'!$C38/$C$151</f>
        <v>2.9730535945112848E-2</v>
      </c>
      <c r="E38" s="1"/>
      <c r="F38" s="1"/>
    </row>
    <row r="39" spans="1:6" ht="19" x14ac:dyDescent="0.25">
      <c r="A39" s="57" t="s">
        <v>74</v>
      </c>
      <c r="B39" s="93">
        <v>3.2</v>
      </c>
      <c r="C39" s="9">
        <v>1.9900000000000001E-2</v>
      </c>
      <c r="D39" s="46">
        <f>'Facility Risk - VW'!$C39/$C$151</f>
        <v>1.9787212886546678E-2</v>
      </c>
    </row>
    <row r="40" spans="1:6" ht="19" x14ac:dyDescent="0.25">
      <c r="A40" s="58" t="s">
        <v>75</v>
      </c>
      <c r="B40" s="94">
        <v>5.98</v>
      </c>
      <c r="C40" s="8">
        <v>0</v>
      </c>
      <c r="D40" s="45">
        <f>'Facility Risk - VW'!$C40/$C$151</f>
        <v>0</v>
      </c>
    </row>
    <row r="41" spans="1:6" ht="19" x14ac:dyDescent="0.25">
      <c r="A41" s="57" t="s">
        <v>76</v>
      </c>
      <c r="B41" s="95">
        <v>4.7</v>
      </c>
      <c r="C41" s="9">
        <v>0</v>
      </c>
      <c r="D41" s="46">
        <f>'Facility Risk - VW'!$C41/$C$151</f>
        <v>0</v>
      </c>
    </row>
    <row r="42" spans="1:6" ht="19" x14ac:dyDescent="0.25">
      <c r="A42" s="58" t="s">
        <v>77</v>
      </c>
      <c r="B42" s="96">
        <v>5.71</v>
      </c>
      <c r="C42" s="8">
        <v>0</v>
      </c>
      <c r="D42" s="45">
        <f>'Facility Risk - VW'!$C42/$C$151</f>
        <v>0</v>
      </c>
    </row>
    <row r="43" spans="1:6" ht="19" x14ac:dyDescent="0.25">
      <c r="A43" s="57" t="s">
        <v>78</v>
      </c>
      <c r="B43" s="97">
        <v>5.6</v>
      </c>
      <c r="C43" s="9">
        <v>0</v>
      </c>
      <c r="D43" s="46">
        <f>'Facility Risk - VW'!$C43/$C$151</f>
        <v>0</v>
      </c>
    </row>
    <row r="44" spans="1:6" ht="19" x14ac:dyDescent="0.25">
      <c r="A44" s="58" t="s">
        <v>79</v>
      </c>
      <c r="B44" s="98">
        <v>4.79</v>
      </c>
      <c r="C44" s="8">
        <v>0</v>
      </c>
      <c r="D44" s="45">
        <f>'Facility Risk - VW'!$C44/$C$151</f>
        <v>0</v>
      </c>
    </row>
    <row r="45" spans="1:6" ht="19" x14ac:dyDescent="0.25">
      <c r="A45" s="57" t="s">
        <v>80</v>
      </c>
      <c r="B45" s="99">
        <v>3.57</v>
      </c>
      <c r="C45" s="9">
        <v>0</v>
      </c>
      <c r="D45" s="46">
        <f>'Facility Risk - VW'!$C45/$C$151</f>
        <v>0</v>
      </c>
    </row>
    <row r="46" spans="1:6" ht="19" x14ac:dyDescent="0.25">
      <c r="A46" s="58" t="s">
        <v>81</v>
      </c>
      <c r="B46" s="100">
        <v>4.5</v>
      </c>
      <c r="C46" s="8">
        <v>0</v>
      </c>
      <c r="D46" s="45">
        <f>'Facility Risk - VW'!$C46/$C$151</f>
        <v>0</v>
      </c>
    </row>
    <row r="47" spans="1:6" ht="19" x14ac:dyDescent="0.25">
      <c r="A47" s="57" t="s">
        <v>82</v>
      </c>
      <c r="B47" s="101">
        <v>6.93</v>
      </c>
      <c r="C47" s="9">
        <v>0</v>
      </c>
      <c r="D47" s="46">
        <f>'Facility Risk - VW'!$C47/$C$151</f>
        <v>0</v>
      </c>
    </row>
    <row r="48" spans="1:6" ht="19" x14ac:dyDescent="0.25">
      <c r="A48" s="58" t="s">
        <v>83</v>
      </c>
      <c r="B48" s="102">
        <v>3.35</v>
      </c>
      <c r="C48" s="8">
        <v>5.0000000000000001E-3</v>
      </c>
      <c r="D48" s="45">
        <f>'Facility Risk - VW'!$C48/$C$151</f>
        <v>4.9716615292830849E-3</v>
      </c>
    </row>
    <row r="49" spans="1:4" ht="19" x14ac:dyDescent="0.25">
      <c r="A49" s="57" t="s">
        <v>84</v>
      </c>
      <c r="B49" s="103">
        <v>3.65</v>
      </c>
      <c r="C49" s="9">
        <v>1.9900000000000001E-2</v>
      </c>
      <c r="D49" s="46">
        <f>'Facility Risk - VW'!$C49/$C$151</f>
        <v>1.9787212886546678E-2</v>
      </c>
    </row>
    <row r="50" spans="1:4" ht="19" x14ac:dyDescent="0.25">
      <c r="A50" s="58" t="s">
        <v>85</v>
      </c>
      <c r="B50" s="104">
        <v>5.78</v>
      </c>
      <c r="C50" s="8">
        <v>0</v>
      </c>
      <c r="D50" s="45">
        <f>'Facility Risk - VW'!$C50/$C$151</f>
        <v>0</v>
      </c>
    </row>
    <row r="51" spans="1:4" ht="19" x14ac:dyDescent="0.25">
      <c r="A51" s="57" t="s">
        <v>86</v>
      </c>
      <c r="B51" s="105">
        <v>5.38</v>
      </c>
      <c r="C51" s="9">
        <v>0</v>
      </c>
      <c r="D51" s="46">
        <f>'Facility Risk - VW'!$C51/$C$151</f>
        <v>0</v>
      </c>
    </row>
    <row r="52" spans="1:4" ht="19" x14ac:dyDescent="0.25">
      <c r="A52" s="58" t="s">
        <v>87</v>
      </c>
      <c r="B52" s="106">
        <v>4.93</v>
      </c>
      <c r="C52" s="8">
        <v>0</v>
      </c>
      <c r="D52" s="45">
        <f>'Facility Risk - VW'!$C52/$C$151</f>
        <v>0</v>
      </c>
    </row>
    <row r="53" spans="1:4" ht="19" x14ac:dyDescent="0.25">
      <c r="A53" s="57" t="s">
        <v>88</v>
      </c>
      <c r="B53" s="68">
        <v>3.42</v>
      </c>
      <c r="C53" s="9">
        <v>0.1343</v>
      </c>
      <c r="D53" s="46">
        <f>'Facility Risk - VW'!$C53/$C$151</f>
        <v>0.13353882867654368</v>
      </c>
    </row>
    <row r="54" spans="1:4" ht="19" x14ac:dyDescent="0.25">
      <c r="A54" s="58" t="s">
        <v>89</v>
      </c>
      <c r="B54" s="107">
        <v>4.63</v>
      </c>
      <c r="C54" s="8">
        <v>0.01</v>
      </c>
      <c r="D54" s="45">
        <f>'Facility Risk - VW'!$C54/$C$151</f>
        <v>9.9433230585661697E-3</v>
      </c>
    </row>
    <row r="55" spans="1:4" ht="19" x14ac:dyDescent="0.25">
      <c r="A55" s="57" t="s">
        <v>90</v>
      </c>
      <c r="B55" s="77">
        <v>4.34</v>
      </c>
      <c r="C55" s="9">
        <v>0</v>
      </c>
      <c r="D55" s="46">
        <f>'Facility Risk - VW'!$C55/$C$151</f>
        <v>0</v>
      </c>
    </row>
    <row r="56" spans="1:4" ht="19" x14ac:dyDescent="0.25">
      <c r="A56" s="58" t="s">
        <v>91</v>
      </c>
      <c r="B56" s="71">
        <v>5.45</v>
      </c>
      <c r="C56" s="8">
        <v>0</v>
      </c>
      <c r="D56" s="45">
        <f>'Facility Risk - VW'!$C56/$C$151</f>
        <v>0</v>
      </c>
    </row>
    <row r="57" spans="1:4" ht="19" x14ac:dyDescent="0.25">
      <c r="A57" s="57" t="s">
        <v>92</v>
      </c>
      <c r="B57" s="108">
        <v>6.36</v>
      </c>
      <c r="C57" s="9">
        <v>0</v>
      </c>
      <c r="D57" s="46">
        <f>'Facility Risk - VW'!$C57/$C$151</f>
        <v>0</v>
      </c>
    </row>
    <row r="58" spans="1:4" ht="19" x14ac:dyDescent="0.25">
      <c r="A58" s="58" t="s">
        <v>93</v>
      </c>
      <c r="B58" s="109">
        <v>5.94</v>
      </c>
      <c r="C58" s="8">
        <v>0</v>
      </c>
      <c r="D58" s="45">
        <f>'Facility Risk - VW'!$C58/$C$151</f>
        <v>0</v>
      </c>
    </row>
    <row r="59" spans="1:4" ht="19" x14ac:dyDescent="0.25">
      <c r="A59" s="57" t="s">
        <v>94</v>
      </c>
      <c r="B59" s="110">
        <v>4.92</v>
      </c>
      <c r="C59" s="9">
        <v>0</v>
      </c>
      <c r="D59" s="46">
        <f>'Facility Risk - VW'!$C59/$C$151</f>
        <v>0</v>
      </c>
    </row>
    <row r="60" spans="1:4" ht="19" x14ac:dyDescent="0.25">
      <c r="A60" s="58" t="s">
        <v>95</v>
      </c>
      <c r="B60" s="111">
        <v>6.53</v>
      </c>
      <c r="C60" s="8">
        <v>0</v>
      </c>
      <c r="D60" s="45">
        <f>'Facility Risk - VW'!$C60/$C$151</f>
        <v>0</v>
      </c>
    </row>
    <row r="61" spans="1:4" ht="19" x14ac:dyDescent="0.25">
      <c r="A61" s="57" t="s">
        <v>96</v>
      </c>
      <c r="B61" s="112">
        <v>5.77</v>
      </c>
      <c r="C61" s="9">
        <v>0</v>
      </c>
      <c r="D61" s="46">
        <f>'Facility Risk - VW'!$C61/$C$151</f>
        <v>0</v>
      </c>
    </row>
    <row r="62" spans="1:4" ht="19" x14ac:dyDescent="0.25">
      <c r="A62" s="58" t="s">
        <v>97</v>
      </c>
      <c r="B62" s="113">
        <v>3.63</v>
      </c>
      <c r="C62" s="8">
        <v>5.0000000000000001E-3</v>
      </c>
      <c r="D62" s="45">
        <f>'Facility Risk - VW'!$C62/$C$151</f>
        <v>4.9716615292830849E-3</v>
      </c>
    </row>
    <row r="63" spans="1:4" ht="19" x14ac:dyDescent="0.25">
      <c r="A63" s="57" t="s">
        <v>98</v>
      </c>
      <c r="B63" s="114">
        <v>3.38</v>
      </c>
      <c r="C63" s="9">
        <v>0</v>
      </c>
      <c r="D63" s="46">
        <f>'Facility Risk - VW'!$C63/$C$151</f>
        <v>0</v>
      </c>
    </row>
    <row r="64" spans="1:4" ht="19" x14ac:dyDescent="0.25">
      <c r="A64" s="58" t="s">
        <v>99</v>
      </c>
      <c r="B64" s="115">
        <v>5.07</v>
      </c>
      <c r="C64" s="8">
        <v>3.9800000000000002E-2</v>
      </c>
      <c r="D64" s="45">
        <f>'Facility Risk - VW'!$C64/$C$151</f>
        <v>3.9574425773093357E-2</v>
      </c>
    </row>
    <row r="65" spans="1:4" ht="19" x14ac:dyDescent="0.25">
      <c r="A65" s="57" t="s">
        <v>100</v>
      </c>
      <c r="B65" s="106">
        <v>4.92</v>
      </c>
      <c r="C65" s="9">
        <v>0</v>
      </c>
      <c r="D65" s="46">
        <f>'Facility Risk - VW'!$C65/$C$151</f>
        <v>0</v>
      </c>
    </row>
    <row r="66" spans="1:4" ht="19" x14ac:dyDescent="0.25">
      <c r="A66" s="58" t="s">
        <v>101</v>
      </c>
      <c r="B66" s="116">
        <v>5.88</v>
      </c>
      <c r="C66" s="8">
        <v>0</v>
      </c>
      <c r="D66" s="45">
        <f>'Facility Risk - VW'!$C66/$C$151</f>
        <v>0</v>
      </c>
    </row>
    <row r="67" spans="1:4" ht="19" x14ac:dyDescent="0.25">
      <c r="A67" s="57" t="s">
        <v>102</v>
      </c>
      <c r="B67" s="117">
        <v>6.05</v>
      </c>
      <c r="C67" s="9">
        <v>0</v>
      </c>
      <c r="D67" s="46">
        <f>'Facility Risk - VW'!$C67/$C$151</f>
        <v>0</v>
      </c>
    </row>
    <row r="68" spans="1:4" ht="19" x14ac:dyDescent="0.25">
      <c r="A68" s="58" t="s">
        <v>103</v>
      </c>
      <c r="B68" s="118">
        <v>3.25</v>
      </c>
      <c r="C68" s="8">
        <v>0</v>
      </c>
      <c r="D68" s="45">
        <f>'Facility Risk - VW'!$C68/$C$151</f>
        <v>0</v>
      </c>
    </row>
    <row r="69" spans="1:4" ht="19" x14ac:dyDescent="0.25">
      <c r="A69" s="57" t="s">
        <v>104</v>
      </c>
      <c r="B69" s="119">
        <v>4.6100000000000003</v>
      </c>
      <c r="C69" s="9">
        <v>0</v>
      </c>
      <c r="D69" s="46">
        <f>'Facility Risk - VW'!$C69/$C$151</f>
        <v>0</v>
      </c>
    </row>
    <row r="70" spans="1:4" ht="19" x14ac:dyDescent="0.25">
      <c r="A70" s="58" t="s">
        <v>105</v>
      </c>
      <c r="B70" s="120">
        <v>3.84</v>
      </c>
      <c r="C70" s="8">
        <v>0.01</v>
      </c>
      <c r="D70" s="45">
        <f>'Facility Risk - VW'!$C70/$C$151</f>
        <v>9.9433230585661697E-3</v>
      </c>
    </row>
    <row r="71" spans="1:4" ht="19" x14ac:dyDescent="0.25">
      <c r="A71" s="57" t="s">
        <v>106</v>
      </c>
      <c r="B71" s="121">
        <v>4.75</v>
      </c>
      <c r="C71" s="9">
        <v>0</v>
      </c>
      <c r="D71" s="46">
        <f>'Facility Risk - VW'!$C71/$C$151</f>
        <v>0</v>
      </c>
    </row>
    <row r="72" spans="1:4" ht="19" x14ac:dyDescent="0.25">
      <c r="A72" s="58" t="s">
        <v>107</v>
      </c>
      <c r="B72" s="114">
        <v>3.38</v>
      </c>
      <c r="C72" s="8">
        <v>0</v>
      </c>
      <c r="D72" s="45">
        <f>'Facility Risk - VW'!$C72/$C$151</f>
        <v>0</v>
      </c>
    </row>
    <row r="73" spans="1:4" ht="19" x14ac:dyDescent="0.25">
      <c r="A73" s="57" t="s">
        <v>108</v>
      </c>
      <c r="B73" s="122">
        <v>5.13</v>
      </c>
      <c r="C73" s="9">
        <v>0</v>
      </c>
      <c r="D73" s="46">
        <f>'Facility Risk - VW'!$C73/$C$151</f>
        <v>0</v>
      </c>
    </row>
    <row r="74" spans="1:4" ht="19" x14ac:dyDescent="0.25">
      <c r="A74" s="58" t="s">
        <v>109</v>
      </c>
      <c r="B74" s="123">
        <v>4.54</v>
      </c>
      <c r="C74" s="8">
        <v>0</v>
      </c>
      <c r="D74" s="45">
        <f>'Facility Risk - VW'!$C74/$C$151</f>
        <v>0</v>
      </c>
    </row>
    <row r="75" spans="1:4" ht="19" x14ac:dyDescent="0.25">
      <c r="A75" s="57" t="s">
        <v>110</v>
      </c>
      <c r="B75" s="124">
        <v>6.13</v>
      </c>
      <c r="C75" s="9">
        <v>0</v>
      </c>
      <c r="D75" s="46">
        <f>'Facility Risk - VW'!$C75/$C$151</f>
        <v>0</v>
      </c>
    </row>
    <row r="76" spans="1:4" ht="19" x14ac:dyDescent="0.25">
      <c r="A76" s="58" t="s">
        <v>111</v>
      </c>
      <c r="B76" s="125">
        <v>4.3</v>
      </c>
      <c r="C76" s="8">
        <v>0</v>
      </c>
      <c r="D76" s="45">
        <f>'Facility Risk - VW'!$C76/$C$151</f>
        <v>0</v>
      </c>
    </row>
    <row r="77" spans="1:4" ht="19" x14ac:dyDescent="0.25">
      <c r="A77" s="57" t="s">
        <v>112</v>
      </c>
      <c r="B77" s="126">
        <v>5.37</v>
      </c>
      <c r="C77" s="9">
        <v>0</v>
      </c>
      <c r="D77" s="46">
        <f>'Facility Risk - VW'!$C77/$C$151</f>
        <v>0</v>
      </c>
    </row>
    <row r="78" spans="1:4" ht="19" x14ac:dyDescent="0.25">
      <c r="A78" s="58" t="s">
        <v>113</v>
      </c>
      <c r="B78" s="127">
        <v>5.14</v>
      </c>
      <c r="C78" s="8">
        <v>0</v>
      </c>
      <c r="D78" s="45">
        <f>'Facility Risk - VW'!$C78/$C$151</f>
        <v>0</v>
      </c>
    </row>
    <row r="79" spans="1:4" ht="19" x14ac:dyDescent="0.25">
      <c r="A79" s="57" t="s">
        <v>114</v>
      </c>
      <c r="B79" s="128">
        <v>3.97</v>
      </c>
      <c r="C79" s="9">
        <v>0</v>
      </c>
      <c r="D79" s="46">
        <f>'Facility Risk - VW'!$C79/$C$151</f>
        <v>0</v>
      </c>
    </row>
    <row r="80" spans="1:4" ht="19" x14ac:dyDescent="0.25">
      <c r="A80" s="58" t="s">
        <v>115</v>
      </c>
      <c r="B80" s="129">
        <v>6.12</v>
      </c>
      <c r="C80" s="8">
        <v>0</v>
      </c>
      <c r="D80" s="45">
        <f>'Facility Risk - VW'!$C80/$C$151</f>
        <v>0</v>
      </c>
    </row>
    <row r="81" spans="1:4" ht="19" x14ac:dyDescent="0.25">
      <c r="A81" s="57" t="s">
        <v>116</v>
      </c>
      <c r="B81" s="130">
        <v>5.49</v>
      </c>
      <c r="C81" s="9">
        <v>0</v>
      </c>
      <c r="D81" s="46">
        <f>'Facility Risk - VW'!$C81/$C$151</f>
        <v>0</v>
      </c>
    </row>
    <row r="82" spans="1:4" ht="19" x14ac:dyDescent="0.25">
      <c r="A82" s="58" t="s">
        <v>117</v>
      </c>
      <c r="B82" s="131">
        <v>5.97</v>
      </c>
      <c r="C82" s="8">
        <v>0</v>
      </c>
      <c r="D82" s="45">
        <f>'Facility Risk - VW'!$C82/$C$151</f>
        <v>0</v>
      </c>
    </row>
    <row r="83" spans="1:4" ht="19" x14ac:dyDescent="0.25">
      <c r="A83" s="57" t="s">
        <v>118</v>
      </c>
      <c r="B83" s="132">
        <v>5.68</v>
      </c>
      <c r="C83" s="9">
        <v>0</v>
      </c>
      <c r="D83" s="46">
        <f>'Facility Risk - VW'!$C83/$C$151</f>
        <v>0</v>
      </c>
    </row>
    <row r="84" spans="1:4" ht="19" x14ac:dyDescent="0.25">
      <c r="A84" s="58" t="s">
        <v>119</v>
      </c>
      <c r="B84" s="133">
        <v>3.93</v>
      </c>
      <c r="C84" s="8">
        <v>0</v>
      </c>
      <c r="D84" s="45">
        <f>'Facility Risk - VW'!$C84/$C$151</f>
        <v>0</v>
      </c>
    </row>
    <row r="85" spans="1:4" ht="19" x14ac:dyDescent="0.25">
      <c r="A85" s="57" t="s">
        <v>120</v>
      </c>
      <c r="B85" s="134">
        <v>5.82</v>
      </c>
      <c r="C85" s="9">
        <v>0</v>
      </c>
      <c r="D85" s="46">
        <f>'Facility Risk - VW'!$C85/$C$151</f>
        <v>0</v>
      </c>
    </row>
    <row r="86" spans="1:4" ht="19" x14ac:dyDescent="0.25">
      <c r="A86" s="58" t="s">
        <v>121</v>
      </c>
      <c r="B86" s="135">
        <v>5.58</v>
      </c>
      <c r="C86" s="8">
        <v>0</v>
      </c>
      <c r="D86" s="45">
        <f>'Facility Risk - VW'!$C86/$C$151</f>
        <v>0</v>
      </c>
    </row>
    <row r="87" spans="1:4" ht="19" x14ac:dyDescent="0.25">
      <c r="A87" s="57" t="s">
        <v>122</v>
      </c>
      <c r="B87" s="136">
        <v>4.03</v>
      </c>
      <c r="C87" s="9">
        <v>1.49E-2</v>
      </c>
      <c r="D87" s="46">
        <f>'Facility Risk - VW'!$C87/$C$151</f>
        <v>1.4815551357263593E-2</v>
      </c>
    </row>
    <row r="88" spans="1:4" ht="19" x14ac:dyDescent="0.25">
      <c r="A88" s="58" t="s">
        <v>123</v>
      </c>
      <c r="B88" s="137">
        <v>7.1</v>
      </c>
      <c r="C88" s="8">
        <v>0</v>
      </c>
      <c r="D88" s="45">
        <f>'Facility Risk - VW'!$C88/$C$151</f>
        <v>0</v>
      </c>
    </row>
    <row r="89" spans="1:4" ht="19" x14ac:dyDescent="0.25">
      <c r="A89" s="57" t="s">
        <v>124</v>
      </c>
      <c r="B89" s="138">
        <v>6.28</v>
      </c>
      <c r="C89" s="9">
        <v>0</v>
      </c>
      <c r="D89" s="46">
        <f>'Facility Risk - VW'!$C89/$C$151</f>
        <v>0</v>
      </c>
    </row>
    <row r="90" spans="1:4" ht="19" x14ac:dyDescent="0.25">
      <c r="A90" s="58" t="s">
        <v>125</v>
      </c>
      <c r="B90" s="139">
        <v>3.47</v>
      </c>
      <c r="C90" s="8">
        <v>0</v>
      </c>
      <c r="D90" s="45">
        <f>'Facility Risk - VW'!$C90/$C$151</f>
        <v>0</v>
      </c>
    </row>
    <row r="91" spans="1:4" ht="19" x14ac:dyDescent="0.25">
      <c r="A91" s="57" t="s">
        <v>126</v>
      </c>
      <c r="B91" s="140">
        <v>5.42</v>
      </c>
      <c r="C91" s="9">
        <v>2.9899999999999999E-2</v>
      </c>
      <c r="D91" s="46">
        <f>'Facility Risk - VW'!$C91/$C$151</f>
        <v>2.9730535945112848E-2</v>
      </c>
    </row>
    <row r="92" spans="1:4" ht="19" x14ac:dyDescent="0.25">
      <c r="A92" s="58" t="s">
        <v>127</v>
      </c>
      <c r="B92" s="127">
        <v>5.14</v>
      </c>
      <c r="C92" s="8">
        <v>0</v>
      </c>
      <c r="D92" s="45">
        <f>'Facility Risk - VW'!$C92/$C$151</f>
        <v>0</v>
      </c>
    </row>
    <row r="93" spans="1:4" ht="19" x14ac:dyDescent="0.25">
      <c r="A93" s="57" t="s">
        <v>128</v>
      </c>
      <c r="B93" s="141">
        <v>4.6500000000000004</v>
      </c>
      <c r="C93" s="9">
        <v>0</v>
      </c>
      <c r="D93" s="46">
        <f>'Facility Risk - VW'!$C93/$C$151</f>
        <v>0</v>
      </c>
    </row>
    <row r="94" spans="1:4" ht="19" x14ac:dyDescent="0.25">
      <c r="A94" s="58" t="s">
        <v>129</v>
      </c>
      <c r="B94" s="142">
        <v>5.0999999999999996</v>
      </c>
      <c r="C94" s="8">
        <v>0.01</v>
      </c>
      <c r="D94" s="45">
        <f>'Facility Risk - VW'!$C94/$C$151</f>
        <v>9.9433230585661697E-3</v>
      </c>
    </row>
    <row r="95" spans="1:4" ht="19" x14ac:dyDescent="0.25">
      <c r="A95" s="57" t="s">
        <v>130</v>
      </c>
      <c r="B95" s="70">
        <v>6.3</v>
      </c>
      <c r="C95" s="9">
        <v>0</v>
      </c>
      <c r="D95" s="46">
        <f>'Facility Risk - VW'!$C95/$C$151</f>
        <v>0</v>
      </c>
    </row>
    <row r="96" spans="1:4" ht="19" x14ac:dyDescent="0.25">
      <c r="A96" s="58" t="s">
        <v>131</v>
      </c>
      <c r="B96" s="143">
        <v>4.6399999999999997</v>
      </c>
      <c r="C96" s="8">
        <v>0</v>
      </c>
      <c r="D96" s="45">
        <f>'Facility Risk - VW'!$C96/$C$151</f>
        <v>0</v>
      </c>
    </row>
    <row r="97" spans="1:4" ht="19" x14ac:dyDescent="0.25">
      <c r="A97" s="57" t="s">
        <v>132</v>
      </c>
      <c r="B97" s="104">
        <v>5.78</v>
      </c>
      <c r="C97" s="9">
        <v>0</v>
      </c>
      <c r="D97" s="46">
        <f>'Facility Risk - VW'!$C97/$C$151</f>
        <v>0</v>
      </c>
    </row>
    <row r="98" spans="1:4" ht="19" x14ac:dyDescent="0.25">
      <c r="A98" s="58" t="s">
        <v>133</v>
      </c>
      <c r="B98" s="144">
        <v>3.59</v>
      </c>
      <c r="C98" s="8">
        <v>2.4899999999999999E-2</v>
      </c>
      <c r="D98" s="45">
        <f>'Facility Risk - VW'!$C98/$C$151</f>
        <v>2.4758874415829763E-2</v>
      </c>
    </row>
    <row r="99" spans="1:4" ht="19" x14ac:dyDescent="0.25">
      <c r="A99" s="57" t="s">
        <v>134</v>
      </c>
      <c r="B99" s="145">
        <v>3.32</v>
      </c>
      <c r="C99" s="9">
        <v>0</v>
      </c>
      <c r="D99" s="46">
        <f>'Facility Risk - VW'!$C99/$C$151</f>
        <v>0</v>
      </c>
    </row>
    <row r="100" spans="1:4" ht="19" x14ac:dyDescent="0.25">
      <c r="A100" s="58" t="s">
        <v>135</v>
      </c>
      <c r="B100" s="146">
        <v>5.8</v>
      </c>
      <c r="C100" s="8">
        <v>0</v>
      </c>
      <c r="D100" s="45">
        <f>'Facility Risk - VW'!$C100/$C$151</f>
        <v>0</v>
      </c>
    </row>
    <row r="101" spans="1:4" ht="19" x14ac:dyDescent="0.25">
      <c r="A101" s="57" t="s">
        <v>136</v>
      </c>
      <c r="B101" s="147">
        <v>7.07</v>
      </c>
      <c r="C101" s="9">
        <v>0</v>
      </c>
      <c r="D101" s="46">
        <f>'Facility Risk - VW'!$C101/$C$151</f>
        <v>0</v>
      </c>
    </row>
    <row r="102" spans="1:4" ht="19" x14ac:dyDescent="0.25">
      <c r="A102" s="58" t="s">
        <v>137</v>
      </c>
      <c r="B102" s="148">
        <v>6.5</v>
      </c>
      <c r="C102" s="8">
        <v>0</v>
      </c>
      <c r="D102" s="45">
        <f>'Facility Risk - VW'!$C102/$C$151</f>
        <v>0</v>
      </c>
    </row>
    <row r="103" spans="1:4" ht="19" x14ac:dyDescent="0.25">
      <c r="A103" s="57" t="s">
        <v>138</v>
      </c>
      <c r="B103" s="149">
        <v>4.16</v>
      </c>
      <c r="C103" s="9">
        <v>0</v>
      </c>
      <c r="D103" s="46">
        <f>'Facility Risk - VW'!$C103/$C$151</f>
        <v>0</v>
      </c>
    </row>
    <row r="104" spans="1:4" ht="19" x14ac:dyDescent="0.25">
      <c r="A104" s="58" t="s">
        <v>139</v>
      </c>
      <c r="B104" s="114">
        <v>3.38</v>
      </c>
      <c r="C104" s="8">
        <v>0</v>
      </c>
      <c r="D104" s="45">
        <f>'Facility Risk - VW'!$C104/$C$151</f>
        <v>0</v>
      </c>
    </row>
    <row r="105" spans="1:4" ht="19" x14ac:dyDescent="0.25">
      <c r="A105" s="57" t="s">
        <v>140</v>
      </c>
      <c r="B105" s="150">
        <v>4.0199999999999996</v>
      </c>
      <c r="C105" s="9">
        <v>0</v>
      </c>
      <c r="D105" s="46">
        <f>'Facility Risk - VW'!$C105/$C$151</f>
        <v>0</v>
      </c>
    </row>
    <row r="106" spans="1:4" ht="19" x14ac:dyDescent="0.25">
      <c r="A106" s="58" t="s">
        <v>141</v>
      </c>
      <c r="B106" s="151">
        <v>6.65</v>
      </c>
      <c r="C106" s="8">
        <v>0</v>
      </c>
      <c r="D106" s="45">
        <f>'Facility Risk - VW'!$C106/$C$151</f>
        <v>0</v>
      </c>
    </row>
    <row r="107" spans="1:4" ht="19" x14ac:dyDescent="0.25">
      <c r="A107" s="57" t="s">
        <v>142</v>
      </c>
      <c r="B107" s="152">
        <v>4.5599999999999996</v>
      </c>
      <c r="C107" s="9">
        <v>0</v>
      </c>
      <c r="D107" s="46">
        <f>'Facility Risk - VW'!$C107/$C$151</f>
        <v>0</v>
      </c>
    </row>
    <row r="108" spans="1:4" ht="19" x14ac:dyDescent="0.25">
      <c r="A108" s="58" t="s">
        <v>143</v>
      </c>
      <c r="B108" s="76">
        <v>5.34</v>
      </c>
      <c r="C108" s="8">
        <v>0</v>
      </c>
      <c r="D108" s="45">
        <f>'Facility Risk - VW'!$C108/$C$151</f>
        <v>0</v>
      </c>
    </row>
    <row r="109" spans="1:4" ht="19" x14ac:dyDescent="0.25">
      <c r="A109" s="57" t="s">
        <v>144</v>
      </c>
      <c r="B109" s="153">
        <v>4.72</v>
      </c>
      <c r="C109" s="9">
        <v>0</v>
      </c>
      <c r="D109" s="46">
        <f>'Facility Risk - VW'!$C109/$C$151</f>
        <v>0</v>
      </c>
    </row>
    <row r="110" spans="1:4" ht="19" x14ac:dyDescent="0.25">
      <c r="A110" s="58" t="s">
        <v>145</v>
      </c>
      <c r="B110" s="154">
        <v>5.28</v>
      </c>
      <c r="C110" s="8">
        <v>0</v>
      </c>
      <c r="D110" s="45">
        <f>'Facility Risk - VW'!$C110/$C$151</f>
        <v>0</v>
      </c>
    </row>
    <row r="111" spans="1:4" ht="19" x14ac:dyDescent="0.25">
      <c r="A111" s="57" t="s">
        <v>146</v>
      </c>
      <c r="B111" s="146">
        <v>5.8</v>
      </c>
      <c r="C111" s="9">
        <v>0</v>
      </c>
      <c r="D111" s="46">
        <f>'Facility Risk - VW'!$C111/$C$151</f>
        <v>0</v>
      </c>
    </row>
    <row r="112" spans="1:4" ht="19" x14ac:dyDescent="0.25">
      <c r="A112" s="58" t="s">
        <v>147</v>
      </c>
      <c r="B112" s="155">
        <v>4.1500000000000004</v>
      </c>
      <c r="C112" s="8">
        <v>5.4699999999999999E-2</v>
      </c>
      <c r="D112" s="45">
        <f>'Facility Risk - VW'!$C112/$C$151</f>
        <v>5.4389977130356947E-2</v>
      </c>
    </row>
    <row r="113" spans="1:4" ht="19" x14ac:dyDescent="0.25">
      <c r="A113" s="57" t="s">
        <v>148</v>
      </c>
      <c r="B113" s="156">
        <v>3.43</v>
      </c>
      <c r="C113" s="9">
        <v>5.0000000000000001E-3</v>
      </c>
      <c r="D113" s="46">
        <f>'Facility Risk - VW'!$C113/$C$151</f>
        <v>4.9716615292830849E-3</v>
      </c>
    </row>
    <row r="114" spans="1:4" ht="19" x14ac:dyDescent="0.25">
      <c r="A114" s="58" t="s">
        <v>149</v>
      </c>
      <c r="B114" s="93">
        <v>3.2</v>
      </c>
      <c r="C114" s="8">
        <v>0</v>
      </c>
      <c r="D114" s="45">
        <f>'Facility Risk - VW'!$C114/$C$151</f>
        <v>0</v>
      </c>
    </row>
    <row r="115" spans="1:4" ht="19" x14ac:dyDescent="0.25">
      <c r="A115" s="57" t="s">
        <v>150</v>
      </c>
      <c r="B115" s="157">
        <v>4.05</v>
      </c>
      <c r="C115" s="9">
        <v>0</v>
      </c>
      <c r="D115" s="46">
        <f>'Facility Risk - VW'!$C115/$C$151</f>
        <v>0</v>
      </c>
    </row>
    <row r="116" spans="1:4" ht="19" x14ac:dyDescent="0.25">
      <c r="A116" s="58" t="s">
        <v>151</v>
      </c>
      <c r="B116" s="158">
        <v>5.96</v>
      </c>
      <c r="C116" s="8">
        <v>0</v>
      </c>
      <c r="D116" s="45">
        <f>'Facility Risk - VW'!$C116/$C$151</f>
        <v>0</v>
      </c>
    </row>
    <row r="117" spans="1:4" ht="19" x14ac:dyDescent="0.25">
      <c r="A117" s="57" t="s">
        <v>152</v>
      </c>
      <c r="B117" s="159">
        <v>5.47</v>
      </c>
      <c r="C117" s="9">
        <v>0</v>
      </c>
      <c r="D117" s="46">
        <f>'Facility Risk - VW'!$C117/$C$151</f>
        <v>0</v>
      </c>
    </row>
    <row r="118" spans="1:4" ht="19" x14ac:dyDescent="0.25">
      <c r="A118" s="58" t="s">
        <v>153</v>
      </c>
      <c r="B118" s="79">
        <v>4.42</v>
      </c>
      <c r="C118" s="8">
        <v>0</v>
      </c>
      <c r="D118" s="45">
        <f>'Facility Risk - VW'!$C118/$C$151</f>
        <v>0</v>
      </c>
    </row>
    <row r="119" spans="1:4" ht="19" x14ac:dyDescent="0.25">
      <c r="A119" s="57" t="s">
        <v>154</v>
      </c>
      <c r="B119" s="160">
        <v>5.4</v>
      </c>
      <c r="C119" s="9">
        <v>0</v>
      </c>
      <c r="D119" s="46">
        <f>'Facility Risk - VW'!$C119/$C$151</f>
        <v>0</v>
      </c>
    </row>
    <row r="120" spans="1:4" ht="19" x14ac:dyDescent="0.25">
      <c r="A120" s="58" t="s">
        <v>155</v>
      </c>
      <c r="B120" s="161">
        <v>5.04</v>
      </c>
      <c r="C120" s="8">
        <v>0.05</v>
      </c>
      <c r="D120" s="45">
        <f>'Facility Risk - VW'!$C120/$C$151</f>
        <v>4.9716615292830856E-2</v>
      </c>
    </row>
    <row r="121" spans="1:4" ht="19" x14ac:dyDescent="0.25">
      <c r="A121" s="57" t="s">
        <v>156</v>
      </c>
      <c r="B121" s="162">
        <v>5.64</v>
      </c>
      <c r="C121" s="9">
        <v>0</v>
      </c>
      <c r="D121" s="46">
        <f>'Facility Risk - VW'!$C121/$C$151</f>
        <v>0</v>
      </c>
    </row>
    <row r="122" spans="1:4" ht="19" x14ac:dyDescent="0.25">
      <c r="A122" s="58" t="s">
        <v>157</v>
      </c>
      <c r="B122" s="163">
        <v>3.04</v>
      </c>
      <c r="C122" s="8">
        <v>0</v>
      </c>
      <c r="D122" s="45">
        <f>'Facility Risk - VW'!$C122/$C$151</f>
        <v>0</v>
      </c>
    </row>
    <row r="123" spans="1:4" ht="19" x14ac:dyDescent="0.25">
      <c r="A123" s="57" t="s">
        <v>158</v>
      </c>
      <c r="B123" s="164">
        <v>3.79</v>
      </c>
      <c r="C123" s="9">
        <v>0</v>
      </c>
      <c r="D123" s="46">
        <f>'Facility Risk - VW'!$C123/$C$151</f>
        <v>0</v>
      </c>
    </row>
    <row r="124" spans="1:4" ht="19" x14ac:dyDescent="0.25">
      <c r="A124" s="58" t="s">
        <v>159</v>
      </c>
      <c r="B124" s="165">
        <v>3.48</v>
      </c>
      <c r="C124" s="8">
        <v>0</v>
      </c>
      <c r="D124" s="45">
        <f>'Facility Risk - VW'!$C124/$C$151</f>
        <v>0</v>
      </c>
    </row>
    <row r="125" spans="1:4" ht="19" x14ac:dyDescent="0.25">
      <c r="A125" s="57" t="s">
        <v>160</v>
      </c>
      <c r="B125" s="166">
        <v>5.22</v>
      </c>
      <c r="C125" s="9">
        <v>3.4799999999999998E-2</v>
      </c>
      <c r="D125" s="46">
        <f>'Facility Risk - VW'!$C125/$C$151</f>
        <v>3.4602764243810272E-2</v>
      </c>
    </row>
    <row r="126" spans="1:4" ht="19" x14ac:dyDescent="0.25">
      <c r="A126" s="58" t="s">
        <v>161</v>
      </c>
      <c r="B126" s="167">
        <v>3.57</v>
      </c>
      <c r="C126" s="8">
        <v>5.0000000000000001E-3</v>
      </c>
      <c r="D126" s="45">
        <f>'Facility Risk - VW'!$C126/$C$151</f>
        <v>4.9716615292830849E-3</v>
      </c>
    </row>
    <row r="127" spans="1:4" ht="19" x14ac:dyDescent="0.25">
      <c r="A127" s="57" t="s">
        <v>162</v>
      </c>
      <c r="B127" s="168">
        <v>3.7</v>
      </c>
      <c r="C127" s="9">
        <v>3.4799999999999998E-2</v>
      </c>
      <c r="D127" s="46">
        <f>'Facility Risk - VW'!$C127/$C$151</f>
        <v>3.4602764243810272E-2</v>
      </c>
    </row>
    <row r="128" spans="1:4" ht="19" x14ac:dyDescent="0.25">
      <c r="A128" s="58" t="s">
        <v>163</v>
      </c>
      <c r="B128" s="169">
        <v>5.1100000000000003</v>
      </c>
      <c r="C128" s="8">
        <v>0</v>
      </c>
      <c r="D128" s="45">
        <f>'Facility Risk - VW'!$C128/$C$151</f>
        <v>0</v>
      </c>
    </row>
    <row r="129" spans="1:4" ht="19" x14ac:dyDescent="0.25">
      <c r="A129" s="57" t="s">
        <v>164</v>
      </c>
      <c r="B129" s="137">
        <v>7.1</v>
      </c>
      <c r="C129" s="9">
        <v>0</v>
      </c>
      <c r="D129" s="46">
        <f>'Facility Risk - VW'!$C129/$C$151</f>
        <v>0</v>
      </c>
    </row>
    <row r="130" spans="1:4" ht="19" x14ac:dyDescent="0.25">
      <c r="A130" s="58" t="s">
        <v>165</v>
      </c>
      <c r="B130" s="170">
        <v>3.52</v>
      </c>
      <c r="C130" s="8">
        <v>2.4899999999999999E-2</v>
      </c>
      <c r="D130" s="45">
        <f>'Facility Risk - VW'!$C130/$C$151</f>
        <v>2.4758874415829763E-2</v>
      </c>
    </row>
    <row r="131" spans="1:4" ht="19" x14ac:dyDescent="0.25">
      <c r="A131" s="57" t="s">
        <v>166</v>
      </c>
      <c r="B131" s="171">
        <v>2.78</v>
      </c>
      <c r="C131" s="9">
        <v>5.0000000000000001E-3</v>
      </c>
      <c r="D131" s="46">
        <f>'Facility Risk - VW'!$C131/$C$151</f>
        <v>4.9716615292830849E-3</v>
      </c>
    </row>
    <row r="132" spans="1:4" ht="19" x14ac:dyDescent="0.25">
      <c r="A132" s="59" t="s">
        <v>167</v>
      </c>
      <c r="B132" s="172">
        <v>7.33</v>
      </c>
      <c r="C132" s="8">
        <v>0</v>
      </c>
      <c r="D132" s="45">
        <f>'Facility Risk - VW'!$C132/$C$151</f>
        <v>0</v>
      </c>
    </row>
    <row r="133" spans="1:4" ht="19" x14ac:dyDescent="0.25">
      <c r="A133" s="57" t="s">
        <v>168</v>
      </c>
      <c r="B133" s="173">
        <v>5.69</v>
      </c>
      <c r="C133" s="9">
        <v>0</v>
      </c>
      <c r="D133" s="46">
        <f>'Facility Risk - VW'!$C133/$C$151</f>
        <v>0</v>
      </c>
    </row>
    <row r="134" spans="1:4" ht="19" x14ac:dyDescent="0.25">
      <c r="A134" s="58" t="s">
        <v>169</v>
      </c>
      <c r="B134" s="63">
        <v>5.21</v>
      </c>
      <c r="C134" s="8">
        <v>0.01</v>
      </c>
      <c r="D134" s="45">
        <f>'Facility Risk - VW'!$C134/$C$151</f>
        <v>9.9433230585661697E-3</v>
      </c>
    </row>
    <row r="135" spans="1:4" ht="19" x14ac:dyDescent="0.25">
      <c r="A135" s="57" t="s">
        <v>170</v>
      </c>
      <c r="B135" s="174">
        <v>5.15</v>
      </c>
      <c r="C135" s="9">
        <v>0</v>
      </c>
      <c r="D135" s="46">
        <f>'Facility Risk - VW'!$C135/$C$151</f>
        <v>0</v>
      </c>
    </row>
    <row r="136" spans="1:4" ht="19" x14ac:dyDescent="0.25">
      <c r="A136" s="58" t="s">
        <v>171</v>
      </c>
      <c r="B136" s="175">
        <v>5.87</v>
      </c>
      <c r="C136" s="8">
        <v>0</v>
      </c>
      <c r="D136" s="45">
        <f>'Facility Risk - VW'!$C136/$C$151</f>
        <v>0</v>
      </c>
    </row>
    <row r="137" spans="1:4" ht="19" x14ac:dyDescent="0.25">
      <c r="A137" s="57" t="s">
        <v>172</v>
      </c>
      <c r="B137" s="176">
        <v>4.38</v>
      </c>
      <c r="C137" s="9">
        <v>0</v>
      </c>
      <c r="D137" s="46">
        <f>'Facility Risk - VW'!$C137/$C$151</f>
        <v>0</v>
      </c>
    </row>
    <row r="138" spans="1:4" ht="19" x14ac:dyDescent="0.25">
      <c r="A138" s="58" t="s">
        <v>173</v>
      </c>
      <c r="B138" s="177">
        <v>5.13</v>
      </c>
      <c r="C138" s="8">
        <v>0</v>
      </c>
      <c r="D138" s="45">
        <f>'Facility Risk - VW'!$C138/$C$151</f>
        <v>0</v>
      </c>
    </row>
    <row r="139" spans="1:4" ht="19" x14ac:dyDescent="0.25">
      <c r="A139" s="57" t="s">
        <v>174</v>
      </c>
      <c r="B139" s="178">
        <v>5.26</v>
      </c>
      <c r="C139" s="9">
        <v>5.0000000000000001E-3</v>
      </c>
      <c r="D139" s="46">
        <f>'Facility Risk - VW'!$C139/$C$151</f>
        <v>4.9716615292830849E-3</v>
      </c>
    </row>
    <row r="140" spans="1:4" ht="19" x14ac:dyDescent="0.25">
      <c r="A140" s="58" t="s">
        <v>175</v>
      </c>
      <c r="B140" s="179">
        <v>6.29</v>
      </c>
      <c r="C140" s="8">
        <v>0</v>
      </c>
      <c r="D140" s="45">
        <f>'Facility Risk - VW'!$C140/$C$151</f>
        <v>0</v>
      </c>
    </row>
    <row r="141" spans="1:4" ht="19" x14ac:dyDescent="0.25">
      <c r="A141" s="57" t="s">
        <v>176</v>
      </c>
      <c r="B141" s="180">
        <v>6.35</v>
      </c>
      <c r="C141" s="9">
        <v>0</v>
      </c>
      <c r="D141" s="46">
        <f>'Facility Risk - VW'!$C141/$C$151</f>
        <v>0</v>
      </c>
    </row>
    <row r="142" spans="1:4" ht="19" x14ac:dyDescent="0.25">
      <c r="A142" s="58" t="s">
        <v>177</v>
      </c>
      <c r="B142" s="181">
        <v>3.72</v>
      </c>
      <c r="C142" s="8">
        <v>5.0000000000000001E-3</v>
      </c>
      <c r="D142" s="45">
        <f>'Facility Risk - VW'!$C142/$C$151</f>
        <v>4.9716615292830849E-3</v>
      </c>
    </row>
    <row r="143" spans="1:4" ht="19" x14ac:dyDescent="0.25">
      <c r="A143" s="57" t="s">
        <v>178</v>
      </c>
      <c r="B143" s="145">
        <v>3.32</v>
      </c>
      <c r="C143" s="9">
        <v>0.01</v>
      </c>
      <c r="D143" s="46">
        <f>'Facility Risk - VW'!$C143/$C$151</f>
        <v>9.9433230585661697E-3</v>
      </c>
    </row>
    <row r="144" spans="1:4" ht="19" x14ac:dyDescent="0.25">
      <c r="A144" s="58" t="s">
        <v>179</v>
      </c>
      <c r="B144" s="182">
        <v>4.1900000000000004</v>
      </c>
      <c r="C144" s="8">
        <v>0.1343</v>
      </c>
      <c r="D144" s="45">
        <f>'Facility Risk - VW'!$C144/$C$151</f>
        <v>0.13353882867654368</v>
      </c>
    </row>
    <row r="145" spans="1:4" ht="19" x14ac:dyDescent="0.25">
      <c r="A145" s="57" t="s">
        <v>180</v>
      </c>
      <c r="B145" s="183">
        <v>3.91</v>
      </c>
      <c r="C145" s="9">
        <v>0</v>
      </c>
      <c r="D145" s="46">
        <f>'Facility Risk - VW'!$C145/$C$151</f>
        <v>0</v>
      </c>
    </row>
    <row r="146" spans="1:4" ht="19" x14ac:dyDescent="0.25">
      <c r="A146" s="58" t="s">
        <v>181</v>
      </c>
      <c r="B146" s="112">
        <v>5.77</v>
      </c>
      <c r="C146" s="8">
        <v>0</v>
      </c>
      <c r="D146" s="45">
        <f>'Facility Risk - VW'!$C146/$C$151</f>
        <v>0</v>
      </c>
    </row>
    <row r="147" spans="1:4" ht="19" x14ac:dyDescent="0.25">
      <c r="A147" s="57" t="s">
        <v>182</v>
      </c>
      <c r="B147" s="184">
        <v>4.32</v>
      </c>
      <c r="C147" s="9">
        <v>5.0000000000000001E-3</v>
      </c>
      <c r="D147" s="46">
        <f>'Facility Risk - VW'!$C147/$C$151</f>
        <v>4.9716615292830849E-3</v>
      </c>
    </row>
    <row r="148" spans="1:4" ht="19" x14ac:dyDescent="0.25">
      <c r="A148" s="58" t="s">
        <v>183</v>
      </c>
      <c r="B148" s="70">
        <v>6.3</v>
      </c>
      <c r="C148" s="8">
        <v>0</v>
      </c>
      <c r="D148" s="45">
        <f>'Facility Risk - VW'!$C148/$C$151</f>
        <v>0</v>
      </c>
    </row>
    <row r="149" spans="1:4" ht="19" x14ac:dyDescent="0.25">
      <c r="A149" s="57" t="s">
        <v>184</v>
      </c>
      <c r="B149" s="185">
        <v>4.95</v>
      </c>
      <c r="C149" s="9">
        <v>0</v>
      </c>
      <c r="D149" s="46">
        <f>'Facility Risk - VW'!$C149/$C$151</f>
        <v>0</v>
      </c>
    </row>
    <row r="150" spans="1:4" ht="19" x14ac:dyDescent="0.25">
      <c r="A150" s="60" t="s">
        <v>185</v>
      </c>
      <c r="B150" s="186">
        <v>6.14</v>
      </c>
      <c r="C150" s="10">
        <v>0</v>
      </c>
      <c r="D150" s="47">
        <f>'Facility Risk - VW'!$C150/$C$151</f>
        <v>0</v>
      </c>
    </row>
    <row r="151" spans="1:4" ht="19" x14ac:dyDescent="0.25">
      <c r="A151" s="61" t="s">
        <v>186</v>
      </c>
      <c r="B151" s="5"/>
      <c r="C151" s="6">
        <f>SUM(C4:C150)</f>
        <v>1.0057000000000003</v>
      </c>
      <c r="D151" s="48">
        <f>SUM(D4:D150)</f>
        <v>0.99999999999999978</v>
      </c>
    </row>
  </sheetData>
  <mergeCells count="1">
    <mergeCell ref="A1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924AC-3722-DF4F-A027-BB16788644E5}">
  <dimension ref="A1:J151"/>
  <sheetViews>
    <sheetView workbookViewId="0">
      <selection activeCell="I17" sqref="I17"/>
    </sheetView>
  </sheetViews>
  <sheetFormatPr baseColWidth="10" defaultColWidth="11" defaultRowHeight="16" x14ac:dyDescent="0.2"/>
  <cols>
    <col min="1" max="1" width="23" bestFit="1" customWidth="1"/>
    <col min="2" max="2" width="32" bestFit="1" customWidth="1"/>
    <col min="3" max="3" width="33.6640625" bestFit="1" customWidth="1"/>
    <col min="4" max="4" width="42.6640625" bestFit="1" customWidth="1"/>
    <col min="5" max="5" width="16" bestFit="1" customWidth="1"/>
    <col min="7" max="7" width="29.33203125" bestFit="1" customWidth="1"/>
    <col min="8" max="8" width="8.5" bestFit="1" customWidth="1"/>
    <col min="9" max="9" width="22.5" bestFit="1" customWidth="1"/>
    <col min="10" max="10" width="12.33203125" bestFit="1" customWidth="1"/>
  </cols>
  <sheetData>
    <row r="1" spans="1:10" ht="17" customHeight="1" x14ac:dyDescent="0.2">
      <c r="A1" s="188" t="s">
        <v>14</v>
      </c>
      <c r="B1" s="189"/>
      <c r="C1" s="189"/>
      <c r="D1" s="189"/>
    </row>
    <row r="2" spans="1:10" ht="17" customHeight="1" thickBot="1" x14ac:dyDescent="0.25">
      <c r="A2" s="190"/>
      <c r="B2" s="191"/>
      <c r="C2" s="191"/>
      <c r="D2" s="191"/>
    </row>
    <row r="3" spans="1:10" ht="20" thickTop="1" x14ac:dyDescent="0.25">
      <c r="A3" s="12" t="s">
        <v>27</v>
      </c>
      <c r="B3" s="13" t="s">
        <v>28</v>
      </c>
      <c r="C3" s="14" t="s">
        <v>29</v>
      </c>
      <c r="D3" s="7" t="s">
        <v>30</v>
      </c>
    </row>
    <row r="4" spans="1:10" ht="20" thickBot="1" x14ac:dyDescent="0.3">
      <c r="A4" s="56" t="s">
        <v>31</v>
      </c>
      <c r="B4" s="62">
        <v>4.37</v>
      </c>
      <c r="C4" s="15">
        <v>0</v>
      </c>
      <c r="D4" s="45">
        <f>'Facility Risk - Reliance'!$C4/$C$151</f>
        <v>0</v>
      </c>
    </row>
    <row r="5" spans="1:10" ht="20" thickBot="1" x14ac:dyDescent="0.3">
      <c r="A5" s="57" t="s">
        <v>32</v>
      </c>
      <c r="B5" s="63">
        <v>5.21</v>
      </c>
      <c r="C5" s="9">
        <v>0</v>
      </c>
      <c r="D5" s="46">
        <f>'Facility Risk - Reliance'!$C5/$C$151</f>
        <v>0</v>
      </c>
      <c r="G5" s="32" t="s">
        <v>33</v>
      </c>
      <c r="H5" s="33"/>
      <c r="I5" s="33"/>
      <c r="J5" s="34"/>
    </row>
    <row r="6" spans="1:10" ht="20" thickBot="1" x14ac:dyDescent="0.3">
      <c r="A6" s="58" t="s">
        <v>34</v>
      </c>
      <c r="B6" s="64">
        <v>5.63</v>
      </c>
      <c r="C6" s="8">
        <v>0</v>
      </c>
      <c r="D6" s="45">
        <f>'Facility Risk - Reliance'!$C6/$C$151</f>
        <v>0</v>
      </c>
      <c r="G6" s="20"/>
      <c r="H6" s="21" t="s">
        <v>35</v>
      </c>
      <c r="I6" s="22" t="s">
        <v>36</v>
      </c>
      <c r="J6" s="23" t="s">
        <v>37</v>
      </c>
    </row>
    <row r="7" spans="1:10" ht="19" x14ac:dyDescent="0.25">
      <c r="A7" s="57" t="s">
        <v>38</v>
      </c>
      <c r="B7" s="65">
        <v>4.3600000000000003</v>
      </c>
      <c r="C7" s="9">
        <v>0</v>
      </c>
      <c r="D7" s="46">
        <f>'Facility Risk - Reliance'!$C7/$C$151</f>
        <v>0</v>
      </c>
      <c r="G7" s="24" t="s">
        <v>39</v>
      </c>
      <c r="H7" s="25" t="str">
        <f>INDEX(A4:A150,MATCH(MIN(D4:D150),D4:D150,0))</f>
        <v>Albania</v>
      </c>
      <c r="I7" s="25">
        <f>INDEX(B4:B150,MATCH(MIN(D4:D150),D4:D150,0))</f>
        <v>4.37</v>
      </c>
      <c r="J7" s="26">
        <f>INDEX(D4:D150,MATCH(MIN(D4:D150),D4:D150,0))</f>
        <v>0</v>
      </c>
    </row>
    <row r="8" spans="1:10" ht="20" thickBot="1" x14ac:dyDescent="0.3">
      <c r="A8" s="58" t="s">
        <v>40</v>
      </c>
      <c r="B8" s="66">
        <v>4.79</v>
      </c>
      <c r="C8" s="8">
        <v>0</v>
      </c>
      <c r="D8" s="45">
        <f>'Facility Risk - Reliance'!$C8/$C$151</f>
        <v>0</v>
      </c>
      <c r="G8" s="27" t="s">
        <v>41</v>
      </c>
      <c r="H8" s="28" t="str">
        <f>INDEX(A4:A150,MATCH(MAX(D4:D150),D4:D150,0))</f>
        <v>India</v>
      </c>
      <c r="I8" s="28">
        <f>INDEX(B4:B150,MATCH(MAX(D4:D150),D4:D150,0))</f>
        <v>5.07</v>
      </c>
      <c r="J8" s="31">
        <f>INDEX(D4:D150,MATCH(MAX(D4:D150),D4:D150,0))</f>
        <v>1</v>
      </c>
    </row>
    <row r="9" spans="1:10" ht="23" thickBot="1" x14ac:dyDescent="0.35">
      <c r="A9" s="57" t="s">
        <v>42</v>
      </c>
      <c r="B9" s="67">
        <v>3.22</v>
      </c>
      <c r="C9" s="9">
        <v>0</v>
      </c>
      <c r="D9" s="46">
        <f>'Facility Risk - Reliance'!$C9/$C$151</f>
        <v>0</v>
      </c>
      <c r="G9" s="30" t="s">
        <v>43</v>
      </c>
      <c r="H9" s="29"/>
      <c r="I9" s="29"/>
      <c r="J9" s="187">
        <f>SUMPRODUCT(B4:B150,D4:D150)</f>
        <v>5.07</v>
      </c>
    </row>
    <row r="10" spans="1:10" ht="19" x14ac:dyDescent="0.25">
      <c r="A10" s="58" t="s">
        <v>44</v>
      </c>
      <c r="B10" s="68">
        <v>3.41</v>
      </c>
      <c r="C10" s="8">
        <v>0</v>
      </c>
      <c r="D10" s="45">
        <f>'Facility Risk - Reliance'!$C10/$C$151</f>
        <v>0</v>
      </c>
    </row>
    <row r="11" spans="1:10" ht="19" x14ac:dyDescent="0.25">
      <c r="A11" s="57" t="s">
        <v>45</v>
      </c>
      <c r="B11" s="63">
        <v>5.21</v>
      </c>
      <c r="C11" s="9">
        <v>0</v>
      </c>
      <c r="D11" s="46">
        <f>'Facility Risk - Reliance'!$C11/$C$151</f>
        <v>0</v>
      </c>
    </row>
    <row r="12" spans="1:10" ht="19" x14ac:dyDescent="0.25">
      <c r="A12" s="58" t="s">
        <v>46</v>
      </c>
      <c r="B12" s="69">
        <v>4.26</v>
      </c>
      <c r="C12" s="8">
        <v>0</v>
      </c>
      <c r="D12" s="45">
        <f>'Facility Risk - Reliance'!$C12/$C$151</f>
        <v>0</v>
      </c>
    </row>
    <row r="13" spans="1:10" ht="19" x14ac:dyDescent="0.25">
      <c r="A13" s="57" t="s">
        <v>47</v>
      </c>
      <c r="B13" s="70">
        <v>6.29</v>
      </c>
      <c r="C13" s="9">
        <v>0</v>
      </c>
      <c r="D13" s="46">
        <f>'Facility Risk - Reliance'!$C13/$C$151</f>
        <v>0</v>
      </c>
    </row>
    <row r="14" spans="1:10" ht="19" x14ac:dyDescent="0.25">
      <c r="A14" s="58" t="s">
        <v>48</v>
      </c>
      <c r="B14" s="71">
        <v>5.45</v>
      </c>
      <c r="C14" s="8">
        <v>0</v>
      </c>
      <c r="D14" s="45">
        <f>'Facility Risk - Reliance'!$C14/$C$151</f>
        <v>0</v>
      </c>
    </row>
    <row r="15" spans="1:10" ht="19" x14ac:dyDescent="0.25">
      <c r="A15" s="57" t="s">
        <v>49</v>
      </c>
      <c r="B15" s="72">
        <v>3.33</v>
      </c>
      <c r="C15" s="9">
        <v>0</v>
      </c>
      <c r="D15" s="46">
        <f>'Facility Risk - Reliance'!$C15/$C$151</f>
        <v>0</v>
      </c>
    </row>
    <row r="16" spans="1:10" ht="19" x14ac:dyDescent="0.25">
      <c r="A16" s="58" t="s">
        <v>50</v>
      </c>
      <c r="B16" s="73">
        <v>6</v>
      </c>
      <c r="C16" s="8">
        <v>0</v>
      </c>
      <c r="D16" s="45">
        <f>'Facility Risk - Reliance'!$C16/$C$151</f>
        <v>0</v>
      </c>
    </row>
    <row r="17" spans="1:5" ht="19" x14ac:dyDescent="0.25">
      <c r="A17" s="57" t="s">
        <v>51</v>
      </c>
      <c r="B17" s="74">
        <v>5.0199999999999996</v>
      </c>
      <c r="C17" s="9">
        <v>0</v>
      </c>
      <c r="D17" s="46">
        <f>'Facility Risk - Reliance'!$C17/$C$151</f>
        <v>0</v>
      </c>
    </row>
    <row r="18" spans="1:5" ht="19" x14ac:dyDescent="0.25">
      <c r="A18" s="58" t="s">
        <v>52</v>
      </c>
      <c r="B18" s="75">
        <v>5.41</v>
      </c>
      <c r="C18" s="8">
        <v>0</v>
      </c>
      <c r="D18" s="45">
        <f>'Facility Risk - Reliance'!$C18/$C$151</f>
        <v>0</v>
      </c>
    </row>
    <row r="19" spans="1:5" ht="19" x14ac:dyDescent="0.25">
      <c r="A19" s="57" t="s">
        <v>53</v>
      </c>
      <c r="B19" s="76">
        <v>5.34</v>
      </c>
      <c r="C19" s="9">
        <v>0</v>
      </c>
      <c r="D19" s="46">
        <f>'Facility Risk - Reliance'!$C19/$C$151</f>
        <v>0</v>
      </c>
    </row>
    <row r="20" spans="1:5" ht="19" x14ac:dyDescent="0.25">
      <c r="A20" s="58" t="s">
        <v>54</v>
      </c>
      <c r="B20" s="77">
        <v>4.34</v>
      </c>
      <c r="C20" s="8">
        <v>0</v>
      </c>
      <c r="D20" s="45">
        <f>'Facility Risk - Reliance'!$C20/$C$151</f>
        <v>0</v>
      </c>
    </row>
    <row r="21" spans="1:5" ht="19" x14ac:dyDescent="0.25">
      <c r="A21" s="57" t="s">
        <v>55</v>
      </c>
      <c r="B21" s="78">
        <v>5.35</v>
      </c>
      <c r="C21" s="9">
        <v>0</v>
      </c>
      <c r="D21" s="46">
        <f>'Facility Risk - Reliance'!$C21/$C$151</f>
        <v>0</v>
      </c>
    </row>
    <row r="22" spans="1:5" ht="19" x14ac:dyDescent="0.25">
      <c r="A22" s="58" t="s">
        <v>56</v>
      </c>
      <c r="B22" s="79">
        <v>4.43</v>
      </c>
      <c r="C22" s="8">
        <v>0</v>
      </c>
      <c r="D22" s="45">
        <f>'Facility Risk - Reliance'!$C22/$C$151</f>
        <v>0</v>
      </c>
    </row>
    <row r="23" spans="1:5" ht="19" x14ac:dyDescent="0.25">
      <c r="A23" s="57" t="s">
        <v>57</v>
      </c>
      <c r="B23" s="80">
        <v>6.55</v>
      </c>
      <c r="C23" s="9">
        <v>0</v>
      </c>
      <c r="D23" s="46">
        <f>'Facility Risk - Reliance'!$C23/$C$151</f>
        <v>0</v>
      </c>
    </row>
    <row r="24" spans="1:5" ht="19" x14ac:dyDescent="0.25">
      <c r="A24" s="58" t="s">
        <v>58</v>
      </c>
      <c r="B24" s="81">
        <v>6.33</v>
      </c>
      <c r="C24" s="8">
        <v>0</v>
      </c>
      <c r="D24" s="45">
        <f>'Facility Risk - Reliance'!$C24/$C$151</f>
        <v>0</v>
      </c>
    </row>
    <row r="25" spans="1:5" ht="19" x14ac:dyDescent="0.25">
      <c r="A25" s="57" t="s">
        <v>59</v>
      </c>
      <c r="B25" s="64">
        <v>5.64</v>
      </c>
      <c r="C25" s="9">
        <v>0</v>
      </c>
      <c r="D25" s="46">
        <f>'Facility Risk - Reliance'!$C25/$C$151</f>
        <v>0</v>
      </c>
    </row>
    <row r="26" spans="1:5" ht="19" x14ac:dyDescent="0.25">
      <c r="A26" s="58" t="s">
        <v>60</v>
      </c>
      <c r="B26" s="82">
        <v>6.83</v>
      </c>
      <c r="C26" s="8">
        <v>0</v>
      </c>
      <c r="D26" s="45">
        <f>'Facility Risk - Reliance'!$C26/$C$151</f>
        <v>0</v>
      </c>
    </row>
    <row r="27" spans="1:5" ht="19" x14ac:dyDescent="0.25">
      <c r="A27" s="57" t="s">
        <v>61</v>
      </c>
      <c r="B27" s="83">
        <v>3.44</v>
      </c>
      <c r="C27" s="9">
        <v>0</v>
      </c>
      <c r="D27" s="46">
        <f>'Facility Risk - Reliance'!$C27/$C$151</f>
        <v>0</v>
      </c>
    </row>
    <row r="28" spans="1:5" ht="19" x14ac:dyDescent="0.25">
      <c r="A28" s="58" t="s">
        <v>62</v>
      </c>
      <c r="B28" s="84">
        <v>6.79</v>
      </c>
      <c r="C28" s="8">
        <v>0</v>
      </c>
      <c r="D28" s="45">
        <f>'Facility Risk - Reliance'!$C28/$C$151</f>
        <v>0</v>
      </c>
    </row>
    <row r="29" spans="1:5" ht="19" x14ac:dyDescent="0.25">
      <c r="A29" s="57" t="s">
        <v>63</v>
      </c>
      <c r="B29" s="82">
        <v>6.84</v>
      </c>
      <c r="C29" s="9">
        <v>0</v>
      </c>
      <c r="D29" s="46">
        <f>'Facility Risk - Reliance'!$C29/$C$151</f>
        <v>0</v>
      </c>
    </row>
    <row r="30" spans="1:5" ht="19" x14ac:dyDescent="0.25">
      <c r="A30" s="58" t="s">
        <v>64</v>
      </c>
      <c r="B30" s="65">
        <v>4.3600000000000003</v>
      </c>
      <c r="C30" s="8">
        <v>0</v>
      </c>
      <c r="D30" s="45">
        <f>'Facility Risk - Reliance'!$C30/$C$151</f>
        <v>0</v>
      </c>
    </row>
    <row r="31" spans="1:5" ht="19" x14ac:dyDescent="0.25">
      <c r="A31" s="57" t="s">
        <v>65</v>
      </c>
      <c r="B31" s="85">
        <v>4.26</v>
      </c>
      <c r="C31" s="9">
        <v>0</v>
      </c>
      <c r="D31" s="46">
        <f>'Facility Risk - Reliance'!$C31/$C$151</f>
        <v>0</v>
      </c>
      <c r="E31" s="50" t="s">
        <v>66</v>
      </c>
    </row>
    <row r="32" spans="1:5" ht="19" x14ac:dyDescent="0.25">
      <c r="A32" s="58" t="s">
        <v>67</v>
      </c>
      <c r="B32" s="86">
        <v>5.72</v>
      </c>
      <c r="C32" s="8">
        <v>0</v>
      </c>
      <c r="D32" s="45">
        <f>'Facility Risk - Reliance'!$C32/$C$151</f>
        <v>0</v>
      </c>
    </row>
    <row r="33" spans="1:4" ht="19" x14ac:dyDescent="0.25">
      <c r="A33" s="57" t="s">
        <v>68</v>
      </c>
      <c r="B33" s="87">
        <v>5.65</v>
      </c>
      <c r="C33" s="9">
        <v>0</v>
      </c>
      <c r="D33" s="46">
        <f>'Facility Risk - Reliance'!$C33/$C$151</f>
        <v>0</v>
      </c>
    </row>
    <row r="34" spans="1:4" ht="19" x14ac:dyDescent="0.25">
      <c r="A34" s="58" t="s">
        <v>69</v>
      </c>
      <c r="B34" s="88">
        <v>4.2300000000000004</v>
      </c>
      <c r="C34" s="8">
        <v>0</v>
      </c>
      <c r="D34" s="45">
        <f>'Facility Risk - Reliance'!$C34/$C$151</f>
        <v>0</v>
      </c>
    </row>
    <row r="35" spans="1:4" ht="19" x14ac:dyDescent="0.25">
      <c r="A35" s="57" t="s">
        <v>70</v>
      </c>
      <c r="B35" s="89">
        <v>5.6</v>
      </c>
      <c r="C35" s="9">
        <v>0</v>
      </c>
      <c r="D35" s="46">
        <f>'Facility Risk - Reliance'!$C35/$C$151</f>
        <v>0</v>
      </c>
    </row>
    <row r="36" spans="1:4" ht="19" x14ac:dyDescent="0.25">
      <c r="A36" s="58" t="s">
        <v>71</v>
      </c>
      <c r="B36" s="90">
        <v>4.28</v>
      </c>
      <c r="C36" s="8">
        <v>0</v>
      </c>
      <c r="D36" s="45">
        <f>'Facility Risk - Reliance'!$C36/$C$151</f>
        <v>0</v>
      </c>
    </row>
    <row r="37" spans="1:4" ht="19" x14ac:dyDescent="0.25">
      <c r="A37" s="57" t="s">
        <v>72</v>
      </c>
      <c r="B37" s="91">
        <v>4.67</v>
      </c>
      <c r="C37" s="9">
        <v>0</v>
      </c>
      <c r="D37" s="46">
        <f>'Facility Risk - Reliance'!$C37/$C$151</f>
        <v>0</v>
      </c>
    </row>
    <row r="38" spans="1:4" ht="19" x14ac:dyDescent="0.25">
      <c r="A38" s="58" t="s">
        <v>73</v>
      </c>
      <c r="B38" s="92">
        <v>3.75</v>
      </c>
      <c r="C38" s="8">
        <v>0</v>
      </c>
      <c r="D38" s="45">
        <f>'Facility Risk - Reliance'!$C38/$C$151</f>
        <v>0</v>
      </c>
    </row>
    <row r="39" spans="1:4" ht="19" x14ac:dyDescent="0.25">
      <c r="A39" s="57" t="s">
        <v>74</v>
      </c>
      <c r="B39" s="93">
        <v>3.2</v>
      </c>
      <c r="C39" s="9">
        <v>0</v>
      </c>
      <c r="D39" s="46">
        <f>'Facility Risk - Reliance'!$C39/$C$151</f>
        <v>0</v>
      </c>
    </row>
    <row r="40" spans="1:4" ht="19" x14ac:dyDescent="0.25">
      <c r="A40" s="58" t="s">
        <v>75</v>
      </c>
      <c r="B40" s="94">
        <v>5.98</v>
      </c>
      <c r="C40" s="8">
        <v>0</v>
      </c>
      <c r="D40" s="45">
        <f>'Facility Risk - Reliance'!$C40/$C$151</f>
        <v>0</v>
      </c>
    </row>
    <row r="41" spans="1:4" ht="19" x14ac:dyDescent="0.25">
      <c r="A41" s="57" t="s">
        <v>76</v>
      </c>
      <c r="B41" s="95">
        <v>4.7</v>
      </c>
      <c r="C41" s="9">
        <v>0</v>
      </c>
      <c r="D41" s="46">
        <f>'Facility Risk - Reliance'!$C41/$C$151</f>
        <v>0</v>
      </c>
    </row>
    <row r="42" spans="1:4" ht="19" x14ac:dyDescent="0.25">
      <c r="A42" s="58" t="s">
        <v>77</v>
      </c>
      <c r="B42" s="96">
        <v>5.71</v>
      </c>
      <c r="C42" s="8">
        <v>0</v>
      </c>
      <c r="D42" s="45">
        <f>'Facility Risk - Reliance'!$C42/$C$151</f>
        <v>0</v>
      </c>
    </row>
    <row r="43" spans="1:4" ht="19" x14ac:dyDescent="0.25">
      <c r="A43" s="57" t="s">
        <v>78</v>
      </c>
      <c r="B43" s="97">
        <v>5.6</v>
      </c>
      <c r="C43" s="9">
        <v>0</v>
      </c>
      <c r="D43" s="46">
        <f>'Facility Risk - Reliance'!$C43/$C$151</f>
        <v>0</v>
      </c>
    </row>
    <row r="44" spans="1:4" ht="19" x14ac:dyDescent="0.25">
      <c r="A44" s="58" t="s">
        <v>79</v>
      </c>
      <c r="B44" s="98">
        <v>4.79</v>
      </c>
      <c r="C44" s="8">
        <v>0</v>
      </c>
      <c r="D44" s="45">
        <f>'Facility Risk - Reliance'!$C44/$C$151</f>
        <v>0</v>
      </c>
    </row>
    <row r="45" spans="1:4" ht="19" x14ac:dyDescent="0.25">
      <c r="A45" s="57" t="s">
        <v>80</v>
      </c>
      <c r="B45" s="99">
        <v>3.57</v>
      </c>
      <c r="C45" s="9">
        <v>0</v>
      </c>
      <c r="D45" s="46">
        <f>'Facility Risk - Reliance'!$C45/$C$151</f>
        <v>0</v>
      </c>
    </row>
    <row r="46" spans="1:4" ht="19" x14ac:dyDescent="0.25">
      <c r="A46" s="58" t="s">
        <v>81</v>
      </c>
      <c r="B46" s="100">
        <v>4.5</v>
      </c>
      <c r="C46" s="8">
        <v>0</v>
      </c>
      <c r="D46" s="45">
        <f>'Facility Risk - Reliance'!$C46/$C$151</f>
        <v>0</v>
      </c>
    </row>
    <row r="47" spans="1:4" ht="19" x14ac:dyDescent="0.25">
      <c r="A47" s="57" t="s">
        <v>82</v>
      </c>
      <c r="B47" s="101">
        <v>6.93</v>
      </c>
      <c r="C47" s="9">
        <v>0</v>
      </c>
      <c r="D47" s="46">
        <f>'Facility Risk - Reliance'!$C47/$C$151</f>
        <v>0</v>
      </c>
    </row>
    <row r="48" spans="1:4" ht="19" x14ac:dyDescent="0.25">
      <c r="A48" s="58" t="s">
        <v>83</v>
      </c>
      <c r="B48" s="102">
        <v>3.35</v>
      </c>
      <c r="C48" s="8">
        <v>0</v>
      </c>
      <c r="D48" s="45">
        <f>'Facility Risk - Reliance'!$C48/$C$151</f>
        <v>0</v>
      </c>
    </row>
    <row r="49" spans="1:4" ht="19" x14ac:dyDescent="0.25">
      <c r="A49" s="57" t="s">
        <v>84</v>
      </c>
      <c r="B49" s="103">
        <v>3.65</v>
      </c>
      <c r="C49" s="9">
        <v>0</v>
      </c>
      <c r="D49" s="46">
        <f>'Facility Risk - Reliance'!$C49/$C$151</f>
        <v>0</v>
      </c>
    </row>
    <row r="50" spans="1:4" ht="19" x14ac:dyDescent="0.25">
      <c r="A50" s="58" t="s">
        <v>85</v>
      </c>
      <c r="B50" s="104">
        <v>5.78</v>
      </c>
      <c r="C50" s="8">
        <v>0</v>
      </c>
      <c r="D50" s="45">
        <f>'Facility Risk - Reliance'!$C50/$C$151</f>
        <v>0</v>
      </c>
    </row>
    <row r="51" spans="1:4" ht="19" x14ac:dyDescent="0.25">
      <c r="A51" s="57" t="s">
        <v>86</v>
      </c>
      <c r="B51" s="105">
        <v>5.38</v>
      </c>
      <c r="C51" s="9">
        <v>0</v>
      </c>
      <c r="D51" s="46">
        <f>'Facility Risk - Reliance'!$C51/$C$151</f>
        <v>0</v>
      </c>
    </row>
    <row r="52" spans="1:4" ht="19" x14ac:dyDescent="0.25">
      <c r="A52" s="58" t="s">
        <v>87</v>
      </c>
      <c r="B52" s="106">
        <v>4.93</v>
      </c>
      <c r="C52" s="8">
        <v>0</v>
      </c>
      <c r="D52" s="45">
        <f>'Facility Risk - Reliance'!$C52/$C$151</f>
        <v>0</v>
      </c>
    </row>
    <row r="53" spans="1:4" ht="19" x14ac:dyDescent="0.25">
      <c r="A53" s="57" t="s">
        <v>88</v>
      </c>
      <c r="B53" s="68">
        <v>3.42</v>
      </c>
      <c r="C53" s="9">
        <v>0</v>
      </c>
      <c r="D53" s="46">
        <f>'Facility Risk - Reliance'!$C53/$C$151</f>
        <v>0</v>
      </c>
    </row>
    <row r="54" spans="1:4" ht="19" x14ac:dyDescent="0.25">
      <c r="A54" s="58" t="s">
        <v>89</v>
      </c>
      <c r="B54" s="107">
        <v>4.63</v>
      </c>
      <c r="C54" s="8">
        <v>0</v>
      </c>
      <c r="D54" s="45">
        <f>'Facility Risk - Reliance'!$C54/$C$151</f>
        <v>0</v>
      </c>
    </row>
    <row r="55" spans="1:4" ht="19" x14ac:dyDescent="0.25">
      <c r="A55" s="57" t="s">
        <v>90</v>
      </c>
      <c r="B55" s="77">
        <v>4.34</v>
      </c>
      <c r="C55" s="9">
        <v>0</v>
      </c>
      <c r="D55" s="46">
        <f>'Facility Risk - Reliance'!$C55/$C$151</f>
        <v>0</v>
      </c>
    </row>
    <row r="56" spans="1:4" ht="19" x14ac:dyDescent="0.25">
      <c r="A56" s="58" t="s">
        <v>91</v>
      </c>
      <c r="B56" s="71">
        <v>5.45</v>
      </c>
      <c r="C56" s="8">
        <v>0</v>
      </c>
      <c r="D56" s="45">
        <f>'Facility Risk - Reliance'!$C56/$C$151</f>
        <v>0</v>
      </c>
    </row>
    <row r="57" spans="1:4" ht="19" x14ac:dyDescent="0.25">
      <c r="A57" s="57" t="s">
        <v>92</v>
      </c>
      <c r="B57" s="108">
        <v>6.36</v>
      </c>
      <c r="C57" s="9">
        <v>0</v>
      </c>
      <c r="D57" s="46">
        <f>'Facility Risk - Reliance'!$C57/$C$151</f>
        <v>0</v>
      </c>
    </row>
    <row r="58" spans="1:4" ht="19" x14ac:dyDescent="0.25">
      <c r="A58" s="58" t="s">
        <v>93</v>
      </c>
      <c r="B58" s="109">
        <v>5.94</v>
      </c>
      <c r="C58" s="8">
        <v>0</v>
      </c>
      <c r="D58" s="45">
        <f>'Facility Risk - Reliance'!$C58/$C$151</f>
        <v>0</v>
      </c>
    </row>
    <row r="59" spans="1:4" ht="19" x14ac:dyDescent="0.25">
      <c r="A59" s="57" t="s">
        <v>94</v>
      </c>
      <c r="B59" s="110">
        <v>4.92</v>
      </c>
      <c r="C59" s="9">
        <v>0</v>
      </c>
      <c r="D59" s="46">
        <f>'Facility Risk - Reliance'!$C59/$C$151</f>
        <v>0</v>
      </c>
    </row>
    <row r="60" spans="1:4" ht="19" x14ac:dyDescent="0.25">
      <c r="A60" s="58" t="s">
        <v>95</v>
      </c>
      <c r="B60" s="111">
        <v>6.53</v>
      </c>
      <c r="C60" s="8">
        <v>0</v>
      </c>
      <c r="D60" s="45">
        <f>'Facility Risk - Reliance'!$C60/$C$151</f>
        <v>0</v>
      </c>
    </row>
    <row r="61" spans="1:4" ht="19" x14ac:dyDescent="0.25">
      <c r="A61" s="57" t="s">
        <v>96</v>
      </c>
      <c r="B61" s="112">
        <v>5.77</v>
      </c>
      <c r="C61" s="9">
        <v>0</v>
      </c>
      <c r="D61" s="46">
        <f>'Facility Risk - Reliance'!$C61/$C$151</f>
        <v>0</v>
      </c>
    </row>
    <row r="62" spans="1:4" ht="19" x14ac:dyDescent="0.25">
      <c r="A62" s="58" t="s">
        <v>97</v>
      </c>
      <c r="B62" s="113">
        <v>3.63</v>
      </c>
      <c r="C62" s="8">
        <v>0</v>
      </c>
      <c r="D62" s="45">
        <f>'Facility Risk - Reliance'!$C62/$C$151</f>
        <v>0</v>
      </c>
    </row>
    <row r="63" spans="1:4" ht="19" x14ac:dyDescent="0.25">
      <c r="A63" s="57" t="s">
        <v>98</v>
      </c>
      <c r="B63" s="114">
        <v>3.38</v>
      </c>
      <c r="C63" s="9">
        <v>0</v>
      </c>
      <c r="D63" s="46">
        <f>'Facility Risk - Reliance'!$C63/$C$151</f>
        <v>0</v>
      </c>
    </row>
    <row r="64" spans="1:4" ht="19" x14ac:dyDescent="0.25">
      <c r="A64" s="58" t="s">
        <v>99</v>
      </c>
      <c r="B64" s="115">
        <v>5.07</v>
      </c>
      <c r="C64" s="8">
        <v>1</v>
      </c>
      <c r="D64" s="45">
        <f>'Facility Risk - Reliance'!$C64/$C$151</f>
        <v>1</v>
      </c>
    </row>
    <row r="65" spans="1:4" ht="19" x14ac:dyDescent="0.25">
      <c r="A65" s="57" t="s">
        <v>100</v>
      </c>
      <c r="B65" s="106">
        <v>4.92</v>
      </c>
      <c r="C65" s="9">
        <v>0</v>
      </c>
      <c r="D65" s="46">
        <f>'Facility Risk - Reliance'!$C65/$C$151</f>
        <v>0</v>
      </c>
    </row>
    <row r="66" spans="1:4" ht="19" x14ac:dyDescent="0.25">
      <c r="A66" s="58" t="s">
        <v>101</v>
      </c>
      <c r="B66" s="116">
        <v>5.88</v>
      </c>
      <c r="C66" s="8">
        <v>0</v>
      </c>
      <c r="D66" s="45">
        <f>'Facility Risk - Reliance'!$C66/$C$151</f>
        <v>0</v>
      </c>
    </row>
    <row r="67" spans="1:4" ht="19" x14ac:dyDescent="0.25">
      <c r="A67" s="57" t="s">
        <v>102</v>
      </c>
      <c r="B67" s="117">
        <v>6.05</v>
      </c>
      <c r="C67" s="9">
        <v>0</v>
      </c>
      <c r="D67" s="46">
        <f>'Facility Risk - Reliance'!$C67/$C$151</f>
        <v>0</v>
      </c>
    </row>
    <row r="68" spans="1:4" ht="19" x14ac:dyDescent="0.25">
      <c r="A68" s="58" t="s">
        <v>103</v>
      </c>
      <c r="B68" s="118">
        <v>3.25</v>
      </c>
      <c r="C68" s="8">
        <v>0</v>
      </c>
      <c r="D68" s="45">
        <f>'Facility Risk - Reliance'!$C68/$C$151</f>
        <v>0</v>
      </c>
    </row>
    <row r="69" spans="1:4" ht="19" x14ac:dyDescent="0.25">
      <c r="A69" s="57" t="s">
        <v>104</v>
      </c>
      <c r="B69" s="119">
        <v>4.6100000000000003</v>
      </c>
      <c r="C69" s="9">
        <v>0</v>
      </c>
      <c r="D69" s="46">
        <f>'Facility Risk - Reliance'!$C69/$C$151</f>
        <v>0</v>
      </c>
    </row>
    <row r="70" spans="1:4" ht="19" x14ac:dyDescent="0.25">
      <c r="A70" s="58" t="s">
        <v>105</v>
      </c>
      <c r="B70" s="120">
        <v>3.84</v>
      </c>
      <c r="C70" s="8">
        <v>0</v>
      </c>
      <c r="D70" s="45">
        <f>'Facility Risk - Reliance'!$C70/$C$151</f>
        <v>0</v>
      </c>
    </row>
    <row r="71" spans="1:4" ht="19" x14ac:dyDescent="0.25">
      <c r="A71" s="57" t="s">
        <v>106</v>
      </c>
      <c r="B71" s="121">
        <v>4.75</v>
      </c>
      <c r="C71" s="9">
        <v>0</v>
      </c>
      <c r="D71" s="46">
        <f>'Facility Risk - Reliance'!$C71/$C$151</f>
        <v>0</v>
      </c>
    </row>
    <row r="72" spans="1:4" ht="19" x14ac:dyDescent="0.25">
      <c r="A72" s="58" t="s">
        <v>107</v>
      </c>
      <c r="B72" s="114">
        <v>3.38</v>
      </c>
      <c r="C72" s="8">
        <v>0</v>
      </c>
      <c r="D72" s="45">
        <f>'Facility Risk - Reliance'!$C72/$C$151</f>
        <v>0</v>
      </c>
    </row>
    <row r="73" spans="1:4" ht="19" x14ac:dyDescent="0.25">
      <c r="A73" s="57" t="s">
        <v>108</v>
      </c>
      <c r="B73" s="122">
        <v>5.13</v>
      </c>
      <c r="C73" s="9">
        <v>0</v>
      </c>
      <c r="D73" s="46">
        <f>'Facility Risk - Reliance'!$C73/$C$151</f>
        <v>0</v>
      </c>
    </row>
    <row r="74" spans="1:4" ht="19" x14ac:dyDescent="0.25">
      <c r="A74" s="58" t="s">
        <v>109</v>
      </c>
      <c r="B74" s="123">
        <v>4.54</v>
      </c>
      <c r="C74" s="8">
        <v>0</v>
      </c>
      <c r="D74" s="45">
        <f>'Facility Risk - Reliance'!$C74/$C$151</f>
        <v>0</v>
      </c>
    </row>
    <row r="75" spans="1:4" ht="19" x14ac:dyDescent="0.25">
      <c r="A75" s="57" t="s">
        <v>110</v>
      </c>
      <c r="B75" s="124">
        <v>6.13</v>
      </c>
      <c r="C75" s="9">
        <v>0</v>
      </c>
      <c r="D75" s="46">
        <f>'Facility Risk - Reliance'!$C75/$C$151</f>
        <v>0</v>
      </c>
    </row>
    <row r="76" spans="1:4" ht="19" x14ac:dyDescent="0.25">
      <c r="A76" s="58" t="s">
        <v>111</v>
      </c>
      <c r="B76" s="125">
        <v>4.3</v>
      </c>
      <c r="C76" s="8">
        <v>0</v>
      </c>
      <c r="D76" s="45">
        <f>'Facility Risk - Reliance'!$C76/$C$151</f>
        <v>0</v>
      </c>
    </row>
    <row r="77" spans="1:4" ht="19" x14ac:dyDescent="0.25">
      <c r="A77" s="57" t="s">
        <v>112</v>
      </c>
      <c r="B77" s="126">
        <v>5.37</v>
      </c>
      <c r="C77" s="9">
        <v>0</v>
      </c>
      <c r="D77" s="46">
        <f>'Facility Risk - Reliance'!$C77/$C$151</f>
        <v>0</v>
      </c>
    </row>
    <row r="78" spans="1:4" ht="19" x14ac:dyDescent="0.25">
      <c r="A78" s="58" t="s">
        <v>113</v>
      </c>
      <c r="B78" s="127">
        <v>5.14</v>
      </c>
      <c r="C78" s="8">
        <v>0</v>
      </c>
      <c r="D78" s="45">
        <f>'Facility Risk - Reliance'!$C78/$C$151</f>
        <v>0</v>
      </c>
    </row>
    <row r="79" spans="1:4" ht="19" x14ac:dyDescent="0.25">
      <c r="A79" s="57" t="s">
        <v>114</v>
      </c>
      <c r="B79" s="128">
        <v>3.97</v>
      </c>
      <c r="C79" s="9">
        <v>0</v>
      </c>
      <c r="D79" s="46">
        <f>'Facility Risk - Reliance'!$C79/$C$151</f>
        <v>0</v>
      </c>
    </row>
    <row r="80" spans="1:4" ht="19" x14ac:dyDescent="0.25">
      <c r="A80" s="58" t="s">
        <v>115</v>
      </c>
      <c r="B80" s="129">
        <v>6.12</v>
      </c>
      <c r="C80" s="8">
        <v>0</v>
      </c>
      <c r="D80" s="45">
        <f>'Facility Risk - Reliance'!$C80/$C$151</f>
        <v>0</v>
      </c>
    </row>
    <row r="81" spans="1:4" ht="19" x14ac:dyDescent="0.25">
      <c r="A81" s="57" t="s">
        <v>116</v>
      </c>
      <c r="B81" s="130">
        <v>5.49</v>
      </c>
      <c r="C81" s="9">
        <v>0</v>
      </c>
      <c r="D81" s="46">
        <f>'Facility Risk - Reliance'!$C81/$C$151</f>
        <v>0</v>
      </c>
    </row>
    <row r="82" spans="1:4" ht="19" x14ac:dyDescent="0.25">
      <c r="A82" s="58" t="s">
        <v>117</v>
      </c>
      <c r="B82" s="131">
        <v>5.97</v>
      </c>
      <c r="C82" s="8">
        <v>0</v>
      </c>
      <c r="D82" s="45">
        <f>'Facility Risk - Reliance'!$C82/$C$151</f>
        <v>0</v>
      </c>
    </row>
    <row r="83" spans="1:4" ht="19" x14ac:dyDescent="0.25">
      <c r="A83" s="57" t="s">
        <v>118</v>
      </c>
      <c r="B83" s="132">
        <v>5.68</v>
      </c>
      <c r="C83" s="9">
        <v>0</v>
      </c>
      <c r="D83" s="46">
        <f>'Facility Risk - Reliance'!$C83/$C$151</f>
        <v>0</v>
      </c>
    </row>
    <row r="84" spans="1:4" ht="19" x14ac:dyDescent="0.25">
      <c r="A84" s="58" t="s">
        <v>119</v>
      </c>
      <c r="B84" s="133">
        <v>3.93</v>
      </c>
      <c r="C84" s="8">
        <v>0</v>
      </c>
      <c r="D84" s="45">
        <f>'Facility Risk - Reliance'!$C84/$C$151</f>
        <v>0</v>
      </c>
    </row>
    <row r="85" spans="1:4" ht="19" x14ac:dyDescent="0.25">
      <c r="A85" s="57" t="s">
        <v>120</v>
      </c>
      <c r="B85" s="134">
        <v>5.82</v>
      </c>
      <c r="C85" s="9">
        <v>0</v>
      </c>
      <c r="D85" s="46">
        <f>'Facility Risk - Reliance'!$C85/$C$151</f>
        <v>0</v>
      </c>
    </row>
    <row r="86" spans="1:4" ht="19" x14ac:dyDescent="0.25">
      <c r="A86" s="58" t="s">
        <v>121</v>
      </c>
      <c r="B86" s="135">
        <v>5.58</v>
      </c>
      <c r="C86" s="8">
        <v>0</v>
      </c>
      <c r="D86" s="45">
        <f>'Facility Risk - Reliance'!$C86/$C$151</f>
        <v>0</v>
      </c>
    </row>
    <row r="87" spans="1:4" ht="19" x14ac:dyDescent="0.25">
      <c r="A87" s="57" t="s">
        <v>122</v>
      </c>
      <c r="B87" s="136">
        <v>4.03</v>
      </c>
      <c r="C87" s="9">
        <v>0</v>
      </c>
      <c r="D87" s="46">
        <f>'Facility Risk - Reliance'!$C87/$C$151</f>
        <v>0</v>
      </c>
    </row>
    <row r="88" spans="1:4" ht="19" x14ac:dyDescent="0.25">
      <c r="A88" s="58" t="s">
        <v>123</v>
      </c>
      <c r="B88" s="137">
        <v>7.1</v>
      </c>
      <c r="C88" s="8">
        <v>0</v>
      </c>
      <c r="D88" s="45">
        <f>'Facility Risk - Reliance'!$C88/$C$151</f>
        <v>0</v>
      </c>
    </row>
    <row r="89" spans="1:4" ht="19" x14ac:dyDescent="0.25">
      <c r="A89" s="57" t="s">
        <v>124</v>
      </c>
      <c r="B89" s="138">
        <v>6.28</v>
      </c>
      <c r="C89" s="9">
        <v>0</v>
      </c>
      <c r="D89" s="46">
        <f>'Facility Risk - Reliance'!$C89/$C$151</f>
        <v>0</v>
      </c>
    </row>
    <row r="90" spans="1:4" ht="19" x14ac:dyDescent="0.25">
      <c r="A90" s="58" t="s">
        <v>125</v>
      </c>
      <c r="B90" s="139">
        <v>3.47</v>
      </c>
      <c r="C90" s="8">
        <v>0</v>
      </c>
      <c r="D90" s="45">
        <f>'Facility Risk - Reliance'!$C90/$C$151</f>
        <v>0</v>
      </c>
    </row>
    <row r="91" spans="1:4" ht="19" x14ac:dyDescent="0.25">
      <c r="A91" s="57" t="s">
        <v>126</v>
      </c>
      <c r="B91" s="140">
        <v>5.42</v>
      </c>
      <c r="C91" s="9">
        <v>0</v>
      </c>
      <c r="D91" s="46">
        <f>'Facility Risk - Reliance'!$C91/$C$151</f>
        <v>0</v>
      </c>
    </row>
    <row r="92" spans="1:4" ht="19" x14ac:dyDescent="0.25">
      <c r="A92" s="58" t="s">
        <v>127</v>
      </c>
      <c r="B92" s="127">
        <v>5.14</v>
      </c>
      <c r="C92" s="8">
        <v>0</v>
      </c>
      <c r="D92" s="45">
        <f>'Facility Risk - Reliance'!$C92/$C$151</f>
        <v>0</v>
      </c>
    </row>
    <row r="93" spans="1:4" ht="19" x14ac:dyDescent="0.25">
      <c r="A93" s="57" t="s">
        <v>128</v>
      </c>
      <c r="B93" s="141">
        <v>4.6500000000000004</v>
      </c>
      <c r="C93" s="9">
        <v>0</v>
      </c>
      <c r="D93" s="46">
        <f>'Facility Risk - Reliance'!$C93/$C$151</f>
        <v>0</v>
      </c>
    </row>
    <row r="94" spans="1:4" ht="19" x14ac:dyDescent="0.25">
      <c r="A94" s="58" t="s">
        <v>129</v>
      </c>
      <c r="B94" s="142">
        <v>5.0999999999999996</v>
      </c>
      <c r="C94" s="8">
        <v>0</v>
      </c>
      <c r="D94" s="45">
        <f>'Facility Risk - Reliance'!$C94/$C$151</f>
        <v>0</v>
      </c>
    </row>
    <row r="95" spans="1:4" ht="19" x14ac:dyDescent="0.25">
      <c r="A95" s="57" t="s">
        <v>130</v>
      </c>
      <c r="B95" s="70">
        <v>6.3</v>
      </c>
      <c r="C95" s="9">
        <v>0</v>
      </c>
      <c r="D95" s="46">
        <f>'Facility Risk - Reliance'!$C95/$C$151</f>
        <v>0</v>
      </c>
    </row>
    <row r="96" spans="1:4" ht="19" x14ac:dyDescent="0.25">
      <c r="A96" s="58" t="s">
        <v>131</v>
      </c>
      <c r="B96" s="143">
        <v>4.6399999999999997</v>
      </c>
      <c r="C96" s="8">
        <v>0</v>
      </c>
      <c r="D96" s="45">
        <f>'Facility Risk - Reliance'!$C96/$C$151</f>
        <v>0</v>
      </c>
    </row>
    <row r="97" spans="1:4" ht="19" x14ac:dyDescent="0.25">
      <c r="A97" s="57" t="s">
        <v>132</v>
      </c>
      <c r="B97" s="104">
        <v>5.78</v>
      </c>
      <c r="C97" s="9">
        <v>0</v>
      </c>
      <c r="D97" s="46">
        <f>'Facility Risk - Reliance'!$C97/$C$151</f>
        <v>0</v>
      </c>
    </row>
    <row r="98" spans="1:4" ht="19" x14ac:dyDescent="0.25">
      <c r="A98" s="58" t="s">
        <v>133</v>
      </c>
      <c r="B98" s="144">
        <v>3.59</v>
      </c>
      <c r="C98" s="8">
        <v>0</v>
      </c>
      <c r="D98" s="45">
        <f>'Facility Risk - Reliance'!$C98/$C$151</f>
        <v>0</v>
      </c>
    </row>
    <row r="99" spans="1:4" ht="19" x14ac:dyDescent="0.25">
      <c r="A99" s="57" t="s">
        <v>134</v>
      </c>
      <c r="B99" s="145">
        <v>3.32</v>
      </c>
      <c r="C99" s="9">
        <v>0</v>
      </c>
      <c r="D99" s="46">
        <f>'Facility Risk - Reliance'!$C99/$C$151</f>
        <v>0</v>
      </c>
    </row>
    <row r="100" spans="1:4" ht="19" x14ac:dyDescent="0.25">
      <c r="A100" s="58" t="s">
        <v>135</v>
      </c>
      <c r="B100" s="146">
        <v>5.8</v>
      </c>
      <c r="C100" s="8">
        <v>0</v>
      </c>
      <c r="D100" s="45">
        <f>'Facility Risk - Reliance'!$C100/$C$151</f>
        <v>0</v>
      </c>
    </row>
    <row r="101" spans="1:4" ht="19" x14ac:dyDescent="0.25">
      <c r="A101" s="57" t="s">
        <v>136</v>
      </c>
      <c r="B101" s="147">
        <v>7.07</v>
      </c>
      <c r="C101" s="9">
        <v>0</v>
      </c>
      <c r="D101" s="46">
        <f>'Facility Risk - Reliance'!$C101/$C$151</f>
        <v>0</v>
      </c>
    </row>
    <row r="102" spans="1:4" ht="19" x14ac:dyDescent="0.25">
      <c r="A102" s="58" t="s">
        <v>137</v>
      </c>
      <c r="B102" s="148">
        <v>6.5</v>
      </c>
      <c r="C102" s="8">
        <v>0</v>
      </c>
      <c r="D102" s="45">
        <f>'Facility Risk - Reliance'!$C102/$C$151</f>
        <v>0</v>
      </c>
    </row>
    <row r="103" spans="1:4" ht="19" x14ac:dyDescent="0.25">
      <c r="A103" s="57" t="s">
        <v>138</v>
      </c>
      <c r="B103" s="149">
        <v>4.16</v>
      </c>
      <c r="C103" s="9">
        <v>0</v>
      </c>
      <c r="D103" s="46">
        <f>'Facility Risk - Reliance'!$C103/$C$151</f>
        <v>0</v>
      </c>
    </row>
    <row r="104" spans="1:4" ht="19" x14ac:dyDescent="0.25">
      <c r="A104" s="58" t="s">
        <v>139</v>
      </c>
      <c r="B104" s="114">
        <v>3.38</v>
      </c>
      <c r="C104" s="8">
        <v>0</v>
      </c>
      <c r="D104" s="45">
        <f>'Facility Risk - Reliance'!$C104/$C$151</f>
        <v>0</v>
      </c>
    </row>
    <row r="105" spans="1:4" ht="19" x14ac:dyDescent="0.25">
      <c r="A105" s="57" t="s">
        <v>140</v>
      </c>
      <c r="B105" s="150">
        <v>4.0199999999999996</v>
      </c>
      <c r="C105" s="9">
        <v>0</v>
      </c>
      <c r="D105" s="46">
        <f>'Facility Risk - Reliance'!$C105/$C$151</f>
        <v>0</v>
      </c>
    </row>
    <row r="106" spans="1:4" ht="19" x14ac:dyDescent="0.25">
      <c r="A106" s="58" t="s">
        <v>141</v>
      </c>
      <c r="B106" s="151">
        <v>6.65</v>
      </c>
      <c r="C106" s="8">
        <v>0</v>
      </c>
      <c r="D106" s="45">
        <f>'Facility Risk - Reliance'!$C106/$C$151</f>
        <v>0</v>
      </c>
    </row>
    <row r="107" spans="1:4" ht="19" x14ac:dyDescent="0.25">
      <c r="A107" s="57" t="s">
        <v>142</v>
      </c>
      <c r="B107" s="152">
        <v>4.5599999999999996</v>
      </c>
      <c r="C107" s="9">
        <v>0</v>
      </c>
      <c r="D107" s="46">
        <f>'Facility Risk - Reliance'!$C107/$C$151</f>
        <v>0</v>
      </c>
    </row>
    <row r="108" spans="1:4" ht="19" x14ac:dyDescent="0.25">
      <c r="A108" s="58" t="s">
        <v>143</v>
      </c>
      <c r="B108" s="76">
        <v>5.34</v>
      </c>
      <c r="C108" s="8">
        <v>0</v>
      </c>
      <c r="D108" s="45">
        <f>'Facility Risk - Reliance'!$C108/$C$151</f>
        <v>0</v>
      </c>
    </row>
    <row r="109" spans="1:4" ht="19" x14ac:dyDescent="0.25">
      <c r="A109" s="57" t="s">
        <v>144</v>
      </c>
      <c r="B109" s="153">
        <v>4.72</v>
      </c>
      <c r="C109" s="9">
        <v>0</v>
      </c>
      <c r="D109" s="46">
        <f>'Facility Risk - Reliance'!$C109/$C$151</f>
        <v>0</v>
      </c>
    </row>
    <row r="110" spans="1:4" ht="19" x14ac:dyDescent="0.25">
      <c r="A110" s="58" t="s">
        <v>145</v>
      </c>
      <c r="B110" s="154">
        <v>5.28</v>
      </c>
      <c r="C110" s="8">
        <v>0</v>
      </c>
      <c r="D110" s="45">
        <f>'Facility Risk - Reliance'!$C110/$C$151</f>
        <v>0</v>
      </c>
    </row>
    <row r="111" spans="1:4" ht="19" x14ac:dyDescent="0.25">
      <c r="A111" s="57" t="s">
        <v>146</v>
      </c>
      <c r="B111" s="146">
        <v>5.8</v>
      </c>
      <c r="C111" s="9">
        <v>0</v>
      </c>
      <c r="D111" s="46">
        <f>'Facility Risk - Reliance'!$C111/$C$151</f>
        <v>0</v>
      </c>
    </row>
    <row r="112" spans="1:4" ht="19" x14ac:dyDescent="0.25">
      <c r="A112" s="58" t="s">
        <v>147</v>
      </c>
      <c r="B112" s="155">
        <v>4.1500000000000004</v>
      </c>
      <c r="C112" s="8">
        <v>0</v>
      </c>
      <c r="D112" s="45">
        <f>'Facility Risk - Reliance'!$C112/$C$151</f>
        <v>0</v>
      </c>
    </row>
    <row r="113" spans="1:4" ht="19" x14ac:dyDescent="0.25">
      <c r="A113" s="57" t="s">
        <v>148</v>
      </c>
      <c r="B113" s="156">
        <v>3.43</v>
      </c>
      <c r="C113" s="9">
        <v>0</v>
      </c>
      <c r="D113" s="46">
        <f>'Facility Risk - Reliance'!$C113/$C$151</f>
        <v>0</v>
      </c>
    </row>
    <row r="114" spans="1:4" ht="19" x14ac:dyDescent="0.25">
      <c r="A114" s="58" t="s">
        <v>149</v>
      </c>
      <c r="B114" s="93">
        <v>3.2</v>
      </c>
      <c r="C114" s="8">
        <v>0</v>
      </c>
      <c r="D114" s="45">
        <f>'Facility Risk - Reliance'!$C114/$C$151</f>
        <v>0</v>
      </c>
    </row>
    <row r="115" spans="1:4" ht="19" x14ac:dyDescent="0.25">
      <c r="A115" s="57" t="s">
        <v>150</v>
      </c>
      <c r="B115" s="157">
        <v>4.05</v>
      </c>
      <c r="C115" s="9">
        <v>0</v>
      </c>
      <c r="D115" s="46">
        <f>'Facility Risk - Reliance'!$C115/$C$151</f>
        <v>0</v>
      </c>
    </row>
    <row r="116" spans="1:4" ht="19" x14ac:dyDescent="0.25">
      <c r="A116" s="58" t="s">
        <v>151</v>
      </c>
      <c r="B116" s="158">
        <v>5.96</v>
      </c>
      <c r="C116" s="8">
        <v>0</v>
      </c>
      <c r="D116" s="45">
        <f>'Facility Risk - Reliance'!$C116/$C$151</f>
        <v>0</v>
      </c>
    </row>
    <row r="117" spans="1:4" ht="19" x14ac:dyDescent="0.25">
      <c r="A117" s="57" t="s">
        <v>152</v>
      </c>
      <c r="B117" s="159">
        <v>5.47</v>
      </c>
      <c r="C117" s="9">
        <v>0</v>
      </c>
      <c r="D117" s="46">
        <f>'Facility Risk - Reliance'!$C117/$C$151</f>
        <v>0</v>
      </c>
    </row>
    <row r="118" spans="1:4" ht="19" x14ac:dyDescent="0.25">
      <c r="A118" s="58" t="s">
        <v>153</v>
      </c>
      <c r="B118" s="79">
        <v>4.42</v>
      </c>
      <c r="C118" s="8">
        <v>0</v>
      </c>
      <c r="D118" s="45">
        <f>'Facility Risk - Reliance'!$C118/$C$151</f>
        <v>0</v>
      </c>
    </row>
    <row r="119" spans="1:4" ht="19" x14ac:dyDescent="0.25">
      <c r="A119" s="57" t="s">
        <v>154</v>
      </c>
      <c r="B119" s="160">
        <v>5.4</v>
      </c>
      <c r="C119" s="9">
        <v>0</v>
      </c>
      <c r="D119" s="46">
        <f>'Facility Risk - Reliance'!$C119/$C$151</f>
        <v>0</v>
      </c>
    </row>
    <row r="120" spans="1:4" ht="19" x14ac:dyDescent="0.25">
      <c r="A120" s="58" t="s">
        <v>155</v>
      </c>
      <c r="B120" s="161">
        <v>5.04</v>
      </c>
      <c r="C120" s="8">
        <v>0</v>
      </c>
      <c r="D120" s="45">
        <f>'Facility Risk - Reliance'!$C120/$C$151</f>
        <v>0</v>
      </c>
    </row>
    <row r="121" spans="1:4" ht="19" x14ac:dyDescent="0.25">
      <c r="A121" s="57" t="s">
        <v>156</v>
      </c>
      <c r="B121" s="162">
        <v>5.64</v>
      </c>
      <c r="C121" s="9">
        <v>0</v>
      </c>
      <c r="D121" s="46">
        <f>'Facility Risk - Reliance'!$C121/$C$151</f>
        <v>0</v>
      </c>
    </row>
    <row r="122" spans="1:4" ht="19" x14ac:dyDescent="0.25">
      <c r="A122" s="58" t="s">
        <v>157</v>
      </c>
      <c r="B122" s="163">
        <v>3.04</v>
      </c>
      <c r="C122" s="8">
        <v>0</v>
      </c>
      <c r="D122" s="45">
        <f>'Facility Risk - Reliance'!$C122/$C$151</f>
        <v>0</v>
      </c>
    </row>
    <row r="123" spans="1:4" ht="19" x14ac:dyDescent="0.25">
      <c r="A123" s="57" t="s">
        <v>158</v>
      </c>
      <c r="B123" s="164">
        <v>3.79</v>
      </c>
      <c r="C123" s="9">
        <v>0</v>
      </c>
      <c r="D123" s="46">
        <f>'Facility Risk - Reliance'!$C123/$C$151</f>
        <v>0</v>
      </c>
    </row>
    <row r="124" spans="1:4" ht="19" x14ac:dyDescent="0.25">
      <c r="A124" s="58" t="s">
        <v>159</v>
      </c>
      <c r="B124" s="165">
        <v>3.48</v>
      </c>
      <c r="C124" s="8">
        <v>0</v>
      </c>
      <c r="D124" s="45">
        <f>'Facility Risk - Reliance'!$C124/$C$151</f>
        <v>0</v>
      </c>
    </row>
    <row r="125" spans="1:4" ht="19" x14ac:dyDescent="0.25">
      <c r="A125" s="57" t="s">
        <v>160</v>
      </c>
      <c r="B125" s="166">
        <v>5.22</v>
      </c>
      <c r="C125" s="9">
        <v>0</v>
      </c>
      <c r="D125" s="46">
        <f>'Facility Risk - Reliance'!$C125/$C$151</f>
        <v>0</v>
      </c>
    </row>
    <row r="126" spans="1:4" ht="19" x14ac:dyDescent="0.25">
      <c r="A126" s="58" t="s">
        <v>161</v>
      </c>
      <c r="B126" s="167">
        <v>3.57</v>
      </c>
      <c r="C126" s="8">
        <v>0</v>
      </c>
      <c r="D126" s="45">
        <f>'Facility Risk - Reliance'!$C126/$C$151</f>
        <v>0</v>
      </c>
    </row>
    <row r="127" spans="1:4" ht="19" x14ac:dyDescent="0.25">
      <c r="A127" s="57" t="s">
        <v>162</v>
      </c>
      <c r="B127" s="168">
        <v>3.7</v>
      </c>
      <c r="C127" s="9">
        <v>0</v>
      </c>
      <c r="D127" s="46">
        <f>'Facility Risk - Reliance'!$C127/$C$151</f>
        <v>0</v>
      </c>
    </row>
    <row r="128" spans="1:4" ht="19" x14ac:dyDescent="0.25">
      <c r="A128" s="58" t="s">
        <v>163</v>
      </c>
      <c r="B128" s="169">
        <v>5.1100000000000003</v>
      </c>
      <c r="C128" s="8">
        <v>0</v>
      </c>
      <c r="D128" s="45">
        <f>'Facility Risk - Reliance'!$C128/$C$151</f>
        <v>0</v>
      </c>
    </row>
    <row r="129" spans="1:4" ht="19" x14ac:dyDescent="0.25">
      <c r="A129" s="57" t="s">
        <v>164</v>
      </c>
      <c r="B129" s="137">
        <v>7.1</v>
      </c>
      <c r="C129" s="9">
        <v>0</v>
      </c>
      <c r="D129" s="46">
        <f>'Facility Risk - Reliance'!$C129/$C$151</f>
        <v>0</v>
      </c>
    </row>
    <row r="130" spans="1:4" ht="19" x14ac:dyDescent="0.25">
      <c r="A130" s="58" t="s">
        <v>165</v>
      </c>
      <c r="B130" s="170">
        <v>3.52</v>
      </c>
      <c r="C130" s="8">
        <v>0</v>
      </c>
      <c r="D130" s="45">
        <f>'Facility Risk - Reliance'!$C130/$C$151</f>
        <v>0</v>
      </c>
    </row>
    <row r="131" spans="1:4" ht="19" x14ac:dyDescent="0.25">
      <c r="A131" s="57" t="s">
        <v>166</v>
      </c>
      <c r="B131" s="171">
        <v>2.78</v>
      </c>
      <c r="C131" s="9">
        <v>0</v>
      </c>
      <c r="D131" s="46">
        <f>'Facility Risk - Reliance'!$C131/$C$151</f>
        <v>0</v>
      </c>
    </row>
    <row r="132" spans="1:4" ht="19" x14ac:dyDescent="0.25">
      <c r="A132" s="59" t="s">
        <v>167</v>
      </c>
      <c r="B132" s="172">
        <v>7.33</v>
      </c>
      <c r="C132" s="8">
        <v>0</v>
      </c>
      <c r="D132" s="45">
        <f>'Facility Risk - Reliance'!$C132/$C$151</f>
        <v>0</v>
      </c>
    </row>
    <row r="133" spans="1:4" ht="19" x14ac:dyDescent="0.25">
      <c r="A133" s="57" t="s">
        <v>168</v>
      </c>
      <c r="B133" s="173">
        <v>5.69</v>
      </c>
      <c r="C133" s="9">
        <v>0</v>
      </c>
      <c r="D133" s="46">
        <f>'Facility Risk - Reliance'!$C133/$C$151</f>
        <v>0</v>
      </c>
    </row>
    <row r="134" spans="1:4" ht="19" x14ac:dyDescent="0.25">
      <c r="A134" s="58" t="s">
        <v>169</v>
      </c>
      <c r="B134" s="63">
        <v>5.21</v>
      </c>
      <c r="C134" s="8">
        <v>0</v>
      </c>
      <c r="D134" s="45">
        <f>'Facility Risk - Reliance'!$C134/$C$151</f>
        <v>0</v>
      </c>
    </row>
    <row r="135" spans="1:4" ht="19" x14ac:dyDescent="0.25">
      <c r="A135" s="57" t="s">
        <v>170</v>
      </c>
      <c r="B135" s="174">
        <v>5.15</v>
      </c>
      <c r="C135" s="9">
        <v>0</v>
      </c>
      <c r="D135" s="46">
        <f>'Facility Risk - Reliance'!$C135/$C$151</f>
        <v>0</v>
      </c>
    </row>
    <row r="136" spans="1:4" ht="19" x14ac:dyDescent="0.25">
      <c r="A136" s="58" t="s">
        <v>171</v>
      </c>
      <c r="B136" s="175">
        <v>5.87</v>
      </c>
      <c r="C136" s="8">
        <v>0</v>
      </c>
      <c r="D136" s="45">
        <f>'Facility Risk - Reliance'!$C136/$C$151</f>
        <v>0</v>
      </c>
    </row>
    <row r="137" spans="1:4" ht="19" x14ac:dyDescent="0.25">
      <c r="A137" s="57" t="s">
        <v>172</v>
      </c>
      <c r="B137" s="176">
        <v>4.38</v>
      </c>
      <c r="C137" s="9">
        <v>0</v>
      </c>
      <c r="D137" s="46">
        <f>'Facility Risk - Reliance'!$C137/$C$151</f>
        <v>0</v>
      </c>
    </row>
    <row r="138" spans="1:4" ht="19" x14ac:dyDescent="0.25">
      <c r="A138" s="58" t="s">
        <v>173</v>
      </c>
      <c r="B138" s="177">
        <v>5.13</v>
      </c>
      <c r="C138" s="8">
        <v>0</v>
      </c>
      <c r="D138" s="45">
        <f>'Facility Risk - Reliance'!$C138/$C$151</f>
        <v>0</v>
      </c>
    </row>
    <row r="139" spans="1:4" ht="19" x14ac:dyDescent="0.25">
      <c r="A139" s="57" t="s">
        <v>174</v>
      </c>
      <c r="B139" s="178">
        <v>5.26</v>
      </c>
      <c r="C139" s="9">
        <v>0</v>
      </c>
      <c r="D139" s="46">
        <f>'Facility Risk - Reliance'!$C139/$C$151</f>
        <v>0</v>
      </c>
    </row>
    <row r="140" spans="1:4" ht="19" x14ac:dyDescent="0.25">
      <c r="A140" s="58" t="s">
        <v>175</v>
      </c>
      <c r="B140" s="179">
        <v>6.29</v>
      </c>
      <c r="C140" s="8">
        <v>0</v>
      </c>
      <c r="D140" s="45">
        <f>'Facility Risk - Reliance'!$C140/$C$151</f>
        <v>0</v>
      </c>
    </row>
    <row r="141" spans="1:4" ht="19" x14ac:dyDescent="0.25">
      <c r="A141" s="57" t="s">
        <v>176</v>
      </c>
      <c r="B141" s="180">
        <v>6.35</v>
      </c>
      <c r="C141" s="9">
        <v>0</v>
      </c>
      <c r="D141" s="46">
        <f>'Facility Risk - Reliance'!$C141/$C$151</f>
        <v>0</v>
      </c>
    </row>
    <row r="142" spans="1:4" ht="19" x14ac:dyDescent="0.25">
      <c r="A142" s="58" t="s">
        <v>177</v>
      </c>
      <c r="B142" s="181">
        <v>3.72</v>
      </c>
      <c r="C142" s="8">
        <v>0</v>
      </c>
      <c r="D142" s="45">
        <f>'Facility Risk - Reliance'!$C142/$C$151</f>
        <v>0</v>
      </c>
    </row>
    <row r="143" spans="1:4" ht="19" x14ac:dyDescent="0.25">
      <c r="A143" s="57" t="s">
        <v>178</v>
      </c>
      <c r="B143" s="145">
        <v>3.32</v>
      </c>
      <c r="C143" s="9">
        <v>0</v>
      </c>
      <c r="D143" s="46">
        <f>'Facility Risk - Reliance'!$C143/$C$151</f>
        <v>0</v>
      </c>
    </row>
    <row r="144" spans="1:4" ht="19" x14ac:dyDescent="0.25">
      <c r="A144" s="58" t="s">
        <v>179</v>
      </c>
      <c r="B144" s="182">
        <v>4.1900000000000004</v>
      </c>
      <c r="C144" s="8">
        <v>0</v>
      </c>
      <c r="D144" s="45">
        <f>'Facility Risk - Reliance'!$C144/$C$151</f>
        <v>0</v>
      </c>
    </row>
    <row r="145" spans="1:4" ht="19" x14ac:dyDescent="0.25">
      <c r="A145" s="57" t="s">
        <v>180</v>
      </c>
      <c r="B145" s="183">
        <v>3.91</v>
      </c>
      <c r="C145" s="9">
        <v>0</v>
      </c>
      <c r="D145" s="46">
        <f>'Facility Risk - Reliance'!$C145/$C$151</f>
        <v>0</v>
      </c>
    </row>
    <row r="146" spans="1:4" ht="19" x14ac:dyDescent="0.25">
      <c r="A146" s="58" t="s">
        <v>181</v>
      </c>
      <c r="B146" s="112">
        <v>5.77</v>
      </c>
      <c r="C146" s="8">
        <v>0</v>
      </c>
      <c r="D146" s="45">
        <f>'Facility Risk - Reliance'!$C146/$C$151</f>
        <v>0</v>
      </c>
    </row>
    <row r="147" spans="1:4" ht="19" x14ac:dyDescent="0.25">
      <c r="A147" s="57" t="s">
        <v>182</v>
      </c>
      <c r="B147" s="184">
        <v>4.32</v>
      </c>
      <c r="C147" s="9">
        <v>0</v>
      </c>
      <c r="D147" s="46">
        <f>'Facility Risk - Reliance'!$C147/$C$151</f>
        <v>0</v>
      </c>
    </row>
    <row r="148" spans="1:4" ht="19" x14ac:dyDescent="0.25">
      <c r="A148" s="58" t="s">
        <v>183</v>
      </c>
      <c r="B148" s="70">
        <v>6.3</v>
      </c>
      <c r="C148" s="8">
        <v>0</v>
      </c>
      <c r="D148" s="45">
        <f>'Facility Risk - Reliance'!$C148/$C$151</f>
        <v>0</v>
      </c>
    </row>
    <row r="149" spans="1:4" ht="19" x14ac:dyDescent="0.25">
      <c r="A149" s="57" t="s">
        <v>184</v>
      </c>
      <c r="B149" s="185">
        <v>4.95</v>
      </c>
      <c r="C149" s="9">
        <v>0</v>
      </c>
      <c r="D149" s="46">
        <f>'Facility Risk - Reliance'!$C149/$C$151</f>
        <v>0</v>
      </c>
    </row>
    <row r="150" spans="1:4" ht="19" x14ac:dyDescent="0.25">
      <c r="A150" s="60" t="s">
        <v>185</v>
      </c>
      <c r="B150" s="186">
        <v>6.14</v>
      </c>
      <c r="C150" s="10">
        <v>0</v>
      </c>
      <c r="D150" s="47">
        <f>'Facility Risk - Reliance'!$C150/$C$151</f>
        <v>0</v>
      </c>
    </row>
    <row r="151" spans="1:4" ht="19" x14ac:dyDescent="0.25">
      <c r="A151" s="61" t="s">
        <v>186</v>
      </c>
      <c r="B151" s="5"/>
      <c r="C151" s="6">
        <f>SUM(C4:C150)</f>
        <v>1</v>
      </c>
      <c r="D151" s="48">
        <f>SUM(D4:D150)</f>
        <v>1</v>
      </c>
    </row>
  </sheetData>
  <mergeCells count="1">
    <mergeCell ref="A1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51236-7B40-CC4A-8A46-FCF124E15B4C}">
  <dimension ref="A1:J151"/>
  <sheetViews>
    <sheetView workbookViewId="0">
      <selection activeCell="I17" sqref="I17"/>
    </sheetView>
  </sheetViews>
  <sheetFormatPr baseColWidth="10" defaultColWidth="11" defaultRowHeight="16" x14ac:dyDescent="0.2"/>
  <cols>
    <col min="1" max="1" width="23" bestFit="1" customWidth="1"/>
    <col min="2" max="2" width="32" bestFit="1" customWidth="1"/>
    <col min="3" max="3" width="33.6640625" bestFit="1" customWidth="1"/>
    <col min="4" max="4" width="42.6640625" bestFit="1" customWidth="1"/>
    <col min="5" max="5" width="16" bestFit="1" customWidth="1"/>
    <col min="7" max="7" width="29.33203125" bestFit="1" customWidth="1"/>
    <col min="8" max="8" width="13.6640625" bestFit="1" customWidth="1"/>
    <col min="9" max="9" width="22.5" bestFit="1" customWidth="1"/>
    <col min="10" max="10" width="12.33203125" bestFit="1" customWidth="1"/>
  </cols>
  <sheetData>
    <row r="1" spans="1:10" ht="17" customHeight="1" x14ac:dyDescent="0.2">
      <c r="A1" s="188" t="s">
        <v>187</v>
      </c>
      <c r="B1" s="189"/>
      <c r="C1" s="189"/>
      <c r="D1" s="189"/>
    </row>
    <row r="2" spans="1:10" ht="17" customHeight="1" thickBot="1" x14ac:dyDescent="0.25">
      <c r="A2" s="190"/>
      <c r="B2" s="191"/>
      <c r="C2" s="191"/>
      <c r="D2" s="191"/>
    </row>
    <row r="3" spans="1:10" ht="20" thickTop="1" x14ac:dyDescent="0.25">
      <c r="A3" s="12" t="s">
        <v>27</v>
      </c>
      <c r="B3" s="13" t="s">
        <v>28</v>
      </c>
      <c r="C3" s="14" t="s">
        <v>29</v>
      </c>
      <c r="D3" s="7" t="s">
        <v>30</v>
      </c>
    </row>
    <row r="4" spans="1:10" ht="20" thickBot="1" x14ac:dyDescent="0.3">
      <c r="A4" s="56" t="s">
        <v>31</v>
      </c>
      <c r="B4" s="62">
        <v>4.37</v>
      </c>
      <c r="C4" s="15">
        <v>0</v>
      </c>
      <c r="D4" s="45">
        <f>'Facility Risk - Total en'!$C4/$C$151</f>
        <v>0</v>
      </c>
      <c r="E4" s="1"/>
      <c r="F4" s="3"/>
      <c r="G4" s="4"/>
    </row>
    <row r="5" spans="1:10" ht="20" thickBot="1" x14ac:dyDescent="0.3">
      <c r="A5" s="57" t="s">
        <v>32</v>
      </c>
      <c r="B5" s="63">
        <v>5.21</v>
      </c>
      <c r="C5" s="9">
        <v>1.6200000000000003E-2</v>
      </c>
      <c r="D5" s="46">
        <f>'Facility Risk - Total en'!$C5/$C$151</f>
        <v>1.6317485898468983E-2</v>
      </c>
      <c r="E5" s="1"/>
      <c r="F5" s="3"/>
      <c r="G5" s="32" t="s">
        <v>33</v>
      </c>
      <c r="H5" s="33"/>
      <c r="I5" s="33"/>
      <c r="J5" s="34"/>
    </row>
    <row r="6" spans="1:10" ht="20" thickBot="1" x14ac:dyDescent="0.3">
      <c r="A6" s="58" t="s">
        <v>34</v>
      </c>
      <c r="B6" s="64">
        <v>5.63</v>
      </c>
      <c r="C6" s="8">
        <v>4.3E-3</v>
      </c>
      <c r="D6" s="45">
        <f>'Facility Risk - Total en'!$C6/$C$151</f>
        <v>4.3311845286059638E-3</v>
      </c>
      <c r="E6" s="1"/>
      <c r="F6" s="3"/>
      <c r="G6" s="20"/>
      <c r="H6" s="21" t="s">
        <v>35</v>
      </c>
      <c r="I6" s="22" t="s">
        <v>36</v>
      </c>
      <c r="J6" s="23" t="s">
        <v>37</v>
      </c>
    </row>
    <row r="7" spans="1:10" ht="19" x14ac:dyDescent="0.25">
      <c r="A7" s="57" t="s">
        <v>38</v>
      </c>
      <c r="B7" s="65">
        <v>4.3600000000000003</v>
      </c>
      <c r="C7" s="9">
        <v>1.72E-2</v>
      </c>
      <c r="D7" s="46">
        <f>'Facility Risk - Total en'!$C7/$C$151</f>
        <v>1.7324738114423855E-2</v>
      </c>
      <c r="E7" s="1"/>
      <c r="F7" s="3"/>
      <c r="G7" s="24" t="s">
        <v>39</v>
      </c>
      <c r="H7" s="25" t="str">
        <f>INDEX(A4:A150,MATCH(MIN(D4:D150),D4:D150,0))</f>
        <v>Albania</v>
      </c>
      <c r="I7" s="25">
        <f>INDEX(B4:B150,MATCH(MIN(D4:D150),D4:D150,0))</f>
        <v>4.37</v>
      </c>
      <c r="J7" s="26">
        <f>INDEX(D4:D150,MATCH(MIN(D4:D150),D4:D150,0))</f>
        <v>0</v>
      </c>
    </row>
    <row r="8" spans="1:10" ht="20" thickBot="1" x14ac:dyDescent="0.3">
      <c r="A8" s="58" t="s">
        <v>40</v>
      </c>
      <c r="B8" s="66">
        <v>4.79</v>
      </c>
      <c r="C8" s="8">
        <v>0</v>
      </c>
      <c r="D8" s="45">
        <f>'Facility Risk - Total en'!$C8/$C$151</f>
        <v>0</v>
      </c>
      <c r="E8" s="1"/>
      <c r="F8" s="3"/>
      <c r="G8" s="27" t="s">
        <v>41</v>
      </c>
      <c r="H8" s="28" t="str">
        <f>INDEX(A4:A150,MATCH(MAX(D4:D150),D4:D150,0))</f>
        <v>United States</v>
      </c>
      <c r="I8" s="28">
        <f>INDEX(B4:B150,MATCH(MAX(D4:D150),D4:D150,0))</f>
        <v>4.1900000000000004</v>
      </c>
      <c r="J8" s="31">
        <f>INDEX(D4:D150,MATCH(MAX(D4:D150),D4:D150,0))</f>
        <v>0.12157534246575345</v>
      </c>
    </row>
    <row r="9" spans="1:10" ht="23" thickBot="1" x14ac:dyDescent="0.35">
      <c r="A9" s="57" t="s">
        <v>42</v>
      </c>
      <c r="B9" s="67">
        <v>3.22</v>
      </c>
      <c r="C9" s="9">
        <v>2.7300000000000001E-2</v>
      </c>
      <c r="D9" s="46">
        <f>'Facility Risk - Total en'!$C9/$C$151</f>
        <v>2.7497985495568096E-2</v>
      </c>
      <c r="E9" s="1"/>
      <c r="F9" s="3"/>
      <c r="G9" s="30" t="s">
        <v>43</v>
      </c>
      <c r="H9" s="29"/>
      <c r="I9" s="29"/>
      <c r="J9" s="187">
        <f>SUMPRODUCT(B4:B150,D4:D150)</f>
        <v>4.2137973408541525</v>
      </c>
    </row>
    <row r="10" spans="1:10" ht="19" x14ac:dyDescent="0.25">
      <c r="A10" s="58" t="s">
        <v>44</v>
      </c>
      <c r="B10" s="68">
        <v>3.41</v>
      </c>
      <c r="C10" s="8">
        <v>0</v>
      </c>
      <c r="D10" s="45">
        <f>'Facility Risk - Total en'!$C10/$C$151</f>
        <v>0</v>
      </c>
      <c r="E10" s="1"/>
      <c r="F10" s="3"/>
      <c r="G10" s="4"/>
    </row>
    <row r="11" spans="1:10" ht="19" x14ac:dyDescent="0.25">
      <c r="A11" s="57" t="s">
        <v>45</v>
      </c>
      <c r="B11" s="63">
        <v>5.21</v>
      </c>
      <c r="C11" s="9">
        <v>0</v>
      </c>
      <c r="D11" s="46">
        <f>'Facility Risk - Total en'!$C11/$C$151</f>
        <v>0</v>
      </c>
      <c r="E11" s="1"/>
      <c r="F11" s="3"/>
      <c r="G11" s="4"/>
    </row>
    <row r="12" spans="1:10" ht="19" x14ac:dyDescent="0.25">
      <c r="A12" s="58" t="s">
        <v>46</v>
      </c>
      <c r="B12" s="69">
        <v>4.26</v>
      </c>
      <c r="C12" s="8">
        <v>0</v>
      </c>
      <c r="D12" s="45">
        <f>'Facility Risk - Total en'!$C12/$C$151</f>
        <v>0</v>
      </c>
      <c r="E12" s="1"/>
      <c r="F12" s="3"/>
      <c r="G12" s="4"/>
    </row>
    <row r="13" spans="1:10" ht="19" x14ac:dyDescent="0.25">
      <c r="A13" s="57" t="s">
        <v>47</v>
      </c>
      <c r="B13" s="70">
        <v>6.29</v>
      </c>
      <c r="C13" s="9">
        <v>0</v>
      </c>
      <c r="D13" s="46">
        <f>'Facility Risk - Total en'!$C13/$C$151</f>
        <v>0</v>
      </c>
      <c r="E13" s="1"/>
      <c r="F13" s="3"/>
      <c r="G13" s="4"/>
    </row>
    <row r="14" spans="1:10" ht="19" x14ac:dyDescent="0.25">
      <c r="A14" s="58" t="s">
        <v>48</v>
      </c>
      <c r="B14" s="71">
        <v>5.45</v>
      </c>
      <c r="C14" s="8">
        <v>0</v>
      </c>
      <c r="D14" s="45">
        <f>'Facility Risk - Total en'!$C14/$C$151</f>
        <v>0</v>
      </c>
      <c r="E14" s="1"/>
      <c r="F14" s="3"/>
      <c r="G14" s="4"/>
    </row>
    <row r="15" spans="1:10" ht="19" x14ac:dyDescent="0.25">
      <c r="A15" s="57" t="s">
        <v>49</v>
      </c>
      <c r="B15" s="72">
        <v>3.33</v>
      </c>
      <c r="C15" s="9">
        <v>8.6E-3</v>
      </c>
      <c r="D15" s="46">
        <f>'Facility Risk - Total en'!$C15/$C$151</f>
        <v>8.6623690572119275E-3</v>
      </c>
      <c r="E15" s="1"/>
      <c r="F15" s="3"/>
      <c r="G15" s="4"/>
    </row>
    <row r="16" spans="1:10" ht="19" x14ac:dyDescent="0.25">
      <c r="A16" s="58" t="s">
        <v>50</v>
      </c>
      <c r="B16" s="73">
        <v>6</v>
      </c>
      <c r="C16" s="8">
        <v>0</v>
      </c>
      <c r="D16" s="45">
        <f>'Facility Risk - Total en'!$C16/$C$151</f>
        <v>0</v>
      </c>
      <c r="E16" s="1"/>
      <c r="F16" s="3"/>
      <c r="G16" s="4"/>
    </row>
    <row r="17" spans="1:7" ht="19" x14ac:dyDescent="0.25">
      <c r="A17" s="57" t="s">
        <v>51</v>
      </c>
      <c r="B17" s="74">
        <v>5.0199999999999996</v>
      </c>
      <c r="C17" s="9">
        <v>0</v>
      </c>
      <c r="D17" s="46">
        <f>'Facility Risk - Total en'!$C17/$C$151</f>
        <v>0</v>
      </c>
      <c r="E17" s="1"/>
      <c r="F17" s="3"/>
      <c r="G17" s="4"/>
    </row>
    <row r="18" spans="1:7" ht="19" x14ac:dyDescent="0.25">
      <c r="A18" s="58" t="s">
        <v>52</v>
      </c>
      <c r="B18" s="75">
        <v>5.41</v>
      </c>
      <c r="C18" s="8">
        <v>0</v>
      </c>
      <c r="D18" s="45">
        <f>'Facility Risk - Total en'!$C18/$C$151</f>
        <v>0</v>
      </c>
      <c r="E18" s="1"/>
      <c r="F18" s="3"/>
      <c r="G18" s="4"/>
    </row>
    <row r="19" spans="1:7" ht="19" x14ac:dyDescent="0.25">
      <c r="A19" s="57" t="s">
        <v>53</v>
      </c>
      <c r="B19" s="76">
        <v>5.34</v>
      </c>
      <c r="C19" s="9">
        <v>0</v>
      </c>
      <c r="D19" s="46">
        <f>'Facility Risk - Total en'!$C19/$C$151</f>
        <v>0</v>
      </c>
      <c r="E19" s="1"/>
      <c r="F19" s="3"/>
      <c r="G19" s="4"/>
    </row>
    <row r="20" spans="1:7" ht="19" x14ac:dyDescent="0.25">
      <c r="A20" s="58" t="s">
        <v>54</v>
      </c>
      <c r="B20" s="77">
        <v>4.34</v>
      </c>
      <c r="C20" s="8">
        <v>1.4000000000000002E-3</v>
      </c>
      <c r="D20" s="45">
        <f>'Facility Risk - Total en'!$C20/$C$151</f>
        <v>1.4101531023368256E-3</v>
      </c>
      <c r="E20" s="1"/>
      <c r="F20" s="3"/>
      <c r="G20" s="4"/>
    </row>
    <row r="21" spans="1:7" ht="19" x14ac:dyDescent="0.25">
      <c r="A21" s="57" t="s">
        <v>55</v>
      </c>
      <c r="B21" s="78">
        <v>5.35</v>
      </c>
      <c r="C21" s="9">
        <v>3.4500000000000003E-2</v>
      </c>
      <c r="D21" s="46">
        <f>'Facility Risk - Total en'!$C21/$C$151</f>
        <v>3.4750201450443198E-2</v>
      </c>
      <c r="E21" s="1"/>
      <c r="F21" s="3"/>
      <c r="G21" s="4"/>
    </row>
    <row r="22" spans="1:7" ht="19" x14ac:dyDescent="0.25">
      <c r="A22" s="58" t="s">
        <v>56</v>
      </c>
      <c r="B22" s="79">
        <v>4.43</v>
      </c>
      <c r="C22" s="8">
        <v>2.8999999999999998E-3</v>
      </c>
      <c r="D22" s="45">
        <f>'Facility Risk - Total en'!$C22/$C$151</f>
        <v>2.9210314262691382E-3</v>
      </c>
      <c r="E22" s="1"/>
      <c r="F22" s="3"/>
      <c r="G22" s="4"/>
    </row>
    <row r="23" spans="1:7" ht="19" x14ac:dyDescent="0.25">
      <c r="A23" s="57" t="s">
        <v>57</v>
      </c>
      <c r="B23" s="80">
        <v>6.55</v>
      </c>
      <c r="C23" s="9">
        <v>0</v>
      </c>
      <c r="D23" s="46">
        <f>'Facility Risk - Total en'!$C23/$C$151</f>
        <v>0</v>
      </c>
      <c r="E23" s="1"/>
      <c r="F23" s="3"/>
      <c r="G23" s="4"/>
    </row>
    <row r="24" spans="1:7" ht="19" x14ac:dyDescent="0.25">
      <c r="A24" s="58" t="s">
        <v>58</v>
      </c>
      <c r="B24" s="81">
        <v>6.33</v>
      </c>
      <c r="C24" s="8">
        <v>0</v>
      </c>
      <c r="D24" s="45">
        <f>'Facility Risk - Total en'!$C24/$C$151</f>
        <v>0</v>
      </c>
      <c r="E24" s="1"/>
      <c r="F24" s="3"/>
      <c r="G24" s="4"/>
    </row>
    <row r="25" spans="1:7" ht="19" x14ac:dyDescent="0.25">
      <c r="A25" s="57" t="s">
        <v>59</v>
      </c>
      <c r="B25" s="64">
        <v>5.64</v>
      </c>
      <c r="C25" s="9">
        <v>2.8999999999999998E-3</v>
      </c>
      <c r="D25" s="46">
        <f>'Facility Risk - Total en'!$C25/$C$151</f>
        <v>2.9210314262691382E-3</v>
      </c>
      <c r="E25" s="1"/>
      <c r="F25" s="3"/>
      <c r="G25" s="4"/>
    </row>
    <row r="26" spans="1:7" ht="19" x14ac:dyDescent="0.25">
      <c r="A26" s="58" t="s">
        <v>60</v>
      </c>
      <c r="B26" s="82">
        <v>6.83</v>
      </c>
      <c r="C26" s="8">
        <v>1.4000000000000002E-3</v>
      </c>
      <c r="D26" s="45">
        <f>'Facility Risk - Total en'!$C26/$C$151</f>
        <v>1.4101531023368256E-3</v>
      </c>
      <c r="E26" s="1"/>
      <c r="F26" s="3"/>
      <c r="G26" s="4"/>
    </row>
    <row r="27" spans="1:7" ht="19" x14ac:dyDescent="0.25">
      <c r="A27" s="57" t="s">
        <v>61</v>
      </c>
      <c r="B27" s="83">
        <v>3.44</v>
      </c>
      <c r="C27" s="9">
        <v>1.5800000000000002E-2</v>
      </c>
      <c r="D27" s="46">
        <f>'Facility Risk - Total en'!$C27/$C$151</f>
        <v>1.5914585012087031E-2</v>
      </c>
      <c r="E27" s="1"/>
      <c r="F27" s="3"/>
      <c r="G27" s="4"/>
    </row>
    <row r="28" spans="1:7" ht="19" x14ac:dyDescent="0.25">
      <c r="A28" s="58" t="s">
        <v>62</v>
      </c>
      <c r="B28" s="84">
        <v>6.79</v>
      </c>
      <c r="C28" s="8">
        <v>0</v>
      </c>
      <c r="D28" s="45">
        <f>'Facility Risk - Total en'!$C28/$C$151</f>
        <v>0</v>
      </c>
      <c r="E28" s="1"/>
      <c r="F28" s="3"/>
      <c r="G28" s="4"/>
    </row>
    <row r="29" spans="1:7" ht="19" x14ac:dyDescent="0.25">
      <c r="A29" s="57" t="s">
        <v>63</v>
      </c>
      <c r="B29" s="82">
        <v>6.84</v>
      </c>
      <c r="C29" s="9">
        <v>1.4000000000000002E-3</v>
      </c>
      <c r="D29" s="46">
        <f>'Facility Risk - Total en'!$C29/$C$151</f>
        <v>1.4101531023368256E-3</v>
      </c>
      <c r="E29" s="1"/>
      <c r="F29" s="3"/>
      <c r="G29" s="4"/>
    </row>
    <row r="30" spans="1:7" ht="19" x14ac:dyDescent="0.25">
      <c r="A30" s="58" t="s">
        <v>64</v>
      </c>
      <c r="B30" s="65">
        <v>4.3600000000000003</v>
      </c>
      <c r="C30" s="8">
        <v>1.29E-2</v>
      </c>
      <c r="D30" s="45">
        <f>'Facility Risk - Total en'!$C30/$C$151</f>
        <v>1.2993553585817892E-2</v>
      </c>
      <c r="E30" s="1"/>
      <c r="F30" s="3"/>
      <c r="G30" s="4"/>
    </row>
    <row r="31" spans="1:7" ht="19" x14ac:dyDescent="0.25">
      <c r="A31" s="57" t="s">
        <v>65</v>
      </c>
      <c r="B31" s="85">
        <v>4.26</v>
      </c>
      <c r="C31" s="9">
        <f>1.01%+1.01%</f>
        <v>2.0199999999999999E-2</v>
      </c>
      <c r="D31" s="46">
        <f>'Facility Risk - Total en'!$C31/$C$151</f>
        <v>2.0346494762288482E-2</v>
      </c>
      <c r="E31" s="50" t="s">
        <v>66</v>
      </c>
      <c r="F31" s="3"/>
      <c r="G31" s="4"/>
    </row>
    <row r="32" spans="1:7" ht="19" x14ac:dyDescent="0.25">
      <c r="A32" s="58" t="s">
        <v>67</v>
      </c>
      <c r="B32" s="86">
        <v>5.72</v>
      </c>
      <c r="C32" s="8">
        <v>5.6999999999999993E-3</v>
      </c>
      <c r="D32" s="45">
        <f>'Facility Risk - Total en'!$C32/$C$151</f>
        <v>5.7413376309427885E-3</v>
      </c>
      <c r="E32" s="1"/>
      <c r="F32" s="3"/>
      <c r="G32" s="4"/>
    </row>
    <row r="33" spans="1:7" ht="19" x14ac:dyDescent="0.25">
      <c r="A33" s="57" t="s">
        <v>68</v>
      </c>
      <c r="B33" s="87">
        <v>5.65</v>
      </c>
      <c r="C33" s="9">
        <v>0</v>
      </c>
      <c r="D33" s="46">
        <f>'Facility Risk - Total en'!$C33/$C$151</f>
        <v>0</v>
      </c>
      <c r="E33" s="1"/>
      <c r="F33" s="3"/>
      <c r="G33" s="4"/>
    </row>
    <row r="34" spans="1:7" ht="19" x14ac:dyDescent="0.25">
      <c r="A34" s="58" t="s">
        <v>69</v>
      </c>
      <c r="B34" s="88">
        <v>4.2300000000000004</v>
      </c>
      <c r="C34" s="8">
        <v>0</v>
      </c>
      <c r="D34" s="45">
        <f>'Facility Risk - Total en'!$C34/$C$151</f>
        <v>0</v>
      </c>
      <c r="E34" s="1"/>
      <c r="F34" s="3"/>
      <c r="G34" s="4"/>
    </row>
    <row r="35" spans="1:7" ht="19" x14ac:dyDescent="0.25">
      <c r="A35" s="57" t="s">
        <v>70</v>
      </c>
      <c r="B35" s="89">
        <v>5.6</v>
      </c>
      <c r="C35" s="9">
        <v>0</v>
      </c>
      <c r="D35" s="46">
        <f>'Facility Risk - Total en'!$C35/$C$151</f>
        <v>0</v>
      </c>
      <c r="E35" s="1"/>
      <c r="F35" s="3"/>
      <c r="G35" s="4"/>
    </row>
    <row r="36" spans="1:7" ht="19" x14ac:dyDescent="0.25">
      <c r="A36" s="58" t="s">
        <v>71</v>
      </c>
      <c r="B36" s="90">
        <v>4.28</v>
      </c>
      <c r="C36" s="8">
        <v>4.3E-3</v>
      </c>
      <c r="D36" s="45">
        <f>'Facility Risk - Total en'!$C36/$C$151</f>
        <v>4.3311845286059638E-3</v>
      </c>
      <c r="E36" s="1"/>
      <c r="F36" s="3"/>
      <c r="G36" s="4"/>
    </row>
    <row r="37" spans="1:7" ht="19" x14ac:dyDescent="0.25">
      <c r="A37" s="57" t="s">
        <v>72</v>
      </c>
      <c r="B37" s="91">
        <v>4.67</v>
      </c>
      <c r="C37" s="9">
        <v>2.8999999999999998E-3</v>
      </c>
      <c r="D37" s="46">
        <f>'Facility Risk - Total en'!$C37/$C$151</f>
        <v>2.9210314262691382E-3</v>
      </c>
      <c r="E37" s="1"/>
      <c r="F37" s="3"/>
      <c r="G37" s="4"/>
    </row>
    <row r="38" spans="1:7" ht="19" x14ac:dyDescent="0.25">
      <c r="A38" s="58" t="s">
        <v>73</v>
      </c>
      <c r="B38" s="92">
        <v>3.75</v>
      </c>
      <c r="C38" s="8">
        <v>4.3E-3</v>
      </c>
      <c r="D38" s="45">
        <f>'Facility Risk - Total en'!$C38/$C$151</f>
        <v>4.3311845286059638E-3</v>
      </c>
      <c r="E38" s="1"/>
      <c r="F38" s="3"/>
      <c r="G38" s="4"/>
    </row>
    <row r="39" spans="1:7" ht="19" x14ac:dyDescent="0.25">
      <c r="A39" s="57" t="s">
        <v>74</v>
      </c>
      <c r="B39" s="93">
        <v>3.2</v>
      </c>
      <c r="C39" s="9">
        <v>1.72E-2</v>
      </c>
      <c r="D39" s="46">
        <f>'Facility Risk - Total en'!$C39/$C$151</f>
        <v>1.7324738114423855E-2</v>
      </c>
      <c r="E39" s="1"/>
      <c r="F39" s="3"/>
      <c r="G39" s="4"/>
    </row>
    <row r="40" spans="1:7" ht="19" x14ac:dyDescent="0.25">
      <c r="A40" s="58" t="s">
        <v>75</v>
      </c>
      <c r="B40" s="94">
        <v>5.98</v>
      </c>
      <c r="C40" s="8">
        <v>0</v>
      </c>
      <c r="D40" s="45">
        <f>'Facility Risk - Total en'!$C40/$C$151</f>
        <v>0</v>
      </c>
      <c r="E40" s="1"/>
      <c r="F40" s="3"/>
      <c r="G40" s="4"/>
    </row>
    <row r="41" spans="1:7" ht="19" x14ac:dyDescent="0.25">
      <c r="A41" s="57" t="s">
        <v>76</v>
      </c>
      <c r="B41" s="95">
        <v>4.7</v>
      </c>
      <c r="C41" s="9">
        <v>0</v>
      </c>
      <c r="D41" s="46">
        <f>'Facility Risk - Total en'!$C41/$C$151</f>
        <v>0</v>
      </c>
      <c r="E41" s="1"/>
      <c r="F41" s="3"/>
      <c r="G41" s="4"/>
    </row>
    <row r="42" spans="1:7" ht="19" x14ac:dyDescent="0.25">
      <c r="A42" s="58" t="s">
        <v>77</v>
      </c>
      <c r="B42" s="96">
        <v>5.71</v>
      </c>
      <c r="C42" s="8">
        <v>7.1999999999999998E-3</v>
      </c>
      <c r="D42" s="45">
        <f>'Facility Risk - Total en'!$C42/$C$151</f>
        <v>7.252215954875102E-3</v>
      </c>
      <c r="E42" s="1"/>
      <c r="F42" s="3"/>
      <c r="G42" s="4"/>
    </row>
    <row r="43" spans="1:7" ht="19" x14ac:dyDescent="0.25">
      <c r="A43" s="57" t="s">
        <v>78</v>
      </c>
      <c r="B43" s="97">
        <v>5.6</v>
      </c>
      <c r="C43" s="9">
        <v>1.01E-2</v>
      </c>
      <c r="D43" s="46">
        <f>'Facility Risk - Total en'!$C43/$C$151</f>
        <v>1.0173247381144241E-2</v>
      </c>
      <c r="E43" s="1"/>
      <c r="F43" s="3"/>
      <c r="G43" s="4"/>
    </row>
    <row r="44" spans="1:7" ht="19" x14ac:dyDescent="0.25">
      <c r="A44" s="58" t="s">
        <v>79</v>
      </c>
      <c r="B44" s="98">
        <v>4.79</v>
      </c>
      <c r="C44" s="8">
        <v>0</v>
      </c>
      <c r="D44" s="45">
        <f>'Facility Risk - Total en'!$C44/$C$151</f>
        <v>0</v>
      </c>
      <c r="E44" s="1"/>
      <c r="F44" s="3"/>
      <c r="G44" s="4"/>
    </row>
    <row r="45" spans="1:7" ht="19" x14ac:dyDescent="0.25">
      <c r="A45" s="57" t="s">
        <v>80</v>
      </c>
      <c r="B45" s="99">
        <v>3.57</v>
      </c>
      <c r="C45" s="9">
        <v>0</v>
      </c>
      <c r="D45" s="46">
        <f>'Facility Risk - Total en'!$C45/$C$151</f>
        <v>0</v>
      </c>
      <c r="E45" s="1"/>
      <c r="F45" s="3"/>
      <c r="G45" s="4"/>
    </row>
    <row r="46" spans="1:7" ht="19" x14ac:dyDescent="0.25">
      <c r="A46" s="58" t="s">
        <v>81</v>
      </c>
      <c r="B46" s="100">
        <v>4.5</v>
      </c>
      <c r="C46" s="8">
        <v>1.4000000000000002E-3</v>
      </c>
      <c r="D46" s="45">
        <f>'Facility Risk - Total en'!$C46/$C$151</f>
        <v>1.4101531023368256E-3</v>
      </c>
      <c r="E46" s="1"/>
      <c r="F46" s="3"/>
      <c r="G46" s="4"/>
    </row>
    <row r="47" spans="1:7" ht="19" x14ac:dyDescent="0.25">
      <c r="A47" s="57" t="s">
        <v>82</v>
      </c>
      <c r="B47" s="101">
        <v>6.93</v>
      </c>
      <c r="C47" s="9">
        <v>0</v>
      </c>
      <c r="D47" s="46">
        <f>'Facility Risk - Total en'!$C47/$C$151</f>
        <v>0</v>
      </c>
      <c r="E47" s="1"/>
      <c r="F47" s="3"/>
      <c r="G47" s="4"/>
    </row>
    <row r="48" spans="1:7" ht="19" x14ac:dyDescent="0.25">
      <c r="A48" s="58" t="s">
        <v>83</v>
      </c>
      <c r="B48" s="102">
        <v>3.35</v>
      </c>
      <c r="C48" s="8">
        <v>0</v>
      </c>
      <c r="D48" s="45">
        <f>'Facility Risk - Total en'!$C48/$C$151</f>
        <v>0</v>
      </c>
      <c r="E48" s="1"/>
      <c r="F48" s="3"/>
      <c r="G48" s="4"/>
    </row>
    <row r="49" spans="1:7" ht="19" x14ac:dyDescent="0.25">
      <c r="A49" s="57" t="s">
        <v>84</v>
      </c>
      <c r="B49" s="103">
        <v>3.65</v>
      </c>
      <c r="C49" s="9">
        <v>9.6300000000000011E-2</v>
      </c>
      <c r="D49" s="46">
        <f>'Facility Risk - Total en'!$C49/$C$151</f>
        <v>9.6998388396454499E-2</v>
      </c>
      <c r="E49" s="1"/>
      <c r="F49" s="3"/>
      <c r="G49" s="4"/>
    </row>
    <row r="50" spans="1:7" ht="19" x14ac:dyDescent="0.25">
      <c r="A50" s="58" t="s">
        <v>85</v>
      </c>
      <c r="B50" s="104">
        <v>5.78</v>
      </c>
      <c r="C50" s="8">
        <v>2.8999999999999998E-3</v>
      </c>
      <c r="D50" s="45">
        <f>'Facility Risk - Total en'!$C50/$C$151</f>
        <v>2.9210314262691382E-3</v>
      </c>
      <c r="E50" s="1"/>
      <c r="F50" s="3"/>
      <c r="G50" s="4"/>
    </row>
    <row r="51" spans="1:7" ht="19" x14ac:dyDescent="0.25">
      <c r="A51" s="57" t="s">
        <v>86</v>
      </c>
      <c r="B51" s="105">
        <v>5.38</v>
      </c>
      <c r="C51" s="9">
        <v>0</v>
      </c>
      <c r="D51" s="46">
        <f>'Facility Risk - Total en'!$C51/$C$151</f>
        <v>0</v>
      </c>
      <c r="E51" s="1"/>
      <c r="F51" s="3"/>
      <c r="G51" s="4"/>
    </row>
    <row r="52" spans="1:7" ht="19" x14ac:dyDescent="0.25">
      <c r="A52" s="58" t="s">
        <v>87</v>
      </c>
      <c r="B52" s="106">
        <v>4.93</v>
      </c>
      <c r="C52" s="8">
        <v>0</v>
      </c>
      <c r="D52" s="45">
        <f>'Facility Risk - Total en'!$C52/$C$151</f>
        <v>0</v>
      </c>
      <c r="E52" s="1"/>
      <c r="F52" s="3"/>
      <c r="G52" s="4"/>
    </row>
    <row r="53" spans="1:7" ht="19" x14ac:dyDescent="0.25">
      <c r="A53" s="57" t="s">
        <v>88</v>
      </c>
      <c r="B53" s="68">
        <v>3.42</v>
      </c>
      <c r="C53" s="9">
        <v>2.7300000000000001E-2</v>
      </c>
      <c r="D53" s="46">
        <f>'Facility Risk - Total en'!$C53/$C$151</f>
        <v>2.7497985495568096E-2</v>
      </c>
      <c r="E53" s="1"/>
      <c r="F53" s="3"/>
      <c r="G53" s="4"/>
    </row>
    <row r="54" spans="1:7" ht="19" x14ac:dyDescent="0.25">
      <c r="A54" s="58" t="s">
        <v>89</v>
      </c>
      <c r="B54" s="107">
        <v>4.63</v>
      </c>
      <c r="C54" s="8">
        <v>2.8999999999999998E-3</v>
      </c>
      <c r="D54" s="45">
        <f>'Facility Risk - Total en'!$C54/$C$151</f>
        <v>2.9210314262691382E-3</v>
      </c>
      <c r="E54" s="1"/>
      <c r="F54" s="3"/>
      <c r="G54" s="4"/>
    </row>
    <row r="55" spans="1:7" ht="19" x14ac:dyDescent="0.25">
      <c r="A55" s="57" t="s">
        <v>90</v>
      </c>
      <c r="B55" s="77">
        <v>4.34</v>
      </c>
      <c r="C55" s="9">
        <v>1.01E-2</v>
      </c>
      <c r="D55" s="46">
        <f>'Facility Risk - Total en'!$C55/$C$151</f>
        <v>1.0173247381144241E-2</v>
      </c>
      <c r="E55" s="1"/>
      <c r="F55" s="3"/>
      <c r="G55" s="4"/>
    </row>
    <row r="56" spans="1:7" ht="19" x14ac:dyDescent="0.25">
      <c r="A56" s="58" t="s">
        <v>91</v>
      </c>
      <c r="B56" s="71">
        <v>5.45</v>
      </c>
      <c r="C56" s="8">
        <v>0</v>
      </c>
      <c r="D56" s="45">
        <f>'Facility Risk - Total en'!$C56/$C$151</f>
        <v>0</v>
      </c>
      <c r="E56" s="1"/>
      <c r="F56" s="3"/>
      <c r="G56" s="4"/>
    </row>
    <row r="57" spans="1:7" ht="19" x14ac:dyDescent="0.25">
      <c r="A57" s="57" t="s">
        <v>92</v>
      </c>
      <c r="B57" s="108">
        <v>6.36</v>
      </c>
      <c r="C57" s="9">
        <v>0</v>
      </c>
      <c r="D57" s="46">
        <f>'Facility Risk - Total en'!$C57/$C$151</f>
        <v>0</v>
      </c>
      <c r="E57" s="1"/>
      <c r="F57" s="3"/>
      <c r="G57" s="4"/>
    </row>
    <row r="58" spans="1:7" ht="19" x14ac:dyDescent="0.25">
      <c r="A58" s="58" t="s">
        <v>93</v>
      </c>
      <c r="B58" s="109">
        <v>5.94</v>
      </c>
      <c r="C58" s="8">
        <v>0</v>
      </c>
      <c r="D58" s="45">
        <f>'Facility Risk - Total en'!$C58/$C$151</f>
        <v>0</v>
      </c>
      <c r="E58" s="1"/>
      <c r="F58" s="3"/>
      <c r="G58" s="4"/>
    </row>
    <row r="59" spans="1:7" ht="19" x14ac:dyDescent="0.25">
      <c r="A59" s="57" t="s">
        <v>94</v>
      </c>
      <c r="B59" s="110">
        <v>4.92</v>
      </c>
      <c r="C59" s="9">
        <v>0</v>
      </c>
      <c r="D59" s="46">
        <f>'Facility Risk - Total en'!$C59/$C$151</f>
        <v>0</v>
      </c>
      <c r="E59" s="1"/>
      <c r="F59" s="3"/>
      <c r="G59" s="4"/>
    </row>
    <row r="60" spans="1:7" ht="19" x14ac:dyDescent="0.25">
      <c r="A60" s="58" t="s">
        <v>95</v>
      </c>
      <c r="B60" s="111">
        <v>6.53</v>
      </c>
      <c r="C60" s="8">
        <v>0</v>
      </c>
      <c r="D60" s="45">
        <f>'Facility Risk - Total en'!$C60/$C$151</f>
        <v>0</v>
      </c>
      <c r="E60" s="1"/>
      <c r="F60" s="3"/>
      <c r="G60" s="4"/>
    </row>
    <row r="61" spans="1:7" ht="19" x14ac:dyDescent="0.25">
      <c r="A61" s="57" t="s">
        <v>96</v>
      </c>
      <c r="B61" s="112">
        <v>5.77</v>
      </c>
      <c r="C61" s="9">
        <v>0</v>
      </c>
      <c r="D61" s="46">
        <f>'Facility Risk - Total en'!$C61/$C$151</f>
        <v>0</v>
      </c>
      <c r="E61" s="1"/>
      <c r="F61" s="3"/>
      <c r="G61" s="4"/>
    </row>
    <row r="62" spans="1:7" ht="19" x14ac:dyDescent="0.25">
      <c r="A62" s="58" t="s">
        <v>97</v>
      </c>
      <c r="B62" s="113">
        <v>3.63</v>
      </c>
      <c r="C62" s="8">
        <v>0</v>
      </c>
      <c r="D62" s="45">
        <f>'Facility Risk - Total en'!$C62/$C$151</f>
        <v>0</v>
      </c>
      <c r="E62" s="1"/>
      <c r="F62" s="3"/>
      <c r="G62" s="4"/>
    </row>
    <row r="63" spans="1:7" ht="19" x14ac:dyDescent="0.25">
      <c r="A63" s="57" t="s">
        <v>98</v>
      </c>
      <c r="B63" s="114">
        <v>3.38</v>
      </c>
      <c r="C63" s="9">
        <v>0</v>
      </c>
      <c r="D63" s="46">
        <f>'Facility Risk - Total en'!$C63/$C$151</f>
        <v>0</v>
      </c>
      <c r="E63" s="1"/>
      <c r="F63" s="3"/>
      <c r="G63" s="4"/>
    </row>
    <row r="64" spans="1:7" ht="19" x14ac:dyDescent="0.25">
      <c r="A64" s="58" t="s">
        <v>99</v>
      </c>
      <c r="B64" s="115">
        <v>5.07</v>
      </c>
      <c r="C64" s="8">
        <v>2.4399999999999998E-2</v>
      </c>
      <c r="D64" s="45">
        <f>'Facility Risk - Total en'!$C64/$C$151</f>
        <v>2.4576954069298957E-2</v>
      </c>
      <c r="E64" s="1"/>
      <c r="F64" s="3"/>
      <c r="G64" s="4"/>
    </row>
    <row r="65" spans="1:7" ht="19" x14ac:dyDescent="0.25">
      <c r="A65" s="57" t="s">
        <v>100</v>
      </c>
      <c r="B65" s="106">
        <v>4.92</v>
      </c>
      <c r="C65" s="9">
        <v>2.3E-2</v>
      </c>
      <c r="D65" s="46">
        <f>'Facility Risk - Total en'!$C65/$C$151</f>
        <v>2.3166800966962133E-2</v>
      </c>
      <c r="E65" s="1"/>
      <c r="F65" s="3"/>
      <c r="G65" s="4"/>
    </row>
    <row r="66" spans="1:7" ht="19" x14ac:dyDescent="0.25">
      <c r="A66" s="58" t="s">
        <v>101</v>
      </c>
      <c r="B66" s="116">
        <v>5.88</v>
      </c>
      <c r="C66" s="8">
        <v>0</v>
      </c>
      <c r="D66" s="45">
        <f>'Facility Risk - Total en'!$C66/$C$151</f>
        <v>0</v>
      </c>
      <c r="E66" s="1"/>
      <c r="F66" s="3"/>
      <c r="G66" s="4"/>
    </row>
    <row r="67" spans="1:7" ht="19" x14ac:dyDescent="0.25">
      <c r="A67" s="57" t="s">
        <v>102</v>
      </c>
      <c r="B67" s="117">
        <v>6.05</v>
      </c>
      <c r="C67" s="9">
        <v>0</v>
      </c>
      <c r="D67" s="46">
        <f>'Facility Risk - Total en'!$C67/$C$151</f>
        <v>0</v>
      </c>
      <c r="E67" s="1"/>
      <c r="F67" s="3"/>
      <c r="G67" s="4"/>
    </row>
    <row r="68" spans="1:7" ht="19" x14ac:dyDescent="0.25">
      <c r="A68" s="58" t="s">
        <v>103</v>
      </c>
      <c r="B68" s="118">
        <v>3.25</v>
      </c>
      <c r="C68" s="8">
        <v>5.6999999999999993E-3</v>
      </c>
      <c r="D68" s="45">
        <f>'Facility Risk - Total en'!$C68/$C$151</f>
        <v>5.7413376309427885E-3</v>
      </c>
      <c r="E68" s="1"/>
      <c r="F68" s="3"/>
      <c r="G68" s="4"/>
    </row>
    <row r="69" spans="1:7" ht="19" x14ac:dyDescent="0.25">
      <c r="A69" s="57" t="s">
        <v>104</v>
      </c>
      <c r="B69" s="119">
        <v>4.6100000000000003</v>
      </c>
      <c r="C69" s="9">
        <v>1.4000000000000002E-3</v>
      </c>
      <c r="D69" s="46">
        <f>'Facility Risk - Total en'!$C69/$C$151</f>
        <v>1.4101531023368256E-3</v>
      </c>
      <c r="E69" s="1"/>
      <c r="F69" s="3"/>
      <c r="G69" s="4"/>
    </row>
    <row r="70" spans="1:7" ht="19" x14ac:dyDescent="0.25">
      <c r="A70" s="58" t="s">
        <v>105</v>
      </c>
      <c r="B70" s="120">
        <v>3.84</v>
      </c>
      <c r="C70" s="8">
        <v>3.5900000000000001E-2</v>
      </c>
      <c r="D70" s="45">
        <f>'Facility Risk - Total en'!$C70/$C$151</f>
        <v>3.6160354552780022E-2</v>
      </c>
      <c r="E70" s="1"/>
      <c r="F70" s="3"/>
      <c r="G70" s="4"/>
    </row>
    <row r="71" spans="1:7" ht="19" x14ac:dyDescent="0.25">
      <c r="A71" s="57" t="s">
        <v>106</v>
      </c>
      <c r="B71" s="121">
        <v>4.75</v>
      </c>
      <c r="C71" s="9">
        <v>0</v>
      </c>
      <c r="D71" s="46">
        <f>'Facility Risk - Total en'!$C71/$C$151</f>
        <v>0</v>
      </c>
      <c r="E71" s="1"/>
      <c r="F71" s="3"/>
      <c r="G71" s="4"/>
    </row>
    <row r="72" spans="1:7" ht="19" x14ac:dyDescent="0.25">
      <c r="A72" s="58" t="s">
        <v>107</v>
      </c>
      <c r="B72" s="114">
        <v>3.38</v>
      </c>
      <c r="C72" s="8">
        <v>5.6999999999999993E-3</v>
      </c>
      <c r="D72" s="45">
        <f>'Facility Risk - Total en'!$C72/$C$151</f>
        <v>5.7413376309427885E-3</v>
      </c>
      <c r="E72" s="1"/>
      <c r="F72" s="3"/>
      <c r="G72" s="4"/>
    </row>
    <row r="73" spans="1:7" ht="19" x14ac:dyDescent="0.25">
      <c r="A73" s="57" t="s">
        <v>108</v>
      </c>
      <c r="B73" s="122">
        <v>5.13</v>
      </c>
      <c r="C73" s="9">
        <v>0</v>
      </c>
      <c r="D73" s="46">
        <f>'Facility Risk - Total en'!$C73/$C$151</f>
        <v>0</v>
      </c>
      <c r="E73" s="1"/>
      <c r="F73" s="3"/>
      <c r="G73" s="4"/>
    </row>
    <row r="74" spans="1:7" ht="19" x14ac:dyDescent="0.25">
      <c r="A74" s="58" t="s">
        <v>109</v>
      </c>
      <c r="B74" s="123">
        <v>4.54</v>
      </c>
      <c r="C74" s="8">
        <v>0</v>
      </c>
      <c r="D74" s="45">
        <f>'Facility Risk - Total en'!$C74/$C$151</f>
        <v>0</v>
      </c>
      <c r="E74" s="1"/>
      <c r="F74" s="3"/>
      <c r="G74" s="4"/>
    </row>
    <row r="75" spans="1:7" ht="19" x14ac:dyDescent="0.25">
      <c r="A75" s="57" t="s">
        <v>110</v>
      </c>
      <c r="B75" s="124">
        <v>6.13</v>
      </c>
      <c r="C75" s="9">
        <v>1.4000000000000002E-3</v>
      </c>
      <c r="D75" s="46">
        <f>'Facility Risk - Total en'!$C75/$C$151</f>
        <v>1.4101531023368256E-3</v>
      </c>
      <c r="E75" s="1"/>
      <c r="F75" s="3"/>
      <c r="G75" s="4"/>
    </row>
    <row r="76" spans="1:7" ht="19" x14ac:dyDescent="0.25">
      <c r="A76" s="58" t="s">
        <v>111</v>
      </c>
      <c r="B76" s="125">
        <v>4.3</v>
      </c>
      <c r="C76" s="8">
        <v>0</v>
      </c>
      <c r="D76" s="45">
        <f>'Facility Risk - Total en'!$C76/$C$151</f>
        <v>0</v>
      </c>
      <c r="E76" s="1"/>
      <c r="F76" s="3"/>
      <c r="G76" s="4"/>
    </row>
    <row r="77" spans="1:7" ht="19" x14ac:dyDescent="0.25">
      <c r="A77" s="57" t="s">
        <v>112</v>
      </c>
      <c r="B77" s="126">
        <v>5.37</v>
      </c>
      <c r="C77" s="9">
        <v>0</v>
      </c>
      <c r="D77" s="46">
        <f>'Facility Risk - Total en'!$C77/$C$151</f>
        <v>0</v>
      </c>
      <c r="E77" s="1"/>
      <c r="F77" s="3"/>
      <c r="G77" s="4"/>
    </row>
    <row r="78" spans="1:7" ht="19" x14ac:dyDescent="0.25">
      <c r="A78" s="58" t="s">
        <v>113</v>
      </c>
      <c r="B78" s="127">
        <v>5.14</v>
      </c>
      <c r="C78" s="8">
        <v>0</v>
      </c>
      <c r="D78" s="45">
        <f>'Facility Risk - Total en'!$C78/$C$151</f>
        <v>0</v>
      </c>
      <c r="E78" s="1"/>
      <c r="F78" s="3"/>
      <c r="G78" s="4"/>
    </row>
    <row r="79" spans="1:7" ht="19" x14ac:dyDescent="0.25">
      <c r="A79" s="57" t="s">
        <v>114</v>
      </c>
      <c r="B79" s="128">
        <v>3.97</v>
      </c>
      <c r="C79" s="9">
        <v>4.3E-3</v>
      </c>
      <c r="D79" s="46">
        <f>'Facility Risk - Total en'!$C79/$C$151</f>
        <v>4.3311845286059638E-3</v>
      </c>
      <c r="E79" s="1"/>
      <c r="F79" s="3"/>
      <c r="G79" s="4"/>
    </row>
    <row r="80" spans="1:7" ht="19" x14ac:dyDescent="0.25">
      <c r="A80" s="58" t="s">
        <v>115</v>
      </c>
      <c r="B80" s="129">
        <v>6.12</v>
      </c>
      <c r="C80" s="8">
        <v>0</v>
      </c>
      <c r="D80" s="45">
        <f>'Facility Risk - Total en'!$C80/$C$151</f>
        <v>0</v>
      </c>
      <c r="E80" s="1"/>
      <c r="F80" s="3"/>
      <c r="G80" s="4"/>
    </row>
    <row r="81" spans="1:7" ht="19" x14ac:dyDescent="0.25">
      <c r="A81" s="57" t="s">
        <v>116</v>
      </c>
      <c r="B81" s="130">
        <v>5.49</v>
      </c>
      <c r="C81" s="9">
        <v>0</v>
      </c>
      <c r="D81" s="46">
        <f>'Facility Risk - Total en'!$C81/$C$151</f>
        <v>0</v>
      </c>
      <c r="E81" s="1"/>
      <c r="F81" s="3"/>
      <c r="G81" s="4"/>
    </row>
    <row r="82" spans="1:7" ht="19" x14ac:dyDescent="0.25">
      <c r="A82" s="58" t="s">
        <v>117</v>
      </c>
      <c r="B82" s="131">
        <v>5.97</v>
      </c>
      <c r="C82" s="8">
        <v>0</v>
      </c>
      <c r="D82" s="45">
        <f>'Facility Risk - Total en'!$C82/$C$151</f>
        <v>0</v>
      </c>
      <c r="E82" s="1"/>
      <c r="F82" s="3"/>
      <c r="G82" s="4"/>
    </row>
    <row r="83" spans="1:7" ht="19" x14ac:dyDescent="0.25">
      <c r="A83" s="57" t="s">
        <v>118</v>
      </c>
      <c r="B83" s="132">
        <v>5.68</v>
      </c>
      <c r="C83" s="9">
        <v>0</v>
      </c>
      <c r="D83" s="46">
        <f>'Facility Risk - Total en'!$C83/$C$151</f>
        <v>0</v>
      </c>
      <c r="E83" s="1"/>
      <c r="F83" s="3"/>
      <c r="G83" s="4"/>
    </row>
    <row r="84" spans="1:7" ht="19" x14ac:dyDescent="0.25">
      <c r="A84" s="58" t="s">
        <v>119</v>
      </c>
      <c r="B84" s="133">
        <v>3.93</v>
      </c>
      <c r="C84" s="8">
        <v>1.4000000000000002E-3</v>
      </c>
      <c r="D84" s="45">
        <f>'Facility Risk - Total en'!$C84/$C$151</f>
        <v>1.4101531023368256E-3</v>
      </c>
      <c r="E84" s="1"/>
      <c r="F84" s="3"/>
      <c r="G84" s="4"/>
    </row>
    <row r="85" spans="1:7" ht="19" x14ac:dyDescent="0.25">
      <c r="A85" s="57" t="s">
        <v>120</v>
      </c>
      <c r="B85" s="134">
        <v>5.82</v>
      </c>
      <c r="C85" s="9">
        <v>5.6999999999999993E-3</v>
      </c>
      <c r="D85" s="46">
        <f>'Facility Risk - Total en'!$C85/$C$151</f>
        <v>5.7413376309427885E-3</v>
      </c>
      <c r="E85" s="1"/>
      <c r="F85" s="3"/>
      <c r="G85" s="4"/>
    </row>
    <row r="86" spans="1:7" ht="19" x14ac:dyDescent="0.25">
      <c r="A86" s="58" t="s">
        <v>121</v>
      </c>
      <c r="B86" s="135">
        <v>5.58</v>
      </c>
      <c r="C86" s="8">
        <v>0</v>
      </c>
      <c r="D86" s="45">
        <f>'Facility Risk - Total en'!$C86/$C$151</f>
        <v>0</v>
      </c>
      <c r="E86" s="1"/>
      <c r="F86" s="3"/>
      <c r="G86" s="4"/>
    </row>
    <row r="87" spans="1:7" ht="19" x14ac:dyDescent="0.25">
      <c r="A87" s="57" t="s">
        <v>122</v>
      </c>
      <c r="B87" s="136">
        <v>4.03</v>
      </c>
      <c r="C87" s="9">
        <v>1.29E-2</v>
      </c>
      <c r="D87" s="46">
        <f>'Facility Risk - Total en'!$C87/$C$151</f>
        <v>1.2993553585817892E-2</v>
      </c>
      <c r="E87" s="1"/>
      <c r="F87" s="3"/>
      <c r="G87" s="4"/>
    </row>
    <row r="88" spans="1:7" ht="19" x14ac:dyDescent="0.25">
      <c r="A88" s="58" t="s">
        <v>123</v>
      </c>
      <c r="B88" s="137">
        <v>7.1</v>
      </c>
      <c r="C88" s="8">
        <v>0</v>
      </c>
      <c r="D88" s="45">
        <f>'Facility Risk - Total en'!$C88/$C$151</f>
        <v>0</v>
      </c>
      <c r="E88" s="1"/>
      <c r="F88" s="3"/>
      <c r="G88" s="4"/>
    </row>
    <row r="89" spans="1:7" ht="19" x14ac:dyDescent="0.25">
      <c r="A89" s="57" t="s">
        <v>124</v>
      </c>
      <c r="B89" s="138">
        <v>6.28</v>
      </c>
      <c r="C89" s="9">
        <v>0</v>
      </c>
      <c r="D89" s="46">
        <f>'Facility Risk - Total en'!$C89/$C$151</f>
        <v>0</v>
      </c>
      <c r="E89" s="1"/>
      <c r="F89" s="3"/>
      <c r="G89" s="4"/>
    </row>
    <row r="90" spans="1:7" ht="19" x14ac:dyDescent="0.25">
      <c r="A90" s="58" t="s">
        <v>125</v>
      </c>
      <c r="B90" s="139">
        <v>3.47</v>
      </c>
      <c r="C90" s="8">
        <v>1.4000000000000002E-3</v>
      </c>
      <c r="D90" s="45">
        <f>'Facility Risk - Total en'!$C90/$C$151</f>
        <v>1.4101531023368256E-3</v>
      </c>
    </row>
    <row r="91" spans="1:7" ht="19" x14ac:dyDescent="0.25">
      <c r="A91" s="57" t="s">
        <v>126</v>
      </c>
      <c r="B91" s="140">
        <v>5.42</v>
      </c>
      <c r="C91" s="9">
        <v>2.3E-2</v>
      </c>
      <c r="D91" s="46">
        <f>'Facility Risk - Total en'!$C91/$C$151</f>
        <v>2.3166800966962133E-2</v>
      </c>
    </row>
    <row r="92" spans="1:7" ht="19" x14ac:dyDescent="0.25">
      <c r="A92" s="58" t="s">
        <v>127</v>
      </c>
      <c r="B92" s="127">
        <v>5.14</v>
      </c>
      <c r="C92" s="8">
        <v>0</v>
      </c>
      <c r="D92" s="45">
        <f>'Facility Risk - Total en'!$C92/$C$151</f>
        <v>0</v>
      </c>
    </row>
    <row r="93" spans="1:7" ht="19" x14ac:dyDescent="0.25">
      <c r="A93" s="57" t="s">
        <v>128</v>
      </c>
      <c r="B93" s="141">
        <v>4.6500000000000004</v>
      </c>
      <c r="C93" s="9">
        <v>0</v>
      </c>
      <c r="D93" s="46">
        <f>'Facility Risk - Total en'!$C93/$C$151</f>
        <v>0</v>
      </c>
    </row>
    <row r="94" spans="1:7" ht="19" x14ac:dyDescent="0.25">
      <c r="A94" s="58" t="s">
        <v>129</v>
      </c>
      <c r="B94" s="142">
        <v>5.0999999999999996</v>
      </c>
      <c r="C94" s="8">
        <v>1.4000000000000002E-3</v>
      </c>
      <c r="D94" s="45">
        <f>'Facility Risk - Total en'!$C94/$C$151</f>
        <v>1.4101531023368256E-3</v>
      </c>
    </row>
    <row r="95" spans="1:7" ht="19" x14ac:dyDescent="0.25">
      <c r="A95" s="57" t="s">
        <v>130</v>
      </c>
      <c r="B95" s="70">
        <v>6.3</v>
      </c>
      <c r="C95" s="9">
        <v>2.8999999999999998E-3</v>
      </c>
      <c r="D95" s="46">
        <f>'Facility Risk - Total en'!$C95/$C$151</f>
        <v>2.9210314262691382E-3</v>
      </c>
    </row>
    <row r="96" spans="1:7" ht="19" x14ac:dyDescent="0.25">
      <c r="A96" s="58" t="s">
        <v>131</v>
      </c>
      <c r="B96" s="143">
        <v>4.6399999999999997</v>
      </c>
      <c r="C96" s="8">
        <v>2.8999999999999998E-3</v>
      </c>
      <c r="D96" s="45">
        <f>'Facility Risk - Total en'!$C96/$C$151</f>
        <v>2.9210314262691382E-3</v>
      </c>
    </row>
    <row r="97" spans="1:4" ht="19" x14ac:dyDescent="0.25">
      <c r="A97" s="57" t="s">
        <v>132</v>
      </c>
      <c r="B97" s="104">
        <v>5.78</v>
      </c>
      <c r="C97" s="9">
        <v>0</v>
      </c>
      <c r="D97" s="46">
        <f>'Facility Risk - Total en'!$C97/$C$151</f>
        <v>0</v>
      </c>
    </row>
    <row r="98" spans="1:4" ht="19" x14ac:dyDescent="0.25">
      <c r="A98" s="58" t="s">
        <v>133</v>
      </c>
      <c r="B98" s="144">
        <v>3.59</v>
      </c>
      <c r="C98" s="8">
        <v>1.5800000000000002E-2</v>
      </c>
      <c r="D98" s="45">
        <f>'Facility Risk - Total en'!$C98/$C$151</f>
        <v>1.5914585012087031E-2</v>
      </c>
    </row>
    <row r="99" spans="1:4" ht="19" x14ac:dyDescent="0.25">
      <c r="A99" s="57" t="s">
        <v>134</v>
      </c>
      <c r="B99" s="145">
        <v>3.32</v>
      </c>
      <c r="C99" s="9">
        <v>1.29E-2</v>
      </c>
      <c r="D99" s="46">
        <f>'Facility Risk - Total en'!$C99/$C$151</f>
        <v>1.2993553585817892E-2</v>
      </c>
    </row>
    <row r="100" spans="1:4" ht="19" x14ac:dyDescent="0.25">
      <c r="A100" s="58" t="s">
        <v>135</v>
      </c>
      <c r="B100" s="146">
        <v>5.8</v>
      </c>
      <c r="C100" s="8">
        <v>0</v>
      </c>
      <c r="D100" s="45">
        <f>'Facility Risk - Total en'!$C100/$C$151</f>
        <v>0</v>
      </c>
    </row>
    <row r="101" spans="1:4" ht="19" x14ac:dyDescent="0.25">
      <c r="A101" s="57" t="s">
        <v>136</v>
      </c>
      <c r="B101" s="147">
        <v>7.07</v>
      </c>
      <c r="C101" s="9">
        <v>0</v>
      </c>
      <c r="D101" s="46">
        <f>'Facility Risk - Total en'!$C101/$C$151</f>
        <v>0</v>
      </c>
    </row>
    <row r="102" spans="1:4" ht="19" x14ac:dyDescent="0.25">
      <c r="A102" s="58" t="s">
        <v>137</v>
      </c>
      <c r="B102" s="148">
        <v>6.5</v>
      </c>
      <c r="C102" s="8">
        <v>4.3E-3</v>
      </c>
      <c r="D102" s="45">
        <f>'Facility Risk - Total en'!$C102/$C$151</f>
        <v>4.3311845286059638E-3</v>
      </c>
    </row>
    <row r="103" spans="1:4" ht="19" x14ac:dyDescent="0.25">
      <c r="A103" s="57" t="s">
        <v>138</v>
      </c>
      <c r="B103" s="149">
        <v>4.16</v>
      </c>
      <c r="C103" s="9">
        <v>0</v>
      </c>
      <c r="D103" s="46">
        <f>'Facility Risk - Total en'!$C103/$C$151</f>
        <v>0</v>
      </c>
    </row>
    <row r="104" spans="1:4" ht="19" x14ac:dyDescent="0.25">
      <c r="A104" s="58" t="s">
        <v>139</v>
      </c>
      <c r="B104" s="114">
        <v>3.38</v>
      </c>
      <c r="C104" s="8">
        <v>1.44E-2</v>
      </c>
      <c r="D104" s="45">
        <f>'Facility Risk - Total en'!$C104/$C$151</f>
        <v>1.4504431909750204E-2</v>
      </c>
    </row>
    <row r="105" spans="1:4" ht="19" x14ac:dyDescent="0.25">
      <c r="A105" s="57" t="s">
        <v>140</v>
      </c>
      <c r="B105" s="150">
        <v>4.0199999999999996</v>
      </c>
      <c r="C105" s="9">
        <v>5.6999999999999993E-3</v>
      </c>
      <c r="D105" s="46">
        <f>'Facility Risk - Total en'!$C105/$C$151</f>
        <v>5.7413376309427885E-3</v>
      </c>
    </row>
    <row r="106" spans="1:4" ht="19" x14ac:dyDescent="0.25">
      <c r="A106" s="58" t="s">
        <v>141</v>
      </c>
      <c r="B106" s="151">
        <v>6.65</v>
      </c>
      <c r="C106" s="8">
        <v>2.8999999999999998E-3</v>
      </c>
      <c r="D106" s="45">
        <f>'Facility Risk - Total en'!$C106/$C$151</f>
        <v>2.9210314262691382E-3</v>
      </c>
    </row>
    <row r="107" spans="1:4" ht="19" x14ac:dyDescent="0.25">
      <c r="A107" s="57" t="s">
        <v>142</v>
      </c>
      <c r="B107" s="152">
        <v>4.5599999999999996</v>
      </c>
      <c r="C107" s="9">
        <v>8.6E-3</v>
      </c>
      <c r="D107" s="46">
        <f>'Facility Risk - Total en'!$C107/$C$151</f>
        <v>8.6623690572119275E-3</v>
      </c>
    </row>
    <row r="108" spans="1:4" ht="19" x14ac:dyDescent="0.25">
      <c r="A108" s="58" t="s">
        <v>143</v>
      </c>
      <c r="B108" s="76">
        <v>5.34</v>
      </c>
      <c r="C108" s="8">
        <v>0</v>
      </c>
      <c r="D108" s="45">
        <f>'Facility Risk - Total en'!$C108/$C$151</f>
        <v>0</v>
      </c>
    </row>
    <row r="109" spans="1:4" ht="19" x14ac:dyDescent="0.25">
      <c r="A109" s="57" t="s">
        <v>144</v>
      </c>
      <c r="B109" s="153">
        <v>4.72</v>
      </c>
      <c r="C109" s="9">
        <v>0</v>
      </c>
      <c r="D109" s="46">
        <f>'Facility Risk - Total en'!$C109/$C$151</f>
        <v>0</v>
      </c>
    </row>
    <row r="110" spans="1:4" ht="19" x14ac:dyDescent="0.25">
      <c r="A110" s="58" t="s">
        <v>145</v>
      </c>
      <c r="B110" s="154">
        <v>5.28</v>
      </c>
      <c r="C110" s="8">
        <v>1.01E-2</v>
      </c>
      <c r="D110" s="45">
        <f>'Facility Risk - Total en'!$C110/$C$151</f>
        <v>1.0173247381144241E-2</v>
      </c>
    </row>
    <row r="111" spans="1:4" ht="19" x14ac:dyDescent="0.25">
      <c r="A111" s="57" t="s">
        <v>146</v>
      </c>
      <c r="B111" s="146">
        <v>5.8</v>
      </c>
      <c r="C111" s="9">
        <v>0</v>
      </c>
      <c r="D111" s="46">
        <f>'Facility Risk - Total en'!$C111/$C$151</f>
        <v>0</v>
      </c>
    </row>
    <row r="112" spans="1:4" ht="19" x14ac:dyDescent="0.25">
      <c r="A112" s="58" t="s">
        <v>147</v>
      </c>
      <c r="B112" s="155">
        <v>4.1500000000000004</v>
      </c>
      <c r="C112" s="8">
        <v>1.5800000000000002E-2</v>
      </c>
      <c r="D112" s="45">
        <f>'Facility Risk - Total en'!$C112/$C$151</f>
        <v>1.5914585012087031E-2</v>
      </c>
    </row>
    <row r="113" spans="1:4" ht="19" x14ac:dyDescent="0.25">
      <c r="A113" s="57" t="s">
        <v>148</v>
      </c>
      <c r="B113" s="156">
        <v>3.43</v>
      </c>
      <c r="C113" s="9">
        <v>8.6E-3</v>
      </c>
      <c r="D113" s="46">
        <f>'Facility Risk - Total en'!$C113/$C$151</f>
        <v>8.6623690572119275E-3</v>
      </c>
    </row>
    <row r="114" spans="1:4" ht="19" x14ac:dyDescent="0.25">
      <c r="A114" s="58" t="s">
        <v>149</v>
      </c>
      <c r="B114" s="93">
        <v>3.2</v>
      </c>
      <c r="C114" s="8">
        <v>5.6999999999999993E-3</v>
      </c>
      <c r="D114" s="45">
        <f>'Facility Risk - Total en'!$C114/$C$151</f>
        <v>5.7413376309427885E-3</v>
      </c>
    </row>
    <row r="115" spans="1:4" ht="19" x14ac:dyDescent="0.25">
      <c r="A115" s="57" t="s">
        <v>150</v>
      </c>
      <c r="B115" s="157">
        <v>4.05</v>
      </c>
      <c r="C115" s="9">
        <v>4.3E-3</v>
      </c>
      <c r="D115" s="46">
        <f>'Facility Risk - Total en'!$C115/$C$151</f>
        <v>4.3311845286059638E-3</v>
      </c>
    </row>
    <row r="116" spans="1:4" ht="19" x14ac:dyDescent="0.25">
      <c r="A116" s="58" t="s">
        <v>151</v>
      </c>
      <c r="B116" s="158">
        <v>5.96</v>
      </c>
      <c r="C116" s="8">
        <v>1.4000000000000002E-3</v>
      </c>
      <c r="D116" s="45">
        <f>'Facility Risk - Total en'!$C116/$C$151</f>
        <v>1.4101531023368256E-3</v>
      </c>
    </row>
    <row r="117" spans="1:4" ht="19" x14ac:dyDescent="0.25">
      <c r="A117" s="57" t="s">
        <v>152</v>
      </c>
      <c r="B117" s="159">
        <v>5.47</v>
      </c>
      <c r="C117" s="9">
        <v>0</v>
      </c>
      <c r="D117" s="46">
        <f>'Facility Risk - Total en'!$C117/$C$151</f>
        <v>0</v>
      </c>
    </row>
    <row r="118" spans="1:4" ht="19" x14ac:dyDescent="0.25">
      <c r="A118" s="58" t="s">
        <v>153</v>
      </c>
      <c r="B118" s="79">
        <v>4.42</v>
      </c>
      <c r="C118" s="8">
        <v>4.3E-3</v>
      </c>
      <c r="D118" s="45">
        <f>'Facility Risk - Total en'!$C118/$C$151</f>
        <v>4.3311845286059638E-3</v>
      </c>
    </row>
    <row r="119" spans="1:4" ht="19" x14ac:dyDescent="0.25">
      <c r="A119" s="57" t="s">
        <v>154</v>
      </c>
      <c r="B119" s="160">
        <v>5.4</v>
      </c>
      <c r="C119" s="9">
        <v>1.4000000000000002E-3</v>
      </c>
      <c r="D119" s="46">
        <f>'Facility Risk - Total en'!$C119/$C$151</f>
        <v>1.4101531023368256E-3</v>
      </c>
    </row>
    <row r="120" spans="1:4" ht="19" x14ac:dyDescent="0.25">
      <c r="A120" s="58" t="s">
        <v>155</v>
      </c>
      <c r="B120" s="161">
        <v>5.04</v>
      </c>
      <c r="C120" s="8">
        <v>1.4000000000000002E-3</v>
      </c>
      <c r="D120" s="45">
        <f>'Facility Risk - Total en'!$C120/$C$151</f>
        <v>1.4101531023368256E-3</v>
      </c>
    </row>
    <row r="121" spans="1:4" ht="19" x14ac:dyDescent="0.25">
      <c r="A121" s="57" t="s">
        <v>156</v>
      </c>
      <c r="B121" s="162">
        <v>5.64</v>
      </c>
      <c r="C121" s="9">
        <v>0</v>
      </c>
      <c r="D121" s="46">
        <f>'Facility Risk - Total en'!$C121/$C$151</f>
        <v>0</v>
      </c>
    </row>
    <row r="122" spans="1:4" ht="19" x14ac:dyDescent="0.25">
      <c r="A122" s="58" t="s">
        <v>157</v>
      </c>
      <c r="B122" s="163">
        <v>3.04</v>
      </c>
      <c r="C122" s="8">
        <v>0</v>
      </c>
      <c r="D122" s="45">
        <f>'Facility Risk - Total en'!$C122/$C$151</f>
        <v>0</v>
      </c>
    </row>
    <row r="123" spans="1:4" ht="19" x14ac:dyDescent="0.25">
      <c r="A123" s="57" t="s">
        <v>158</v>
      </c>
      <c r="B123" s="164">
        <v>3.79</v>
      </c>
      <c r="C123" s="9">
        <v>0</v>
      </c>
      <c r="D123" s="46">
        <f>'Facility Risk - Total en'!$C123/$C$151</f>
        <v>0</v>
      </c>
    </row>
    <row r="124" spans="1:4" ht="19" x14ac:dyDescent="0.25">
      <c r="A124" s="58" t="s">
        <v>159</v>
      </c>
      <c r="B124" s="165">
        <v>3.48</v>
      </c>
      <c r="C124" s="8">
        <v>1.4000000000000002E-3</v>
      </c>
      <c r="D124" s="45">
        <f>'Facility Risk - Total en'!$C124/$C$151</f>
        <v>1.4101531023368256E-3</v>
      </c>
    </row>
    <row r="125" spans="1:4" ht="19" x14ac:dyDescent="0.25">
      <c r="A125" s="57" t="s">
        <v>160</v>
      </c>
      <c r="B125" s="166">
        <v>5.22</v>
      </c>
      <c r="C125" s="9">
        <v>7.1999999999999998E-3</v>
      </c>
      <c r="D125" s="46">
        <f>'Facility Risk - Total en'!$C125/$C$151</f>
        <v>7.252215954875102E-3</v>
      </c>
    </row>
    <row r="126" spans="1:4" ht="19" x14ac:dyDescent="0.25">
      <c r="A126" s="58" t="s">
        <v>161</v>
      </c>
      <c r="B126" s="167">
        <v>3.57</v>
      </c>
      <c r="C126" s="8">
        <v>1.15E-2</v>
      </c>
      <c r="D126" s="45">
        <f>'Facility Risk - Total en'!$C126/$C$151</f>
        <v>1.1583400483481067E-2</v>
      </c>
    </row>
    <row r="127" spans="1:4" ht="19" x14ac:dyDescent="0.25">
      <c r="A127" s="57" t="s">
        <v>162</v>
      </c>
      <c r="B127" s="168">
        <v>3.7</v>
      </c>
      <c r="C127" s="9">
        <v>5.3200000000000004E-2</v>
      </c>
      <c r="D127" s="46">
        <f>'Facility Risk - Total en'!$C127/$C$151</f>
        <v>5.3585817888799368E-2</v>
      </c>
    </row>
    <row r="128" spans="1:4" ht="19" x14ac:dyDescent="0.25">
      <c r="A128" s="58" t="s">
        <v>163</v>
      </c>
      <c r="B128" s="169">
        <v>5.1100000000000003</v>
      </c>
      <c r="C128" s="8">
        <v>0</v>
      </c>
      <c r="D128" s="45">
        <f>'Facility Risk - Total en'!$C128/$C$151</f>
        <v>0</v>
      </c>
    </row>
    <row r="129" spans="1:4" ht="19" x14ac:dyDescent="0.25">
      <c r="A129" s="57" t="s">
        <v>164</v>
      </c>
      <c r="B129" s="137">
        <v>7.1</v>
      </c>
      <c r="C129" s="9">
        <v>0</v>
      </c>
      <c r="D129" s="46">
        <f>'Facility Risk - Total en'!$C129/$C$151</f>
        <v>0</v>
      </c>
    </row>
    <row r="130" spans="1:4" ht="19" x14ac:dyDescent="0.25">
      <c r="A130" s="58" t="s">
        <v>165</v>
      </c>
      <c r="B130" s="170">
        <v>3.52</v>
      </c>
      <c r="C130" s="8">
        <v>1.44E-2</v>
      </c>
      <c r="D130" s="45">
        <f>'Facility Risk - Total en'!$C130/$C$151</f>
        <v>1.4504431909750204E-2</v>
      </c>
    </row>
    <row r="131" spans="1:4" ht="19" x14ac:dyDescent="0.25">
      <c r="A131" s="57" t="s">
        <v>166</v>
      </c>
      <c r="B131" s="171">
        <v>2.78</v>
      </c>
      <c r="C131" s="9">
        <v>0</v>
      </c>
      <c r="D131" s="46">
        <f>'Facility Risk - Total en'!$C131/$C$151</f>
        <v>0</v>
      </c>
    </row>
    <row r="132" spans="1:4" ht="19" x14ac:dyDescent="0.25">
      <c r="A132" s="59" t="s">
        <v>167</v>
      </c>
      <c r="B132" s="172">
        <v>7.33</v>
      </c>
      <c r="C132" s="8">
        <v>0</v>
      </c>
      <c r="D132" s="45">
        <f>'Facility Risk - Total en'!$C132/$C$151</f>
        <v>0</v>
      </c>
    </row>
    <row r="133" spans="1:4" ht="19" x14ac:dyDescent="0.25">
      <c r="A133" s="57" t="s">
        <v>168</v>
      </c>
      <c r="B133" s="173">
        <v>5.69</v>
      </c>
      <c r="C133" s="9">
        <v>0</v>
      </c>
      <c r="D133" s="46">
        <f>'Facility Risk - Total en'!$C133/$C$151</f>
        <v>0</v>
      </c>
    </row>
    <row r="134" spans="1:4" ht="19" x14ac:dyDescent="0.25">
      <c r="A134" s="58" t="s">
        <v>169</v>
      </c>
      <c r="B134" s="63">
        <v>5.21</v>
      </c>
      <c r="C134" s="8">
        <v>1.44E-2</v>
      </c>
      <c r="D134" s="45">
        <f>'Facility Risk - Total en'!$C134/$C$151</f>
        <v>1.4504431909750204E-2</v>
      </c>
    </row>
    <row r="135" spans="1:4" ht="19" x14ac:dyDescent="0.25">
      <c r="A135" s="57" t="s">
        <v>170</v>
      </c>
      <c r="B135" s="174">
        <v>5.15</v>
      </c>
      <c r="C135" s="9">
        <v>0</v>
      </c>
      <c r="D135" s="46">
        <f>'Facility Risk - Total en'!$C135/$C$151</f>
        <v>0</v>
      </c>
    </row>
    <row r="136" spans="1:4" ht="19" x14ac:dyDescent="0.25">
      <c r="A136" s="58" t="s">
        <v>171</v>
      </c>
      <c r="B136" s="175">
        <v>5.87</v>
      </c>
      <c r="C136" s="8">
        <v>1.4000000000000002E-3</v>
      </c>
      <c r="D136" s="45">
        <f>'Facility Risk - Total en'!$C136/$C$151</f>
        <v>1.4101531023368256E-3</v>
      </c>
    </row>
    <row r="137" spans="1:4" ht="19" x14ac:dyDescent="0.25">
      <c r="A137" s="57" t="s">
        <v>172</v>
      </c>
      <c r="B137" s="176">
        <v>4.38</v>
      </c>
      <c r="C137" s="9">
        <v>0</v>
      </c>
      <c r="D137" s="46">
        <f>'Facility Risk - Total en'!$C137/$C$151</f>
        <v>0</v>
      </c>
    </row>
    <row r="138" spans="1:4" ht="19" x14ac:dyDescent="0.25">
      <c r="A138" s="58" t="s">
        <v>173</v>
      </c>
      <c r="B138" s="177">
        <v>5.13</v>
      </c>
      <c r="C138" s="8">
        <v>1.15E-2</v>
      </c>
      <c r="D138" s="45">
        <f>'Facility Risk - Total en'!$C138/$C$151</f>
        <v>1.1583400483481067E-2</v>
      </c>
    </row>
    <row r="139" spans="1:4" ht="19" x14ac:dyDescent="0.25">
      <c r="A139" s="57" t="s">
        <v>174</v>
      </c>
      <c r="B139" s="178">
        <v>5.26</v>
      </c>
      <c r="C139" s="9">
        <v>3.4500000000000003E-2</v>
      </c>
      <c r="D139" s="46">
        <f>'Facility Risk - Total en'!$C139/$C$151</f>
        <v>3.4750201450443198E-2</v>
      </c>
    </row>
    <row r="140" spans="1:4" ht="19" x14ac:dyDescent="0.25">
      <c r="A140" s="58" t="s">
        <v>175</v>
      </c>
      <c r="B140" s="179">
        <v>6.29</v>
      </c>
      <c r="C140" s="8">
        <v>0</v>
      </c>
      <c r="D140" s="45">
        <f>'Facility Risk - Total en'!$C140/$C$151</f>
        <v>0</v>
      </c>
    </row>
    <row r="141" spans="1:4" ht="19" x14ac:dyDescent="0.25">
      <c r="A141" s="57" t="s">
        <v>176</v>
      </c>
      <c r="B141" s="180">
        <v>6.35</v>
      </c>
      <c r="C141" s="9">
        <v>0</v>
      </c>
      <c r="D141" s="46">
        <f>'Facility Risk - Total en'!$C141/$C$151</f>
        <v>0</v>
      </c>
    </row>
    <row r="142" spans="1:4" ht="19" x14ac:dyDescent="0.25">
      <c r="A142" s="58" t="s">
        <v>177</v>
      </c>
      <c r="B142" s="181">
        <v>3.72</v>
      </c>
      <c r="C142" s="8">
        <v>1.5800000000000002E-2</v>
      </c>
      <c r="D142" s="45">
        <f>'Facility Risk - Total en'!$C142/$C$151</f>
        <v>1.5914585012087031E-2</v>
      </c>
    </row>
    <row r="143" spans="1:4" ht="19" x14ac:dyDescent="0.25">
      <c r="A143" s="57" t="s">
        <v>178</v>
      </c>
      <c r="B143" s="145">
        <v>3.32</v>
      </c>
      <c r="C143" s="9">
        <v>5.4600000000000003E-2</v>
      </c>
      <c r="D143" s="46">
        <f>'Facility Risk - Total en'!$C143/$C$151</f>
        <v>5.4995970991136192E-2</v>
      </c>
    </row>
    <row r="144" spans="1:4" ht="19" x14ac:dyDescent="0.25">
      <c r="A144" s="58" t="s">
        <v>179</v>
      </c>
      <c r="B144" s="182">
        <v>4.1900000000000004</v>
      </c>
      <c r="C144" s="8">
        <v>0.1207</v>
      </c>
      <c r="D144" s="45">
        <f>'Facility Risk - Total en'!$C144/$C$151</f>
        <v>0.12157534246575345</v>
      </c>
    </row>
    <row r="145" spans="1:4" ht="19" x14ac:dyDescent="0.25">
      <c r="A145" s="57" t="s">
        <v>180</v>
      </c>
      <c r="B145" s="183">
        <v>3.91</v>
      </c>
      <c r="C145" s="9">
        <v>0</v>
      </c>
      <c r="D145" s="46">
        <f>'Facility Risk - Total en'!$C145/$C$151</f>
        <v>0</v>
      </c>
    </row>
    <row r="146" spans="1:4" ht="19" x14ac:dyDescent="0.25">
      <c r="A146" s="58" t="s">
        <v>181</v>
      </c>
      <c r="B146" s="112">
        <v>5.77</v>
      </c>
      <c r="C146" s="8">
        <v>0</v>
      </c>
      <c r="D146" s="45">
        <f>'Facility Risk - Total en'!$C146/$C$151</f>
        <v>0</v>
      </c>
    </row>
    <row r="147" spans="1:4" ht="19" x14ac:dyDescent="0.25">
      <c r="A147" s="57" t="s">
        <v>182</v>
      </c>
      <c r="B147" s="184">
        <v>4.32</v>
      </c>
      <c r="C147" s="9">
        <v>1.44E-2</v>
      </c>
      <c r="D147" s="46">
        <f>'Facility Risk - Total en'!$C147/$C$151</f>
        <v>1.4504431909750204E-2</v>
      </c>
    </row>
    <row r="148" spans="1:4" ht="19" x14ac:dyDescent="0.25">
      <c r="A148" s="58" t="s">
        <v>183</v>
      </c>
      <c r="B148" s="70">
        <v>6.3</v>
      </c>
      <c r="C148" s="8">
        <v>0</v>
      </c>
      <c r="D148" s="45">
        <f>'Facility Risk - Total en'!$C148/$C$151</f>
        <v>0</v>
      </c>
    </row>
    <row r="149" spans="1:4" ht="19" x14ac:dyDescent="0.25">
      <c r="A149" s="57" t="s">
        <v>184</v>
      </c>
      <c r="B149" s="185">
        <v>4.95</v>
      </c>
      <c r="C149" s="9">
        <v>4.3E-3</v>
      </c>
      <c r="D149" s="46">
        <f>'Facility Risk - Total en'!$C149/$C$151</f>
        <v>4.3311845286059638E-3</v>
      </c>
    </row>
    <row r="150" spans="1:4" ht="19" x14ac:dyDescent="0.25">
      <c r="A150" s="60" t="s">
        <v>185</v>
      </c>
      <c r="B150" s="186">
        <v>6.14</v>
      </c>
      <c r="C150" s="10">
        <v>2.8999999999999998E-3</v>
      </c>
      <c r="D150" s="47">
        <f>'Facility Risk - Total en'!$C150/$C$151</f>
        <v>2.9210314262691382E-3</v>
      </c>
    </row>
    <row r="151" spans="1:4" ht="19" x14ac:dyDescent="0.25">
      <c r="A151" s="61" t="s">
        <v>186</v>
      </c>
      <c r="B151" s="5"/>
      <c r="C151" s="6">
        <f>SUM(C4:C150)</f>
        <v>0.99279999999999979</v>
      </c>
      <c r="D151" s="48">
        <f>SUM(D4:D150)</f>
        <v>0.99999999999999967</v>
      </c>
    </row>
  </sheetData>
  <mergeCells count="1">
    <mergeCell ref="A1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994C5-8268-5E4D-A1A4-2705AA7F612D}">
  <dimension ref="A1:J151"/>
  <sheetViews>
    <sheetView workbookViewId="0">
      <selection activeCell="I17" sqref="I17"/>
    </sheetView>
  </sheetViews>
  <sheetFormatPr baseColWidth="10" defaultColWidth="11" defaultRowHeight="16" x14ac:dyDescent="0.2"/>
  <cols>
    <col min="1" max="1" width="23" bestFit="1" customWidth="1"/>
    <col min="2" max="2" width="32" bestFit="1" customWidth="1"/>
    <col min="3" max="3" width="33.6640625" bestFit="1" customWidth="1"/>
    <col min="4" max="4" width="42.6640625" bestFit="1" customWidth="1"/>
    <col min="5" max="5" width="16" bestFit="1" customWidth="1"/>
    <col min="7" max="7" width="29.33203125" bestFit="1" customWidth="1"/>
    <col min="8" max="8" width="8.5" bestFit="1" customWidth="1"/>
    <col min="9" max="9" width="22.5" bestFit="1" customWidth="1"/>
    <col min="10" max="10" width="12.33203125" bestFit="1" customWidth="1"/>
  </cols>
  <sheetData>
    <row r="1" spans="1:10" ht="17" customHeight="1" x14ac:dyDescent="0.2">
      <c r="A1" s="188" t="s">
        <v>22</v>
      </c>
      <c r="B1" s="189"/>
      <c r="C1" s="189"/>
      <c r="D1" s="189"/>
    </row>
    <row r="2" spans="1:10" ht="17" customHeight="1" thickBot="1" x14ac:dyDescent="0.25">
      <c r="A2" s="190"/>
      <c r="B2" s="191"/>
      <c r="C2" s="191"/>
      <c r="D2" s="191"/>
    </row>
    <row r="3" spans="1:10" ht="20" thickTop="1" x14ac:dyDescent="0.25">
      <c r="A3" s="12" t="s">
        <v>27</v>
      </c>
      <c r="B3" s="13" t="s">
        <v>28</v>
      </c>
      <c r="C3" s="14" t="s">
        <v>29</v>
      </c>
      <c r="D3" s="7" t="s">
        <v>30</v>
      </c>
    </row>
    <row r="4" spans="1:10" ht="20" thickBot="1" x14ac:dyDescent="0.3">
      <c r="A4" s="56" t="s">
        <v>31</v>
      </c>
      <c r="B4" s="62">
        <v>4.37</v>
      </c>
      <c r="C4" s="15">
        <v>0</v>
      </c>
      <c r="D4" s="45">
        <v>0</v>
      </c>
    </row>
    <row r="5" spans="1:10" ht="20" thickBot="1" x14ac:dyDescent="0.3">
      <c r="A5" s="57" t="s">
        <v>32</v>
      </c>
      <c r="B5" s="63">
        <v>5.21</v>
      </c>
      <c r="C5" s="9">
        <v>0</v>
      </c>
      <c r="D5" s="46">
        <v>0</v>
      </c>
      <c r="G5" s="32" t="s">
        <v>33</v>
      </c>
      <c r="H5" s="33"/>
      <c r="I5" s="33"/>
      <c r="J5" s="34"/>
    </row>
    <row r="6" spans="1:10" ht="20" thickBot="1" x14ac:dyDescent="0.3">
      <c r="A6" s="58" t="s">
        <v>34</v>
      </c>
      <c r="B6" s="64">
        <v>5.63</v>
      </c>
      <c r="C6" s="8">
        <v>0</v>
      </c>
      <c r="D6" s="45">
        <v>0</v>
      </c>
      <c r="G6" s="20"/>
      <c r="H6" s="21" t="s">
        <v>35</v>
      </c>
      <c r="I6" s="22" t="s">
        <v>36</v>
      </c>
      <c r="J6" s="23" t="s">
        <v>37</v>
      </c>
    </row>
    <row r="7" spans="1:10" ht="19" x14ac:dyDescent="0.25">
      <c r="A7" s="57" t="s">
        <v>38</v>
      </c>
      <c r="B7" s="65">
        <v>4.3600000000000003</v>
      </c>
      <c r="C7" s="9">
        <v>0</v>
      </c>
      <c r="D7" s="46">
        <v>0</v>
      </c>
      <c r="G7" s="24" t="s">
        <v>39</v>
      </c>
      <c r="H7" s="25" t="str">
        <f>INDEX(A4:A150,MATCH(MIN(D4:D150),D4:D150,0))</f>
        <v>Albania</v>
      </c>
      <c r="I7" s="25">
        <f>INDEX(B4:B150,MATCH(MIN(D4:D150),D4:D150,0))</f>
        <v>4.37</v>
      </c>
      <c r="J7" s="26">
        <f>INDEX(D4:D150,MATCH(MIN(D4:D150),D4:D150,0))</f>
        <v>0</v>
      </c>
    </row>
    <row r="8" spans="1:10" ht="20" thickBot="1" x14ac:dyDescent="0.3">
      <c r="A8" s="58" t="s">
        <v>40</v>
      </c>
      <c r="B8" s="66">
        <v>4.79</v>
      </c>
      <c r="C8" s="8">
        <v>0</v>
      </c>
      <c r="D8" s="45">
        <v>0</v>
      </c>
      <c r="G8" s="27" t="s">
        <v>41</v>
      </c>
      <c r="H8" s="28" t="str">
        <f>INDEX(A4:A150,MATCH(MAX(D4:D150),D4:D150,0))</f>
        <v>Albania</v>
      </c>
      <c r="I8" s="28">
        <f>INDEX(B4:B150,MATCH(MAX(D4:D150),D4:D150,0))</f>
        <v>4.37</v>
      </c>
      <c r="J8" s="31">
        <f>INDEX(D4:D150,MATCH(MAX(D4:D150),D4:D150,0))</f>
        <v>0</v>
      </c>
    </row>
    <row r="9" spans="1:10" ht="23" thickBot="1" x14ac:dyDescent="0.35">
      <c r="A9" s="57" t="s">
        <v>42</v>
      </c>
      <c r="B9" s="67">
        <v>3.22</v>
      </c>
      <c r="C9" s="9">
        <v>0</v>
      </c>
      <c r="D9" s="46">
        <v>0</v>
      </c>
      <c r="G9" s="30" t="s">
        <v>43</v>
      </c>
      <c r="H9" s="29"/>
      <c r="I9" s="29"/>
      <c r="J9" s="187">
        <f>SUMPRODUCT(B4:B150,D4:D150)</f>
        <v>0</v>
      </c>
    </row>
    <row r="10" spans="1:10" ht="19" x14ac:dyDescent="0.25">
      <c r="A10" s="58" t="s">
        <v>44</v>
      </c>
      <c r="B10" s="68">
        <v>3.41</v>
      </c>
      <c r="C10" s="8">
        <v>0</v>
      </c>
      <c r="D10" s="45">
        <v>0</v>
      </c>
    </row>
    <row r="11" spans="1:10" ht="19" x14ac:dyDescent="0.25">
      <c r="A11" s="57" t="s">
        <v>45</v>
      </c>
      <c r="B11" s="63">
        <v>5.21</v>
      </c>
      <c r="C11" s="9">
        <v>0</v>
      </c>
      <c r="D11" s="46">
        <v>0</v>
      </c>
    </row>
    <row r="12" spans="1:10" ht="19" x14ac:dyDescent="0.25">
      <c r="A12" s="58" t="s">
        <v>46</v>
      </c>
      <c r="B12" s="69">
        <v>4.26</v>
      </c>
      <c r="C12" s="8">
        <v>0</v>
      </c>
      <c r="D12" s="45">
        <v>0</v>
      </c>
    </row>
    <row r="13" spans="1:10" ht="19" x14ac:dyDescent="0.25">
      <c r="A13" s="57" t="s">
        <v>47</v>
      </c>
      <c r="B13" s="70">
        <v>6.29</v>
      </c>
      <c r="C13" s="9">
        <v>0</v>
      </c>
      <c r="D13" s="46">
        <v>0</v>
      </c>
    </row>
    <row r="14" spans="1:10" ht="19" x14ac:dyDescent="0.25">
      <c r="A14" s="58" t="s">
        <v>48</v>
      </c>
      <c r="B14" s="71">
        <v>5.45</v>
      </c>
      <c r="C14" s="8">
        <v>0</v>
      </c>
      <c r="D14" s="45">
        <v>0</v>
      </c>
    </row>
    <row r="15" spans="1:10" ht="19" x14ac:dyDescent="0.25">
      <c r="A15" s="57" t="s">
        <v>49</v>
      </c>
      <c r="B15" s="72">
        <v>3.33</v>
      </c>
      <c r="C15" s="9">
        <v>0</v>
      </c>
      <c r="D15" s="46">
        <v>0</v>
      </c>
    </row>
    <row r="16" spans="1:10" ht="19" x14ac:dyDescent="0.25">
      <c r="A16" s="58" t="s">
        <v>50</v>
      </c>
      <c r="B16" s="73">
        <v>6</v>
      </c>
      <c r="C16" s="8">
        <v>0</v>
      </c>
      <c r="D16" s="45">
        <v>0</v>
      </c>
    </row>
    <row r="17" spans="1:5" ht="19" x14ac:dyDescent="0.25">
      <c r="A17" s="57" t="s">
        <v>51</v>
      </c>
      <c r="B17" s="74">
        <v>5.0199999999999996</v>
      </c>
      <c r="C17" s="9">
        <v>0</v>
      </c>
      <c r="D17" s="46">
        <v>0</v>
      </c>
    </row>
    <row r="18" spans="1:5" ht="19" x14ac:dyDescent="0.25">
      <c r="A18" s="58" t="s">
        <v>52</v>
      </c>
      <c r="B18" s="75">
        <v>5.41</v>
      </c>
      <c r="C18" s="8">
        <v>0</v>
      </c>
      <c r="D18" s="45">
        <v>0</v>
      </c>
    </row>
    <row r="19" spans="1:5" ht="19" x14ac:dyDescent="0.25">
      <c r="A19" s="57" t="s">
        <v>53</v>
      </c>
      <c r="B19" s="76">
        <v>5.34</v>
      </c>
      <c r="C19" s="9">
        <v>0</v>
      </c>
      <c r="D19" s="46">
        <v>0</v>
      </c>
    </row>
    <row r="20" spans="1:5" ht="19" x14ac:dyDescent="0.25">
      <c r="A20" s="58" t="s">
        <v>54</v>
      </c>
      <c r="B20" s="77">
        <v>4.34</v>
      </c>
      <c r="C20" s="8">
        <v>0</v>
      </c>
      <c r="D20" s="45">
        <v>0</v>
      </c>
    </row>
    <row r="21" spans="1:5" ht="19" x14ac:dyDescent="0.25">
      <c r="A21" s="57" t="s">
        <v>55</v>
      </c>
      <c r="B21" s="78">
        <v>5.35</v>
      </c>
      <c r="C21" s="9">
        <v>0</v>
      </c>
      <c r="D21" s="46">
        <v>0</v>
      </c>
    </row>
    <row r="22" spans="1:5" ht="19" x14ac:dyDescent="0.25">
      <c r="A22" s="58" t="s">
        <v>56</v>
      </c>
      <c r="B22" s="79">
        <v>4.43</v>
      </c>
      <c r="C22" s="8">
        <v>0</v>
      </c>
      <c r="D22" s="45">
        <v>0</v>
      </c>
    </row>
    <row r="23" spans="1:5" ht="19" x14ac:dyDescent="0.25">
      <c r="A23" s="57" t="s">
        <v>57</v>
      </c>
      <c r="B23" s="80">
        <v>6.55</v>
      </c>
      <c r="C23" s="9">
        <v>0</v>
      </c>
      <c r="D23" s="46">
        <v>0</v>
      </c>
    </row>
    <row r="24" spans="1:5" ht="19" x14ac:dyDescent="0.25">
      <c r="A24" s="58" t="s">
        <v>58</v>
      </c>
      <c r="B24" s="81">
        <v>6.33</v>
      </c>
      <c r="C24" s="8">
        <v>0</v>
      </c>
      <c r="D24" s="45">
        <v>0</v>
      </c>
    </row>
    <row r="25" spans="1:5" ht="19" x14ac:dyDescent="0.25">
      <c r="A25" s="57" t="s">
        <v>59</v>
      </c>
      <c r="B25" s="64">
        <v>5.64</v>
      </c>
      <c r="C25" s="9">
        <v>0</v>
      </c>
      <c r="D25" s="46">
        <v>0</v>
      </c>
    </row>
    <row r="26" spans="1:5" ht="19" x14ac:dyDescent="0.25">
      <c r="A26" s="58" t="s">
        <v>60</v>
      </c>
      <c r="B26" s="82">
        <v>6.83</v>
      </c>
      <c r="C26" s="8">
        <v>0</v>
      </c>
      <c r="D26" s="45">
        <v>0</v>
      </c>
    </row>
    <row r="27" spans="1:5" ht="19" x14ac:dyDescent="0.25">
      <c r="A27" s="57" t="s">
        <v>61</v>
      </c>
      <c r="B27" s="83">
        <v>3.44</v>
      </c>
      <c r="C27" s="9">
        <v>0</v>
      </c>
      <c r="D27" s="46">
        <v>0</v>
      </c>
    </row>
    <row r="28" spans="1:5" ht="19" x14ac:dyDescent="0.25">
      <c r="A28" s="58" t="s">
        <v>62</v>
      </c>
      <c r="B28" s="84">
        <v>6.79</v>
      </c>
      <c r="C28" s="8">
        <v>0</v>
      </c>
      <c r="D28" s="45">
        <v>0</v>
      </c>
    </row>
    <row r="29" spans="1:5" ht="19" x14ac:dyDescent="0.25">
      <c r="A29" s="57" t="s">
        <v>63</v>
      </c>
      <c r="B29" s="82">
        <v>6.84</v>
      </c>
      <c r="C29" s="9">
        <v>0</v>
      </c>
      <c r="D29" s="46">
        <v>0</v>
      </c>
    </row>
    <row r="30" spans="1:5" ht="19" x14ac:dyDescent="0.25">
      <c r="A30" s="58" t="s">
        <v>64</v>
      </c>
      <c r="B30" s="65">
        <v>4.3600000000000003</v>
      </c>
      <c r="C30" s="8">
        <v>0</v>
      </c>
      <c r="D30" s="45">
        <v>0</v>
      </c>
    </row>
    <row r="31" spans="1:5" ht="19" x14ac:dyDescent="0.25">
      <c r="A31" s="57" t="s">
        <v>65</v>
      </c>
      <c r="B31" s="85">
        <v>4.26</v>
      </c>
      <c r="C31" s="9">
        <v>0</v>
      </c>
      <c r="D31" s="46">
        <v>0</v>
      </c>
      <c r="E31" s="50" t="s">
        <v>66</v>
      </c>
    </row>
    <row r="32" spans="1:5" ht="19" x14ac:dyDescent="0.25">
      <c r="A32" s="58" t="s">
        <v>67</v>
      </c>
      <c r="B32" s="86">
        <v>5.72</v>
      </c>
      <c r="C32" s="8">
        <v>0</v>
      </c>
      <c r="D32" s="45">
        <v>0</v>
      </c>
    </row>
    <row r="33" spans="1:4" ht="19" x14ac:dyDescent="0.25">
      <c r="A33" s="57" t="s">
        <v>68</v>
      </c>
      <c r="B33" s="87">
        <v>5.65</v>
      </c>
      <c r="C33" s="9">
        <v>0</v>
      </c>
      <c r="D33" s="46">
        <v>0</v>
      </c>
    </row>
    <row r="34" spans="1:4" ht="19" x14ac:dyDescent="0.25">
      <c r="A34" s="58" t="s">
        <v>69</v>
      </c>
      <c r="B34" s="88">
        <v>4.2300000000000004</v>
      </c>
      <c r="C34" s="8">
        <v>0</v>
      </c>
      <c r="D34" s="45">
        <v>0</v>
      </c>
    </row>
    <row r="35" spans="1:4" ht="19" x14ac:dyDescent="0.25">
      <c r="A35" s="57" t="s">
        <v>70</v>
      </c>
      <c r="B35" s="89">
        <v>5.6</v>
      </c>
      <c r="C35" s="9">
        <v>0</v>
      </c>
      <c r="D35" s="46">
        <v>0</v>
      </c>
    </row>
    <row r="36" spans="1:4" ht="19" x14ac:dyDescent="0.25">
      <c r="A36" s="58" t="s">
        <v>71</v>
      </c>
      <c r="B36" s="90">
        <v>4.28</v>
      </c>
      <c r="C36" s="8">
        <v>0</v>
      </c>
      <c r="D36" s="45">
        <v>0</v>
      </c>
    </row>
    <row r="37" spans="1:4" ht="19" x14ac:dyDescent="0.25">
      <c r="A37" s="57" t="s">
        <v>72</v>
      </c>
      <c r="B37" s="91">
        <v>4.67</v>
      </c>
      <c r="C37" s="9">
        <v>0</v>
      </c>
      <c r="D37" s="46">
        <v>0</v>
      </c>
    </row>
    <row r="38" spans="1:4" ht="19" x14ac:dyDescent="0.25">
      <c r="A38" s="58" t="s">
        <v>73</v>
      </c>
      <c r="B38" s="92">
        <v>3.75</v>
      </c>
      <c r="C38" s="8">
        <v>0</v>
      </c>
      <c r="D38" s="45">
        <v>0</v>
      </c>
    </row>
    <row r="39" spans="1:4" ht="19" x14ac:dyDescent="0.25">
      <c r="A39" s="57" t="s">
        <v>74</v>
      </c>
      <c r="B39" s="93">
        <v>3.2</v>
      </c>
      <c r="C39" s="9">
        <v>0</v>
      </c>
      <c r="D39" s="46">
        <v>0</v>
      </c>
    </row>
    <row r="40" spans="1:4" ht="19" x14ac:dyDescent="0.25">
      <c r="A40" s="58" t="s">
        <v>75</v>
      </c>
      <c r="B40" s="94">
        <v>5.98</v>
      </c>
      <c r="C40" s="8">
        <v>0</v>
      </c>
      <c r="D40" s="45">
        <v>0</v>
      </c>
    </row>
    <row r="41" spans="1:4" ht="19" x14ac:dyDescent="0.25">
      <c r="A41" s="57" t="s">
        <v>76</v>
      </c>
      <c r="B41" s="95">
        <v>4.7</v>
      </c>
      <c r="C41" s="9">
        <v>0</v>
      </c>
      <c r="D41" s="46">
        <v>0</v>
      </c>
    </row>
    <row r="42" spans="1:4" ht="19" x14ac:dyDescent="0.25">
      <c r="A42" s="58" t="s">
        <v>77</v>
      </c>
      <c r="B42" s="96">
        <v>5.71</v>
      </c>
      <c r="C42" s="8">
        <v>0</v>
      </c>
      <c r="D42" s="45">
        <v>0</v>
      </c>
    </row>
    <row r="43" spans="1:4" ht="19" x14ac:dyDescent="0.25">
      <c r="A43" s="57" t="s">
        <v>78</v>
      </c>
      <c r="B43" s="97">
        <v>5.6</v>
      </c>
      <c r="C43" s="9">
        <v>0</v>
      </c>
      <c r="D43" s="46">
        <v>0</v>
      </c>
    </row>
    <row r="44" spans="1:4" ht="19" x14ac:dyDescent="0.25">
      <c r="A44" s="58" t="s">
        <v>79</v>
      </c>
      <c r="B44" s="98">
        <v>4.79</v>
      </c>
      <c r="C44" s="8">
        <v>0</v>
      </c>
      <c r="D44" s="45">
        <v>0</v>
      </c>
    </row>
    <row r="45" spans="1:4" ht="19" x14ac:dyDescent="0.25">
      <c r="A45" s="57" t="s">
        <v>80</v>
      </c>
      <c r="B45" s="99">
        <v>3.57</v>
      </c>
      <c r="C45" s="9">
        <v>0</v>
      </c>
      <c r="D45" s="46">
        <v>0</v>
      </c>
    </row>
    <row r="46" spans="1:4" ht="19" x14ac:dyDescent="0.25">
      <c r="A46" s="58" t="s">
        <v>81</v>
      </c>
      <c r="B46" s="100">
        <v>4.5</v>
      </c>
      <c r="C46" s="8">
        <v>0</v>
      </c>
      <c r="D46" s="45">
        <v>0</v>
      </c>
    </row>
    <row r="47" spans="1:4" ht="19" x14ac:dyDescent="0.25">
      <c r="A47" s="57" t="s">
        <v>82</v>
      </c>
      <c r="B47" s="101">
        <v>6.93</v>
      </c>
      <c r="C47" s="9">
        <v>0</v>
      </c>
      <c r="D47" s="46">
        <v>0</v>
      </c>
    </row>
    <row r="48" spans="1:4" ht="19" x14ac:dyDescent="0.25">
      <c r="A48" s="58" t="s">
        <v>83</v>
      </c>
      <c r="B48" s="102">
        <v>3.35</v>
      </c>
      <c r="C48" s="8">
        <v>0</v>
      </c>
      <c r="D48" s="45">
        <v>0</v>
      </c>
    </row>
    <row r="49" spans="1:4" ht="19" x14ac:dyDescent="0.25">
      <c r="A49" s="57" t="s">
        <v>84</v>
      </c>
      <c r="B49" s="103">
        <v>3.65</v>
      </c>
      <c r="C49" s="9">
        <v>0</v>
      </c>
      <c r="D49" s="46">
        <v>0</v>
      </c>
    </row>
    <row r="50" spans="1:4" ht="19" x14ac:dyDescent="0.25">
      <c r="A50" s="58" t="s">
        <v>85</v>
      </c>
      <c r="B50" s="104">
        <v>5.78</v>
      </c>
      <c r="C50" s="8">
        <v>0</v>
      </c>
      <c r="D50" s="45">
        <v>0</v>
      </c>
    </row>
    <row r="51" spans="1:4" ht="19" x14ac:dyDescent="0.25">
      <c r="A51" s="57" t="s">
        <v>86</v>
      </c>
      <c r="B51" s="105">
        <v>5.38</v>
      </c>
      <c r="C51" s="9">
        <v>0</v>
      </c>
      <c r="D51" s="46">
        <v>0</v>
      </c>
    </row>
    <row r="52" spans="1:4" ht="19" x14ac:dyDescent="0.25">
      <c r="A52" s="58" t="s">
        <v>87</v>
      </c>
      <c r="B52" s="106">
        <v>4.93</v>
      </c>
      <c r="C52" s="8">
        <v>0</v>
      </c>
      <c r="D52" s="45">
        <v>0</v>
      </c>
    </row>
    <row r="53" spans="1:4" ht="19" x14ac:dyDescent="0.25">
      <c r="A53" s="57" t="s">
        <v>88</v>
      </c>
      <c r="B53" s="68">
        <v>3.42</v>
      </c>
      <c r="C53" s="9">
        <v>0</v>
      </c>
      <c r="D53" s="46">
        <v>0</v>
      </c>
    </row>
    <row r="54" spans="1:4" ht="19" x14ac:dyDescent="0.25">
      <c r="A54" s="58" t="s">
        <v>89</v>
      </c>
      <c r="B54" s="107">
        <v>4.63</v>
      </c>
      <c r="C54" s="8">
        <v>0</v>
      </c>
      <c r="D54" s="45">
        <v>0</v>
      </c>
    </row>
    <row r="55" spans="1:4" ht="19" x14ac:dyDescent="0.25">
      <c r="A55" s="57" t="s">
        <v>90</v>
      </c>
      <c r="B55" s="77">
        <v>4.34</v>
      </c>
      <c r="C55" s="9">
        <v>0</v>
      </c>
      <c r="D55" s="46">
        <v>0</v>
      </c>
    </row>
    <row r="56" spans="1:4" ht="19" x14ac:dyDescent="0.25">
      <c r="A56" s="58" t="s">
        <v>91</v>
      </c>
      <c r="B56" s="71">
        <v>5.45</v>
      </c>
      <c r="C56" s="8">
        <v>0</v>
      </c>
      <c r="D56" s="45">
        <v>0</v>
      </c>
    </row>
    <row r="57" spans="1:4" ht="19" x14ac:dyDescent="0.25">
      <c r="A57" s="57" t="s">
        <v>92</v>
      </c>
      <c r="B57" s="108">
        <v>6.36</v>
      </c>
      <c r="C57" s="9">
        <v>0</v>
      </c>
      <c r="D57" s="46">
        <v>0</v>
      </c>
    </row>
    <row r="58" spans="1:4" ht="19" x14ac:dyDescent="0.25">
      <c r="A58" s="58" t="s">
        <v>93</v>
      </c>
      <c r="B58" s="109">
        <v>5.94</v>
      </c>
      <c r="C58" s="8">
        <v>0</v>
      </c>
      <c r="D58" s="45">
        <v>0</v>
      </c>
    </row>
    <row r="59" spans="1:4" ht="19" x14ac:dyDescent="0.25">
      <c r="A59" s="57" t="s">
        <v>94</v>
      </c>
      <c r="B59" s="110">
        <v>4.92</v>
      </c>
      <c r="C59" s="9">
        <v>0</v>
      </c>
      <c r="D59" s="46">
        <v>0</v>
      </c>
    </row>
    <row r="60" spans="1:4" ht="19" x14ac:dyDescent="0.25">
      <c r="A60" s="58" t="s">
        <v>95</v>
      </c>
      <c r="B60" s="111">
        <v>6.53</v>
      </c>
      <c r="C60" s="8">
        <v>0</v>
      </c>
      <c r="D60" s="45">
        <v>0</v>
      </c>
    </row>
    <row r="61" spans="1:4" ht="19" x14ac:dyDescent="0.25">
      <c r="A61" s="57" t="s">
        <v>96</v>
      </c>
      <c r="B61" s="112">
        <v>5.77</v>
      </c>
      <c r="C61" s="9">
        <v>0</v>
      </c>
      <c r="D61" s="46">
        <v>0</v>
      </c>
    </row>
    <row r="62" spans="1:4" ht="19" x14ac:dyDescent="0.25">
      <c r="A62" s="58" t="s">
        <v>97</v>
      </c>
      <c r="B62" s="113">
        <v>3.63</v>
      </c>
      <c r="C62" s="8">
        <v>0</v>
      </c>
      <c r="D62" s="45">
        <v>0</v>
      </c>
    </row>
    <row r="63" spans="1:4" ht="19" x14ac:dyDescent="0.25">
      <c r="A63" s="57" t="s">
        <v>98</v>
      </c>
      <c r="B63" s="114">
        <v>3.38</v>
      </c>
      <c r="C63" s="9">
        <v>0</v>
      </c>
      <c r="D63" s="46">
        <v>0</v>
      </c>
    </row>
    <row r="64" spans="1:4" ht="19" x14ac:dyDescent="0.25">
      <c r="A64" s="58" t="s">
        <v>99</v>
      </c>
      <c r="B64" s="115">
        <v>5.07</v>
      </c>
      <c r="C64" s="8">
        <v>0</v>
      </c>
      <c r="D64" s="45">
        <v>0</v>
      </c>
    </row>
    <row r="65" spans="1:4" ht="19" x14ac:dyDescent="0.25">
      <c r="A65" s="57" t="s">
        <v>100</v>
      </c>
      <c r="B65" s="106">
        <v>4.92</v>
      </c>
      <c r="C65" s="9">
        <v>0</v>
      </c>
      <c r="D65" s="46">
        <v>0</v>
      </c>
    </row>
    <row r="66" spans="1:4" ht="19" x14ac:dyDescent="0.25">
      <c r="A66" s="58" t="s">
        <v>101</v>
      </c>
      <c r="B66" s="116">
        <v>5.88</v>
      </c>
      <c r="C66" s="8">
        <v>0</v>
      </c>
      <c r="D66" s="45">
        <v>0</v>
      </c>
    </row>
    <row r="67" spans="1:4" ht="19" x14ac:dyDescent="0.25">
      <c r="A67" s="57" t="s">
        <v>102</v>
      </c>
      <c r="B67" s="117">
        <v>6.05</v>
      </c>
      <c r="C67" s="9">
        <v>0</v>
      </c>
      <c r="D67" s="46">
        <v>0</v>
      </c>
    </row>
    <row r="68" spans="1:4" ht="19" x14ac:dyDescent="0.25">
      <c r="A68" s="58" t="s">
        <v>103</v>
      </c>
      <c r="B68" s="118">
        <v>3.25</v>
      </c>
      <c r="C68" s="8">
        <v>0</v>
      </c>
      <c r="D68" s="45">
        <v>0</v>
      </c>
    </row>
    <row r="69" spans="1:4" ht="19" x14ac:dyDescent="0.25">
      <c r="A69" s="57" t="s">
        <v>104</v>
      </c>
      <c r="B69" s="119">
        <v>4.6100000000000003</v>
      </c>
      <c r="C69" s="9">
        <v>0</v>
      </c>
      <c r="D69" s="46">
        <v>0</v>
      </c>
    </row>
    <row r="70" spans="1:4" ht="19" x14ac:dyDescent="0.25">
      <c r="A70" s="58" t="s">
        <v>105</v>
      </c>
      <c r="B70" s="120">
        <v>3.84</v>
      </c>
      <c r="C70" s="8">
        <v>0</v>
      </c>
      <c r="D70" s="45">
        <v>0</v>
      </c>
    </row>
    <row r="71" spans="1:4" ht="19" x14ac:dyDescent="0.25">
      <c r="A71" s="57" t="s">
        <v>106</v>
      </c>
      <c r="B71" s="121">
        <v>4.75</v>
      </c>
      <c r="C71" s="9">
        <v>0</v>
      </c>
      <c r="D71" s="46">
        <v>0</v>
      </c>
    </row>
    <row r="72" spans="1:4" ht="19" x14ac:dyDescent="0.25">
      <c r="A72" s="58" t="s">
        <v>107</v>
      </c>
      <c r="B72" s="114">
        <v>3.38</v>
      </c>
      <c r="C72" s="8">
        <v>0</v>
      </c>
      <c r="D72" s="45">
        <v>0</v>
      </c>
    </row>
    <row r="73" spans="1:4" ht="19" x14ac:dyDescent="0.25">
      <c r="A73" s="57" t="s">
        <v>108</v>
      </c>
      <c r="B73" s="122">
        <v>5.13</v>
      </c>
      <c r="C73" s="9">
        <v>0</v>
      </c>
      <c r="D73" s="46">
        <v>0</v>
      </c>
    </row>
    <row r="74" spans="1:4" ht="19" x14ac:dyDescent="0.25">
      <c r="A74" s="58" t="s">
        <v>109</v>
      </c>
      <c r="B74" s="123">
        <v>4.54</v>
      </c>
      <c r="C74" s="8">
        <v>0</v>
      </c>
      <c r="D74" s="45">
        <v>0</v>
      </c>
    </row>
    <row r="75" spans="1:4" ht="19" x14ac:dyDescent="0.25">
      <c r="A75" s="57" t="s">
        <v>110</v>
      </c>
      <c r="B75" s="124">
        <v>6.13</v>
      </c>
      <c r="C75" s="9">
        <v>0</v>
      </c>
      <c r="D75" s="46">
        <v>0</v>
      </c>
    </row>
    <row r="76" spans="1:4" ht="19" x14ac:dyDescent="0.25">
      <c r="A76" s="58" t="s">
        <v>111</v>
      </c>
      <c r="B76" s="125">
        <v>4.3</v>
      </c>
      <c r="C76" s="8">
        <v>0</v>
      </c>
      <c r="D76" s="45">
        <v>0</v>
      </c>
    </row>
    <row r="77" spans="1:4" ht="19" x14ac:dyDescent="0.25">
      <c r="A77" s="57" t="s">
        <v>112</v>
      </c>
      <c r="B77" s="126">
        <v>5.37</v>
      </c>
      <c r="C77" s="9">
        <v>0</v>
      </c>
      <c r="D77" s="46">
        <v>0</v>
      </c>
    </row>
    <row r="78" spans="1:4" ht="19" x14ac:dyDescent="0.25">
      <c r="A78" s="58" t="s">
        <v>113</v>
      </c>
      <c r="B78" s="127">
        <v>5.14</v>
      </c>
      <c r="C78" s="8">
        <v>0</v>
      </c>
      <c r="D78" s="45">
        <v>0</v>
      </c>
    </row>
    <row r="79" spans="1:4" ht="19" x14ac:dyDescent="0.25">
      <c r="A79" s="57" t="s">
        <v>114</v>
      </c>
      <c r="B79" s="128">
        <v>3.97</v>
      </c>
      <c r="C79" s="9">
        <v>0</v>
      </c>
      <c r="D79" s="46">
        <v>0</v>
      </c>
    </row>
    <row r="80" spans="1:4" ht="19" x14ac:dyDescent="0.25">
      <c r="A80" s="58" t="s">
        <v>115</v>
      </c>
      <c r="B80" s="129">
        <v>6.12</v>
      </c>
      <c r="C80" s="8">
        <v>0</v>
      </c>
      <c r="D80" s="45">
        <v>0</v>
      </c>
    </row>
    <row r="81" spans="1:4" ht="19" x14ac:dyDescent="0.25">
      <c r="A81" s="57" t="s">
        <v>116</v>
      </c>
      <c r="B81" s="130">
        <v>5.49</v>
      </c>
      <c r="C81" s="9">
        <v>0</v>
      </c>
      <c r="D81" s="46">
        <v>0</v>
      </c>
    </row>
    <row r="82" spans="1:4" ht="19" x14ac:dyDescent="0.25">
      <c r="A82" s="58" t="s">
        <v>117</v>
      </c>
      <c r="B82" s="131">
        <v>5.97</v>
      </c>
      <c r="C82" s="8">
        <v>0</v>
      </c>
      <c r="D82" s="45">
        <v>0</v>
      </c>
    </row>
    <row r="83" spans="1:4" ht="19" x14ac:dyDescent="0.25">
      <c r="A83" s="57" t="s">
        <v>118</v>
      </c>
      <c r="B83" s="132">
        <v>5.68</v>
      </c>
      <c r="C83" s="9">
        <v>0</v>
      </c>
      <c r="D83" s="46">
        <v>0</v>
      </c>
    </row>
    <row r="84" spans="1:4" ht="19" x14ac:dyDescent="0.25">
      <c r="A84" s="58" t="s">
        <v>119</v>
      </c>
      <c r="B84" s="133">
        <v>3.93</v>
      </c>
      <c r="C84" s="8">
        <v>0</v>
      </c>
      <c r="D84" s="45">
        <v>0</v>
      </c>
    </row>
    <row r="85" spans="1:4" ht="19" x14ac:dyDescent="0.25">
      <c r="A85" s="57" t="s">
        <v>120</v>
      </c>
      <c r="B85" s="134">
        <v>5.82</v>
      </c>
      <c r="C85" s="9">
        <v>0</v>
      </c>
      <c r="D85" s="46">
        <v>0</v>
      </c>
    </row>
    <row r="86" spans="1:4" ht="19" x14ac:dyDescent="0.25">
      <c r="A86" s="58" t="s">
        <v>121</v>
      </c>
      <c r="B86" s="135">
        <v>5.58</v>
      </c>
      <c r="C86" s="8">
        <v>0</v>
      </c>
      <c r="D86" s="45">
        <v>0</v>
      </c>
    </row>
    <row r="87" spans="1:4" ht="19" x14ac:dyDescent="0.25">
      <c r="A87" s="57" t="s">
        <v>122</v>
      </c>
      <c r="B87" s="136">
        <v>4.03</v>
      </c>
      <c r="C87" s="9">
        <v>0</v>
      </c>
      <c r="D87" s="46">
        <v>0</v>
      </c>
    </row>
    <row r="88" spans="1:4" ht="19" x14ac:dyDescent="0.25">
      <c r="A88" s="58" t="s">
        <v>123</v>
      </c>
      <c r="B88" s="137">
        <v>7.1</v>
      </c>
      <c r="C88" s="8">
        <v>0</v>
      </c>
      <c r="D88" s="45">
        <v>0</v>
      </c>
    </row>
    <row r="89" spans="1:4" ht="19" x14ac:dyDescent="0.25">
      <c r="A89" s="57" t="s">
        <v>124</v>
      </c>
      <c r="B89" s="138">
        <v>6.28</v>
      </c>
      <c r="C89" s="9">
        <v>0</v>
      </c>
      <c r="D89" s="46">
        <v>0</v>
      </c>
    </row>
    <row r="90" spans="1:4" ht="19" x14ac:dyDescent="0.25">
      <c r="A90" s="58" t="s">
        <v>125</v>
      </c>
      <c r="B90" s="139">
        <v>3.47</v>
      </c>
      <c r="C90" s="8">
        <v>0</v>
      </c>
      <c r="D90" s="45">
        <v>0</v>
      </c>
    </row>
    <row r="91" spans="1:4" ht="19" x14ac:dyDescent="0.25">
      <c r="A91" s="57" t="s">
        <v>126</v>
      </c>
      <c r="B91" s="140">
        <v>5.42</v>
      </c>
      <c r="C91" s="9">
        <v>0</v>
      </c>
      <c r="D91" s="46">
        <v>0</v>
      </c>
    </row>
    <row r="92" spans="1:4" ht="19" x14ac:dyDescent="0.25">
      <c r="A92" s="58" t="s">
        <v>127</v>
      </c>
      <c r="B92" s="127">
        <v>5.14</v>
      </c>
      <c r="C92" s="8">
        <v>0</v>
      </c>
      <c r="D92" s="45">
        <v>0</v>
      </c>
    </row>
    <row r="93" spans="1:4" ht="19" x14ac:dyDescent="0.25">
      <c r="A93" s="57" t="s">
        <v>128</v>
      </c>
      <c r="B93" s="141">
        <v>4.6500000000000004</v>
      </c>
      <c r="C93" s="9">
        <v>0</v>
      </c>
      <c r="D93" s="46">
        <v>0</v>
      </c>
    </row>
    <row r="94" spans="1:4" ht="19" x14ac:dyDescent="0.25">
      <c r="A94" s="58" t="s">
        <v>129</v>
      </c>
      <c r="B94" s="142">
        <v>5.0999999999999996</v>
      </c>
      <c r="C94" s="8">
        <v>0</v>
      </c>
      <c r="D94" s="45">
        <v>0</v>
      </c>
    </row>
    <row r="95" spans="1:4" ht="19" x14ac:dyDescent="0.25">
      <c r="A95" s="57" t="s">
        <v>130</v>
      </c>
      <c r="B95" s="70">
        <v>6.3</v>
      </c>
      <c r="C95" s="9">
        <v>0</v>
      </c>
      <c r="D95" s="46">
        <v>0</v>
      </c>
    </row>
    <row r="96" spans="1:4" ht="19" x14ac:dyDescent="0.25">
      <c r="A96" s="58" t="s">
        <v>131</v>
      </c>
      <c r="B96" s="143">
        <v>4.6399999999999997</v>
      </c>
      <c r="C96" s="8">
        <v>0</v>
      </c>
      <c r="D96" s="45">
        <v>0</v>
      </c>
    </row>
    <row r="97" spans="1:4" ht="19" x14ac:dyDescent="0.25">
      <c r="A97" s="57" t="s">
        <v>132</v>
      </c>
      <c r="B97" s="104">
        <v>5.78</v>
      </c>
      <c r="C97" s="9">
        <v>0</v>
      </c>
      <c r="D97" s="46">
        <v>0</v>
      </c>
    </row>
    <row r="98" spans="1:4" ht="19" x14ac:dyDescent="0.25">
      <c r="A98" s="58" t="s">
        <v>133</v>
      </c>
      <c r="B98" s="144">
        <v>3.59</v>
      </c>
      <c r="C98" s="8">
        <v>0</v>
      </c>
      <c r="D98" s="45">
        <v>0</v>
      </c>
    </row>
    <row r="99" spans="1:4" ht="19" x14ac:dyDescent="0.25">
      <c r="A99" s="57" t="s">
        <v>134</v>
      </c>
      <c r="B99" s="145">
        <v>3.32</v>
      </c>
      <c r="C99" s="9">
        <v>0</v>
      </c>
      <c r="D99" s="46">
        <v>0</v>
      </c>
    </row>
    <row r="100" spans="1:4" ht="19" x14ac:dyDescent="0.25">
      <c r="A100" s="58" t="s">
        <v>135</v>
      </c>
      <c r="B100" s="146">
        <v>5.8</v>
      </c>
      <c r="C100" s="8">
        <v>0</v>
      </c>
      <c r="D100" s="45">
        <v>0</v>
      </c>
    </row>
    <row r="101" spans="1:4" ht="19" x14ac:dyDescent="0.25">
      <c r="A101" s="57" t="s">
        <v>136</v>
      </c>
      <c r="B101" s="147">
        <v>7.07</v>
      </c>
      <c r="C101" s="9">
        <v>0</v>
      </c>
      <c r="D101" s="46">
        <v>0</v>
      </c>
    </row>
    <row r="102" spans="1:4" ht="19" x14ac:dyDescent="0.25">
      <c r="A102" s="58" t="s">
        <v>137</v>
      </c>
      <c r="B102" s="148">
        <v>6.5</v>
      </c>
      <c r="C102" s="8">
        <v>0</v>
      </c>
      <c r="D102" s="45">
        <v>0</v>
      </c>
    </row>
    <row r="103" spans="1:4" ht="19" x14ac:dyDescent="0.25">
      <c r="A103" s="57" t="s">
        <v>138</v>
      </c>
      <c r="B103" s="149">
        <v>4.16</v>
      </c>
      <c r="C103" s="9">
        <v>0</v>
      </c>
      <c r="D103" s="46">
        <v>0</v>
      </c>
    </row>
    <row r="104" spans="1:4" ht="19" x14ac:dyDescent="0.25">
      <c r="A104" s="58" t="s">
        <v>139</v>
      </c>
      <c r="B104" s="114">
        <v>3.38</v>
      </c>
      <c r="C104" s="8">
        <v>0</v>
      </c>
      <c r="D104" s="45">
        <v>0</v>
      </c>
    </row>
    <row r="105" spans="1:4" ht="19" x14ac:dyDescent="0.25">
      <c r="A105" s="57" t="s">
        <v>140</v>
      </c>
      <c r="B105" s="150">
        <v>4.0199999999999996</v>
      </c>
      <c r="C105" s="9">
        <v>0</v>
      </c>
      <c r="D105" s="46">
        <v>0</v>
      </c>
    </row>
    <row r="106" spans="1:4" ht="19" x14ac:dyDescent="0.25">
      <c r="A106" s="58" t="s">
        <v>141</v>
      </c>
      <c r="B106" s="151">
        <v>6.65</v>
      </c>
      <c r="C106" s="8">
        <v>0</v>
      </c>
      <c r="D106" s="45">
        <v>0</v>
      </c>
    </row>
    <row r="107" spans="1:4" ht="19" x14ac:dyDescent="0.25">
      <c r="A107" s="57" t="s">
        <v>142</v>
      </c>
      <c r="B107" s="152">
        <v>4.5599999999999996</v>
      </c>
      <c r="C107" s="9">
        <v>0</v>
      </c>
      <c r="D107" s="46">
        <v>0</v>
      </c>
    </row>
    <row r="108" spans="1:4" ht="19" x14ac:dyDescent="0.25">
      <c r="A108" s="58" t="s">
        <v>143</v>
      </c>
      <c r="B108" s="76">
        <v>5.34</v>
      </c>
      <c r="C108" s="8">
        <v>0</v>
      </c>
      <c r="D108" s="45">
        <v>0</v>
      </c>
    </row>
    <row r="109" spans="1:4" ht="19" x14ac:dyDescent="0.25">
      <c r="A109" s="57" t="s">
        <v>144</v>
      </c>
      <c r="B109" s="153">
        <v>4.72</v>
      </c>
      <c r="C109" s="9">
        <v>0</v>
      </c>
      <c r="D109" s="46">
        <v>0</v>
      </c>
    </row>
    <row r="110" spans="1:4" ht="19" x14ac:dyDescent="0.25">
      <c r="A110" s="58" t="s">
        <v>145</v>
      </c>
      <c r="B110" s="154">
        <v>5.28</v>
      </c>
      <c r="C110" s="8">
        <v>0</v>
      </c>
      <c r="D110" s="45">
        <v>0</v>
      </c>
    </row>
    <row r="111" spans="1:4" ht="19" x14ac:dyDescent="0.25">
      <c r="A111" s="57" t="s">
        <v>146</v>
      </c>
      <c r="B111" s="146">
        <v>5.8</v>
      </c>
      <c r="C111" s="9">
        <v>0</v>
      </c>
      <c r="D111" s="46">
        <v>0</v>
      </c>
    </row>
    <row r="112" spans="1:4" ht="19" x14ac:dyDescent="0.25">
      <c r="A112" s="58" t="s">
        <v>147</v>
      </c>
      <c r="B112" s="155">
        <v>4.1500000000000004</v>
      </c>
      <c r="C112" s="8">
        <v>0</v>
      </c>
      <c r="D112" s="45">
        <v>0</v>
      </c>
    </row>
    <row r="113" spans="1:4" ht="19" x14ac:dyDescent="0.25">
      <c r="A113" s="57" t="s">
        <v>148</v>
      </c>
      <c r="B113" s="156">
        <v>3.43</v>
      </c>
      <c r="C113" s="9">
        <v>0</v>
      </c>
      <c r="D113" s="46">
        <v>0</v>
      </c>
    </row>
    <row r="114" spans="1:4" ht="19" x14ac:dyDescent="0.25">
      <c r="A114" s="58" t="s">
        <v>149</v>
      </c>
      <c r="B114" s="93">
        <v>3.2</v>
      </c>
      <c r="C114" s="8">
        <v>0</v>
      </c>
      <c r="D114" s="45">
        <v>0</v>
      </c>
    </row>
    <row r="115" spans="1:4" ht="19" x14ac:dyDescent="0.25">
      <c r="A115" s="57" t="s">
        <v>150</v>
      </c>
      <c r="B115" s="157">
        <v>4.05</v>
      </c>
      <c r="C115" s="9">
        <v>0</v>
      </c>
      <c r="D115" s="46">
        <v>0</v>
      </c>
    </row>
    <row r="116" spans="1:4" ht="19" x14ac:dyDescent="0.25">
      <c r="A116" s="58" t="s">
        <v>151</v>
      </c>
      <c r="B116" s="158">
        <v>5.96</v>
      </c>
      <c r="C116" s="8">
        <v>0</v>
      </c>
      <c r="D116" s="45">
        <v>0</v>
      </c>
    </row>
    <row r="117" spans="1:4" ht="19" x14ac:dyDescent="0.25">
      <c r="A117" s="57" t="s">
        <v>152</v>
      </c>
      <c r="B117" s="159">
        <v>5.47</v>
      </c>
      <c r="C117" s="9">
        <v>0</v>
      </c>
      <c r="D117" s="46">
        <v>0</v>
      </c>
    </row>
    <row r="118" spans="1:4" ht="19" x14ac:dyDescent="0.25">
      <c r="A118" s="58" t="s">
        <v>153</v>
      </c>
      <c r="B118" s="79">
        <v>4.42</v>
      </c>
      <c r="C118" s="8">
        <v>0</v>
      </c>
      <c r="D118" s="45">
        <v>0</v>
      </c>
    </row>
    <row r="119" spans="1:4" ht="19" x14ac:dyDescent="0.25">
      <c r="A119" s="57" t="s">
        <v>154</v>
      </c>
      <c r="B119" s="160">
        <v>5.4</v>
      </c>
      <c r="C119" s="9">
        <v>0</v>
      </c>
      <c r="D119" s="46">
        <v>0</v>
      </c>
    </row>
    <row r="120" spans="1:4" ht="19" x14ac:dyDescent="0.25">
      <c r="A120" s="58" t="s">
        <v>155</v>
      </c>
      <c r="B120" s="161">
        <v>5.04</v>
      </c>
      <c r="C120" s="8">
        <v>0</v>
      </c>
      <c r="D120" s="45">
        <v>0</v>
      </c>
    </row>
    <row r="121" spans="1:4" ht="19" x14ac:dyDescent="0.25">
      <c r="A121" s="57" t="s">
        <v>156</v>
      </c>
      <c r="B121" s="162">
        <v>5.64</v>
      </c>
      <c r="C121" s="9">
        <v>0</v>
      </c>
      <c r="D121" s="46">
        <v>0</v>
      </c>
    </row>
    <row r="122" spans="1:4" ht="19" x14ac:dyDescent="0.25">
      <c r="A122" s="58" t="s">
        <v>157</v>
      </c>
      <c r="B122" s="163">
        <v>3.04</v>
      </c>
      <c r="C122" s="8">
        <v>0</v>
      </c>
      <c r="D122" s="45">
        <v>0</v>
      </c>
    </row>
    <row r="123" spans="1:4" ht="19" x14ac:dyDescent="0.25">
      <c r="A123" s="57" t="s">
        <v>158</v>
      </c>
      <c r="B123" s="164">
        <v>3.79</v>
      </c>
      <c r="C123" s="9">
        <v>0</v>
      </c>
      <c r="D123" s="46">
        <v>0</v>
      </c>
    </row>
    <row r="124" spans="1:4" ht="19" x14ac:dyDescent="0.25">
      <c r="A124" s="58" t="s">
        <v>159</v>
      </c>
      <c r="B124" s="165">
        <v>3.48</v>
      </c>
      <c r="C124" s="8">
        <v>0</v>
      </c>
      <c r="D124" s="45">
        <v>0</v>
      </c>
    </row>
    <row r="125" spans="1:4" ht="19" x14ac:dyDescent="0.25">
      <c r="A125" s="57" t="s">
        <v>160</v>
      </c>
      <c r="B125" s="166">
        <v>5.22</v>
      </c>
      <c r="C125" s="9">
        <v>0</v>
      </c>
      <c r="D125" s="46">
        <v>0</v>
      </c>
    </row>
    <row r="126" spans="1:4" ht="19" x14ac:dyDescent="0.25">
      <c r="A126" s="58" t="s">
        <v>161</v>
      </c>
      <c r="B126" s="167">
        <v>3.57</v>
      </c>
      <c r="C126" s="8">
        <v>0</v>
      </c>
      <c r="D126" s="45">
        <v>0</v>
      </c>
    </row>
    <row r="127" spans="1:4" ht="19" x14ac:dyDescent="0.25">
      <c r="A127" s="57" t="s">
        <v>162</v>
      </c>
      <c r="B127" s="168">
        <v>3.7</v>
      </c>
      <c r="C127" s="9">
        <v>0</v>
      </c>
      <c r="D127" s="46">
        <v>0</v>
      </c>
    </row>
    <row r="128" spans="1:4" ht="19" x14ac:dyDescent="0.25">
      <c r="A128" s="58" t="s">
        <v>163</v>
      </c>
      <c r="B128" s="169">
        <v>5.1100000000000003</v>
      </c>
      <c r="C128" s="8">
        <v>0</v>
      </c>
      <c r="D128" s="45">
        <v>0</v>
      </c>
    </row>
    <row r="129" spans="1:4" ht="19" x14ac:dyDescent="0.25">
      <c r="A129" s="57" t="s">
        <v>164</v>
      </c>
      <c r="B129" s="137">
        <v>7.1</v>
      </c>
      <c r="C129" s="9">
        <v>0</v>
      </c>
      <c r="D129" s="46">
        <v>0</v>
      </c>
    </row>
    <row r="130" spans="1:4" ht="19" x14ac:dyDescent="0.25">
      <c r="A130" s="58" t="s">
        <v>165</v>
      </c>
      <c r="B130" s="170">
        <v>3.52</v>
      </c>
      <c r="C130" s="8">
        <v>0</v>
      </c>
      <c r="D130" s="45">
        <v>0</v>
      </c>
    </row>
    <row r="131" spans="1:4" ht="19" x14ac:dyDescent="0.25">
      <c r="A131" s="57" t="s">
        <v>166</v>
      </c>
      <c r="B131" s="171">
        <v>2.78</v>
      </c>
      <c r="C131" s="9">
        <v>0</v>
      </c>
      <c r="D131" s="46">
        <v>0</v>
      </c>
    </row>
    <row r="132" spans="1:4" ht="19" x14ac:dyDescent="0.25">
      <c r="A132" s="59" t="s">
        <v>167</v>
      </c>
      <c r="B132" s="172">
        <v>7.33</v>
      </c>
      <c r="C132" s="8">
        <v>0</v>
      </c>
      <c r="D132" s="45">
        <v>0</v>
      </c>
    </row>
    <row r="133" spans="1:4" ht="19" x14ac:dyDescent="0.25">
      <c r="A133" s="57" t="s">
        <v>168</v>
      </c>
      <c r="B133" s="173">
        <v>5.69</v>
      </c>
      <c r="C133" s="9">
        <v>0</v>
      </c>
      <c r="D133" s="46">
        <v>0</v>
      </c>
    </row>
    <row r="134" spans="1:4" ht="19" x14ac:dyDescent="0.25">
      <c r="A134" s="58" t="s">
        <v>169</v>
      </c>
      <c r="B134" s="63">
        <v>5.21</v>
      </c>
      <c r="C134" s="8">
        <v>0</v>
      </c>
      <c r="D134" s="45">
        <v>0</v>
      </c>
    </row>
    <row r="135" spans="1:4" ht="19" x14ac:dyDescent="0.25">
      <c r="A135" s="57" t="s">
        <v>170</v>
      </c>
      <c r="B135" s="174">
        <v>5.15</v>
      </c>
      <c r="C135" s="9">
        <v>0</v>
      </c>
      <c r="D135" s="46">
        <v>0</v>
      </c>
    </row>
    <row r="136" spans="1:4" ht="19" x14ac:dyDescent="0.25">
      <c r="A136" s="58" t="s">
        <v>171</v>
      </c>
      <c r="B136" s="175">
        <v>5.87</v>
      </c>
      <c r="C136" s="8">
        <v>0</v>
      </c>
      <c r="D136" s="45">
        <v>0</v>
      </c>
    </row>
    <row r="137" spans="1:4" ht="19" x14ac:dyDescent="0.25">
      <c r="A137" s="57" t="s">
        <v>172</v>
      </c>
      <c r="B137" s="176">
        <v>4.38</v>
      </c>
      <c r="C137" s="9">
        <v>0</v>
      </c>
      <c r="D137" s="46">
        <v>0</v>
      </c>
    </row>
    <row r="138" spans="1:4" ht="19" x14ac:dyDescent="0.25">
      <c r="A138" s="58" t="s">
        <v>173</v>
      </c>
      <c r="B138" s="177">
        <v>5.13</v>
      </c>
      <c r="C138" s="8">
        <v>0</v>
      </c>
      <c r="D138" s="45">
        <v>0</v>
      </c>
    </row>
    <row r="139" spans="1:4" ht="19" x14ac:dyDescent="0.25">
      <c r="A139" s="57" t="s">
        <v>174</v>
      </c>
      <c r="B139" s="178">
        <v>5.26</v>
      </c>
      <c r="C139" s="9">
        <v>0</v>
      </c>
      <c r="D139" s="46">
        <v>0</v>
      </c>
    </row>
    <row r="140" spans="1:4" ht="19" x14ac:dyDescent="0.25">
      <c r="A140" s="58" t="s">
        <v>175</v>
      </c>
      <c r="B140" s="179">
        <v>6.29</v>
      </c>
      <c r="C140" s="8">
        <v>0</v>
      </c>
      <c r="D140" s="45">
        <v>0</v>
      </c>
    </row>
    <row r="141" spans="1:4" ht="19" x14ac:dyDescent="0.25">
      <c r="A141" s="57" t="s">
        <v>176</v>
      </c>
      <c r="B141" s="180">
        <v>6.35</v>
      </c>
      <c r="C141" s="9">
        <v>0</v>
      </c>
      <c r="D141" s="46">
        <v>0</v>
      </c>
    </row>
    <row r="142" spans="1:4" ht="19" x14ac:dyDescent="0.25">
      <c r="A142" s="58" t="s">
        <v>177</v>
      </c>
      <c r="B142" s="181">
        <v>3.72</v>
      </c>
      <c r="C142" s="8">
        <v>0</v>
      </c>
      <c r="D142" s="45">
        <v>0</v>
      </c>
    </row>
    <row r="143" spans="1:4" ht="19" x14ac:dyDescent="0.25">
      <c r="A143" s="57" t="s">
        <v>178</v>
      </c>
      <c r="B143" s="145">
        <v>3.32</v>
      </c>
      <c r="C143" s="9">
        <v>0</v>
      </c>
      <c r="D143" s="46">
        <v>0</v>
      </c>
    </row>
    <row r="144" spans="1:4" ht="19" x14ac:dyDescent="0.25">
      <c r="A144" s="58" t="s">
        <v>179</v>
      </c>
      <c r="B144" s="182">
        <v>4.1900000000000004</v>
      </c>
      <c r="C144" s="8">
        <v>0</v>
      </c>
      <c r="D144" s="45">
        <v>0</v>
      </c>
    </row>
    <row r="145" spans="1:4" ht="19" x14ac:dyDescent="0.25">
      <c r="A145" s="57" t="s">
        <v>180</v>
      </c>
      <c r="B145" s="183">
        <v>3.91</v>
      </c>
      <c r="C145" s="9">
        <v>0</v>
      </c>
      <c r="D145" s="46">
        <v>0</v>
      </c>
    </row>
    <row r="146" spans="1:4" ht="19" x14ac:dyDescent="0.25">
      <c r="A146" s="58" t="s">
        <v>181</v>
      </c>
      <c r="B146" s="112">
        <v>5.77</v>
      </c>
      <c r="C146" s="8">
        <v>0</v>
      </c>
      <c r="D146" s="45">
        <v>0</v>
      </c>
    </row>
    <row r="147" spans="1:4" ht="19" x14ac:dyDescent="0.25">
      <c r="A147" s="57" t="s">
        <v>182</v>
      </c>
      <c r="B147" s="184">
        <v>4.32</v>
      </c>
      <c r="C147" s="9">
        <v>0</v>
      </c>
      <c r="D147" s="46">
        <v>0</v>
      </c>
    </row>
    <row r="148" spans="1:4" ht="19" x14ac:dyDescent="0.25">
      <c r="A148" s="58" t="s">
        <v>183</v>
      </c>
      <c r="B148" s="70">
        <v>6.3</v>
      </c>
      <c r="C148" s="8">
        <v>0</v>
      </c>
      <c r="D148" s="45">
        <v>0</v>
      </c>
    </row>
    <row r="149" spans="1:4" ht="19" x14ac:dyDescent="0.25">
      <c r="A149" s="57" t="s">
        <v>184</v>
      </c>
      <c r="B149" s="185">
        <v>4.95</v>
      </c>
      <c r="C149" s="9">
        <v>0</v>
      </c>
      <c r="D149" s="46">
        <v>0</v>
      </c>
    </row>
    <row r="150" spans="1:4" ht="19" x14ac:dyDescent="0.25">
      <c r="A150" s="60" t="s">
        <v>185</v>
      </c>
      <c r="B150" s="186">
        <v>6.14</v>
      </c>
      <c r="C150" s="10">
        <v>0</v>
      </c>
      <c r="D150" s="47">
        <v>0</v>
      </c>
    </row>
    <row r="151" spans="1:4" ht="19" x14ac:dyDescent="0.25">
      <c r="A151" s="61" t="s">
        <v>186</v>
      </c>
      <c r="B151" s="5"/>
      <c r="C151" s="6">
        <f>SUM(C4:C150)</f>
        <v>0</v>
      </c>
      <c r="D151" s="48">
        <f>SUM(D4:D150)</f>
        <v>0</v>
      </c>
    </row>
  </sheetData>
  <mergeCells count="1">
    <mergeCell ref="A1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77AB5-6666-254D-B38B-E1C58C94ED7F}">
  <dimension ref="A1:J151"/>
  <sheetViews>
    <sheetView workbookViewId="0">
      <selection activeCell="I17" sqref="I17"/>
    </sheetView>
  </sheetViews>
  <sheetFormatPr baseColWidth="10" defaultColWidth="11" defaultRowHeight="16" x14ac:dyDescent="0.2"/>
  <cols>
    <col min="1" max="1" width="23" bestFit="1" customWidth="1"/>
    <col min="2" max="2" width="32" bestFit="1" customWidth="1"/>
    <col min="3" max="3" width="33.6640625" bestFit="1" customWidth="1"/>
    <col min="4" max="4" width="42.6640625" bestFit="1" customWidth="1"/>
    <col min="5" max="5" width="16" bestFit="1" customWidth="1"/>
    <col min="7" max="7" width="29.33203125" bestFit="1" customWidth="1"/>
    <col min="8" max="8" width="13.6640625" bestFit="1" customWidth="1"/>
    <col min="9" max="9" width="22.5" bestFit="1" customWidth="1"/>
    <col min="10" max="10" width="12.33203125" bestFit="1" customWidth="1"/>
  </cols>
  <sheetData>
    <row r="1" spans="1:10" ht="17" customHeight="1" x14ac:dyDescent="0.2">
      <c r="A1" s="188" t="s">
        <v>6</v>
      </c>
      <c r="B1" s="189"/>
      <c r="C1" s="189"/>
      <c r="D1" s="189"/>
    </row>
    <row r="2" spans="1:10" ht="17" customHeight="1" thickBot="1" x14ac:dyDescent="0.25">
      <c r="A2" s="190"/>
      <c r="B2" s="191"/>
      <c r="C2" s="191"/>
      <c r="D2" s="191"/>
    </row>
    <row r="3" spans="1:10" ht="20" thickTop="1" x14ac:dyDescent="0.25">
      <c r="A3" s="12" t="s">
        <v>27</v>
      </c>
      <c r="B3" s="13" t="s">
        <v>28</v>
      </c>
      <c r="C3" s="14" t="s">
        <v>29</v>
      </c>
      <c r="D3" s="7" t="s">
        <v>30</v>
      </c>
    </row>
    <row r="4" spans="1:10" ht="20" thickBot="1" x14ac:dyDescent="0.3">
      <c r="A4" s="56" t="s">
        <v>31</v>
      </c>
      <c r="B4" s="62">
        <v>4.37</v>
      </c>
      <c r="C4" s="15">
        <v>0</v>
      </c>
      <c r="D4" s="45">
        <f>'Facility Risk - P&amp;G'!$C4/$C$151</f>
        <v>0</v>
      </c>
      <c r="E4" s="1"/>
      <c r="F4" s="3"/>
    </row>
    <row r="5" spans="1:10" ht="20" thickBot="1" x14ac:dyDescent="0.3">
      <c r="A5" s="57" t="s">
        <v>32</v>
      </c>
      <c r="B5" s="63">
        <v>5.21</v>
      </c>
      <c r="C5" s="9">
        <v>0</v>
      </c>
      <c r="D5" s="46">
        <f>'Facility Risk - P&amp;G'!$C5/$C$151</f>
        <v>0</v>
      </c>
      <c r="E5" s="1"/>
      <c r="F5" s="3"/>
      <c r="G5" s="32" t="s">
        <v>33</v>
      </c>
      <c r="H5" s="33"/>
      <c r="I5" s="33"/>
      <c r="J5" s="34"/>
    </row>
    <row r="6" spans="1:10" ht="20" thickBot="1" x14ac:dyDescent="0.3">
      <c r="A6" s="58" t="s">
        <v>34</v>
      </c>
      <c r="B6" s="64">
        <v>5.63</v>
      </c>
      <c r="C6" s="8">
        <v>0</v>
      </c>
      <c r="D6" s="45">
        <f>'Facility Risk - P&amp;G'!$C6/$C$151</f>
        <v>0</v>
      </c>
      <c r="E6" s="1"/>
      <c r="F6" s="3"/>
      <c r="G6" s="20"/>
      <c r="H6" s="21" t="s">
        <v>35</v>
      </c>
      <c r="I6" s="22" t="s">
        <v>36</v>
      </c>
      <c r="J6" s="23" t="s">
        <v>37</v>
      </c>
    </row>
    <row r="7" spans="1:10" ht="19" x14ac:dyDescent="0.25">
      <c r="A7" s="57" t="s">
        <v>38</v>
      </c>
      <c r="B7" s="65">
        <v>4.3600000000000003</v>
      </c>
      <c r="C7" s="9">
        <v>0</v>
      </c>
      <c r="D7" s="46">
        <f>'Facility Risk - P&amp;G'!$C7/$C$151</f>
        <v>0</v>
      </c>
      <c r="E7" s="1"/>
      <c r="F7" s="3"/>
      <c r="G7" s="24" t="s">
        <v>39</v>
      </c>
      <c r="H7" s="25" t="str">
        <f>INDEX(A4:A150,MATCH(MIN(D4:D150),D4:D150,0))</f>
        <v>Albania</v>
      </c>
      <c r="I7" s="25">
        <f>INDEX(B4:B150,MATCH(MIN(D4:D150),D4:D150,0))</f>
        <v>4.37</v>
      </c>
      <c r="J7" s="26">
        <f>INDEX(D4:D150,MATCH(MIN(D4:D150),D4:D150,0))</f>
        <v>0</v>
      </c>
    </row>
    <row r="8" spans="1:10" ht="20" thickBot="1" x14ac:dyDescent="0.3">
      <c r="A8" s="58" t="s">
        <v>40</v>
      </c>
      <c r="B8" s="66">
        <v>4.79</v>
      </c>
      <c r="C8" s="8">
        <v>0</v>
      </c>
      <c r="D8" s="45">
        <f>'Facility Risk - P&amp;G'!$C8/$C$151</f>
        <v>0</v>
      </c>
      <c r="E8" s="1"/>
      <c r="F8" s="3"/>
      <c r="G8" s="27" t="s">
        <v>41</v>
      </c>
      <c r="H8" s="28" t="str">
        <f>INDEX(A4:A150,MATCH(MAX(D4:D150),D4:D150,0))</f>
        <v>United States</v>
      </c>
      <c r="I8" s="28">
        <f>INDEX(B4:B150,MATCH(MAX(D4:D150),D4:D150,0))</f>
        <v>4.1900000000000004</v>
      </c>
      <c r="J8" s="31">
        <f>INDEX(D4:D150,MATCH(MAX(D4:D150),D4:D150,0))</f>
        <v>0.25914634146341453</v>
      </c>
    </row>
    <row r="9" spans="1:10" ht="23" thickBot="1" x14ac:dyDescent="0.35">
      <c r="A9" s="57" t="s">
        <v>42</v>
      </c>
      <c r="B9" s="67">
        <v>3.22</v>
      </c>
      <c r="C9" s="9">
        <v>1.2E-2</v>
      </c>
      <c r="D9" s="46">
        <f>'Facility Risk - P&amp;G'!$C9/$C$151</f>
        <v>1.1801730920535007E-2</v>
      </c>
      <c r="E9" s="1"/>
      <c r="F9" s="3"/>
      <c r="G9" s="30" t="s">
        <v>43</v>
      </c>
      <c r="H9" s="29"/>
      <c r="I9" s="29"/>
      <c r="J9" s="187">
        <f>SUMPRODUCT(B4:B150,D4:D150)</f>
        <v>4.3110533044846564</v>
      </c>
    </row>
    <row r="10" spans="1:10" ht="19" x14ac:dyDescent="0.25">
      <c r="A10" s="58" t="s">
        <v>44</v>
      </c>
      <c r="B10" s="68">
        <v>3.41</v>
      </c>
      <c r="C10" s="8">
        <v>6.0000000000000001E-3</v>
      </c>
      <c r="D10" s="45">
        <f>'Facility Risk - P&amp;G'!$C10/$C$151</f>
        <v>5.9008654602675037E-3</v>
      </c>
      <c r="E10" s="1"/>
      <c r="F10" s="3"/>
      <c r="G10" s="4"/>
    </row>
    <row r="11" spans="1:10" ht="19" x14ac:dyDescent="0.25">
      <c r="A11" s="57" t="s">
        <v>45</v>
      </c>
      <c r="B11" s="63">
        <v>5.21</v>
      </c>
      <c r="C11" s="9">
        <v>0</v>
      </c>
      <c r="D11" s="46">
        <f>'Facility Risk - P&amp;G'!$C11/$C$151</f>
        <v>0</v>
      </c>
      <c r="E11" s="1"/>
      <c r="F11" s="3"/>
      <c r="G11" s="4"/>
    </row>
    <row r="12" spans="1:10" ht="19" x14ac:dyDescent="0.25">
      <c r="A12" s="58" t="s">
        <v>46</v>
      </c>
      <c r="B12" s="69">
        <v>4.26</v>
      </c>
      <c r="C12" s="8">
        <v>0</v>
      </c>
      <c r="D12" s="45">
        <f>'Facility Risk - P&amp;G'!$C12/$C$151</f>
        <v>0</v>
      </c>
      <c r="E12" s="1"/>
      <c r="F12" s="3"/>
      <c r="G12" s="4"/>
    </row>
    <row r="13" spans="1:10" ht="19" x14ac:dyDescent="0.25">
      <c r="A13" s="57" t="s">
        <v>47</v>
      </c>
      <c r="B13" s="70">
        <v>6.29</v>
      </c>
      <c r="C13" s="9">
        <v>0</v>
      </c>
      <c r="D13" s="46">
        <f>'Facility Risk - P&amp;G'!$C13/$C$151</f>
        <v>0</v>
      </c>
      <c r="E13" s="1"/>
      <c r="F13" s="3"/>
      <c r="G13" s="4"/>
    </row>
    <row r="14" spans="1:10" ht="19" x14ac:dyDescent="0.25">
      <c r="A14" s="58" t="s">
        <v>48</v>
      </c>
      <c r="B14" s="71">
        <v>5.45</v>
      </c>
      <c r="C14" s="8">
        <v>0</v>
      </c>
      <c r="D14" s="45">
        <f>'Facility Risk - P&amp;G'!$C14/$C$151</f>
        <v>0</v>
      </c>
      <c r="E14" s="1"/>
      <c r="F14" s="3"/>
      <c r="G14" s="4"/>
    </row>
    <row r="15" spans="1:10" ht="19" x14ac:dyDescent="0.25">
      <c r="A15" s="57" t="s">
        <v>49</v>
      </c>
      <c r="B15" s="72">
        <v>3.33</v>
      </c>
      <c r="C15" s="9">
        <v>2.4E-2</v>
      </c>
      <c r="D15" s="46">
        <f>'Facility Risk - P&amp;G'!$C15/$C$151</f>
        <v>2.3603461841070015E-2</v>
      </c>
      <c r="E15" s="1"/>
      <c r="F15" s="3"/>
      <c r="G15" s="4"/>
    </row>
    <row r="16" spans="1:10" ht="19" x14ac:dyDescent="0.25">
      <c r="A16" s="58" t="s">
        <v>50</v>
      </c>
      <c r="B16" s="73">
        <v>6</v>
      </c>
      <c r="C16" s="8">
        <v>0</v>
      </c>
      <c r="D16" s="45">
        <f>'Facility Risk - P&amp;G'!$C16/$C$151</f>
        <v>0</v>
      </c>
      <c r="E16" s="1"/>
      <c r="F16" s="3"/>
      <c r="G16" s="4"/>
    </row>
    <row r="17" spans="1:7" ht="19" x14ac:dyDescent="0.25">
      <c r="A17" s="57" t="s">
        <v>51</v>
      </c>
      <c r="B17" s="74">
        <v>5.0199999999999996</v>
      </c>
      <c r="C17" s="9">
        <v>0</v>
      </c>
      <c r="D17" s="46">
        <f>'Facility Risk - P&amp;G'!$C17/$C$151</f>
        <v>0</v>
      </c>
      <c r="E17" s="1"/>
      <c r="F17" s="3"/>
      <c r="G17" s="4"/>
    </row>
    <row r="18" spans="1:7" ht="19" x14ac:dyDescent="0.25">
      <c r="A18" s="58" t="s">
        <v>52</v>
      </c>
      <c r="B18" s="75">
        <v>5.41</v>
      </c>
      <c r="C18" s="8">
        <v>0</v>
      </c>
      <c r="D18" s="45">
        <f>'Facility Risk - P&amp;G'!$C18/$C$151</f>
        <v>0</v>
      </c>
      <c r="E18" s="1"/>
      <c r="F18" s="3"/>
      <c r="G18" s="4"/>
    </row>
    <row r="19" spans="1:7" ht="19" x14ac:dyDescent="0.25">
      <c r="A19" s="57" t="s">
        <v>53</v>
      </c>
      <c r="B19" s="76">
        <v>5.34</v>
      </c>
      <c r="C19" s="9">
        <v>0</v>
      </c>
      <c r="D19" s="46">
        <f>'Facility Risk - P&amp;G'!$C19/$C$151</f>
        <v>0</v>
      </c>
      <c r="E19" s="1"/>
      <c r="F19" s="3"/>
      <c r="G19" s="4"/>
    </row>
    <row r="20" spans="1:7" ht="19" x14ac:dyDescent="0.25">
      <c r="A20" s="58" t="s">
        <v>54</v>
      </c>
      <c r="B20" s="77">
        <v>4.34</v>
      </c>
      <c r="C20" s="8">
        <v>0</v>
      </c>
      <c r="D20" s="45">
        <f>'Facility Risk - P&amp;G'!$C20/$C$151</f>
        <v>0</v>
      </c>
      <c r="E20" s="1"/>
      <c r="F20" s="3"/>
      <c r="G20" s="4"/>
    </row>
    <row r="21" spans="1:7" ht="19" x14ac:dyDescent="0.25">
      <c r="A21" s="57" t="s">
        <v>55</v>
      </c>
      <c r="B21" s="78">
        <v>5.35</v>
      </c>
      <c r="C21" s="9">
        <v>2.9900000000000003E-2</v>
      </c>
      <c r="D21" s="46">
        <f>'Facility Risk - P&amp;G'!$C21/$C$151</f>
        <v>2.9405979543666395E-2</v>
      </c>
      <c r="E21" s="1"/>
      <c r="F21" s="3"/>
      <c r="G21" s="4"/>
    </row>
    <row r="22" spans="1:7" ht="19" x14ac:dyDescent="0.25">
      <c r="A22" s="58" t="s">
        <v>56</v>
      </c>
      <c r="B22" s="79">
        <v>4.43</v>
      </c>
      <c r="C22" s="8">
        <v>0</v>
      </c>
      <c r="D22" s="45">
        <f>'Facility Risk - P&amp;G'!$C22/$C$151</f>
        <v>0</v>
      </c>
      <c r="E22" s="1"/>
      <c r="F22" s="3"/>
      <c r="G22" s="4"/>
    </row>
    <row r="23" spans="1:7" ht="19" x14ac:dyDescent="0.25">
      <c r="A23" s="57" t="s">
        <v>57</v>
      </c>
      <c r="B23" s="80">
        <v>6.55</v>
      </c>
      <c r="C23" s="9">
        <v>0</v>
      </c>
      <c r="D23" s="46">
        <f>'Facility Risk - P&amp;G'!$C23/$C$151</f>
        <v>0</v>
      </c>
      <c r="E23" s="1"/>
      <c r="F23" s="3"/>
      <c r="G23" s="4"/>
    </row>
    <row r="24" spans="1:7" ht="19" x14ac:dyDescent="0.25">
      <c r="A24" s="58" t="s">
        <v>58</v>
      </c>
      <c r="B24" s="81">
        <v>6.33</v>
      </c>
      <c r="C24" s="8">
        <v>0</v>
      </c>
      <c r="D24" s="45">
        <f>'Facility Risk - P&amp;G'!$C24/$C$151</f>
        <v>0</v>
      </c>
      <c r="E24" s="1"/>
      <c r="F24" s="3"/>
      <c r="G24" s="4"/>
    </row>
    <row r="25" spans="1:7" ht="19" x14ac:dyDescent="0.25">
      <c r="A25" s="57" t="s">
        <v>59</v>
      </c>
      <c r="B25" s="64">
        <v>5.64</v>
      </c>
      <c r="C25" s="9">
        <v>0</v>
      </c>
      <c r="D25" s="46">
        <f>'Facility Risk - P&amp;G'!$C25/$C$151</f>
        <v>0</v>
      </c>
      <c r="E25" s="1"/>
      <c r="F25" s="3"/>
      <c r="G25" s="4"/>
    </row>
    <row r="26" spans="1:7" ht="19" x14ac:dyDescent="0.25">
      <c r="A26" s="58" t="s">
        <v>60</v>
      </c>
      <c r="B26" s="82">
        <v>6.83</v>
      </c>
      <c r="C26" s="8">
        <v>0</v>
      </c>
      <c r="D26" s="45">
        <f>'Facility Risk - P&amp;G'!$C26/$C$151</f>
        <v>0</v>
      </c>
      <c r="E26" s="1"/>
      <c r="F26" s="3"/>
      <c r="G26" s="4"/>
    </row>
    <row r="27" spans="1:7" ht="19" x14ac:dyDescent="0.25">
      <c r="A27" s="57" t="s">
        <v>61</v>
      </c>
      <c r="B27" s="83">
        <v>3.44</v>
      </c>
      <c r="C27" s="9">
        <v>1.2E-2</v>
      </c>
      <c r="D27" s="46">
        <f>'Facility Risk - P&amp;G'!$C27/$C$151</f>
        <v>1.1801730920535007E-2</v>
      </c>
      <c r="E27" s="1"/>
      <c r="F27" s="3"/>
      <c r="G27" s="4"/>
    </row>
    <row r="28" spans="1:7" ht="19" x14ac:dyDescent="0.25">
      <c r="A28" s="58" t="s">
        <v>62</v>
      </c>
      <c r="B28" s="84">
        <v>6.79</v>
      </c>
      <c r="C28" s="8">
        <v>0</v>
      </c>
      <c r="D28" s="45">
        <f>'Facility Risk - P&amp;G'!$C28/$C$151</f>
        <v>0</v>
      </c>
      <c r="E28" s="1"/>
      <c r="F28" s="3"/>
      <c r="G28" s="4"/>
    </row>
    <row r="29" spans="1:7" ht="19" x14ac:dyDescent="0.25">
      <c r="A29" s="57" t="s">
        <v>63</v>
      </c>
      <c r="B29" s="82">
        <v>6.84</v>
      </c>
      <c r="C29" s="9">
        <v>0</v>
      </c>
      <c r="D29" s="46">
        <f>'Facility Risk - P&amp;G'!$C29/$C$151</f>
        <v>0</v>
      </c>
      <c r="E29" s="1"/>
      <c r="F29" s="3"/>
      <c r="G29" s="4"/>
    </row>
    <row r="30" spans="1:7" ht="19" x14ac:dyDescent="0.25">
      <c r="A30" s="58" t="s">
        <v>64</v>
      </c>
      <c r="B30" s="65">
        <v>4.3600000000000003</v>
      </c>
      <c r="C30" s="8">
        <v>6.0000000000000001E-3</v>
      </c>
      <c r="D30" s="45">
        <f>'Facility Risk - P&amp;G'!$C30/$C$151</f>
        <v>5.9008654602675037E-3</v>
      </c>
      <c r="E30" s="1"/>
      <c r="F30" s="3"/>
      <c r="G30" s="4"/>
    </row>
    <row r="31" spans="1:7" ht="19" x14ac:dyDescent="0.25">
      <c r="A31" s="57" t="s">
        <v>65</v>
      </c>
      <c r="B31" s="85">
        <v>4.26</v>
      </c>
      <c r="C31" s="9">
        <v>5.9900000000000002E-2</v>
      </c>
      <c r="D31" s="46">
        <f>'Facility Risk - P&amp;G'!$C31/$C$151</f>
        <v>5.8910306845003917E-2</v>
      </c>
      <c r="E31" s="50" t="s">
        <v>66</v>
      </c>
      <c r="F31" s="3"/>
      <c r="G31" s="4"/>
    </row>
    <row r="32" spans="1:7" ht="19" x14ac:dyDescent="0.25">
      <c r="A32" s="58" t="s">
        <v>67</v>
      </c>
      <c r="B32" s="86">
        <v>5.72</v>
      </c>
      <c r="C32" s="8">
        <v>1.2E-2</v>
      </c>
      <c r="D32" s="45">
        <f>'Facility Risk - P&amp;G'!$C32/$C$151</f>
        <v>1.1801730920535007E-2</v>
      </c>
      <c r="E32" s="1"/>
      <c r="F32" s="3"/>
      <c r="G32" s="4"/>
    </row>
    <row r="33" spans="1:7" ht="19" x14ac:dyDescent="0.25">
      <c r="A33" s="57" t="s">
        <v>68</v>
      </c>
      <c r="B33" s="87">
        <v>5.65</v>
      </c>
      <c r="C33" s="9">
        <v>0</v>
      </c>
      <c r="D33" s="46">
        <f>'Facility Risk - P&amp;G'!$C33/$C$151</f>
        <v>0</v>
      </c>
      <c r="E33" s="1"/>
      <c r="F33" s="3"/>
      <c r="G33" s="4"/>
    </row>
    <row r="34" spans="1:7" ht="19" x14ac:dyDescent="0.25">
      <c r="A34" s="58" t="s">
        <v>69</v>
      </c>
      <c r="B34" s="88">
        <v>4.2300000000000004</v>
      </c>
      <c r="C34" s="8">
        <v>0</v>
      </c>
      <c r="D34" s="45">
        <f>'Facility Risk - P&amp;G'!$C34/$C$151</f>
        <v>0</v>
      </c>
      <c r="E34" s="1"/>
      <c r="F34" s="3"/>
      <c r="G34" s="4"/>
    </row>
    <row r="35" spans="1:7" ht="19" x14ac:dyDescent="0.25">
      <c r="A35" s="57" t="s">
        <v>70</v>
      </c>
      <c r="B35" s="89">
        <v>5.6</v>
      </c>
      <c r="C35" s="9">
        <v>0</v>
      </c>
      <c r="D35" s="46">
        <f>'Facility Risk - P&amp;G'!$C35/$C$151</f>
        <v>0</v>
      </c>
      <c r="E35" s="1"/>
      <c r="F35" s="3"/>
      <c r="G35" s="4"/>
    </row>
    <row r="36" spans="1:7" ht="19" x14ac:dyDescent="0.25">
      <c r="A36" s="58" t="s">
        <v>71</v>
      </c>
      <c r="B36" s="90">
        <v>4.28</v>
      </c>
      <c r="C36" s="8">
        <v>0</v>
      </c>
      <c r="D36" s="45">
        <f>'Facility Risk - P&amp;G'!$C36/$C$151</f>
        <v>0</v>
      </c>
      <c r="E36" s="1"/>
      <c r="F36" s="3"/>
      <c r="G36" s="4"/>
    </row>
    <row r="37" spans="1:7" ht="19" x14ac:dyDescent="0.25">
      <c r="A37" s="57" t="s">
        <v>72</v>
      </c>
      <c r="B37" s="91">
        <v>4.67</v>
      </c>
      <c r="C37" s="9">
        <v>0</v>
      </c>
      <c r="D37" s="46">
        <f>'Facility Risk - P&amp;G'!$C37/$C$151</f>
        <v>0</v>
      </c>
      <c r="E37" s="1"/>
      <c r="F37" s="3"/>
      <c r="G37" s="4"/>
    </row>
    <row r="38" spans="1:7" ht="19" x14ac:dyDescent="0.25">
      <c r="A38" s="58" t="s">
        <v>73</v>
      </c>
      <c r="B38" s="92">
        <v>3.75</v>
      </c>
      <c r="C38" s="8">
        <v>6.0000000000000001E-3</v>
      </c>
      <c r="D38" s="45">
        <f>'Facility Risk - P&amp;G'!$C38/$C$151</f>
        <v>5.9008654602675037E-3</v>
      </c>
      <c r="E38" s="1"/>
      <c r="F38" s="3"/>
      <c r="G38" s="4"/>
    </row>
    <row r="39" spans="1:7" ht="19" x14ac:dyDescent="0.25">
      <c r="A39" s="57" t="s">
        <v>74</v>
      </c>
      <c r="B39" s="93">
        <v>3.2</v>
      </c>
      <c r="C39" s="9">
        <v>0</v>
      </c>
      <c r="D39" s="46">
        <f>'Facility Risk - P&amp;G'!$C39/$C$151</f>
        <v>0</v>
      </c>
      <c r="E39" s="1"/>
      <c r="F39" s="3"/>
      <c r="G39" s="4"/>
    </row>
    <row r="40" spans="1:7" ht="19" x14ac:dyDescent="0.25">
      <c r="A40" s="58" t="s">
        <v>75</v>
      </c>
      <c r="B40" s="94">
        <v>5.98</v>
      </c>
      <c r="C40" s="8">
        <v>0</v>
      </c>
      <c r="D40" s="45">
        <f>'Facility Risk - P&amp;G'!$C40/$C$151</f>
        <v>0</v>
      </c>
      <c r="E40" s="1"/>
      <c r="F40" s="3"/>
      <c r="G40" s="4"/>
    </row>
    <row r="41" spans="1:7" ht="19" x14ac:dyDescent="0.25">
      <c r="A41" s="57" t="s">
        <v>76</v>
      </c>
      <c r="B41" s="95">
        <v>4.7</v>
      </c>
      <c r="C41" s="9">
        <v>0</v>
      </c>
      <c r="D41" s="46">
        <f>'Facility Risk - P&amp;G'!$C41/$C$151</f>
        <v>0</v>
      </c>
      <c r="E41" s="1"/>
      <c r="F41" s="3"/>
      <c r="G41" s="4"/>
    </row>
    <row r="42" spans="1:7" ht="19" x14ac:dyDescent="0.25">
      <c r="A42" s="58" t="s">
        <v>77</v>
      </c>
      <c r="B42" s="96">
        <v>5.71</v>
      </c>
      <c r="C42" s="8">
        <v>0</v>
      </c>
      <c r="D42" s="45">
        <f>'Facility Risk - P&amp;G'!$C42/$C$151</f>
        <v>0</v>
      </c>
      <c r="E42" s="1"/>
      <c r="F42" s="3"/>
      <c r="G42" s="4"/>
    </row>
    <row r="43" spans="1:7" ht="19" x14ac:dyDescent="0.25">
      <c r="A43" s="57" t="s">
        <v>78</v>
      </c>
      <c r="B43" s="97">
        <v>5.6</v>
      </c>
      <c r="C43" s="9">
        <v>1.2E-2</v>
      </c>
      <c r="D43" s="46">
        <f>'Facility Risk - P&amp;G'!$C43/$C$151</f>
        <v>1.1801730920535007E-2</v>
      </c>
      <c r="E43" s="1"/>
      <c r="F43" s="3"/>
      <c r="G43" s="4"/>
    </row>
    <row r="44" spans="1:7" ht="19" x14ac:dyDescent="0.25">
      <c r="A44" s="58" t="s">
        <v>79</v>
      </c>
      <c r="B44" s="98">
        <v>4.79</v>
      </c>
      <c r="C44" s="8">
        <v>0</v>
      </c>
      <c r="D44" s="45">
        <f>'Facility Risk - P&amp;G'!$C44/$C$151</f>
        <v>0</v>
      </c>
      <c r="E44" s="1"/>
      <c r="F44" s="3"/>
      <c r="G44" s="4"/>
    </row>
    <row r="45" spans="1:7" ht="19" x14ac:dyDescent="0.25">
      <c r="A45" s="57" t="s">
        <v>80</v>
      </c>
      <c r="B45" s="99">
        <v>3.57</v>
      </c>
      <c r="C45" s="9">
        <v>0</v>
      </c>
      <c r="D45" s="46">
        <f>'Facility Risk - P&amp;G'!$C45/$C$151</f>
        <v>0</v>
      </c>
      <c r="E45" s="1"/>
      <c r="F45" s="3"/>
      <c r="G45" s="4"/>
    </row>
    <row r="46" spans="1:7" ht="19" x14ac:dyDescent="0.25">
      <c r="A46" s="58" t="s">
        <v>81</v>
      </c>
      <c r="B46" s="100">
        <v>4.5</v>
      </c>
      <c r="C46" s="8">
        <v>0</v>
      </c>
      <c r="D46" s="45">
        <f>'Facility Risk - P&amp;G'!$C46/$C$151</f>
        <v>0</v>
      </c>
      <c r="E46" s="1"/>
      <c r="F46" s="3"/>
      <c r="G46" s="4"/>
    </row>
    <row r="47" spans="1:7" ht="19" x14ac:dyDescent="0.25">
      <c r="A47" s="57" t="s">
        <v>82</v>
      </c>
      <c r="B47" s="101">
        <v>6.93</v>
      </c>
      <c r="C47" s="9">
        <v>0</v>
      </c>
      <c r="D47" s="46">
        <f>'Facility Risk - P&amp;G'!$C47/$C$151</f>
        <v>0</v>
      </c>
      <c r="E47" s="1"/>
      <c r="F47" s="3"/>
      <c r="G47" s="4"/>
    </row>
    <row r="48" spans="1:7" ht="19" x14ac:dyDescent="0.25">
      <c r="A48" s="58" t="s">
        <v>83</v>
      </c>
      <c r="B48" s="102">
        <v>3.35</v>
      </c>
      <c r="C48" s="8">
        <v>0</v>
      </c>
      <c r="D48" s="45">
        <f>'Facility Risk - P&amp;G'!$C48/$C$151</f>
        <v>0</v>
      </c>
      <c r="E48" s="1"/>
      <c r="F48" s="3"/>
      <c r="G48" s="4"/>
    </row>
    <row r="49" spans="1:7" ht="19" x14ac:dyDescent="0.25">
      <c r="A49" s="57" t="s">
        <v>84</v>
      </c>
      <c r="B49" s="103">
        <v>3.65</v>
      </c>
      <c r="C49" s="9">
        <v>2.4E-2</v>
      </c>
      <c r="D49" s="46">
        <f>'Facility Risk - P&amp;G'!$C49/$C$151</f>
        <v>2.3603461841070015E-2</v>
      </c>
      <c r="E49" s="1"/>
      <c r="F49" s="3"/>
      <c r="G49" s="4"/>
    </row>
    <row r="50" spans="1:7" ht="19" x14ac:dyDescent="0.25">
      <c r="A50" s="58" t="s">
        <v>85</v>
      </c>
      <c r="B50" s="104">
        <v>5.78</v>
      </c>
      <c r="C50" s="8">
        <v>0</v>
      </c>
      <c r="D50" s="45">
        <f>'Facility Risk - P&amp;G'!$C50/$C$151</f>
        <v>0</v>
      </c>
    </row>
    <row r="51" spans="1:7" ht="19" x14ac:dyDescent="0.25">
      <c r="A51" s="57" t="s">
        <v>86</v>
      </c>
      <c r="B51" s="105">
        <v>5.38</v>
      </c>
      <c r="C51" s="9">
        <v>0</v>
      </c>
      <c r="D51" s="46">
        <f>'Facility Risk - P&amp;G'!$C51/$C$151</f>
        <v>0</v>
      </c>
    </row>
    <row r="52" spans="1:7" ht="19" x14ac:dyDescent="0.25">
      <c r="A52" s="58" t="s">
        <v>87</v>
      </c>
      <c r="B52" s="106">
        <v>4.93</v>
      </c>
      <c r="C52" s="8">
        <v>0</v>
      </c>
      <c r="D52" s="45">
        <f>'Facility Risk - P&amp;G'!$C52/$C$151</f>
        <v>0</v>
      </c>
    </row>
    <row r="53" spans="1:7" ht="19" x14ac:dyDescent="0.25">
      <c r="A53" s="57" t="s">
        <v>88</v>
      </c>
      <c r="B53" s="68">
        <v>3.42</v>
      </c>
      <c r="C53" s="9">
        <v>7.7800000000000008E-2</v>
      </c>
      <c r="D53" s="46">
        <f>'Facility Risk - P&amp;G'!$C53/$C$151</f>
        <v>7.6514555468135306E-2</v>
      </c>
    </row>
    <row r="54" spans="1:7" ht="19" x14ac:dyDescent="0.25">
      <c r="A54" s="58" t="s">
        <v>89</v>
      </c>
      <c r="B54" s="107">
        <v>4.63</v>
      </c>
      <c r="C54" s="8">
        <v>0</v>
      </c>
      <c r="D54" s="45">
        <f>'Facility Risk - P&amp;G'!$C54/$C$151</f>
        <v>0</v>
      </c>
    </row>
    <row r="55" spans="1:7" ht="19" x14ac:dyDescent="0.25">
      <c r="A55" s="57" t="s">
        <v>90</v>
      </c>
      <c r="B55" s="77">
        <v>4.34</v>
      </c>
      <c r="C55" s="9">
        <v>6.0000000000000001E-3</v>
      </c>
      <c r="D55" s="46">
        <f>'Facility Risk - P&amp;G'!$C55/$C$151</f>
        <v>5.9008654602675037E-3</v>
      </c>
    </row>
    <row r="56" spans="1:7" ht="19" x14ac:dyDescent="0.25">
      <c r="A56" s="58" t="s">
        <v>91</v>
      </c>
      <c r="B56" s="71">
        <v>5.45</v>
      </c>
      <c r="C56" s="8">
        <v>6.0000000000000001E-3</v>
      </c>
      <c r="D56" s="45">
        <f>'Facility Risk - P&amp;G'!$C56/$C$151</f>
        <v>5.9008654602675037E-3</v>
      </c>
    </row>
    <row r="57" spans="1:7" ht="19" x14ac:dyDescent="0.25">
      <c r="A57" s="57" t="s">
        <v>92</v>
      </c>
      <c r="B57" s="108">
        <v>6.36</v>
      </c>
      <c r="C57" s="9">
        <v>0</v>
      </c>
      <c r="D57" s="46">
        <f>'Facility Risk - P&amp;G'!$C57/$C$151</f>
        <v>0</v>
      </c>
    </row>
    <row r="58" spans="1:7" ht="19" x14ac:dyDescent="0.25">
      <c r="A58" s="58" t="s">
        <v>93</v>
      </c>
      <c r="B58" s="109">
        <v>5.94</v>
      </c>
      <c r="C58" s="8">
        <v>0</v>
      </c>
      <c r="D58" s="45">
        <f>'Facility Risk - P&amp;G'!$C58/$C$151</f>
        <v>0</v>
      </c>
    </row>
    <row r="59" spans="1:7" ht="19" x14ac:dyDescent="0.25">
      <c r="A59" s="57" t="s">
        <v>94</v>
      </c>
      <c r="B59" s="110">
        <v>4.92</v>
      </c>
      <c r="C59" s="9">
        <v>0</v>
      </c>
      <c r="D59" s="46">
        <f>'Facility Risk - P&amp;G'!$C59/$C$151</f>
        <v>0</v>
      </c>
    </row>
    <row r="60" spans="1:7" ht="19" x14ac:dyDescent="0.25">
      <c r="A60" s="58" t="s">
        <v>95</v>
      </c>
      <c r="B60" s="111">
        <v>6.53</v>
      </c>
      <c r="C60" s="8">
        <v>0</v>
      </c>
      <c r="D60" s="45">
        <f>'Facility Risk - P&amp;G'!$C60/$C$151</f>
        <v>0</v>
      </c>
    </row>
    <row r="61" spans="1:7" ht="19" x14ac:dyDescent="0.25">
      <c r="A61" s="57" t="s">
        <v>96</v>
      </c>
      <c r="B61" s="112">
        <v>5.77</v>
      </c>
      <c r="C61" s="9">
        <v>0</v>
      </c>
      <c r="D61" s="46">
        <f>'Facility Risk - P&amp;G'!$C61/$C$151</f>
        <v>0</v>
      </c>
    </row>
    <row r="62" spans="1:7" ht="19" x14ac:dyDescent="0.25">
      <c r="A62" s="58" t="s">
        <v>97</v>
      </c>
      <c r="B62" s="113">
        <v>3.63</v>
      </c>
      <c r="C62" s="8">
        <v>1.2E-2</v>
      </c>
      <c r="D62" s="45">
        <f>'Facility Risk - P&amp;G'!$C62/$C$151</f>
        <v>1.1801730920535007E-2</v>
      </c>
    </row>
    <row r="63" spans="1:7" ht="19" x14ac:dyDescent="0.25">
      <c r="A63" s="57" t="s">
        <v>98</v>
      </c>
      <c r="B63" s="114">
        <v>3.38</v>
      </c>
      <c r="C63" s="9">
        <v>0</v>
      </c>
      <c r="D63" s="46">
        <f>'Facility Risk - P&amp;G'!$C63/$C$151</f>
        <v>0</v>
      </c>
    </row>
    <row r="64" spans="1:7" ht="19" x14ac:dyDescent="0.25">
      <c r="A64" s="58" t="s">
        <v>99</v>
      </c>
      <c r="B64" s="115">
        <v>5.07</v>
      </c>
      <c r="C64" s="8">
        <v>6.59E-2</v>
      </c>
      <c r="D64" s="45">
        <f>'Facility Risk - P&amp;G'!$C64/$C$151</f>
        <v>6.4811172305271419E-2</v>
      </c>
    </row>
    <row r="65" spans="1:4" ht="19" x14ac:dyDescent="0.25">
      <c r="A65" s="57" t="s">
        <v>100</v>
      </c>
      <c r="B65" s="106">
        <v>4.92</v>
      </c>
      <c r="C65" s="9">
        <v>1.2E-2</v>
      </c>
      <c r="D65" s="46">
        <f>'Facility Risk - P&amp;G'!$C65/$C$151</f>
        <v>1.1801730920535007E-2</v>
      </c>
    </row>
    <row r="66" spans="1:4" ht="19" x14ac:dyDescent="0.25">
      <c r="A66" s="58" t="s">
        <v>101</v>
      </c>
      <c r="B66" s="116">
        <v>5.88</v>
      </c>
      <c r="C66" s="8">
        <v>0</v>
      </c>
      <c r="D66" s="45">
        <f>'Facility Risk - P&amp;G'!$C66/$C$151</f>
        <v>0</v>
      </c>
    </row>
    <row r="67" spans="1:4" ht="19" x14ac:dyDescent="0.25">
      <c r="A67" s="57" t="s">
        <v>102</v>
      </c>
      <c r="B67" s="117">
        <v>6.05</v>
      </c>
      <c r="C67" s="9">
        <v>0</v>
      </c>
      <c r="D67" s="46">
        <f>'Facility Risk - P&amp;G'!$C67/$C$151</f>
        <v>0</v>
      </c>
    </row>
    <row r="68" spans="1:4" ht="19" x14ac:dyDescent="0.25">
      <c r="A68" s="58" t="s">
        <v>103</v>
      </c>
      <c r="B68" s="118">
        <v>3.25</v>
      </c>
      <c r="C68" s="8">
        <v>0</v>
      </c>
      <c r="D68" s="45">
        <f>'Facility Risk - P&amp;G'!$C68/$C$151</f>
        <v>0</v>
      </c>
    </row>
    <row r="69" spans="1:4" ht="19" x14ac:dyDescent="0.25">
      <c r="A69" s="57" t="s">
        <v>104</v>
      </c>
      <c r="B69" s="119">
        <v>4.6100000000000003</v>
      </c>
      <c r="C69" s="9">
        <v>4.0000000000000001E-3</v>
      </c>
      <c r="D69" s="46">
        <f>'Facility Risk - P&amp;G'!$C69/$C$151</f>
        <v>3.9339103068450022E-3</v>
      </c>
    </row>
    <row r="70" spans="1:4" ht="19" x14ac:dyDescent="0.25">
      <c r="A70" s="58" t="s">
        <v>105</v>
      </c>
      <c r="B70" s="120">
        <v>3.84</v>
      </c>
      <c r="C70" s="8">
        <v>2.4E-2</v>
      </c>
      <c r="D70" s="45">
        <f>'Facility Risk - P&amp;G'!$C70/$C$151</f>
        <v>2.3603461841070015E-2</v>
      </c>
    </row>
    <row r="71" spans="1:4" ht="19" x14ac:dyDescent="0.25">
      <c r="A71" s="57" t="s">
        <v>106</v>
      </c>
      <c r="B71" s="121">
        <v>4.75</v>
      </c>
      <c r="C71" s="9">
        <v>0</v>
      </c>
      <c r="D71" s="46">
        <f>'Facility Risk - P&amp;G'!$C71/$C$151</f>
        <v>0</v>
      </c>
    </row>
    <row r="72" spans="1:4" ht="19" x14ac:dyDescent="0.25">
      <c r="A72" s="58" t="s">
        <v>107</v>
      </c>
      <c r="B72" s="114">
        <v>3.38</v>
      </c>
      <c r="C72" s="8">
        <v>2.4E-2</v>
      </c>
      <c r="D72" s="45">
        <f>'Facility Risk - P&amp;G'!$C72/$C$151</f>
        <v>2.3603461841070015E-2</v>
      </c>
    </row>
    <row r="73" spans="1:4" ht="19" x14ac:dyDescent="0.25">
      <c r="A73" s="57" t="s">
        <v>108</v>
      </c>
      <c r="B73" s="122">
        <v>5.13</v>
      </c>
      <c r="C73" s="9">
        <v>0</v>
      </c>
      <c r="D73" s="46">
        <f>'Facility Risk - P&amp;G'!$C73/$C$151</f>
        <v>0</v>
      </c>
    </row>
    <row r="74" spans="1:4" ht="19" x14ac:dyDescent="0.25">
      <c r="A74" s="58" t="s">
        <v>109</v>
      </c>
      <c r="B74" s="123">
        <v>4.54</v>
      </c>
      <c r="C74" s="8">
        <v>0</v>
      </c>
      <c r="D74" s="45">
        <f>'Facility Risk - P&amp;G'!$C74/$C$151</f>
        <v>0</v>
      </c>
    </row>
    <row r="75" spans="1:4" ht="19" x14ac:dyDescent="0.25">
      <c r="A75" s="57" t="s">
        <v>110</v>
      </c>
      <c r="B75" s="124">
        <v>6.13</v>
      </c>
      <c r="C75" s="9">
        <v>0</v>
      </c>
      <c r="D75" s="46">
        <f>'Facility Risk - P&amp;G'!$C75/$C$151</f>
        <v>0</v>
      </c>
    </row>
    <row r="76" spans="1:4" ht="19" x14ac:dyDescent="0.25">
      <c r="A76" s="58" t="s">
        <v>111</v>
      </c>
      <c r="B76" s="125">
        <v>4.3</v>
      </c>
      <c r="C76" s="8">
        <v>0</v>
      </c>
      <c r="D76" s="45">
        <f>'Facility Risk - P&amp;G'!$C76/$C$151</f>
        <v>0</v>
      </c>
    </row>
    <row r="77" spans="1:4" ht="19" x14ac:dyDescent="0.25">
      <c r="A77" s="57" t="s">
        <v>112</v>
      </c>
      <c r="B77" s="126">
        <v>5.37</v>
      </c>
      <c r="C77" s="9">
        <v>0</v>
      </c>
      <c r="D77" s="46">
        <f>'Facility Risk - P&amp;G'!$C77/$C$151</f>
        <v>0</v>
      </c>
    </row>
    <row r="78" spans="1:4" ht="19" x14ac:dyDescent="0.25">
      <c r="A78" s="58" t="s">
        <v>113</v>
      </c>
      <c r="B78" s="127">
        <v>5.14</v>
      </c>
      <c r="C78" s="8">
        <v>0</v>
      </c>
      <c r="D78" s="45">
        <f>'Facility Risk - P&amp;G'!$C78/$C$151</f>
        <v>0</v>
      </c>
    </row>
    <row r="79" spans="1:4" ht="19" x14ac:dyDescent="0.25">
      <c r="A79" s="57" t="s">
        <v>114</v>
      </c>
      <c r="B79" s="128">
        <v>3.97</v>
      </c>
      <c r="C79" s="9">
        <v>0</v>
      </c>
      <c r="D79" s="46">
        <f>'Facility Risk - P&amp;G'!$C79/$C$151</f>
        <v>0</v>
      </c>
    </row>
    <row r="80" spans="1:4" ht="19" x14ac:dyDescent="0.25">
      <c r="A80" s="58" t="s">
        <v>115</v>
      </c>
      <c r="B80" s="129">
        <v>6.12</v>
      </c>
      <c r="C80" s="8">
        <v>0</v>
      </c>
      <c r="D80" s="45">
        <f>'Facility Risk - P&amp;G'!$C80/$C$151</f>
        <v>0</v>
      </c>
    </row>
    <row r="81" spans="1:4" ht="19" x14ac:dyDescent="0.25">
      <c r="A81" s="57" t="s">
        <v>116</v>
      </c>
      <c r="B81" s="130">
        <v>5.49</v>
      </c>
      <c r="C81" s="9">
        <v>0</v>
      </c>
      <c r="D81" s="46">
        <f>'Facility Risk - P&amp;G'!$C81/$C$151</f>
        <v>0</v>
      </c>
    </row>
    <row r="82" spans="1:4" ht="19" x14ac:dyDescent="0.25">
      <c r="A82" s="58" t="s">
        <v>117</v>
      </c>
      <c r="B82" s="131">
        <v>5.97</v>
      </c>
      <c r="C82" s="8">
        <v>0</v>
      </c>
      <c r="D82" s="45">
        <f>'Facility Risk - P&amp;G'!$C82/$C$151</f>
        <v>0</v>
      </c>
    </row>
    <row r="83" spans="1:4" ht="19" x14ac:dyDescent="0.25">
      <c r="A83" s="57" t="s">
        <v>118</v>
      </c>
      <c r="B83" s="132">
        <v>5.68</v>
      </c>
      <c r="C83" s="9">
        <v>0</v>
      </c>
      <c r="D83" s="46">
        <f>'Facility Risk - P&amp;G'!$C83/$C$151</f>
        <v>0</v>
      </c>
    </row>
    <row r="84" spans="1:4" ht="19" x14ac:dyDescent="0.25">
      <c r="A84" s="58" t="s">
        <v>119</v>
      </c>
      <c r="B84" s="133">
        <v>3.93</v>
      </c>
      <c r="C84" s="8">
        <v>0</v>
      </c>
      <c r="D84" s="45">
        <f>'Facility Risk - P&amp;G'!$C84/$C$151</f>
        <v>0</v>
      </c>
    </row>
    <row r="85" spans="1:4" ht="19" x14ac:dyDescent="0.25">
      <c r="A85" s="57" t="s">
        <v>120</v>
      </c>
      <c r="B85" s="134">
        <v>5.82</v>
      </c>
      <c r="C85" s="9">
        <v>0</v>
      </c>
      <c r="D85" s="46">
        <f>'Facility Risk - P&amp;G'!$C85/$C$151</f>
        <v>0</v>
      </c>
    </row>
    <row r="86" spans="1:4" ht="19" x14ac:dyDescent="0.25">
      <c r="A86" s="58" t="s">
        <v>121</v>
      </c>
      <c r="B86" s="135">
        <v>5.58</v>
      </c>
      <c r="C86" s="8">
        <v>0</v>
      </c>
      <c r="D86" s="45">
        <f>'Facility Risk - P&amp;G'!$C86/$C$151</f>
        <v>0</v>
      </c>
    </row>
    <row r="87" spans="1:4" ht="19" x14ac:dyDescent="0.25">
      <c r="A87" s="57" t="s">
        <v>122</v>
      </c>
      <c r="B87" s="136">
        <v>4.03</v>
      </c>
      <c r="C87" s="9">
        <v>6.0000000000000001E-3</v>
      </c>
      <c r="D87" s="46">
        <f>'Facility Risk - P&amp;G'!$C87/$C$151</f>
        <v>5.9008654602675037E-3</v>
      </c>
    </row>
    <row r="88" spans="1:4" ht="19" x14ac:dyDescent="0.25">
      <c r="A88" s="58" t="s">
        <v>123</v>
      </c>
      <c r="B88" s="137">
        <v>7.1</v>
      </c>
      <c r="C88" s="8">
        <v>0</v>
      </c>
      <c r="D88" s="45">
        <f>'Facility Risk - P&amp;G'!$C88/$C$151</f>
        <v>0</v>
      </c>
    </row>
    <row r="89" spans="1:4" ht="19" x14ac:dyDescent="0.25">
      <c r="A89" s="57" t="s">
        <v>124</v>
      </c>
      <c r="B89" s="138">
        <v>6.28</v>
      </c>
      <c r="C89" s="9">
        <v>0</v>
      </c>
      <c r="D89" s="46">
        <f>'Facility Risk - P&amp;G'!$C89/$C$151</f>
        <v>0</v>
      </c>
    </row>
    <row r="90" spans="1:4" ht="19" x14ac:dyDescent="0.25">
      <c r="A90" s="58" t="s">
        <v>125</v>
      </c>
      <c r="B90" s="139">
        <v>3.47</v>
      </c>
      <c r="C90" s="8">
        <v>0</v>
      </c>
      <c r="D90" s="45">
        <f>'Facility Risk - P&amp;G'!$C90/$C$151</f>
        <v>0</v>
      </c>
    </row>
    <row r="91" spans="1:4" ht="19" x14ac:dyDescent="0.25">
      <c r="A91" s="57" t="s">
        <v>126</v>
      </c>
      <c r="B91" s="140">
        <v>5.42</v>
      </c>
      <c r="C91" s="9">
        <v>4.7899999999999998E-2</v>
      </c>
      <c r="D91" s="46">
        <f>'Facility Risk - P&amp;G'!$C91/$C$151</f>
        <v>4.7108575924468904E-2</v>
      </c>
    </row>
    <row r="92" spans="1:4" ht="19" x14ac:dyDescent="0.25">
      <c r="A92" s="58" t="s">
        <v>127</v>
      </c>
      <c r="B92" s="127">
        <v>5.14</v>
      </c>
      <c r="C92" s="8">
        <v>0</v>
      </c>
      <c r="D92" s="45">
        <f>'Facility Risk - P&amp;G'!$C92/$C$151</f>
        <v>0</v>
      </c>
    </row>
    <row r="93" spans="1:4" ht="19" x14ac:dyDescent="0.25">
      <c r="A93" s="57" t="s">
        <v>128</v>
      </c>
      <c r="B93" s="141">
        <v>4.6500000000000004</v>
      </c>
      <c r="C93" s="9">
        <v>0</v>
      </c>
      <c r="D93" s="46">
        <f>'Facility Risk - P&amp;G'!$C93/$C$151</f>
        <v>0</v>
      </c>
    </row>
    <row r="94" spans="1:4" ht="19" x14ac:dyDescent="0.25">
      <c r="A94" s="58" t="s">
        <v>129</v>
      </c>
      <c r="B94" s="142">
        <v>5.0999999999999996</v>
      </c>
      <c r="C94" s="8">
        <v>1.2E-2</v>
      </c>
      <c r="D94" s="45">
        <f>'Facility Risk - P&amp;G'!$C94/$C$151</f>
        <v>1.1801730920535007E-2</v>
      </c>
    </row>
    <row r="95" spans="1:4" ht="19" x14ac:dyDescent="0.25">
      <c r="A95" s="57" t="s">
        <v>130</v>
      </c>
      <c r="B95" s="70">
        <v>6.3</v>
      </c>
      <c r="C95" s="9">
        <v>0</v>
      </c>
      <c r="D95" s="46">
        <f>'Facility Risk - P&amp;G'!$C95/$C$151</f>
        <v>0</v>
      </c>
    </row>
    <row r="96" spans="1:4" ht="19" x14ac:dyDescent="0.25">
      <c r="A96" s="58" t="s">
        <v>131</v>
      </c>
      <c r="B96" s="143">
        <v>4.6399999999999997</v>
      </c>
      <c r="C96" s="8">
        <v>0</v>
      </c>
      <c r="D96" s="45">
        <f>'Facility Risk - P&amp;G'!$C96/$C$151</f>
        <v>0</v>
      </c>
    </row>
    <row r="97" spans="1:4" ht="19" x14ac:dyDescent="0.25">
      <c r="A97" s="57" t="s">
        <v>132</v>
      </c>
      <c r="B97" s="104">
        <v>5.78</v>
      </c>
      <c r="C97" s="9">
        <v>0</v>
      </c>
      <c r="D97" s="46">
        <f>'Facility Risk - P&amp;G'!$C97/$C$151</f>
        <v>0</v>
      </c>
    </row>
    <row r="98" spans="1:4" ht="19" x14ac:dyDescent="0.25">
      <c r="A98" s="58" t="s">
        <v>133</v>
      </c>
      <c r="B98" s="144">
        <v>3.59</v>
      </c>
      <c r="C98" s="8">
        <v>6.0000000000000001E-3</v>
      </c>
      <c r="D98" s="45">
        <f>'Facility Risk - P&amp;G'!$C98/$C$151</f>
        <v>5.9008654602675037E-3</v>
      </c>
    </row>
    <row r="99" spans="1:4" ht="19" x14ac:dyDescent="0.25">
      <c r="A99" s="57" t="s">
        <v>134</v>
      </c>
      <c r="B99" s="145">
        <v>3.32</v>
      </c>
      <c r="C99" s="9">
        <v>0</v>
      </c>
      <c r="D99" s="46">
        <f>'Facility Risk - P&amp;G'!$C99/$C$151</f>
        <v>0</v>
      </c>
    </row>
    <row r="100" spans="1:4" ht="19" x14ac:dyDescent="0.25">
      <c r="A100" s="58" t="s">
        <v>135</v>
      </c>
      <c r="B100" s="146">
        <v>5.8</v>
      </c>
      <c r="C100" s="8">
        <v>0</v>
      </c>
      <c r="D100" s="45">
        <f>'Facility Risk - P&amp;G'!$C100/$C$151</f>
        <v>0</v>
      </c>
    </row>
    <row r="101" spans="1:4" ht="19" x14ac:dyDescent="0.25">
      <c r="A101" s="57" t="s">
        <v>136</v>
      </c>
      <c r="B101" s="147">
        <v>7.07</v>
      </c>
      <c r="C101" s="9">
        <v>0</v>
      </c>
      <c r="D101" s="46">
        <f>'Facility Risk - P&amp;G'!$C101/$C$151</f>
        <v>0</v>
      </c>
    </row>
    <row r="102" spans="1:4" ht="19" x14ac:dyDescent="0.25">
      <c r="A102" s="58" t="s">
        <v>137</v>
      </c>
      <c r="B102" s="148">
        <v>6.5</v>
      </c>
      <c r="C102" s="8">
        <v>6.0000000000000001E-3</v>
      </c>
      <c r="D102" s="45">
        <f>'Facility Risk - P&amp;G'!$C102/$C$151</f>
        <v>5.9008654602675037E-3</v>
      </c>
    </row>
    <row r="103" spans="1:4" ht="19" x14ac:dyDescent="0.25">
      <c r="A103" s="57" t="s">
        <v>138</v>
      </c>
      <c r="B103" s="149">
        <v>4.16</v>
      </c>
      <c r="C103" s="9">
        <v>0</v>
      </c>
      <c r="D103" s="46">
        <f>'Facility Risk - P&amp;G'!$C103/$C$151</f>
        <v>0</v>
      </c>
    </row>
    <row r="104" spans="1:4" ht="19" x14ac:dyDescent="0.25">
      <c r="A104" s="58" t="s">
        <v>139</v>
      </c>
      <c r="B104" s="114">
        <v>3.38</v>
      </c>
      <c r="C104" s="8">
        <v>0</v>
      </c>
      <c r="D104" s="45">
        <f>'Facility Risk - P&amp;G'!$C104/$C$151</f>
        <v>0</v>
      </c>
    </row>
    <row r="105" spans="1:4" ht="19" x14ac:dyDescent="0.25">
      <c r="A105" s="57" t="s">
        <v>140</v>
      </c>
      <c r="B105" s="150">
        <v>4.0199999999999996</v>
      </c>
      <c r="C105" s="9">
        <v>0</v>
      </c>
      <c r="D105" s="46">
        <f>'Facility Risk - P&amp;G'!$C105/$C$151</f>
        <v>0</v>
      </c>
    </row>
    <row r="106" spans="1:4" ht="19" x14ac:dyDescent="0.25">
      <c r="A106" s="58" t="s">
        <v>141</v>
      </c>
      <c r="B106" s="151">
        <v>6.65</v>
      </c>
      <c r="C106" s="8">
        <v>0</v>
      </c>
      <c r="D106" s="45">
        <f>'Facility Risk - P&amp;G'!$C106/$C$151</f>
        <v>0</v>
      </c>
    </row>
    <row r="107" spans="1:4" ht="19" x14ac:dyDescent="0.25">
      <c r="A107" s="57" t="s">
        <v>142</v>
      </c>
      <c r="B107" s="152">
        <v>4.5599999999999996</v>
      </c>
      <c r="C107" s="9">
        <v>0</v>
      </c>
      <c r="D107" s="46">
        <f>'Facility Risk - P&amp;G'!$C107/$C$151</f>
        <v>0</v>
      </c>
    </row>
    <row r="108" spans="1:4" ht="19" x14ac:dyDescent="0.25">
      <c r="A108" s="58" t="s">
        <v>143</v>
      </c>
      <c r="B108" s="76">
        <v>5.34</v>
      </c>
      <c r="C108" s="8">
        <v>0</v>
      </c>
      <c r="D108" s="45">
        <f>'Facility Risk - P&amp;G'!$C108/$C$151</f>
        <v>0</v>
      </c>
    </row>
    <row r="109" spans="1:4" ht="19" x14ac:dyDescent="0.25">
      <c r="A109" s="57" t="s">
        <v>144</v>
      </c>
      <c r="B109" s="153">
        <v>4.72</v>
      </c>
      <c r="C109" s="9">
        <v>0</v>
      </c>
      <c r="D109" s="46">
        <f>'Facility Risk - P&amp;G'!$C109/$C$151</f>
        <v>0</v>
      </c>
    </row>
    <row r="110" spans="1:4" ht="19" x14ac:dyDescent="0.25">
      <c r="A110" s="58" t="s">
        <v>145</v>
      </c>
      <c r="B110" s="154">
        <v>5.28</v>
      </c>
      <c r="C110" s="8">
        <v>6.0000000000000001E-3</v>
      </c>
      <c r="D110" s="45">
        <f>'Facility Risk - P&amp;G'!$C110/$C$151</f>
        <v>5.9008654602675037E-3</v>
      </c>
    </row>
    <row r="111" spans="1:4" ht="19" x14ac:dyDescent="0.25">
      <c r="A111" s="57" t="s">
        <v>146</v>
      </c>
      <c r="B111" s="146">
        <v>5.8</v>
      </c>
      <c r="C111" s="9">
        <v>6.0000000000000001E-3</v>
      </c>
      <c r="D111" s="46">
        <f>'Facility Risk - P&amp;G'!$C111/$C$151</f>
        <v>5.9008654602675037E-3</v>
      </c>
    </row>
    <row r="112" spans="1:4" ht="19" x14ac:dyDescent="0.25">
      <c r="A112" s="58" t="s">
        <v>147</v>
      </c>
      <c r="B112" s="155">
        <v>4.1500000000000004</v>
      </c>
      <c r="C112" s="8">
        <v>2.4E-2</v>
      </c>
      <c r="D112" s="45">
        <f>'Facility Risk - P&amp;G'!$C112/$C$151</f>
        <v>2.3603461841070015E-2</v>
      </c>
    </row>
    <row r="113" spans="1:4" ht="19" x14ac:dyDescent="0.25">
      <c r="A113" s="57" t="s">
        <v>148</v>
      </c>
      <c r="B113" s="156">
        <v>3.43</v>
      </c>
      <c r="C113" s="9">
        <v>6.0000000000000001E-3</v>
      </c>
      <c r="D113" s="46">
        <f>'Facility Risk - P&amp;G'!$C113/$C$151</f>
        <v>5.9008654602675037E-3</v>
      </c>
    </row>
    <row r="114" spans="1:4" ht="19" x14ac:dyDescent="0.25">
      <c r="A114" s="58" t="s">
        <v>149</v>
      </c>
      <c r="B114" s="93">
        <v>3.2</v>
      </c>
      <c r="C114" s="8">
        <v>0</v>
      </c>
      <c r="D114" s="45">
        <f>'Facility Risk - P&amp;G'!$C114/$C$151</f>
        <v>0</v>
      </c>
    </row>
    <row r="115" spans="1:4" ht="19" x14ac:dyDescent="0.25">
      <c r="A115" s="57" t="s">
        <v>150</v>
      </c>
      <c r="B115" s="157">
        <v>4.05</v>
      </c>
      <c r="C115" s="9">
        <v>1.2E-2</v>
      </c>
      <c r="D115" s="46">
        <f>'Facility Risk - P&amp;G'!$C115/$C$151</f>
        <v>1.1801730920535007E-2</v>
      </c>
    </row>
    <row r="116" spans="1:4" ht="19" x14ac:dyDescent="0.25">
      <c r="A116" s="58" t="s">
        <v>151</v>
      </c>
      <c r="B116" s="158">
        <v>5.96</v>
      </c>
      <c r="C116" s="8">
        <v>1.8000000000000002E-2</v>
      </c>
      <c r="D116" s="45">
        <f>'Facility Risk - P&amp;G'!$C116/$C$151</f>
        <v>1.7702596380802512E-2</v>
      </c>
    </row>
    <row r="117" spans="1:4" ht="19" x14ac:dyDescent="0.25">
      <c r="A117" s="57" t="s">
        <v>152</v>
      </c>
      <c r="B117" s="159">
        <v>5.47</v>
      </c>
      <c r="C117" s="9">
        <v>0</v>
      </c>
      <c r="D117" s="46">
        <f>'Facility Risk - P&amp;G'!$C117/$C$151</f>
        <v>0</v>
      </c>
    </row>
    <row r="118" spans="1:4" ht="19" x14ac:dyDescent="0.25">
      <c r="A118" s="58" t="s">
        <v>153</v>
      </c>
      <c r="B118" s="79">
        <v>4.42</v>
      </c>
      <c r="C118" s="8">
        <v>1.2E-2</v>
      </c>
      <c r="D118" s="45">
        <f>'Facility Risk - P&amp;G'!$C118/$C$151</f>
        <v>1.1801730920535007E-2</v>
      </c>
    </row>
    <row r="119" spans="1:4" ht="19" x14ac:dyDescent="0.25">
      <c r="A119" s="57" t="s">
        <v>154</v>
      </c>
      <c r="B119" s="160">
        <v>5.4</v>
      </c>
      <c r="C119" s="9">
        <v>0</v>
      </c>
      <c r="D119" s="46">
        <f>'Facility Risk - P&amp;G'!$C119/$C$151</f>
        <v>0</v>
      </c>
    </row>
    <row r="120" spans="1:4" ht="19" x14ac:dyDescent="0.25">
      <c r="A120" s="58" t="s">
        <v>155</v>
      </c>
      <c r="B120" s="161">
        <v>5.04</v>
      </c>
      <c r="C120" s="8">
        <v>0</v>
      </c>
      <c r="D120" s="45">
        <f>'Facility Risk - P&amp;G'!$C120/$C$151</f>
        <v>0</v>
      </c>
    </row>
    <row r="121" spans="1:4" ht="19" x14ac:dyDescent="0.25">
      <c r="A121" s="57" t="s">
        <v>156</v>
      </c>
      <c r="B121" s="162">
        <v>5.64</v>
      </c>
      <c r="C121" s="9">
        <v>0</v>
      </c>
      <c r="D121" s="46">
        <f>'Facility Risk - P&amp;G'!$C121/$C$151</f>
        <v>0</v>
      </c>
    </row>
    <row r="122" spans="1:4" ht="19" x14ac:dyDescent="0.25">
      <c r="A122" s="58" t="s">
        <v>157</v>
      </c>
      <c r="B122" s="163">
        <v>3.04</v>
      </c>
      <c r="C122" s="8">
        <v>6.0000000000000001E-3</v>
      </c>
      <c r="D122" s="45">
        <f>'Facility Risk - P&amp;G'!$C122/$C$151</f>
        <v>5.9008654602675037E-3</v>
      </c>
    </row>
    <row r="123" spans="1:4" ht="19" x14ac:dyDescent="0.25">
      <c r="A123" s="57" t="s">
        <v>158</v>
      </c>
      <c r="B123" s="164">
        <v>3.79</v>
      </c>
      <c r="C123" s="9">
        <v>0</v>
      </c>
      <c r="D123" s="46">
        <f>'Facility Risk - P&amp;G'!$C123/$C$151</f>
        <v>0</v>
      </c>
    </row>
    <row r="124" spans="1:4" ht="19" x14ac:dyDescent="0.25">
      <c r="A124" s="58" t="s">
        <v>159</v>
      </c>
      <c r="B124" s="165">
        <v>3.48</v>
      </c>
      <c r="C124" s="8">
        <v>0</v>
      </c>
      <c r="D124" s="45">
        <f>'Facility Risk - P&amp;G'!$C124/$C$151</f>
        <v>0</v>
      </c>
    </row>
    <row r="125" spans="1:4" ht="19" x14ac:dyDescent="0.25">
      <c r="A125" s="57" t="s">
        <v>160</v>
      </c>
      <c r="B125" s="166">
        <v>5.22</v>
      </c>
      <c r="C125" s="9">
        <v>1.2E-2</v>
      </c>
      <c r="D125" s="46">
        <f>'Facility Risk - P&amp;G'!$C125/$C$151</f>
        <v>1.1801730920535007E-2</v>
      </c>
    </row>
    <row r="126" spans="1:4" ht="19" x14ac:dyDescent="0.25">
      <c r="A126" s="58" t="s">
        <v>161</v>
      </c>
      <c r="B126" s="167">
        <v>3.57</v>
      </c>
      <c r="C126" s="8">
        <v>6.0000000000000001E-3</v>
      </c>
      <c r="D126" s="45">
        <f>'Facility Risk - P&amp;G'!$C126/$C$151</f>
        <v>5.9008654602675037E-3</v>
      </c>
    </row>
    <row r="127" spans="1:4" ht="19" x14ac:dyDescent="0.25">
      <c r="A127" s="57" t="s">
        <v>162</v>
      </c>
      <c r="B127" s="168">
        <v>3.7</v>
      </c>
      <c r="C127" s="9">
        <v>1.2E-2</v>
      </c>
      <c r="D127" s="46">
        <f>'Facility Risk - P&amp;G'!$C127/$C$151</f>
        <v>1.1801730920535007E-2</v>
      </c>
    </row>
    <row r="128" spans="1:4" ht="19" x14ac:dyDescent="0.25">
      <c r="A128" s="58" t="s">
        <v>163</v>
      </c>
      <c r="B128" s="169">
        <v>5.1100000000000003</v>
      </c>
      <c r="C128" s="8">
        <v>0</v>
      </c>
      <c r="D128" s="45">
        <f>'Facility Risk - P&amp;G'!$C128/$C$151</f>
        <v>0</v>
      </c>
    </row>
    <row r="129" spans="1:4" ht="19" x14ac:dyDescent="0.25">
      <c r="A129" s="57" t="s">
        <v>164</v>
      </c>
      <c r="B129" s="137">
        <v>7.1</v>
      </c>
      <c r="C129" s="9">
        <v>0</v>
      </c>
      <c r="D129" s="46">
        <f>'Facility Risk - P&amp;G'!$C129/$C$151</f>
        <v>0</v>
      </c>
    </row>
    <row r="130" spans="1:4" ht="19" x14ac:dyDescent="0.25">
      <c r="A130" s="58" t="s">
        <v>165</v>
      </c>
      <c r="B130" s="170">
        <v>3.52</v>
      </c>
      <c r="C130" s="8">
        <v>6.0000000000000001E-3</v>
      </c>
      <c r="D130" s="45">
        <f>'Facility Risk - P&amp;G'!$C130/$C$151</f>
        <v>5.9008654602675037E-3</v>
      </c>
    </row>
    <row r="131" spans="1:4" ht="19" x14ac:dyDescent="0.25">
      <c r="A131" s="57" t="s">
        <v>166</v>
      </c>
      <c r="B131" s="171">
        <v>2.78</v>
      </c>
      <c r="C131" s="9">
        <v>6.0000000000000001E-3</v>
      </c>
      <c r="D131" s="46">
        <f>'Facility Risk - P&amp;G'!$C131/$C$151</f>
        <v>5.9008654602675037E-3</v>
      </c>
    </row>
    <row r="132" spans="1:4" ht="19" x14ac:dyDescent="0.25">
      <c r="A132" s="59" t="s">
        <v>167</v>
      </c>
      <c r="B132" s="172">
        <v>7.33</v>
      </c>
      <c r="C132" s="8">
        <v>0</v>
      </c>
      <c r="D132" s="45">
        <f>'Facility Risk - P&amp;G'!$C132/$C$151</f>
        <v>0</v>
      </c>
    </row>
    <row r="133" spans="1:4" ht="19" x14ac:dyDescent="0.25">
      <c r="A133" s="57" t="s">
        <v>168</v>
      </c>
      <c r="B133" s="173">
        <v>5.69</v>
      </c>
      <c r="C133" s="9">
        <v>0</v>
      </c>
      <c r="D133" s="46">
        <f>'Facility Risk - P&amp;G'!$C133/$C$151</f>
        <v>0</v>
      </c>
    </row>
    <row r="134" spans="1:4" ht="19" x14ac:dyDescent="0.25">
      <c r="A134" s="58" t="s">
        <v>169</v>
      </c>
      <c r="B134" s="63">
        <v>5.21</v>
      </c>
      <c r="C134" s="8">
        <v>6.0000000000000001E-3</v>
      </c>
      <c r="D134" s="45">
        <f>'Facility Risk - P&amp;G'!$C134/$C$151</f>
        <v>5.9008654602675037E-3</v>
      </c>
    </row>
    <row r="135" spans="1:4" ht="19" x14ac:dyDescent="0.25">
      <c r="A135" s="57" t="s">
        <v>170</v>
      </c>
      <c r="B135" s="174">
        <v>5.15</v>
      </c>
      <c r="C135" s="9">
        <v>0</v>
      </c>
      <c r="D135" s="46">
        <f>'Facility Risk - P&amp;G'!$C135/$C$151</f>
        <v>0</v>
      </c>
    </row>
    <row r="136" spans="1:4" ht="19" x14ac:dyDescent="0.25">
      <c r="A136" s="58" t="s">
        <v>171</v>
      </c>
      <c r="B136" s="175">
        <v>5.87</v>
      </c>
      <c r="C136" s="8">
        <v>0</v>
      </c>
      <c r="D136" s="45">
        <f>'Facility Risk - P&amp;G'!$C136/$C$151</f>
        <v>0</v>
      </c>
    </row>
    <row r="137" spans="1:4" ht="19" x14ac:dyDescent="0.25">
      <c r="A137" s="57" t="s">
        <v>172</v>
      </c>
      <c r="B137" s="176">
        <v>4.38</v>
      </c>
      <c r="C137" s="9">
        <v>0</v>
      </c>
      <c r="D137" s="46">
        <f>'Facility Risk - P&amp;G'!$C137/$C$151</f>
        <v>0</v>
      </c>
    </row>
    <row r="138" spans="1:4" ht="19" x14ac:dyDescent="0.25">
      <c r="A138" s="58" t="s">
        <v>173</v>
      </c>
      <c r="B138" s="177">
        <v>5.13</v>
      </c>
      <c r="C138" s="8">
        <v>0</v>
      </c>
      <c r="D138" s="45">
        <f>'Facility Risk - P&amp;G'!$C138/$C$151</f>
        <v>0</v>
      </c>
    </row>
    <row r="139" spans="1:4" ht="19" x14ac:dyDescent="0.25">
      <c r="A139" s="57" t="s">
        <v>174</v>
      </c>
      <c r="B139" s="178">
        <v>5.26</v>
      </c>
      <c r="C139" s="9">
        <v>1.2E-2</v>
      </c>
      <c r="D139" s="46">
        <f>'Facility Risk - P&amp;G'!$C139/$C$151</f>
        <v>1.1801730920535007E-2</v>
      </c>
    </row>
    <row r="140" spans="1:4" ht="19" x14ac:dyDescent="0.25">
      <c r="A140" s="58" t="s">
        <v>175</v>
      </c>
      <c r="B140" s="179">
        <v>6.29</v>
      </c>
      <c r="C140" s="8">
        <v>0</v>
      </c>
      <c r="D140" s="45">
        <f>'Facility Risk - P&amp;G'!$C140/$C$151</f>
        <v>0</v>
      </c>
    </row>
    <row r="141" spans="1:4" ht="19" x14ac:dyDescent="0.25">
      <c r="A141" s="57" t="s">
        <v>176</v>
      </c>
      <c r="B141" s="180">
        <v>6.35</v>
      </c>
      <c r="C141" s="9">
        <v>1.2E-2</v>
      </c>
      <c r="D141" s="46">
        <f>'Facility Risk - P&amp;G'!$C141/$C$151</f>
        <v>1.1801730920535007E-2</v>
      </c>
    </row>
    <row r="142" spans="1:4" ht="19" x14ac:dyDescent="0.25">
      <c r="A142" s="58" t="s">
        <v>177</v>
      </c>
      <c r="B142" s="181">
        <v>3.72</v>
      </c>
      <c r="C142" s="8">
        <v>6.0000000000000001E-3</v>
      </c>
      <c r="D142" s="45">
        <f>'Facility Risk - P&amp;G'!$C142/$C$151</f>
        <v>5.9008654602675037E-3</v>
      </c>
    </row>
    <row r="143" spans="1:4" ht="19" x14ac:dyDescent="0.25">
      <c r="A143" s="57" t="s">
        <v>178</v>
      </c>
      <c r="B143" s="145">
        <v>3.32</v>
      </c>
      <c r="C143" s="9">
        <v>4.7899999999999998E-2</v>
      </c>
      <c r="D143" s="46">
        <f>'Facility Risk - P&amp;G'!$C143/$C$151</f>
        <v>4.7108575924468904E-2</v>
      </c>
    </row>
    <row r="144" spans="1:4" ht="19" x14ac:dyDescent="0.25">
      <c r="A144" s="58" t="s">
        <v>179</v>
      </c>
      <c r="B144" s="182">
        <v>4.1900000000000004</v>
      </c>
      <c r="C144" s="8">
        <v>0.26350000000000001</v>
      </c>
      <c r="D144" s="45">
        <f>'Facility Risk - P&amp;G'!$C144/$C$151</f>
        <v>0.25914634146341453</v>
      </c>
    </row>
    <row r="145" spans="1:4" ht="19" x14ac:dyDescent="0.25">
      <c r="A145" s="57" t="s">
        <v>180</v>
      </c>
      <c r="B145" s="183">
        <v>3.91</v>
      </c>
      <c r="C145" s="9">
        <v>0</v>
      </c>
      <c r="D145" s="46">
        <f>'Facility Risk - P&amp;G'!$C145/$C$151</f>
        <v>0</v>
      </c>
    </row>
    <row r="146" spans="1:4" ht="19" x14ac:dyDescent="0.25">
      <c r="A146" s="58" t="s">
        <v>181</v>
      </c>
      <c r="B146" s="112">
        <v>5.77</v>
      </c>
      <c r="C146" s="8">
        <v>1.2E-2</v>
      </c>
      <c r="D146" s="45">
        <f>'Facility Risk - P&amp;G'!$C146/$C$151</f>
        <v>1.1801730920535007E-2</v>
      </c>
    </row>
    <row r="147" spans="1:4" ht="19" x14ac:dyDescent="0.25">
      <c r="A147" s="57" t="s">
        <v>182</v>
      </c>
      <c r="B147" s="184">
        <v>4.32</v>
      </c>
      <c r="C147" s="9">
        <v>1.2E-2</v>
      </c>
      <c r="D147" s="46">
        <f>'Facility Risk - P&amp;G'!$C147/$C$151</f>
        <v>1.1801730920535007E-2</v>
      </c>
    </row>
    <row r="148" spans="1:4" ht="19" x14ac:dyDescent="0.25">
      <c r="A148" s="58" t="s">
        <v>183</v>
      </c>
      <c r="B148" s="70">
        <v>6.3</v>
      </c>
      <c r="C148" s="8">
        <v>0</v>
      </c>
      <c r="D148" s="45">
        <f>'Facility Risk - P&amp;G'!$C148/$C$151</f>
        <v>0</v>
      </c>
    </row>
    <row r="149" spans="1:4" ht="19" x14ac:dyDescent="0.25">
      <c r="A149" s="57" t="s">
        <v>184</v>
      </c>
      <c r="B149" s="185">
        <v>4.95</v>
      </c>
      <c r="C149" s="9">
        <v>0</v>
      </c>
      <c r="D149" s="46">
        <f>'Facility Risk - P&amp;G'!$C149/$C$151</f>
        <v>0</v>
      </c>
    </row>
    <row r="150" spans="1:4" ht="19" x14ac:dyDescent="0.25">
      <c r="A150" s="60" t="s">
        <v>185</v>
      </c>
      <c r="B150" s="186">
        <v>6.14</v>
      </c>
      <c r="C150" s="10">
        <v>0</v>
      </c>
      <c r="D150" s="47">
        <f>'Facility Risk - P&amp;G'!$C150/$C$151</f>
        <v>0</v>
      </c>
    </row>
    <row r="151" spans="1:4" ht="19" x14ac:dyDescent="0.25">
      <c r="A151" s="61" t="s">
        <v>186</v>
      </c>
      <c r="B151" s="5"/>
      <c r="C151" s="6">
        <f>SUM(C4:C150)</f>
        <v>1.0168000000000004</v>
      </c>
      <c r="D151" s="48">
        <f>SUM(D4:D150)</f>
        <v>0.99999999999999967</v>
      </c>
    </row>
  </sheetData>
  <mergeCells count="1">
    <mergeCell ref="A1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06FE7-78B6-7241-A4D4-F170FDE818F9}">
  <dimension ref="A1:J151"/>
  <sheetViews>
    <sheetView workbookViewId="0">
      <selection activeCell="I17" sqref="I17"/>
    </sheetView>
  </sheetViews>
  <sheetFormatPr baseColWidth="10" defaultColWidth="11" defaultRowHeight="16" x14ac:dyDescent="0.2"/>
  <cols>
    <col min="1" max="1" width="23" bestFit="1" customWidth="1"/>
    <col min="2" max="2" width="32" bestFit="1" customWidth="1"/>
    <col min="3" max="3" width="33.6640625" bestFit="1" customWidth="1"/>
    <col min="4" max="4" width="42.6640625" bestFit="1" customWidth="1"/>
    <col min="5" max="5" width="16" bestFit="1" customWidth="1"/>
    <col min="7" max="7" width="29.33203125" bestFit="1" customWidth="1"/>
    <col min="8" max="8" width="12.33203125" bestFit="1" customWidth="1"/>
    <col min="9" max="9" width="22.5" bestFit="1" customWidth="1"/>
    <col min="10" max="10" width="12.33203125" bestFit="1" customWidth="1"/>
  </cols>
  <sheetData>
    <row r="1" spans="1:10" ht="17" customHeight="1" x14ac:dyDescent="0.2">
      <c r="A1" s="188" t="s">
        <v>7</v>
      </c>
      <c r="B1" s="189"/>
      <c r="C1" s="189"/>
      <c r="D1" s="189"/>
    </row>
    <row r="2" spans="1:10" ht="17" customHeight="1" thickBot="1" x14ac:dyDescent="0.25">
      <c r="A2" s="190"/>
      <c r="B2" s="191"/>
      <c r="C2" s="191"/>
      <c r="D2" s="191"/>
    </row>
    <row r="3" spans="1:10" ht="20" thickTop="1" x14ac:dyDescent="0.25">
      <c r="A3" s="12" t="s">
        <v>27</v>
      </c>
      <c r="B3" s="13" t="s">
        <v>28</v>
      </c>
      <c r="C3" s="14" t="s">
        <v>29</v>
      </c>
      <c r="D3" s="7" t="s">
        <v>30</v>
      </c>
    </row>
    <row r="4" spans="1:10" ht="20" thickBot="1" x14ac:dyDescent="0.3">
      <c r="A4" s="56" t="s">
        <v>31</v>
      </c>
      <c r="B4" s="62">
        <v>4.37</v>
      </c>
      <c r="C4" s="15">
        <v>0</v>
      </c>
      <c r="D4" s="45">
        <f>'Facility Risk - Samsung'!$C4/$C$151</f>
        <v>0</v>
      </c>
      <c r="E4" s="1"/>
      <c r="F4" s="3"/>
      <c r="G4" s="4"/>
    </row>
    <row r="5" spans="1:10" ht="20" thickBot="1" x14ac:dyDescent="0.3">
      <c r="A5" s="57" t="s">
        <v>32</v>
      </c>
      <c r="B5" s="63">
        <v>5.21</v>
      </c>
      <c r="C5" s="9">
        <v>0</v>
      </c>
      <c r="D5" s="46">
        <f>'Facility Risk - Samsung'!$C5/$C$151</f>
        <v>0</v>
      </c>
      <c r="E5" s="1"/>
      <c r="F5" s="3"/>
      <c r="G5" s="32" t="s">
        <v>33</v>
      </c>
      <c r="H5" s="33"/>
      <c r="I5" s="33"/>
      <c r="J5" s="34"/>
    </row>
    <row r="6" spans="1:10" ht="20" thickBot="1" x14ac:dyDescent="0.3">
      <c r="A6" s="58" t="s">
        <v>34</v>
      </c>
      <c r="B6" s="64">
        <v>5.63</v>
      </c>
      <c r="C6" s="8">
        <v>0</v>
      </c>
      <c r="D6" s="45">
        <f>'Facility Risk - Samsung'!$C6/$C$151</f>
        <v>0</v>
      </c>
      <c r="E6" s="1"/>
      <c r="F6" s="3"/>
      <c r="G6" s="20"/>
      <c r="H6" s="21" t="s">
        <v>35</v>
      </c>
      <c r="I6" s="22" t="s">
        <v>36</v>
      </c>
      <c r="J6" s="23" t="s">
        <v>37</v>
      </c>
    </row>
    <row r="7" spans="1:10" ht="19" x14ac:dyDescent="0.25">
      <c r="A7" s="57" t="s">
        <v>38</v>
      </c>
      <c r="B7" s="65">
        <v>4.3600000000000003</v>
      </c>
      <c r="C7" s="9">
        <v>0</v>
      </c>
      <c r="D7" s="46">
        <f>'Facility Risk - Samsung'!$C7/$C$151</f>
        <v>0</v>
      </c>
      <c r="E7" s="1"/>
      <c r="F7" s="3"/>
      <c r="G7" s="24" t="s">
        <v>39</v>
      </c>
      <c r="H7" s="25" t="str">
        <f>INDEX(A4:A150,MATCH(MIN(D4:D150),D4:D150,0))</f>
        <v>Albania</v>
      </c>
      <c r="I7" s="25">
        <f>INDEX(B4:B150,MATCH(MIN(D4:D150),D4:D150,0))</f>
        <v>4.37</v>
      </c>
      <c r="J7" s="26">
        <f>INDEX(D4:D150,MATCH(MIN(D4:D150),D4:D150,0))</f>
        <v>0</v>
      </c>
    </row>
    <row r="8" spans="1:10" ht="20" thickBot="1" x14ac:dyDescent="0.3">
      <c r="A8" s="58" t="s">
        <v>40</v>
      </c>
      <c r="B8" s="66">
        <v>4.79</v>
      </c>
      <c r="C8" s="8">
        <v>0</v>
      </c>
      <c r="D8" s="45">
        <f>'Facility Risk - Samsung'!$C8/$C$151</f>
        <v>0</v>
      </c>
      <c r="E8" s="1"/>
      <c r="F8" s="3"/>
      <c r="G8" s="27" t="s">
        <v>41</v>
      </c>
      <c r="H8" s="28" t="str">
        <f>INDEX(A4:A150,MATCH(MAX(D4:D150),D4:D150,0))</f>
        <v>South Korea</v>
      </c>
      <c r="I8" s="28">
        <f>INDEX(B4:B150,MATCH(MAX(D4:D150),D4:D150,0))</f>
        <v>3.57</v>
      </c>
      <c r="J8" s="31">
        <f>INDEX(D4:D150,MATCH(MAX(D4:D150),D4:D150,0))</f>
        <v>0.51608620161372687</v>
      </c>
    </row>
    <row r="9" spans="1:10" ht="23" thickBot="1" x14ac:dyDescent="0.35">
      <c r="A9" s="57" t="s">
        <v>42</v>
      </c>
      <c r="B9" s="67">
        <v>3.22</v>
      </c>
      <c r="C9" s="9">
        <v>0</v>
      </c>
      <c r="D9" s="46">
        <f>'Facility Risk - Samsung'!$C9/$C$151</f>
        <v>0</v>
      </c>
      <c r="E9" s="1"/>
      <c r="F9" s="3"/>
      <c r="G9" s="30" t="s">
        <v>43</v>
      </c>
      <c r="H9" s="29"/>
      <c r="I9" s="29"/>
      <c r="J9" s="187">
        <f>SUMPRODUCT(B4:B150,D4:D150)</f>
        <v>4.0176366050454497</v>
      </c>
    </row>
    <row r="10" spans="1:10" ht="19" x14ac:dyDescent="0.25">
      <c r="A10" s="58" t="s">
        <v>44</v>
      </c>
      <c r="B10" s="68">
        <v>3.41</v>
      </c>
      <c r="C10" s="8">
        <v>0</v>
      </c>
      <c r="D10" s="45">
        <f>'Facility Risk - Samsung'!$C10/$C$151</f>
        <v>0</v>
      </c>
      <c r="E10" s="1"/>
      <c r="F10" s="3"/>
      <c r="G10" s="4"/>
    </row>
    <row r="11" spans="1:10" ht="19" x14ac:dyDescent="0.25">
      <c r="A11" s="57" t="s">
        <v>45</v>
      </c>
      <c r="B11" s="63">
        <v>5.21</v>
      </c>
      <c r="C11" s="9">
        <v>0</v>
      </c>
      <c r="D11" s="46">
        <f>'Facility Risk - Samsung'!$C11/$C$151</f>
        <v>0</v>
      </c>
      <c r="E11" s="1"/>
      <c r="F11" s="3"/>
      <c r="G11" s="4"/>
    </row>
    <row r="12" spans="1:10" ht="19" x14ac:dyDescent="0.25">
      <c r="A12" s="58" t="s">
        <v>46</v>
      </c>
      <c r="B12" s="69">
        <v>4.26</v>
      </c>
      <c r="C12" s="8">
        <v>0</v>
      </c>
      <c r="D12" s="45">
        <f>'Facility Risk - Samsung'!$C12/$C$151</f>
        <v>0</v>
      </c>
      <c r="E12" s="1"/>
      <c r="F12" s="3"/>
      <c r="G12" s="4"/>
    </row>
    <row r="13" spans="1:10" ht="19" x14ac:dyDescent="0.25">
      <c r="A13" s="57" t="s">
        <v>47</v>
      </c>
      <c r="B13" s="70">
        <v>6.29</v>
      </c>
      <c r="C13" s="9">
        <v>0</v>
      </c>
      <c r="D13" s="46">
        <f>'Facility Risk - Samsung'!$C13/$C$151</f>
        <v>0</v>
      </c>
      <c r="E13" s="1"/>
      <c r="F13" s="3"/>
      <c r="G13" s="4"/>
    </row>
    <row r="14" spans="1:10" ht="19" x14ac:dyDescent="0.25">
      <c r="A14" s="58" t="s">
        <v>48</v>
      </c>
      <c r="B14" s="71">
        <v>5.45</v>
      </c>
      <c r="C14" s="8">
        <v>0</v>
      </c>
      <c r="D14" s="45">
        <f>'Facility Risk - Samsung'!$C14/$C$151</f>
        <v>0</v>
      </c>
      <c r="E14" s="1"/>
      <c r="F14" s="3"/>
      <c r="G14" s="4"/>
    </row>
    <row r="15" spans="1:10" ht="19" x14ac:dyDescent="0.25">
      <c r="A15" s="57" t="s">
        <v>49</v>
      </c>
      <c r="B15" s="72">
        <v>3.33</v>
      </c>
      <c r="C15" s="9">
        <v>0</v>
      </c>
      <c r="D15" s="46">
        <f>'Facility Risk - Samsung'!$C15/$C$151</f>
        <v>0</v>
      </c>
      <c r="E15" s="1"/>
      <c r="F15" s="3"/>
      <c r="G15" s="4"/>
    </row>
    <row r="16" spans="1:10" ht="19" x14ac:dyDescent="0.25">
      <c r="A16" s="58" t="s">
        <v>50</v>
      </c>
      <c r="B16" s="73">
        <v>6</v>
      </c>
      <c r="C16" s="8">
        <v>0</v>
      </c>
      <c r="D16" s="45">
        <f>'Facility Risk - Samsung'!$C16/$C$151</f>
        <v>0</v>
      </c>
      <c r="E16" s="1"/>
      <c r="F16" s="3"/>
      <c r="G16" s="4"/>
    </row>
    <row r="17" spans="1:7" ht="19" x14ac:dyDescent="0.25">
      <c r="A17" s="57" t="s">
        <v>51</v>
      </c>
      <c r="B17" s="74">
        <v>5.0199999999999996</v>
      </c>
      <c r="C17" s="9">
        <v>0</v>
      </c>
      <c r="D17" s="46">
        <f>'Facility Risk - Samsung'!$C17/$C$151</f>
        <v>0</v>
      </c>
      <c r="E17" s="1"/>
      <c r="F17" s="3"/>
      <c r="G17" s="4"/>
    </row>
    <row r="18" spans="1:7" ht="19" x14ac:dyDescent="0.25">
      <c r="A18" s="58" t="s">
        <v>52</v>
      </c>
      <c r="B18" s="75">
        <v>5.41</v>
      </c>
      <c r="C18" s="8">
        <v>0</v>
      </c>
      <c r="D18" s="45">
        <f>'Facility Risk - Samsung'!$C18/$C$151</f>
        <v>0</v>
      </c>
      <c r="E18" s="1"/>
      <c r="F18" s="3"/>
      <c r="G18" s="4"/>
    </row>
    <row r="19" spans="1:7" ht="19" x14ac:dyDescent="0.25">
      <c r="A19" s="57" t="s">
        <v>53</v>
      </c>
      <c r="B19" s="76">
        <v>5.34</v>
      </c>
      <c r="C19" s="9">
        <v>0</v>
      </c>
      <c r="D19" s="46">
        <f>'Facility Risk - Samsung'!$C19/$C$151</f>
        <v>0</v>
      </c>
      <c r="E19" s="1"/>
      <c r="F19" s="3"/>
      <c r="G19" s="4"/>
    </row>
    <row r="20" spans="1:7" ht="19" x14ac:dyDescent="0.25">
      <c r="A20" s="58" t="s">
        <v>54</v>
      </c>
      <c r="B20" s="77">
        <v>4.34</v>
      </c>
      <c r="C20" s="8">
        <v>0</v>
      </c>
      <c r="D20" s="45">
        <f>'Facility Risk - Samsung'!$C20/$C$151</f>
        <v>0</v>
      </c>
      <c r="E20" s="1"/>
      <c r="F20" s="3"/>
      <c r="G20" s="4"/>
    </row>
    <row r="21" spans="1:7" ht="19" x14ac:dyDescent="0.25">
      <c r="A21" s="57" t="s">
        <v>55</v>
      </c>
      <c r="B21" s="78">
        <v>5.35</v>
      </c>
      <c r="C21" s="9">
        <v>2.1099999999999997E-2</v>
      </c>
      <c r="D21" s="46">
        <f>'Facility Risk - Samsung'!$C21/$C$151</f>
        <v>2.1550403431723007E-2</v>
      </c>
      <c r="E21" s="1"/>
      <c r="F21" s="3"/>
      <c r="G21" s="4"/>
    </row>
    <row r="22" spans="1:7" ht="19" x14ac:dyDescent="0.25">
      <c r="A22" s="58" t="s">
        <v>56</v>
      </c>
      <c r="B22" s="79">
        <v>4.43</v>
      </c>
      <c r="C22" s="8">
        <v>0</v>
      </c>
      <c r="D22" s="45">
        <f>'Facility Risk - Samsung'!$C22/$C$151</f>
        <v>0</v>
      </c>
    </row>
    <row r="23" spans="1:7" ht="19" x14ac:dyDescent="0.25">
      <c r="A23" s="57" t="s">
        <v>57</v>
      </c>
      <c r="B23" s="80">
        <v>6.55</v>
      </c>
      <c r="C23" s="9">
        <v>0</v>
      </c>
      <c r="D23" s="46">
        <f>'Facility Risk - Samsung'!$C23/$C$151</f>
        <v>0</v>
      </c>
    </row>
    <row r="24" spans="1:7" ht="19" x14ac:dyDescent="0.25">
      <c r="A24" s="58" t="s">
        <v>58</v>
      </c>
      <c r="B24" s="81">
        <v>6.33</v>
      </c>
      <c r="C24" s="8">
        <v>0</v>
      </c>
      <c r="D24" s="45">
        <f>'Facility Risk - Samsung'!$C24/$C$151</f>
        <v>0</v>
      </c>
    </row>
    <row r="25" spans="1:7" ht="19" x14ac:dyDescent="0.25">
      <c r="A25" s="57" t="s">
        <v>59</v>
      </c>
      <c r="B25" s="64">
        <v>5.64</v>
      </c>
      <c r="C25" s="9">
        <v>0</v>
      </c>
      <c r="D25" s="46">
        <f>'Facility Risk - Samsung'!$C25/$C$151</f>
        <v>0</v>
      </c>
    </row>
    <row r="26" spans="1:7" ht="19" x14ac:dyDescent="0.25">
      <c r="A26" s="58" t="s">
        <v>60</v>
      </c>
      <c r="B26" s="82">
        <v>6.83</v>
      </c>
      <c r="C26" s="8">
        <v>0</v>
      </c>
      <c r="D26" s="45">
        <f>'Facility Risk - Samsung'!$C26/$C$151</f>
        <v>0</v>
      </c>
    </row>
    <row r="27" spans="1:7" ht="19" x14ac:dyDescent="0.25">
      <c r="A27" s="57" t="s">
        <v>61</v>
      </c>
      <c r="B27" s="83">
        <v>3.44</v>
      </c>
      <c r="C27" s="9">
        <v>0</v>
      </c>
      <c r="D27" s="46">
        <f>'Facility Risk - Samsung'!$C27/$C$151</f>
        <v>0</v>
      </c>
    </row>
    <row r="28" spans="1:7" ht="19" x14ac:dyDescent="0.25">
      <c r="A28" s="58" t="s">
        <v>62</v>
      </c>
      <c r="B28" s="84">
        <v>6.79</v>
      </c>
      <c r="C28" s="8">
        <v>0</v>
      </c>
      <c r="D28" s="45">
        <f>'Facility Risk - Samsung'!$C28/$C$151</f>
        <v>0</v>
      </c>
    </row>
    <row r="29" spans="1:7" ht="19" x14ac:dyDescent="0.25">
      <c r="A29" s="57" t="s">
        <v>63</v>
      </c>
      <c r="B29" s="82">
        <v>6.84</v>
      </c>
      <c r="C29" s="9">
        <v>0</v>
      </c>
      <c r="D29" s="46">
        <f>'Facility Risk - Samsung'!$C29/$C$151</f>
        <v>0</v>
      </c>
    </row>
    <row r="30" spans="1:7" ht="19" x14ac:dyDescent="0.25">
      <c r="A30" s="58" t="s">
        <v>64</v>
      </c>
      <c r="B30" s="65">
        <v>4.3600000000000003</v>
      </c>
      <c r="C30" s="8">
        <v>0</v>
      </c>
      <c r="D30" s="45">
        <f>'Facility Risk - Samsung'!$C30/$C$151</f>
        <v>0</v>
      </c>
    </row>
    <row r="31" spans="1:7" ht="19" x14ac:dyDescent="0.25">
      <c r="A31" s="57" t="s">
        <v>65</v>
      </c>
      <c r="B31" s="85">
        <v>4.26</v>
      </c>
      <c r="C31" s="9">
        <v>0.1263</v>
      </c>
      <c r="D31" s="46">
        <f>'Facility Risk - Samsung'!$C31/$C$151</f>
        <v>0.1289960167500766</v>
      </c>
      <c r="E31" s="50" t="s">
        <v>66</v>
      </c>
    </row>
    <row r="32" spans="1:7" ht="19" x14ac:dyDescent="0.25">
      <c r="A32" s="58" t="s">
        <v>67</v>
      </c>
      <c r="B32" s="86">
        <v>5.72</v>
      </c>
      <c r="C32" s="8">
        <v>0</v>
      </c>
      <c r="D32" s="45">
        <f>'Facility Risk - Samsung'!$C32/$C$151</f>
        <v>0</v>
      </c>
    </row>
    <row r="33" spans="1:4" ht="19" x14ac:dyDescent="0.25">
      <c r="A33" s="57" t="s">
        <v>68</v>
      </c>
      <c r="B33" s="87">
        <v>5.65</v>
      </c>
      <c r="C33" s="9">
        <v>0</v>
      </c>
      <c r="D33" s="46">
        <f>'Facility Risk - Samsung'!$C33/$C$151</f>
        <v>0</v>
      </c>
    </row>
    <row r="34" spans="1:4" ht="19" x14ac:dyDescent="0.25">
      <c r="A34" s="58" t="s">
        <v>69</v>
      </c>
      <c r="B34" s="88">
        <v>4.2300000000000004</v>
      </c>
      <c r="C34" s="8">
        <v>0</v>
      </c>
      <c r="D34" s="45">
        <f>'Facility Risk - Samsung'!$C34/$C$151</f>
        <v>0</v>
      </c>
    </row>
    <row r="35" spans="1:4" ht="19" x14ac:dyDescent="0.25">
      <c r="A35" s="57" t="s">
        <v>70</v>
      </c>
      <c r="B35" s="89">
        <v>5.6</v>
      </c>
      <c r="C35" s="9">
        <v>0</v>
      </c>
      <c r="D35" s="46">
        <f>'Facility Risk - Samsung'!$C35/$C$151</f>
        <v>0</v>
      </c>
    </row>
    <row r="36" spans="1:4" ht="19" x14ac:dyDescent="0.25">
      <c r="A36" s="58" t="s">
        <v>71</v>
      </c>
      <c r="B36" s="90">
        <v>4.28</v>
      </c>
      <c r="C36" s="8">
        <v>0</v>
      </c>
      <c r="D36" s="45">
        <f>'Facility Risk - Samsung'!$C36/$C$151</f>
        <v>0</v>
      </c>
    </row>
    <row r="37" spans="1:4" ht="19" x14ac:dyDescent="0.25">
      <c r="A37" s="57" t="s">
        <v>72</v>
      </c>
      <c r="B37" s="91">
        <v>4.67</v>
      </c>
      <c r="C37" s="9">
        <v>0</v>
      </c>
      <c r="D37" s="46">
        <f>'Facility Risk - Samsung'!$C37/$C$151</f>
        <v>0</v>
      </c>
    </row>
    <row r="38" spans="1:4" ht="19" x14ac:dyDescent="0.25">
      <c r="A38" s="58" t="s">
        <v>73</v>
      </c>
      <c r="B38" s="92">
        <v>3.75</v>
      </c>
      <c r="C38" s="8">
        <v>0</v>
      </c>
      <c r="D38" s="45">
        <f>'Facility Risk - Samsung'!$C38/$C$151</f>
        <v>0</v>
      </c>
    </row>
    <row r="39" spans="1:4" ht="19" x14ac:dyDescent="0.25">
      <c r="A39" s="57" t="s">
        <v>74</v>
      </c>
      <c r="B39" s="93">
        <v>3.2</v>
      </c>
      <c r="C39" s="9">
        <v>0</v>
      </c>
      <c r="D39" s="46">
        <f>'Facility Risk - Samsung'!$C39/$C$151</f>
        <v>0</v>
      </c>
    </row>
    <row r="40" spans="1:4" ht="19" x14ac:dyDescent="0.25">
      <c r="A40" s="58" t="s">
        <v>75</v>
      </c>
      <c r="B40" s="94">
        <v>5.98</v>
      </c>
      <c r="C40" s="8">
        <v>0</v>
      </c>
      <c r="D40" s="45">
        <f>'Facility Risk - Samsung'!$C40/$C$151</f>
        <v>0</v>
      </c>
    </row>
    <row r="41" spans="1:4" ht="19" x14ac:dyDescent="0.25">
      <c r="A41" s="57" t="s">
        <v>76</v>
      </c>
      <c r="B41" s="95">
        <v>4.7</v>
      </c>
      <c r="C41" s="9">
        <v>0</v>
      </c>
      <c r="D41" s="46">
        <f>'Facility Risk - Samsung'!$C41/$C$151</f>
        <v>0</v>
      </c>
    </row>
    <row r="42" spans="1:4" ht="19" x14ac:dyDescent="0.25">
      <c r="A42" s="58" t="s">
        <v>77</v>
      </c>
      <c r="B42" s="96">
        <v>5.71</v>
      </c>
      <c r="C42" s="8">
        <v>0</v>
      </c>
      <c r="D42" s="45">
        <f>'Facility Risk - Samsung'!$C42/$C$151</f>
        <v>0</v>
      </c>
    </row>
    <row r="43" spans="1:4" ht="19" x14ac:dyDescent="0.25">
      <c r="A43" s="57" t="s">
        <v>78</v>
      </c>
      <c r="B43" s="97">
        <v>5.6</v>
      </c>
      <c r="C43" s="9">
        <v>1.0500000000000001E-2</v>
      </c>
      <c r="D43" s="46">
        <f>'Facility Risk - Samsung'!$C43/$C$151</f>
        <v>1.0724134409151263E-2</v>
      </c>
    </row>
    <row r="44" spans="1:4" ht="19" x14ac:dyDescent="0.25">
      <c r="A44" s="58" t="s">
        <v>79</v>
      </c>
      <c r="B44" s="98">
        <v>4.79</v>
      </c>
      <c r="C44" s="8">
        <v>0</v>
      </c>
      <c r="D44" s="45">
        <f>'Facility Risk - Samsung'!$C44/$C$151</f>
        <v>0</v>
      </c>
    </row>
    <row r="45" spans="1:4" ht="19" x14ac:dyDescent="0.25">
      <c r="A45" s="57" t="s">
        <v>80</v>
      </c>
      <c r="B45" s="99">
        <v>3.57</v>
      </c>
      <c r="C45" s="9">
        <v>0</v>
      </c>
      <c r="D45" s="46">
        <f>'Facility Risk - Samsung'!$C45/$C$151</f>
        <v>0</v>
      </c>
    </row>
    <row r="46" spans="1:4" ht="19" x14ac:dyDescent="0.25">
      <c r="A46" s="58" t="s">
        <v>81</v>
      </c>
      <c r="B46" s="100">
        <v>4.5</v>
      </c>
      <c r="C46" s="8">
        <v>0</v>
      </c>
      <c r="D46" s="45">
        <f>'Facility Risk - Samsung'!$C46/$C$151</f>
        <v>0</v>
      </c>
    </row>
    <row r="47" spans="1:4" ht="19" x14ac:dyDescent="0.25">
      <c r="A47" s="57" t="s">
        <v>82</v>
      </c>
      <c r="B47" s="101">
        <v>6.93</v>
      </c>
      <c r="C47" s="9">
        <v>0</v>
      </c>
      <c r="D47" s="46">
        <f>'Facility Risk - Samsung'!$C47/$C$151</f>
        <v>0</v>
      </c>
    </row>
    <row r="48" spans="1:4" ht="19" x14ac:dyDescent="0.25">
      <c r="A48" s="58" t="s">
        <v>83</v>
      </c>
      <c r="B48" s="102">
        <v>3.35</v>
      </c>
      <c r="C48" s="8">
        <v>0</v>
      </c>
      <c r="D48" s="45">
        <f>'Facility Risk - Samsung'!$C48/$C$151</f>
        <v>0</v>
      </c>
    </row>
    <row r="49" spans="1:4" ht="19" x14ac:dyDescent="0.25">
      <c r="A49" s="57" t="s">
        <v>84</v>
      </c>
      <c r="B49" s="103">
        <v>3.65</v>
      </c>
      <c r="C49" s="9">
        <v>0</v>
      </c>
      <c r="D49" s="46">
        <f>'Facility Risk - Samsung'!$C49/$C$151</f>
        <v>0</v>
      </c>
    </row>
    <row r="50" spans="1:4" ht="19" x14ac:dyDescent="0.25">
      <c r="A50" s="58" t="s">
        <v>85</v>
      </c>
      <c r="B50" s="104">
        <v>5.78</v>
      </c>
      <c r="C50" s="8">
        <v>0</v>
      </c>
      <c r="D50" s="45">
        <f>'Facility Risk - Samsung'!$C50/$C$151</f>
        <v>0</v>
      </c>
    </row>
    <row r="51" spans="1:4" ht="19" x14ac:dyDescent="0.25">
      <c r="A51" s="57" t="s">
        <v>86</v>
      </c>
      <c r="B51" s="105">
        <v>5.38</v>
      </c>
      <c r="C51" s="9">
        <v>0</v>
      </c>
      <c r="D51" s="46">
        <f>'Facility Risk - Samsung'!$C51/$C$151</f>
        <v>0</v>
      </c>
    </row>
    <row r="52" spans="1:4" ht="19" x14ac:dyDescent="0.25">
      <c r="A52" s="58" t="s">
        <v>87</v>
      </c>
      <c r="B52" s="106">
        <v>4.93</v>
      </c>
      <c r="C52" s="8">
        <v>0</v>
      </c>
      <c r="D52" s="45">
        <f>'Facility Risk - Samsung'!$C52/$C$151</f>
        <v>0</v>
      </c>
    </row>
    <row r="53" spans="1:4" ht="19" x14ac:dyDescent="0.25">
      <c r="A53" s="57" t="s">
        <v>88</v>
      </c>
      <c r="B53" s="68">
        <v>3.42</v>
      </c>
      <c r="C53" s="9">
        <v>1.0500000000000001E-2</v>
      </c>
      <c r="D53" s="46">
        <f>'Facility Risk - Samsung'!$C53/$C$151</f>
        <v>1.0724134409151263E-2</v>
      </c>
    </row>
    <row r="54" spans="1:4" ht="19" x14ac:dyDescent="0.25">
      <c r="A54" s="58" t="s">
        <v>89</v>
      </c>
      <c r="B54" s="107">
        <v>4.63</v>
      </c>
      <c r="C54" s="8">
        <v>0</v>
      </c>
      <c r="D54" s="45">
        <f>'Facility Risk - Samsung'!$C54/$C$151</f>
        <v>0</v>
      </c>
    </row>
    <row r="55" spans="1:4" ht="19" x14ac:dyDescent="0.25">
      <c r="A55" s="57" t="s">
        <v>90</v>
      </c>
      <c r="B55" s="77">
        <v>4.34</v>
      </c>
      <c r="C55" s="9">
        <v>0</v>
      </c>
      <c r="D55" s="46">
        <f>'Facility Risk - Samsung'!$C55/$C$151</f>
        <v>0</v>
      </c>
    </row>
    <row r="56" spans="1:4" ht="19" x14ac:dyDescent="0.25">
      <c r="A56" s="58" t="s">
        <v>91</v>
      </c>
      <c r="B56" s="71">
        <v>5.45</v>
      </c>
      <c r="C56" s="8">
        <v>0</v>
      </c>
      <c r="D56" s="45">
        <f>'Facility Risk - Samsung'!$C56/$C$151</f>
        <v>0</v>
      </c>
    </row>
    <row r="57" spans="1:4" ht="19" x14ac:dyDescent="0.25">
      <c r="A57" s="57" t="s">
        <v>92</v>
      </c>
      <c r="B57" s="108">
        <v>6.36</v>
      </c>
      <c r="C57" s="9">
        <v>0</v>
      </c>
      <c r="D57" s="46">
        <f>'Facility Risk - Samsung'!$C57/$C$151</f>
        <v>0</v>
      </c>
    </row>
    <row r="58" spans="1:4" ht="19" x14ac:dyDescent="0.25">
      <c r="A58" s="58" t="s">
        <v>93</v>
      </c>
      <c r="B58" s="109">
        <v>5.94</v>
      </c>
      <c r="C58" s="8">
        <v>0</v>
      </c>
      <c r="D58" s="45">
        <f>'Facility Risk - Samsung'!$C58/$C$151</f>
        <v>0</v>
      </c>
    </row>
    <row r="59" spans="1:4" ht="19" x14ac:dyDescent="0.25">
      <c r="A59" s="57" t="s">
        <v>94</v>
      </c>
      <c r="B59" s="110">
        <v>4.92</v>
      </c>
      <c r="C59" s="9">
        <v>0</v>
      </c>
      <c r="D59" s="46">
        <f>'Facility Risk - Samsung'!$C59/$C$151</f>
        <v>0</v>
      </c>
    </row>
    <row r="60" spans="1:4" ht="19" x14ac:dyDescent="0.25">
      <c r="A60" s="58" t="s">
        <v>95</v>
      </c>
      <c r="B60" s="111">
        <v>6.53</v>
      </c>
      <c r="C60" s="8">
        <v>0</v>
      </c>
      <c r="D60" s="45">
        <f>'Facility Risk - Samsung'!$C60/$C$151</f>
        <v>0</v>
      </c>
    </row>
    <row r="61" spans="1:4" ht="19" x14ac:dyDescent="0.25">
      <c r="A61" s="57" t="s">
        <v>96</v>
      </c>
      <c r="B61" s="112">
        <v>5.77</v>
      </c>
      <c r="C61" s="9">
        <v>0</v>
      </c>
      <c r="D61" s="46">
        <f>'Facility Risk - Samsung'!$C61/$C$151</f>
        <v>0</v>
      </c>
    </row>
    <row r="62" spans="1:4" ht="19" x14ac:dyDescent="0.25">
      <c r="A62" s="58" t="s">
        <v>97</v>
      </c>
      <c r="B62" s="113">
        <v>3.63</v>
      </c>
      <c r="C62" s="8">
        <v>2.1099999999999997E-2</v>
      </c>
      <c r="D62" s="45">
        <f>'Facility Risk - Samsung'!$C62/$C$151</f>
        <v>2.1550403431723007E-2</v>
      </c>
    </row>
    <row r="63" spans="1:4" ht="19" x14ac:dyDescent="0.25">
      <c r="A63" s="57" t="s">
        <v>98</v>
      </c>
      <c r="B63" s="114">
        <v>3.38</v>
      </c>
      <c r="C63" s="9">
        <v>0</v>
      </c>
      <c r="D63" s="46">
        <f>'Facility Risk - Samsung'!$C63/$C$151</f>
        <v>0</v>
      </c>
    </row>
    <row r="64" spans="1:4" ht="19" x14ac:dyDescent="0.25">
      <c r="A64" s="58" t="s">
        <v>99</v>
      </c>
      <c r="B64" s="115">
        <v>5.07</v>
      </c>
      <c r="C64" s="8">
        <v>2.1099999999999997E-2</v>
      </c>
      <c r="D64" s="45">
        <f>'Facility Risk - Samsung'!$C64/$C$151</f>
        <v>2.1550403431723007E-2</v>
      </c>
    </row>
    <row r="65" spans="1:4" ht="19" x14ac:dyDescent="0.25">
      <c r="A65" s="57" t="s">
        <v>100</v>
      </c>
      <c r="B65" s="106">
        <v>4.92</v>
      </c>
      <c r="C65" s="9">
        <v>2.1099999999999997E-2</v>
      </c>
      <c r="D65" s="46">
        <f>'Facility Risk - Samsung'!$C65/$C$151</f>
        <v>2.1550403431723007E-2</v>
      </c>
    </row>
    <row r="66" spans="1:4" ht="19" x14ac:dyDescent="0.25">
      <c r="A66" s="58" t="s">
        <v>101</v>
      </c>
      <c r="B66" s="116">
        <v>5.88</v>
      </c>
      <c r="C66" s="8">
        <v>0</v>
      </c>
      <c r="D66" s="45">
        <f>'Facility Risk - Samsung'!$C66/$C$151</f>
        <v>0</v>
      </c>
    </row>
    <row r="67" spans="1:4" ht="19" x14ac:dyDescent="0.25">
      <c r="A67" s="57" t="s">
        <v>102</v>
      </c>
      <c r="B67" s="117">
        <v>6.05</v>
      </c>
      <c r="C67" s="9">
        <v>0</v>
      </c>
      <c r="D67" s="46">
        <f>'Facility Risk - Samsung'!$C67/$C$151</f>
        <v>0</v>
      </c>
    </row>
    <row r="68" spans="1:4" ht="19" x14ac:dyDescent="0.25">
      <c r="A68" s="58" t="s">
        <v>103</v>
      </c>
      <c r="B68" s="118">
        <v>3.25</v>
      </c>
      <c r="C68" s="8">
        <v>0</v>
      </c>
      <c r="D68" s="45">
        <f>'Facility Risk - Samsung'!$C68/$C$151</f>
        <v>0</v>
      </c>
    </row>
    <row r="69" spans="1:4" ht="19" x14ac:dyDescent="0.25">
      <c r="A69" s="57" t="s">
        <v>104</v>
      </c>
      <c r="B69" s="119">
        <v>4.6100000000000003</v>
      </c>
      <c r="C69" s="9">
        <v>1.0500000000000001E-2</v>
      </c>
      <c r="D69" s="46">
        <f>'Facility Risk - Samsung'!$C69/$C$151</f>
        <v>1.0724134409151263E-2</v>
      </c>
    </row>
    <row r="70" spans="1:4" ht="19" x14ac:dyDescent="0.25">
      <c r="A70" s="58" t="s">
        <v>105</v>
      </c>
      <c r="B70" s="120">
        <v>3.84</v>
      </c>
      <c r="C70" s="8">
        <v>0</v>
      </c>
      <c r="D70" s="45">
        <f>'Facility Risk - Samsung'!$C70/$C$151</f>
        <v>0</v>
      </c>
    </row>
    <row r="71" spans="1:4" ht="19" x14ac:dyDescent="0.25">
      <c r="A71" s="57" t="s">
        <v>106</v>
      </c>
      <c r="B71" s="121">
        <v>4.75</v>
      </c>
      <c r="C71" s="9">
        <v>0</v>
      </c>
      <c r="D71" s="46">
        <f>'Facility Risk - Samsung'!$C71/$C$151</f>
        <v>0</v>
      </c>
    </row>
    <row r="72" spans="1:4" ht="19" x14ac:dyDescent="0.25">
      <c r="A72" s="58" t="s">
        <v>107</v>
      </c>
      <c r="B72" s="114">
        <v>3.38</v>
      </c>
      <c r="C72" s="8">
        <v>0</v>
      </c>
      <c r="D72" s="45">
        <f>'Facility Risk - Samsung'!$C72/$C$151</f>
        <v>0</v>
      </c>
    </row>
    <row r="73" spans="1:4" ht="19" x14ac:dyDescent="0.25">
      <c r="A73" s="57" t="s">
        <v>108</v>
      </c>
      <c r="B73" s="122">
        <v>5.13</v>
      </c>
      <c r="C73" s="9">
        <v>0</v>
      </c>
      <c r="D73" s="46">
        <f>'Facility Risk - Samsung'!$C73/$C$151</f>
        <v>0</v>
      </c>
    </row>
    <row r="74" spans="1:4" ht="19" x14ac:dyDescent="0.25">
      <c r="A74" s="58" t="s">
        <v>109</v>
      </c>
      <c r="B74" s="123">
        <v>4.54</v>
      </c>
      <c r="C74" s="8">
        <v>0</v>
      </c>
      <c r="D74" s="45">
        <f>'Facility Risk - Samsung'!$C74/$C$151</f>
        <v>0</v>
      </c>
    </row>
    <row r="75" spans="1:4" ht="19" x14ac:dyDescent="0.25">
      <c r="A75" s="57" t="s">
        <v>110</v>
      </c>
      <c r="B75" s="124">
        <v>6.13</v>
      </c>
      <c r="C75" s="9">
        <v>0</v>
      </c>
      <c r="D75" s="46">
        <f>'Facility Risk - Samsung'!$C75/$C$151</f>
        <v>0</v>
      </c>
    </row>
    <row r="76" spans="1:4" ht="19" x14ac:dyDescent="0.25">
      <c r="A76" s="58" t="s">
        <v>111</v>
      </c>
      <c r="B76" s="125">
        <v>4.3</v>
      </c>
      <c r="C76" s="8">
        <v>0</v>
      </c>
      <c r="D76" s="45">
        <f>'Facility Risk - Samsung'!$C76/$C$151</f>
        <v>0</v>
      </c>
    </row>
    <row r="77" spans="1:4" ht="19" x14ac:dyDescent="0.25">
      <c r="A77" s="57" t="s">
        <v>112</v>
      </c>
      <c r="B77" s="126">
        <v>5.37</v>
      </c>
      <c r="C77" s="9">
        <v>0</v>
      </c>
      <c r="D77" s="46">
        <f>'Facility Risk - Samsung'!$C77/$C$151</f>
        <v>0</v>
      </c>
    </row>
    <row r="78" spans="1:4" ht="19" x14ac:dyDescent="0.25">
      <c r="A78" s="58" t="s">
        <v>113</v>
      </c>
      <c r="B78" s="127">
        <v>5.14</v>
      </c>
      <c r="C78" s="8">
        <v>0</v>
      </c>
      <c r="D78" s="45">
        <f>'Facility Risk - Samsung'!$C78/$C$151</f>
        <v>0</v>
      </c>
    </row>
    <row r="79" spans="1:4" ht="19" x14ac:dyDescent="0.25">
      <c r="A79" s="57" t="s">
        <v>114</v>
      </c>
      <c r="B79" s="128">
        <v>3.97</v>
      </c>
      <c r="C79" s="9">
        <v>0</v>
      </c>
      <c r="D79" s="46">
        <f>'Facility Risk - Samsung'!$C79/$C$151</f>
        <v>0</v>
      </c>
    </row>
    <row r="80" spans="1:4" ht="19" x14ac:dyDescent="0.25">
      <c r="A80" s="58" t="s">
        <v>115</v>
      </c>
      <c r="B80" s="129">
        <v>6.12</v>
      </c>
      <c r="C80" s="8">
        <v>0</v>
      </c>
      <c r="D80" s="45">
        <f>'Facility Risk - Samsung'!$C80/$C$151</f>
        <v>0</v>
      </c>
    </row>
    <row r="81" spans="1:4" ht="19" x14ac:dyDescent="0.25">
      <c r="A81" s="57" t="s">
        <v>116</v>
      </c>
      <c r="B81" s="130">
        <v>5.49</v>
      </c>
      <c r="C81" s="9">
        <v>0</v>
      </c>
      <c r="D81" s="46">
        <f>'Facility Risk - Samsung'!$C81/$C$151</f>
        <v>0</v>
      </c>
    </row>
    <row r="82" spans="1:4" ht="19" x14ac:dyDescent="0.25">
      <c r="A82" s="58" t="s">
        <v>117</v>
      </c>
      <c r="B82" s="131">
        <v>5.97</v>
      </c>
      <c r="C82" s="8">
        <v>0</v>
      </c>
      <c r="D82" s="45">
        <f>'Facility Risk - Samsung'!$C82/$C$151</f>
        <v>0</v>
      </c>
    </row>
    <row r="83" spans="1:4" ht="19" x14ac:dyDescent="0.25">
      <c r="A83" s="57" t="s">
        <v>118</v>
      </c>
      <c r="B83" s="132">
        <v>5.68</v>
      </c>
      <c r="C83" s="9">
        <v>0</v>
      </c>
      <c r="D83" s="46">
        <f>'Facility Risk - Samsung'!$C83/$C$151</f>
        <v>0</v>
      </c>
    </row>
    <row r="84" spans="1:4" ht="19" x14ac:dyDescent="0.25">
      <c r="A84" s="58" t="s">
        <v>119</v>
      </c>
      <c r="B84" s="133">
        <v>3.93</v>
      </c>
      <c r="C84" s="8">
        <v>0</v>
      </c>
      <c r="D84" s="45">
        <f>'Facility Risk - Samsung'!$C84/$C$151</f>
        <v>0</v>
      </c>
    </row>
    <row r="85" spans="1:4" ht="19" x14ac:dyDescent="0.25">
      <c r="A85" s="57" t="s">
        <v>120</v>
      </c>
      <c r="B85" s="134">
        <v>5.82</v>
      </c>
      <c r="C85" s="9">
        <v>0</v>
      </c>
      <c r="D85" s="46">
        <f>'Facility Risk - Samsung'!$C85/$C$151</f>
        <v>0</v>
      </c>
    </row>
    <row r="86" spans="1:4" ht="19" x14ac:dyDescent="0.25">
      <c r="A86" s="58" t="s">
        <v>121</v>
      </c>
      <c r="B86" s="135">
        <v>5.58</v>
      </c>
      <c r="C86" s="8">
        <v>0</v>
      </c>
      <c r="D86" s="45">
        <f>'Facility Risk - Samsung'!$C86/$C$151</f>
        <v>0</v>
      </c>
    </row>
    <row r="87" spans="1:4" ht="19" x14ac:dyDescent="0.25">
      <c r="A87" s="57" t="s">
        <v>122</v>
      </c>
      <c r="B87" s="136">
        <v>4.03</v>
      </c>
      <c r="C87" s="9">
        <v>2.1099999999999997E-2</v>
      </c>
      <c r="D87" s="46">
        <f>'Facility Risk - Samsung'!$C87/$C$151</f>
        <v>2.1550403431723007E-2</v>
      </c>
    </row>
    <row r="88" spans="1:4" ht="19" x14ac:dyDescent="0.25">
      <c r="A88" s="58" t="s">
        <v>123</v>
      </c>
      <c r="B88" s="137">
        <v>7.1</v>
      </c>
      <c r="C88" s="8">
        <v>0</v>
      </c>
      <c r="D88" s="45">
        <f>'Facility Risk - Samsung'!$C88/$C$151</f>
        <v>0</v>
      </c>
    </row>
    <row r="89" spans="1:4" ht="19" x14ac:dyDescent="0.25">
      <c r="A89" s="57" t="s">
        <v>124</v>
      </c>
      <c r="B89" s="138">
        <v>6.28</v>
      </c>
      <c r="C89" s="9">
        <v>0</v>
      </c>
      <c r="D89" s="46">
        <f>'Facility Risk - Samsung'!$C89/$C$151</f>
        <v>0</v>
      </c>
    </row>
    <row r="90" spans="1:4" ht="19" x14ac:dyDescent="0.25">
      <c r="A90" s="58" t="s">
        <v>125</v>
      </c>
      <c r="B90" s="139">
        <v>3.47</v>
      </c>
      <c r="C90" s="8">
        <v>0</v>
      </c>
      <c r="D90" s="45">
        <f>'Facility Risk - Samsung'!$C90/$C$151</f>
        <v>0</v>
      </c>
    </row>
    <row r="91" spans="1:4" ht="19" x14ac:dyDescent="0.25">
      <c r="A91" s="57" t="s">
        <v>126</v>
      </c>
      <c r="B91" s="140">
        <v>5.42</v>
      </c>
      <c r="C91" s="9">
        <v>3.1600000000000003E-2</v>
      </c>
      <c r="D91" s="46">
        <f>'Facility Risk - Samsung'!$C91/$C$151</f>
        <v>3.2274537840874279E-2</v>
      </c>
    </row>
    <row r="92" spans="1:4" ht="19" x14ac:dyDescent="0.25">
      <c r="A92" s="58" t="s">
        <v>127</v>
      </c>
      <c r="B92" s="127">
        <v>5.14</v>
      </c>
      <c r="C92" s="8">
        <v>0</v>
      </c>
      <c r="D92" s="45">
        <f>'Facility Risk - Samsung'!$C92/$C$151</f>
        <v>0</v>
      </c>
    </row>
    <row r="93" spans="1:4" ht="19" x14ac:dyDescent="0.25">
      <c r="A93" s="57" t="s">
        <v>128</v>
      </c>
      <c r="B93" s="141">
        <v>4.6500000000000004</v>
      </c>
      <c r="C93" s="9">
        <v>0</v>
      </c>
      <c r="D93" s="46">
        <f>'Facility Risk - Samsung'!$C93/$C$151</f>
        <v>0</v>
      </c>
    </row>
    <row r="94" spans="1:4" ht="19" x14ac:dyDescent="0.25">
      <c r="A94" s="58" t="s">
        <v>129</v>
      </c>
      <c r="B94" s="142">
        <v>5.0999999999999996</v>
      </c>
      <c r="C94" s="8">
        <v>0</v>
      </c>
      <c r="D94" s="45">
        <f>'Facility Risk - Samsung'!$C94/$C$151</f>
        <v>0</v>
      </c>
    </row>
    <row r="95" spans="1:4" ht="19" x14ac:dyDescent="0.25">
      <c r="A95" s="57" t="s">
        <v>130</v>
      </c>
      <c r="B95" s="70">
        <v>6.3</v>
      </c>
      <c r="C95" s="9">
        <v>0</v>
      </c>
      <c r="D95" s="46">
        <f>'Facility Risk - Samsung'!$C95/$C$151</f>
        <v>0</v>
      </c>
    </row>
    <row r="96" spans="1:4" ht="19" x14ac:dyDescent="0.25">
      <c r="A96" s="58" t="s">
        <v>131</v>
      </c>
      <c r="B96" s="143">
        <v>4.6399999999999997</v>
      </c>
      <c r="C96" s="8">
        <v>0</v>
      </c>
      <c r="D96" s="45">
        <f>'Facility Risk - Samsung'!$C96/$C$151</f>
        <v>0</v>
      </c>
    </row>
    <row r="97" spans="1:4" ht="19" x14ac:dyDescent="0.25">
      <c r="A97" s="57" t="s">
        <v>132</v>
      </c>
      <c r="B97" s="104">
        <v>5.78</v>
      </c>
      <c r="C97" s="9">
        <v>0</v>
      </c>
      <c r="D97" s="46">
        <f>'Facility Risk - Samsung'!$C97/$C$151</f>
        <v>0</v>
      </c>
    </row>
    <row r="98" spans="1:4" ht="19" x14ac:dyDescent="0.25">
      <c r="A98" s="58" t="s">
        <v>133</v>
      </c>
      <c r="B98" s="144">
        <v>3.59</v>
      </c>
      <c r="C98" s="8">
        <v>1.0500000000000001E-2</v>
      </c>
      <c r="D98" s="45">
        <f>'Facility Risk - Samsung'!$C98/$C$151</f>
        <v>1.0724134409151263E-2</v>
      </c>
    </row>
    <row r="99" spans="1:4" ht="19" x14ac:dyDescent="0.25">
      <c r="A99" s="57" t="s">
        <v>134</v>
      </c>
      <c r="B99" s="145">
        <v>3.32</v>
      </c>
      <c r="C99" s="9">
        <v>0</v>
      </c>
      <c r="D99" s="46">
        <f>'Facility Risk - Samsung'!$C99/$C$151</f>
        <v>0</v>
      </c>
    </row>
    <row r="100" spans="1:4" ht="19" x14ac:dyDescent="0.25">
      <c r="A100" s="58" t="s">
        <v>135</v>
      </c>
      <c r="B100" s="146">
        <v>5.8</v>
      </c>
      <c r="C100" s="8">
        <v>0</v>
      </c>
      <c r="D100" s="45">
        <f>'Facility Risk - Samsung'!$C100/$C$151</f>
        <v>0</v>
      </c>
    </row>
    <row r="101" spans="1:4" ht="19" x14ac:dyDescent="0.25">
      <c r="A101" s="57" t="s">
        <v>136</v>
      </c>
      <c r="B101" s="147">
        <v>7.07</v>
      </c>
      <c r="C101" s="9">
        <v>0</v>
      </c>
      <c r="D101" s="46">
        <f>'Facility Risk - Samsung'!$C101/$C$151</f>
        <v>0</v>
      </c>
    </row>
    <row r="102" spans="1:4" ht="19" x14ac:dyDescent="0.25">
      <c r="A102" s="58" t="s">
        <v>137</v>
      </c>
      <c r="B102" s="148">
        <v>6.5</v>
      </c>
      <c r="C102" s="8">
        <v>0</v>
      </c>
      <c r="D102" s="45">
        <f>'Facility Risk - Samsung'!$C102/$C$151</f>
        <v>0</v>
      </c>
    </row>
    <row r="103" spans="1:4" ht="19" x14ac:dyDescent="0.25">
      <c r="A103" s="57" t="s">
        <v>138</v>
      </c>
      <c r="B103" s="149">
        <v>4.16</v>
      </c>
      <c r="C103" s="9">
        <v>0</v>
      </c>
      <c r="D103" s="46">
        <f>'Facility Risk - Samsung'!$C103/$C$151</f>
        <v>0</v>
      </c>
    </row>
    <row r="104" spans="1:4" ht="19" x14ac:dyDescent="0.25">
      <c r="A104" s="58" t="s">
        <v>139</v>
      </c>
      <c r="B104" s="114">
        <v>3.38</v>
      </c>
      <c r="C104" s="8">
        <v>0</v>
      </c>
      <c r="D104" s="45">
        <f>'Facility Risk - Samsung'!$C104/$C$151</f>
        <v>0</v>
      </c>
    </row>
    <row r="105" spans="1:4" ht="19" x14ac:dyDescent="0.25">
      <c r="A105" s="57" t="s">
        <v>140</v>
      </c>
      <c r="B105" s="150">
        <v>4.0199999999999996</v>
      </c>
      <c r="C105" s="9">
        <v>0</v>
      </c>
      <c r="D105" s="46">
        <f>'Facility Risk - Samsung'!$C105/$C$151</f>
        <v>0</v>
      </c>
    </row>
    <row r="106" spans="1:4" ht="19" x14ac:dyDescent="0.25">
      <c r="A106" s="58" t="s">
        <v>141</v>
      </c>
      <c r="B106" s="151">
        <v>6.65</v>
      </c>
      <c r="C106" s="8">
        <v>0</v>
      </c>
      <c r="D106" s="45">
        <f>'Facility Risk - Samsung'!$C106/$C$151</f>
        <v>0</v>
      </c>
    </row>
    <row r="107" spans="1:4" ht="19" x14ac:dyDescent="0.25">
      <c r="A107" s="57" t="s">
        <v>142</v>
      </c>
      <c r="B107" s="152">
        <v>4.5599999999999996</v>
      </c>
      <c r="C107" s="9">
        <v>0</v>
      </c>
      <c r="D107" s="46">
        <f>'Facility Risk - Samsung'!$C107/$C$151</f>
        <v>0</v>
      </c>
    </row>
    <row r="108" spans="1:4" ht="19" x14ac:dyDescent="0.25">
      <c r="A108" s="58" t="s">
        <v>143</v>
      </c>
      <c r="B108" s="76">
        <v>5.34</v>
      </c>
      <c r="C108" s="8">
        <v>0</v>
      </c>
      <c r="D108" s="45">
        <f>'Facility Risk - Samsung'!$C108/$C$151</f>
        <v>0</v>
      </c>
    </row>
    <row r="109" spans="1:4" ht="19" x14ac:dyDescent="0.25">
      <c r="A109" s="57" t="s">
        <v>144</v>
      </c>
      <c r="B109" s="153">
        <v>4.72</v>
      </c>
      <c r="C109" s="9">
        <v>0</v>
      </c>
      <c r="D109" s="46">
        <f>'Facility Risk - Samsung'!$C109/$C$151</f>
        <v>0</v>
      </c>
    </row>
    <row r="110" spans="1:4" ht="19" x14ac:dyDescent="0.25">
      <c r="A110" s="58" t="s">
        <v>145</v>
      </c>
      <c r="B110" s="154">
        <v>5.28</v>
      </c>
      <c r="C110" s="8">
        <v>0</v>
      </c>
      <c r="D110" s="45">
        <f>'Facility Risk - Samsung'!$C110/$C$151</f>
        <v>0</v>
      </c>
    </row>
    <row r="111" spans="1:4" ht="19" x14ac:dyDescent="0.25">
      <c r="A111" s="57" t="s">
        <v>146</v>
      </c>
      <c r="B111" s="146">
        <v>5.8</v>
      </c>
      <c r="C111" s="9">
        <v>0</v>
      </c>
      <c r="D111" s="46">
        <f>'Facility Risk - Samsung'!$C111/$C$151</f>
        <v>0</v>
      </c>
    </row>
    <row r="112" spans="1:4" ht="19" x14ac:dyDescent="0.25">
      <c r="A112" s="58" t="s">
        <v>147</v>
      </c>
      <c r="B112" s="155">
        <v>4.1500000000000004</v>
      </c>
      <c r="C112" s="8">
        <v>1.0500000000000001E-2</v>
      </c>
      <c r="D112" s="45">
        <f>'Facility Risk - Samsung'!$C112/$C$151</f>
        <v>1.0724134409151263E-2</v>
      </c>
    </row>
    <row r="113" spans="1:4" ht="19" x14ac:dyDescent="0.25">
      <c r="A113" s="57" t="s">
        <v>148</v>
      </c>
      <c r="B113" s="156">
        <v>3.43</v>
      </c>
      <c r="C113" s="9">
        <v>0</v>
      </c>
      <c r="D113" s="46">
        <f>'Facility Risk - Samsung'!$C113/$C$151</f>
        <v>0</v>
      </c>
    </row>
    <row r="114" spans="1:4" ht="19" x14ac:dyDescent="0.25">
      <c r="A114" s="58" t="s">
        <v>149</v>
      </c>
      <c r="B114" s="93">
        <v>3.2</v>
      </c>
      <c r="C114" s="8">
        <v>0</v>
      </c>
      <c r="D114" s="45">
        <f>'Facility Risk - Samsung'!$C114/$C$151</f>
        <v>0</v>
      </c>
    </row>
    <row r="115" spans="1:4" ht="19" x14ac:dyDescent="0.25">
      <c r="A115" s="57" t="s">
        <v>150</v>
      </c>
      <c r="B115" s="157">
        <v>4.05</v>
      </c>
      <c r="C115" s="9">
        <v>0</v>
      </c>
      <c r="D115" s="46">
        <f>'Facility Risk - Samsung'!$C115/$C$151</f>
        <v>0</v>
      </c>
    </row>
    <row r="116" spans="1:4" ht="19" x14ac:dyDescent="0.25">
      <c r="A116" s="58" t="s">
        <v>151</v>
      </c>
      <c r="B116" s="158">
        <v>5.96</v>
      </c>
      <c r="C116" s="8">
        <v>0</v>
      </c>
      <c r="D116" s="45">
        <f>'Facility Risk - Samsung'!$C116/$C$151</f>
        <v>0</v>
      </c>
    </row>
    <row r="117" spans="1:4" ht="19" x14ac:dyDescent="0.25">
      <c r="A117" s="57" t="s">
        <v>152</v>
      </c>
      <c r="B117" s="159">
        <v>5.47</v>
      </c>
      <c r="C117" s="9">
        <v>0</v>
      </c>
      <c r="D117" s="46">
        <f>'Facility Risk - Samsung'!$C117/$C$151</f>
        <v>0</v>
      </c>
    </row>
    <row r="118" spans="1:4" ht="19" x14ac:dyDescent="0.25">
      <c r="A118" s="58" t="s">
        <v>153</v>
      </c>
      <c r="B118" s="79">
        <v>4.42</v>
      </c>
      <c r="C118" s="8">
        <v>0</v>
      </c>
      <c r="D118" s="45">
        <f>'Facility Risk - Samsung'!$C118/$C$151</f>
        <v>0</v>
      </c>
    </row>
    <row r="119" spans="1:4" ht="19" x14ac:dyDescent="0.25">
      <c r="A119" s="57" t="s">
        <v>154</v>
      </c>
      <c r="B119" s="160">
        <v>5.4</v>
      </c>
      <c r="C119" s="9">
        <v>0</v>
      </c>
      <c r="D119" s="46">
        <f>'Facility Risk - Samsung'!$C119/$C$151</f>
        <v>0</v>
      </c>
    </row>
    <row r="120" spans="1:4" ht="19" x14ac:dyDescent="0.25">
      <c r="A120" s="58" t="s">
        <v>155</v>
      </c>
      <c r="B120" s="161">
        <v>5.04</v>
      </c>
      <c r="C120" s="8">
        <v>0</v>
      </c>
      <c r="D120" s="45">
        <f>'Facility Risk - Samsung'!$C120/$C$151</f>
        <v>0</v>
      </c>
    </row>
    <row r="121" spans="1:4" ht="19" x14ac:dyDescent="0.25">
      <c r="A121" s="57" t="s">
        <v>156</v>
      </c>
      <c r="B121" s="162">
        <v>5.64</v>
      </c>
      <c r="C121" s="9">
        <v>0</v>
      </c>
      <c r="D121" s="46">
        <f>'Facility Risk - Samsung'!$C121/$C$151</f>
        <v>0</v>
      </c>
    </row>
    <row r="122" spans="1:4" ht="19" x14ac:dyDescent="0.25">
      <c r="A122" s="58" t="s">
        <v>157</v>
      </c>
      <c r="B122" s="163">
        <v>3.04</v>
      </c>
      <c r="C122" s="8">
        <v>0</v>
      </c>
      <c r="D122" s="45">
        <f>'Facility Risk - Samsung'!$C122/$C$151</f>
        <v>0</v>
      </c>
    </row>
    <row r="123" spans="1:4" ht="19" x14ac:dyDescent="0.25">
      <c r="A123" s="57" t="s">
        <v>158</v>
      </c>
      <c r="B123" s="164">
        <v>3.79</v>
      </c>
      <c r="C123" s="9">
        <v>0</v>
      </c>
      <c r="D123" s="46">
        <f>'Facility Risk - Samsung'!$C123/$C$151</f>
        <v>0</v>
      </c>
    </row>
    <row r="124" spans="1:4" ht="19" x14ac:dyDescent="0.25">
      <c r="A124" s="58" t="s">
        <v>159</v>
      </c>
      <c r="B124" s="165">
        <v>3.48</v>
      </c>
      <c r="C124" s="8">
        <v>0</v>
      </c>
      <c r="D124" s="45">
        <f>'Facility Risk - Samsung'!$C124/$C$151</f>
        <v>0</v>
      </c>
    </row>
    <row r="125" spans="1:4" ht="19" x14ac:dyDescent="0.25">
      <c r="A125" s="57" t="s">
        <v>160</v>
      </c>
      <c r="B125" s="166">
        <v>5.22</v>
      </c>
      <c r="C125" s="9">
        <v>2.1099999999999997E-2</v>
      </c>
      <c r="D125" s="46">
        <f>'Facility Risk - Samsung'!$C125/$C$151</f>
        <v>2.1550403431723007E-2</v>
      </c>
    </row>
    <row r="126" spans="1:4" ht="19" x14ac:dyDescent="0.25">
      <c r="A126" s="58" t="s">
        <v>161</v>
      </c>
      <c r="B126" s="167">
        <v>3.57</v>
      </c>
      <c r="C126" s="8">
        <v>0.50529999999999997</v>
      </c>
      <c r="D126" s="45">
        <f>'Facility Risk - Samsung'!$C126/$C$151</f>
        <v>0.51608620161372687</v>
      </c>
    </row>
    <row r="127" spans="1:4" ht="19" x14ac:dyDescent="0.25">
      <c r="A127" s="57" t="s">
        <v>162</v>
      </c>
      <c r="B127" s="168">
        <v>3.7</v>
      </c>
      <c r="C127" s="9">
        <v>0</v>
      </c>
      <c r="D127" s="46">
        <f>'Facility Risk - Samsung'!$C127/$C$151</f>
        <v>0</v>
      </c>
    </row>
    <row r="128" spans="1:4" ht="19" x14ac:dyDescent="0.25">
      <c r="A128" s="58" t="s">
        <v>163</v>
      </c>
      <c r="B128" s="169">
        <v>5.1100000000000003</v>
      </c>
      <c r="C128" s="8">
        <v>0</v>
      </c>
      <c r="D128" s="45">
        <f>'Facility Risk - Samsung'!$C128/$C$151</f>
        <v>0</v>
      </c>
    </row>
    <row r="129" spans="1:4" ht="19" x14ac:dyDescent="0.25">
      <c r="A129" s="57" t="s">
        <v>164</v>
      </c>
      <c r="B129" s="137">
        <v>7.1</v>
      </c>
      <c r="C129" s="9">
        <v>0</v>
      </c>
      <c r="D129" s="46">
        <f>'Facility Risk - Samsung'!$C129/$C$151</f>
        <v>0</v>
      </c>
    </row>
    <row r="130" spans="1:4" ht="19" x14ac:dyDescent="0.25">
      <c r="A130" s="58" t="s">
        <v>165</v>
      </c>
      <c r="B130" s="170">
        <v>3.52</v>
      </c>
      <c r="C130" s="8">
        <v>0</v>
      </c>
      <c r="D130" s="45">
        <f>'Facility Risk - Samsung'!$C130/$C$151</f>
        <v>0</v>
      </c>
    </row>
    <row r="131" spans="1:4" ht="19" x14ac:dyDescent="0.25">
      <c r="A131" s="57" t="s">
        <v>166</v>
      </c>
      <c r="B131" s="171">
        <v>2.78</v>
      </c>
      <c r="C131" s="9">
        <v>0</v>
      </c>
      <c r="D131" s="46">
        <f>'Facility Risk - Samsung'!$C131/$C$151</f>
        <v>0</v>
      </c>
    </row>
    <row r="132" spans="1:4" ht="19" x14ac:dyDescent="0.25">
      <c r="A132" s="59" t="s">
        <v>167</v>
      </c>
      <c r="B132" s="172">
        <v>7.33</v>
      </c>
      <c r="C132" s="8">
        <v>0</v>
      </c>
      <c r="D132" s="45">
        <f>'Facility Risk - Samsung'!$C132/$C$151</f>
        <v>0</v>
      </c>
    </row>
    <row r="133" spans="1:4" ht="19" x14ac:dyDescent="0.25">
      <c r="A133" s="57" t="s">
        <v>168</v>
      </c>
      <c r="B133" s="173">
        <v>5.69</v>
      </c>
      <c r="C133" s="9">
        <v>0</v>
      </c>
      <c r="D133" s="46">
        <f>'Facility Risk - Samsung'!$C133/$C$151</f>
        <v>0</v>
      </c>
    </row>
    <row r="134" spans="1:4" ht="19" x14ac:dyDescent="0.25">
      <c r="A134" s="58" t="s">
        <v>169</v>
      </c>
      <c r="B134" s="63">
        <v>5.21</v>
      </c>
      <c r="C134" s="8">
        <v>1.0500000000000001E-2</v>
      </c>
      <c r="D134" s="45">
        <f>'Facility Risk - Samsung'!$C134/$C$151</f>
        <v>1.0724134409151263E-2</v>
      </c>
    </row>
    <row r="135" spans="1:4" ht="19" x14ac:dyDescent="0.25">
      <c r="A135" s="57" t="s">
        <v>170</v>
      </c>
      <c r="B135" s="174">
        <v>5.15</v>
      </c>
      <c r="C135" s="9">
        <v>0</v>
      </c>
      <c r="D135" s="46">
        <f>'Facility Risk - Samsung'!$C135/$C$151</f>
        <v>0</v>
      </c>
    </row>
    <row r="136" spans="1:4" ht="19" x14ac:dyDescent="0.25">
      <c r="A136" s="58" t="s">
        <v>171</v>
      </c>
      <c r="B136" s="175">
        <v>5.87</v>
      </c>
      <c r="C136" s="8">
        <v>0</v>
      </c>
      <c r="D136" s="45">
        <f>'Facility Risk - Samsung'!$C136/$C$151</f>
        <v>0</v>
      </c>
    </row>
    <row r="137" spans="1:4" ht="19" x14ac:dyDescent="0.25">
      <c r="A137" s="57" t="s">
        <v>172</v>
      </c>
      <c r="B137" s="176">
        <v>4.38</v>
      </c>
      <c r="C137" s="9">
        <v>0</v>
      </c>
      <c r="D137" s="46">
        <f>'Facility Risk - Samsung'!$C137/$C$151</f>
        <v>0</v>
      </c>
    </row>
    <row r="138" spans="1:4" ht="19" x14ac:dyDescent="0.25">
      <c r="A138" s="58" t="s">
        <v>173</v>
      </c>
      <c r="B138" s="177">
        <v>5.13</v>
      </c>
      <c r="C138" s="8">
        <v>0</v>
      </c>
      <c r="D138" s="45">
        <f>'Facility Risk - Samsung'!$C138/$C$151</f>
        <v>0</v>
      </c>
    </row>
    <row r="139" spans="1:4" ht="19" x14ac:dyDescent="0.25">
      <c r="A139" s="57" t="s">
        <v>174</v>
      </c>
      <c r="B139" s="178">
        <v>5.26</v>
      </c>
      <c r="C139" s="9">
        <v>1.0500000000000001E-2</v>
      </c>
      <c r="D139" s="46">
        <f>'Facility Risk - Samsung'!$C139/$C$151</f>
        <v>1.0724134409151263E-2</v>
      </c>
    </row>
    <row r="140" spans="1:4" ht="19" x14ac:dyDescent="0.25">
      <c r="A140" s="58" t="s">
        <v>175</v>
      </c>
      <c r="B140" s="179">
        <v>6.29</v>
      </c>
      <c r="C140" s="8">
        <v>0</v>
      </c>
      <c r="D140" s="45">
        <f>'Facility Risk - Samsung'!$C140/$C$151</f>
        <v>0</v>
      </c>
    </row>
    <row r="141" spans="1:4" ht="19" x14ac:dyDescent="0.25">
      <c r="A141" s="57" t="s">
        <v>176</v>
      </c>
      <c r="B141" s="180">
        <v>6.35</v>
      </c>
      <c r="C141" s="9">
        <v>0</v>
      </c>
      <c r="D141" s="46">
        <f>'Facility Risk - Samsung'!$C141/$C$151</f>
        <v>0</v>
      </c>
    </row>
    <row r="142" spans="1:4" ht="19" x14ac:dyDescent="0.25">
      <c r="A142" s="58" t="s">
        <v>177</v>
      </c>
      <c r="B142" s="181">
        <v>3.72</v>
      </c>
      <c r="C142" s="8">
        <v>0</v>
      </c>
      <c r="D142" s="45">
        <f>'Facility Risk - Samsung'!$C142/$C$151</f>
        <v>0</v>
      </c>
    </row>
    <row r="143" spans="1:4" ht="19" x14ac:dyDescent="0.25">
      <c r="A143" s="57" t="s">
        <v>178</v>
      </c>
      <c r="B143" s="145">
        <v>3.32</v>
      </c>
      <c r="C143" s="9">
        <v>0</v>
      </c>
      <c r="D143" s="46">
        <f>'Facility Risk - Samsung'!$C143/$C$151</f>
        <v>0</v>
      </c>
    </row>
    <row r="144" spans="1:4" ht="19" x14ac:dyDescent="0.25">
      <c r="A144" s="58" t="s">
        <v>179</v>
      </c>
      <c r="B144" s="182">
        <v>4.1900000000000004</v>
      </c>
      <c r="C144" s="8">
        <v>7.3700000000000002E-2</v>
      </c>
      <c r="D144" s="45">
        <f>'Facility Risk - Samsung'!$C144/$C$151</f>
        <v>7.5273210090899809E-2</v>
      </c>
    </row>
    <row r="145" spans="1:4" ht="19" x14ac:dyDescent="0.25">
      <c r="A145" s="57" t="s">
        <v>180</v>
      </c>
      <c r="B145" s="183">
        <v>3.91</v>
      </c>
      <c r="C145" s="9">
        <v>0</v>
      </c>
      <c r="D145" s="46">
        <f>'Facility Risk - Samsung'!$C145/$C$151</f>
        <v>0</v>
      </c>
    </row>
    <row r="146" spans="1:4" ht="19" x14ac:dyDescent="0.25">
      <c r="A146" s="58" t="s">
        <v>181</v>
      </c>
      <c r="B146" s="112">
        <v>5.77</v>
      </c>
      <c r="C146" s="8">
        <v>0</v>
      </c>
      <c r="D146" s="45">
        <f>'Facility Risk - Samsung'!$C146/$C$151</f>
        <v>0</v>
      </c>
    </row>
    <row r="147" spans="1:4" ht="19" x14ac:dyDescent="0.25">
      <c r="A147" s="57" t="s">
        <v>182</v>
      </c>
      <c r="B147" s="184">
        <v>4.32</v>
      </c>
      <c r="C147" s="9">
        <v>4.2099999999999999E-2</v>
      </c>
      <c r="D147" s="46">
        <f>'Facility Risk - Samsung'!$C147/$C$151</f>
        <v>4.2998672250025537E-2</v>
      </c>
    </row>
    <row r="148" spans="1:4" ht="19" x14ac:dyDescent="0.25">
      <c r="A148" s="58" t="s">
        <v>183</v>
      </c>
      <c r="B148" s="70">
        <v>6.3</v>
      </c>
      <c r="C148" s="8">
        <v>0</v>
      </c>
      <c r="D148" s="45">
        <f>'Facility Risk - Samsung'!$C148/$C$151</f>
        <v>0</v>
      </c>
    </row>
    <row r="149" spans="1:4" ht="19" x14ac:dyDescent="0.25">
      <c r="A149" s="57" t="s">
        <v>184</v>
      </c>
      <c r="B149" s="185">
        <v>4.95</v>
      </c>
      <c r="C149" s="9">
        <v>0</v>
      </c>
      <c r="D149" s="46">
        <f>'Facility Risk - Samsung'!$C149/$C$151</f>
        <v>0</v>
      </c>
    </row>
    <row r="150" spans="1:4" ht="19" x14ac:dyDescent="0.25">
      <c r="A150" s="60" t="s">
        <v>185</v>
      </c>
      <c r="B150" s="186">
        <v>6.14</v>
      </c>
      <c r="C150" s="10">
        <v>0</v>
      </c>
      <c r="D150" s="47">
        <f>'Facility Risk - Samsung'!$C150/$C$151</f>
        <v>0</v>
      </c>
    </row>
    <row r="151" spans="1:4" ht="19" x14ac:dyDescent="0.25">
      <c r="A151" s="61" t="s">
        <v>186</v>
      </c>
      <c r="B151" s="5"/>
      <c r="C151" s="6">
        <f>SUM(C4:C150)</f>
        <v>0.97909999999999997</v>
      </c>
      <c r="D151" s="48">
        <f>SUM(D4:D150)</f>
        <v>0.99999999999999989</v>
      </c>
    </row>
  </sheetData>
  <mergeCells count="1">
    <mergeCell ref="A1:D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8FC5B-9463-074C-9F83-F986A1C0CFAF}">
  <dimension ref="A1:J151"/>
  <sheetViews>
    <sheetView workbookViewId="0">
      <selection activeCell="I17" sqref="I17"/>
    </sheetView>
  </sheetViews>
  <sheetFormatPr baseColWidth="10" defaultColWidth="11" defaultRowHeight="16" x14ac:dyDescent="0.2"/>
  <cols>
    <col min="1" max="1" width="23" bestFit="1" customWidth="1"/>
    <col min="2" max="2" width="32" bestFit="1" customWidth="1"/>
    <col min="3" max="3" width="33.6640625" bestFit="1" customWidth="1"/>
    <col min="4" max="4" width="42.6640625" bestFit="1" customWidth="1"/>
    <col min="5" max="5" width="16" bestFit="1" customWidth="1"/>
    <col min="7" max="7" width="29.33203125" bestFit="1" customWidth="1"/>
    <col min="8" max="8" width="8.5" bestFit="1" customWidth="1"/>
    <col min="9" max="9" width="22.5" bestFit="1" customWidth="1"/>
    <col min="10" max="10" width="12.33203125" bestFit="1" customWidth="1"/>
  </cols>
  <sheetData>
    <row r="1" spans="1:10" ht="17" customHeight="1" x14ac:dyDescent="0.2">
      <c r="A1" s="188" t="s">
        <v>17</v>
      </c>
      <c r="B1" s="189"/>
      <c r="C1" s="189"/>
      <c r="D1" s="189"/>
    </row>
    <row r="2" spans="1:10" ht="17" customHeight="1" thickBot="1" x14ac:dyDescent="0.25">
      <c r="A2" s="190"/>
      <c r="B2" s="191"/>
      <c r="C2" s="191"/>
      <c r="D2" s="191"/>
    </row>
    <row r="3" spans="1:10" ht="20" thickTop="1" x14ac:dyDescent="0.25">
      <c r="A3" s="12" t="s">
        <v>27</v>
      </c>
      <c r="B3" s="13" t="s">
        <v>28</v>
      </c>
      <c r="C3" s="14" t="s">
        <v>29</v>
      </c>
      <c r="D3" s="7" t="s">
        <v>30</v>
      </c>
    </row>
    <row r="4" spans="1:10" ht="20" thickBot="1" x14ac:dyDescent="0.3">
      <c r="A4" s="56" t="s">
        <v>31</v>
      </c>
      <c r="B4" s="62">
        <v>4.37</v>
      </c>
      <c r="C4" s="15">
        <v>0</v>
      </c>
      <c r="D4" s="45">
        <v>0</v>
      </c>
    </row>
    <row r="5" spans="1:10" ht="20" thickBot="1" x14ac:dyDescent="0.3">
      <c r="A5" s="57" t="s">
        <v>32</v>
      </c>
      <c r="B5" s="63">
        <v>5.21</v>
      </c>
      <c r="C5" s="9">
        <v>0</v>
      </c>
      <c r="D5" s="46">
        <v>0</v>
      </c>
      <c r="G5" s="32" t="s">
        <v>33</v>
      </c>
      <c r="H5" s="33"/>
      <c r="I5" s="33"/>
      <c r="J5" s="34"/>
    </row>
    <row r="6" spans="1:10" ht="20" thickBot="1" x14ac:dyDescent="0.3">
      <c r="A6" s="58" t="s">
        <v>34</v>
      </c>
      <c r="B6" s="64">
        <v>5.63</v>
      </c>
      <c r="C6" s="8">
        <v>0</v>
      </c>
      <c r="D6" s="45">
        <v>0</v>
      </c>
      <c r="G6" s="20"/>
      <c r="H6" s="21" t="s">
        <v>35</v>
      </c>
      <c r="I6" s="22" t="s">
        <v>36</v>
      </c>
      <c r="J6" s="23" t="s">
        <v>37</v>
      </c>
    </row>
    <row r="7" spans="1:10" ht="19" x14ac:dyDescent="0.25">
      <c r="A7" s="57" t="s">
        <v>38</v>
      </c>
      <c r="B7" s="65">
        <v>4.3600000000000003</v>
      </c>
      <c r="C7" s="9">
        <v>0</v>
      </c>
      <c r="D7" s="46">
        <v>0</v>
      </c>
      <c r="G7" s="24" t="s">
        <v>39</v>
      </c>
      <c r="H7" s="25" t="str">
        <f>INDEX(A4:A150,MATCH(MIN(D4:D150),D4:D150,0))</f>
        <v>Albania</v>
      </c>
      <c r="I7" s="25">
        <f>INDEX(B4:B150,MATCH(MIN(D4:D150),D4:D150,0))</f>
        <v>4.37</v>
      </c>
      <c r="J7" s="26">
        <f>INDEX(D4:D150,MATCH(MIN(D4:D150),D4:D150,0))</f>
        <v>0</v>
      </c>
    </row>
    <row r="8" spans="1:10" ht="20" thickBot="1" x14ac:dyDescent="0.3">
      <c r="A8" s="58" t="s">
        <v>40</v>
      </c>
      <c r="B8" s="66">
        <v>4.79</v>
      </c>
      <c r="C8" s="8">
        <v>0</v>
      </c>
      <c r="D8" s="45">
        <v>0</v>
      </c>
      <c r="G8" s="27" t="s">
        <v>41</v>
      </c>
      <c r="H8" s="28" t="str">
        <f>INDEX(A4:A150,MATCH(MAX(D4:D150),D4:D150,0))</f>
        <v>Albania</v>
      </c>
      <c r="I8" s="28">
        <f>INDEX(B4:B150,MATCH(MAX(D4:D150),D4:D150,0))</f>
        <v>4.37</v>
      </c>
      <c r="J8" s="31">
        <f>INDEX(D4:D150,MATCH(MAX(D4:D150),D4:D150,0))</f>
        <v>0</v>
      </c>
    </row>
    <row r="9" spans="1:10" ht="23" thickBot="1" x14ac:dyDescent="0.35">
      <c r="A9" s="57" t="s">
        <v>42</v>
      </c>
      <c r="B9" s="67">
        <v>3.22</v>
      </c>
      <c r="C9" s="9">
        <v>0</v>
      </c>
      <c r="D9" s="46">
        <v>0</v>
      </c>
      <c r="G9" s="30" t="s">
        <v>43</v>
      </c>
      <c r="H9" s="29"/>
      <c r="I9" s="29"/>
      <c r="J9" s="187">
        <f>SUMPRODUCT(B4:B150,D4:D150)</f>
        <v>0</v>
      </c>
    </row>
    <row r="10" spans="1:10" ht="19" x14ac:dyDescent="0.25">
      <c r="A10" s="58" t="s">
        <v>44</v>
      </c>
      <c r="B10" s="68">
        <v>3.41</v>
      </c>
      <c r="C10" s="8">
        <v>0</v>
      </c>
      <c r="D10" s="45">
        <v>0</v>
      </c>
    </row>
    <row r="11" spans="1:10" ht="19" x14ac:dyDescent="0.25">
      <c r="A11" s="57" t="s">
        <v>45</v>
      </c>
      <c r="B11" s="63">
        <v>5.21</v>
      </c>
      <c r="C11" s="9">
        <v>0</v>
      </c>
      <c r="D11" s="46">
        <v>0</v>
      </c>
    </row>
    <row r="12" spans="1:10" ht="19" x14ac:dyDescent="0.25">
      <c r="A12" s="58" t="s">
        <v>46</v>
      </c>
      <c r="B12" s="69">
        <v>4.26</v>
      </c>
      <c r="C12" s="8">
        <v>0</v>
      </c>
      <c r="D12" s="45">
        <v>0</v>
      </c>
    </row>
    <row r="13" spans="1:10" ht="19" x14ac:dyDescent="0.25">
      <c r="A13" s="57" t="s">
        <v>47</v>
      </c>
      <c r="B13" s="70">
        <v>6.29</v>
      </c>
      <c r="C13" s="9">
        <v>0</v>
      </c>
      <c r="D13" s="46">
        <v>0</v>
      </c>
    </row>
    <row r="14" spans="1:10" ht="19" x14ac:dyDescent="0.25">
      <c r="A14" s="58" t="s">
        <v>48</v>
      </c>
      <c r="B14" s="71">
        <v>5.45</v>
      </c>
      <c r="C14" s="8">
        <v>0</v>
      </c>
      <c r="D14" s="45">
        <v>0</v>
      </c>
    </row>
    <row r="15" spans="1:10" ht="19" x14ac:dyDescent="0.25">
      <c r="A15" s="57" t="s">
        <v>49</v>
      </c>
      <c r="B15" s="72">
        <v>3.33</v>
      </c>
      <c r="C15" s="9">
        <v>0</v>
      </c>
      <c r="D15" s="46">
        <v>0</v>
      </c>
    </row>
    <row r="16" spans="1:10" ht="19" x14ac:dyDescent="0.25">
      <c r="A16" s="58" t="s">
        <v>50</v>
      </c>
      <c r="B16" s="73">
        <v>6</v>
      </c>
      <c r="C16" s="8">
        <v>0</v>
      </c>
      <c r="D16" s="45">
        <v>0</v>
      </c>
    </row>
    <row r="17" spans="1:5" ht="19" x14ac:dyDescent="0.25">
      <c r="A17" s="57" t="s">
        <v>51</v>
      </c>
      <c r="B17" s="74">
        <v>5.0199999999999996</v>
      </c>
      <c r="C17" s="9">
        <v>0</v>
      </c>
      <c r="D17" s="46">
        <v>0</v>
      </c>
    </row>
    <row r="18" spans="1:5" ht="19" x14ac:dyDescent="0.25">
      <c r="A18" s="58" t="s">
        <v>52</v>
      </c>
      <c r="B18" s="75">
        <v>5.41</v>
      </c>
      <c r="C18" s="8">
        <v>0</v>
      </c>
      <c r="D18" s="45">
        <v>0</v>
      </c>
    </row>
    <row r="19" spans="1:5" ht="19" x14ac:dyDescent="0.25">
      <c r="A19" s="57" t="s">
        <v>53</v>
      </c>
      <c r="B19" s="76">
        <v>5.34</v>
      </c>
      <c r="C19" s="9">
        <v>0</v>
      </c>
      <c r="D19" s="46">
        <v>0</v>
      </c>
    </row>
    <row r="20" spans="1:5" ht="19" x14ac:dyDescent="0.25">
      <c r="A20" s="58" t="s">
        <v>54</v>
      </c>
      <c r="B20" s="77">
        <v>4.34</v>
      </c>
      <c r="C20" s="8">
        <v>0</v>
      </c>
      <c r="D20" s="45">
        <v>0</v>
      </c>
    </row>
    <row r="21" spans="1:5" ht="19" x14ac:dyDescent="0.25">
      <c r="A21" s="57" t="s">
        <v>55</v>
      </c>
      <c r="B21" s="78">
        <v>5.35</v>
      </c>
      <c r="C21" s="9">
        <v>0</v>
      </c>
      <c r="D21" s="46">
        <v>0</v>
      </c>
    </row>
    <row r="22" spans="1:5" ht="19" x14ac:dyDescent="0.25">
      <c r="A22" s="58" t="s">
        <v>56</v>
      </c>
      <c r="B22" s="79">
        <v>4.43</v>
      </c>
      <c r="C22" s="8">
        <v>0</v>
      </c>
      <c r="D22" s="45">
        <v>0</v>
      </c>
    </row>
    <row r="23" spans="1:5" ht="19" x14ac:dyDescent="0.25">
      <c r="A23" s="57" t="s">
        <v>57</v>
      </c>
      <c r="B23" s="80">
        <v>6.55</v>
      </c>
      <c r="C23" s="9">
        <v>0</v>
      </c>
      <c r="D23" s="46">
        <v>0</v>
      </c>
    </row>
    <row r="24" spans="1:5" ht="19" x14ac:dyDescent="0.25">
      <c r="A24" s="58" t="s">
        <v>58</v>
      </c>
      <c r="B24" s="81">
        <v>6.33</v>
      </c>
      <c r="C24" s="8">
        <v>0</v>
      </c>
      <c r="D24" s="45">
        <v>0</v>
      </c>
    </row>
    <row r="25" spans="1:5" ht="19" x14ac:dyDescent="0.25">
      <c r="A25" s="57" t="s">
        <v>59</v>
      </c>
      <c r="B25" s="64">
        <v>5.64</v>
      </c>
      <c r="C25" s="9">
        <v>0</v>
      </c>
      <c r="D25" s="46">
        <v>0</v>
      </c>
    </row>
    <row r="26" spans="1:5" ht="19" x14ac:dyDescent="0.25">
      <c r="A26" s="58" t="s">
        <v>60</v>
      </c>
      <c r="B26" s="82">
        <v>6.83</v>
      </c>
      <c r="C26" s="8">
        <v>0</v>
      </c>
      <c r="D26" s="45">
        <v>0</v>
      </c>
    </row>
    <row r="27" spans="1:5" ht="19" x14ac:dyDescent="0.25">
      <c r="A27" s="57" t="s">
        <v>61</v>
      </c>
      <c r="B27" s="83">
        <v>3.44</v>
      </c>
      <c r="C27" s="9">
        <v>0</v>
      </c>
      <c r="D27" s="46">
        <v>0</v>
      </c>
    </row>
    <row r="28" spans="1:5" ht="19" x14ac:dyDescent="0.25">
      <c r="A28" s="58" t="s">
        <v>62</v>
      </c>
      <c r="B28" s="84">
        <v>6.79</v>
      </c>
      <c r="C28" s="8">
        <v>0</v>
      </c>
      <c r="D28" s="45">
        <v>0</v>
      </c>
    </row>
    <row r="29" spans="1:5" ht="19" x14ac:dyDescent="0.25">
      <c r="A29" s="57" t="s">
        <v>63</v>
      </c>
      <c r="B29" s="82">
        <v>6.84</v>
      </c>
      <c r="C29" s="9">
        <v>0</v>
      </c>
      <c r="D29" s="46">
        <v>0</v>
      </c>
    </row>
    <row r="30" spans="1:5" ht="19" x14ac:dyDescent="0.25">
      <c r="A30" s="58" t="s">
        <v>64</v>
      </c>
      <c r="B30" s="65">
        <v>4.3600000000000003</v>
      </c>
      <c r="C30" s="8">
        <v>0</v>
      </c>
      <c r="D30" s="45">
        <v>0</v>
      </c>
    </row>
    <row r="31" spans="1:5" ht="19" x14ac:dyDescent="0.25">
      <c r="A31" s="57" t="s">
        <v>65</v>
      </c>
      <c r="B31" s="85">
        <v>4.26</v>
      </c>
      <c r="C31" s="9">
        <v>0</v>
      </c>
      <c r="D31" s="46">
        <v>0</v>
      </c>
      <c r="E31" s="50" t="s">
        <v>66</v>
      </c>
    </row>
    <row r="32" spans="1:5" ht="19" x14ac:dyDescent="0.25">
      <c r="A32" s="58" t="s">
        <v>67</v>
      </c>
      <c r="B32" s="86">
        <v>5.72</v>
      </c>
      <c r="C32" s="8">
        <v>0</v>
      </c>
      <c r="D32" s="45">
        <v>0</v>
      </c>
    </row>
    <row r="33" spans="1:4" ht="19" x14ac:dyDescent="0.25">
      <c r="A33" s="57" t="s">
        <v>68</v>
      </c>
      <c r="B33" s="87">
        <v>5.65</v>
      </c>
      <c r="C33" s="9">
        <v>0</v>
      </c>
      <c r="D33" s="46">
        <v>0</v>
      </c>
    </row>
    <row r="34" spans="1:4" ht="19" x14ac:dyDescent="0.25">
      <c r="A34" s="58" t="s">
        <v>69</v>
      </c>
      <c r="B34" s="88">
        <v>4.2300000000000004</v>
      </c>
      <c r="C34" s="8">
        <v>0</v>
      </c>
      <c r="D34" s="45">
        <v>0</v>
      </c>
    </row>
    <row r="35" spans="1:4" ht="19" x14ac:dyDescent="0.25">
      <c r="A35" s="57" t="s">
        <v>70</v>
      </c>
      <c r="B35" s="89">
        <v>5.6</v>
      </c>
      <c r="C35" s="9">
        <v>0</v>
      </c>
      <c r="D35" s="46">
        <v>0</v>
      </c>
    </row>
    <row r="36" spans="1:4" ht="19" x14ac:dyDescent="0.25">
      <c r="A36" s="58" t="s">
        <v>71</v>
      </c>
      <c r="B36" s="90">
        <v>4.28</v>
      </c>
      <c r="C36" s="8">
        <v>0</v>
      </c>
      <c r="D36" s="45">
        <v>0</v>
      </c>
    </row>
    <row r="37" spans="1:4" ht="19" x14ac:dyDescent="0.25">
      <c r="A37" s="57" t="s">
        <v>72</v>
      </c>
      <c r="B37" s="91">
        <v>4.67</v>
      </c>
      <c r="C37" s="9">
        <v>0</v>
      </c>
      <c r="D37" s="46">
        <v>0</v>
      </c>
    </row>
    <row r="38" spans="1:4" ht="19" x14ac:dyDescent="0.25">
      <c r="A38" s="58" t="s">
        <v>73</v>
      </c>
      <c r="B38" s="92">
        <v>3.75</v>
      </c>
      <c r="C38" s="8">
        <v>0</v>
      </c>
      <c r="D38" s="45">
        <v>0</v>
      </c>
    </row>
    <row r="39" spans="1:4" ht="19" x14ac:dyDescent="0.25">
      <c r="A39" s="57" t="s">
        <v>74</v>
      </c>
      <c r="B39" s="93">
        <v>3.2</v>
      </c>
      <c r="C39" s="9">
        <v>0</v>
      </c>
      <c r="D39" s="46">
        <v>0</v>
      </c>
    </row>
    <row r="40" spans="1:4" ht="19" x14ac:dyDescent="0.25">
      <c r="A40" s="58" t="s">
        <v>75</v>
      </c>
      <c r="B40" s="94">
        <v>5.98</v>
      </c>
      <c r="C40" s="8">
        <v>0</v>
      </c>
      <c r="D40" s="45">
        <v>0</v>
      </c>
    </row>
    <row r="41" spans="1:4" ht="19" x14ac:dyDescent="0.25">
      <c r="A41" s="57" t="s">
        <v>76</v>
      </c>
      <c r="B41" s="95">
        <v>4.7</v>
      </c>
      <c r="C41" s="9">
        <v>0</v>
      </c>
      <c r="D41" s="46">
        <v>0</v>
      </c>
    </row>
    <row r="42" spans="1:4" ht="19" x14ac:dyDescent="0.25">
      <c r="A42" s="58" t="s">
        <v>77</v>
      </c>
      <c r="B42" s="96">
        <v>5.71</v>
      </c>
      <c r="C42" s="8">
        <v>0</v>
      </c>
      <c r="D42" s="45">
        <v>0</v>
      </c>
    </row>
    <row r="43" spans="1:4" ht="19" x14ac:dyDescent="0.25">
      <c r="A43" s="57" t="s">
        <v>78</v>
      </c>
      <c r="B43" s="97">
        <v>5.6</v>
      </c>
      <c r="C43" s="9">
        <v>0</v>
      </c>
      <c r="D43" s="46">
        <v>0</v>
      </c>
    </row>
    <row r="44" spans="1:4" ht="19" x14ac:dyDescent="0.25">
      <c r="A44" s="58" t="s">
        <v>79</v>
      </c>
      <c r="B44" s="98">
        <v>4.79</v>
      </c>
      <c r="C44" s="8">
        <v>0</v>
      </c>
      <c r="D44" s="45">
        <v>0</v>
      </c>
    </row>
    <row r="45" spans="1:4" ht="19" x14ac:dyDescent="0.25">
      <c r="A45" s="57" t="s">
        <v>80</v>
      </c>
      <c r="B45" s="99">
        <v>3.57</v>
      </c>
      <c r="C45" s="9">
        <v>0</v>
      </c>
      <c r="D45" s="46">
        <v>0</v>
      </c>
    </row>
    <row r="46" spans="1:4" ht="19" x14ac:dyDescent="0.25">
      <c r="A46" s="58" t="s">
        <v>81</v>
      </c>
      <c r="B46" s="100">
        <v>4.5</v>
      </c>
      <c r="C46" s="8">
        <v>0</v>
      </c>
      <c r="D46" s="45">
        <v>0</v>
      </c>
    </row>
    <row r="47" spans="1:4" ht="19" x14ac:dyDescent="0.25">
      <c r="A47" s="57" t="s">
        <v>82</v>
      </c>
      <c r="B47" s="101">
        <v>6.93</v>
      </c>
      <c r="C47" s="9">
        <v>0</v>
      </c>
      <c r="D47" s="46">
        <v>0</v>
      </c>
    </row>
    <row r="48" spans="1:4" ht="19" x14ac:dyDescent="0.25">
      <c r="A48" s="58" t="s">
        <v>83</v>
      </c>
      <c r="B48" s="102">
        <v>3.35</v>
      </c>
      <c r="C48" s="8">
        <v>0</v>
      </c>
      <c r="D48" s="45">
        <v>0</v>
      </c>
    </row>
    <row r="49" spans="1:4" ht="19" x14ac:dyDescent="0.25">
      <c r="A49" s="57" t="s">
        <v>84</v>
      </c>
      <c r="B49" s="103">
        <v>3.65</v>
      </c>
      <c r="C49" s="9">
        <v>0</v>
      </c>
      <c r="D49" s="46">
        <v>0</v>
      </c>
    </row>
    <row r="50" spans="1:4" ht="19" x14ac:dyDescent="0.25">
      <c r="A50" s="58" t="s">
        <v>85</v>
      </c>
      <c r="B50" s="104">
        <v>5.78</v>
      </c>
      <c r="C50" s="8">
        <v>0</v>
      </c>
      <c r="D50" s="45">
        <v>0</v>
      </c>
    </row>
    <row r="51" spans="1:4" ht="19" x14ac:dyDescent="0.25">
      <c r="A51" s="57" t="s">
        <v>86</v>
      </c>
      <c r="B51" s="105">
        <v>5.38</v>
      </c>
      <c r="C51" s="9">
        <v>0</v>
      </c>
      <c r="D51" s="46">
        <v>0</v>
      </c>
    </row>
    <row r="52" spans="1:4" ht="19" x14ac:dyDescent="0.25">
      <c r="A52" s="58" t="s">
        <v>87</v>
      </c>
      <c r="B52" s="106">
        <v>4.93</v>
      </c>
      <c r="C52" s="8">
        <v>0</v>
      </c>
      <c r="D52" s="45">
        <v>0</v>
      </c>
    </row>
    <row r="53" spans="1:4" ht="19" x14ac:dyDescent="0.25">
      <c r="A53" s="57" t="s">
        <v>88</v>
      </c>
      <c r="B53" s="68">
        <v>3.42</v>
      </c>
      <c r="C53" s="9">
        <v>0</v>
      </c>
      <c r="D53" s="46">
        <v>0</v>
      </c>
    </row>
    <row r="54" spans="1:4" ht="19" x14ac:dyDescent="0.25">
      <c r="A54" s="58" t="s">
        <v>89</v>
      </c>
      <c r="B54" s="107">
        <v>4.63</v>
      </c>
      <c r="C54" s="8">
        <v>0</v>
      </c>
      <c r="D54" s="45">
        <v>0</v>
      </c>
    </row>
    <row r="55" spans="1:4" ht="19" x14ac:dyDescent="0.25">
      <c r="A55" s="57" t="s">
        <v>90</v>
      </c>
      <c r="B55" s="77">
        <v>4.34</v>
      </c>
      <c r="C55" s="9">
        <v>0</v>
      </c>
      <c r="D55" s="46">
        <v>0</v>
      </c>
    </row>
    <row r="56" spans="1:4" ht="19" x14ac:dyDescent="0.25">
      <c r="A56" s="58" t="s">
        <v>91</v>
      </c>
      <c r="B56" s="71">
        <v>5.45</v>
      </c>
      <c r="C56" s="8">
        <v>0</v>
      </c>
      <c r="D56" s="45">
        <v>0</v>
      </c>
    </row>
    <row r="57" spans="1:4" ht="19" x14ac:dyDescent="0.25">
      <c r="A57" s="57" t="s">
        <v>92</v>
      </c>
      <c r="B57" s="108">
        <v>6.36</v>
      </c>
      <c r="C57" s="9">
        <v>0</v>
      </c>
      <c r="D57" s="46">
        <v>0</v>
      </c>
    </row>
    <row r="58" spans="1:4" ht="19" x14ac:dyDescent="0.25">
      <c r="A58" s="58" t="s">
        <v>93</v>
      </c>
      <c r="B58" s="109">
        <v>5.94</v>
      </c>
      <c r="C58" s="8">
        <v>0</v>
      </c>
      <c r="D58" s="45">
        <v>0</v>
      </c>
    </row>
    <row r="59" spans="1:4" ht="19" x14ac:dyDescent="0.25">
      <c r="A59" s="57" t="s">
        <v>94</v>
      </c>
      <c r="B59" s="110">
        <v>4.92</v>
      </c>
      <c r="C59" s="9">
        <v>0</v>
      </c>
      <c r="D59" s="46">
        <v>0</v>
      </c>
    </row>
    <row r="60" spans="1:4" ht="19" x14ac:dyDescent="0.25">
      <c r="A60" s="58" t="s">
        <v>95</v>
      </c>
      <c r="B60" s="111">
        <v>6.53</v>
      </c>
      <c r="C60" s="8">
        <v>0</v>
      </c>
      <c r="D60" s="45">
        <v>0</v>
      </c>
    </row>
    <row r="61" spans="1:4" ht="19" x14ac:dyDescent="0.25">
      <c r="A61" s="57" t="s">
        <v>96</v>
      </c>
      <c r="B61" s="112">
        <v>5.77</v>
      </c>
      <c r="C61" s="9">
        <v>0</v>
      </c>
      <c r="D61" s="46">
        <v>0</v>
      </c>
    </row>
    <row r="62" spans="1:4" ht="19" x14ac:dyDescent="0.25">
      <c r="A62" s="58" t="s">
        <v>97</v>
      </c>
      <c r="B62" s="113">
        <v>3.63</v>
      </c>
      <c r="C62" s="8">
        <v>0</v>
      </c>
      <c r="D62" s="45">
        <v>0</v>
      </c>
    </row>
    <row r="63" spans="1:4" ht="19" x14ac:dyDescent="0.25">
      <c r="A63" s="57" t="s">
        <v>98</v>
      </c>
      <c r="B63" s="114">
        <v>3.38</v>
      </c>
      <c r="C63" s="9">
        <v>0</v>
      </c>
      <c r="D63" s="46">
        <v>0</v>
      </c>
    </row>
    <row r="64" spans="1:4" ht="19" x14ac:dyDescent="0.25">
      <c r="A64" s="58" t="s">
        <v>99</v>
      </c>
      <c r="B64" s="115">
        <v>5.07</v>
      </c>
      <c r="C64" s="8">
        <v>0</v>
      </c>
      <c r="D64" s="45">
        <v>0</v>
      </c>
    </row>
    <row r="65" spans="1:4" ht="19" x14ac:dyDescent="0.25">
      <c r="A65" s="57" t="s">
        <v>100</v>
      </c>
      <c r="B65" s="106">
        <v>4.92</v>
      </c>
      <c r="C65" s="9">
        <v>0</v>
      </c>
      <c r="D65" s="46">
        <v>0</v>
      </c>
    </row>
    <row r="66" spans="1:4" ht="19" x14ac:dyDescent="0.25">
      <c r="A66" s="58" t="s">
        <v>101</v>
      </c>
      <c r="B66" s="116">
        <v>5.88</v>
      </c>
      <c r="C66" s="8">
        <v>0</v>
      </c>
      <c r="D66" s="45">
        <v>0</v>
      </c>
    </row>
    <row r="67" spans="1:4" ht="19" x14ac:dyDescent="0.25">
      <c r="A67" s="57" t="s">
        <v>102</v>
      </c>
      <c r="B67" s="117">
        <v>6.05</v>
      </c>
      <c r="C67" s="9">
        <v>0</v>
      </c>
      <c r="D67" s="46">
        <v>0</v>
      </c>
    </row>
    <row r="68" spans="1:4" ht="19" x14ac:dyDescent="0.25">
      <c r="A68" s="58" t="s">
        <v>103</v>
      </c>
      <c r="B68" s="118">
        <v>3.25</v>
      </c>
      <c r="C68" s="8">
        <v>0</v>
      </c>
      <c r="D68" s="45">
        <v>0</v>
      </c>
    </row>
    <row r="69" spans="1:4" ht="19" x14ac:dyDescent="0.25">
      <c r="A69" s="57" t="s">
        <v>104</v>
      </c>
      <c r="B69" s="119">
        <v>4.6100000000000003</v>
      </c>
      <c r="C69" s="9">
        <v>0</v>
      </c>
      <c r="D69" s="46">
        <v>0</v>
      </c>
    </row>
    <row r="70" spans="1:4" ht="19" x14ac:dyDescent="0.25">
      <c r="A70" s="58" t="s">
        <v>105</v>
      </c>
      <c r="B70" s="120">
        <v>3.84</v>
      </c>
      <c r="C70" s="8">
        <v>0</v>
      </c>
      <c r="D70" s="45">
        <v>0</v>
      </c>
    </row>
    <row r="71" spans="1:4" ht="19" x14ac:dyDescent="0.25">
      <c r="A71" s="57" t="s">
        <v>106</v>
      </c>
      <c r="B71" s="121">
        <v>4.75</v>
      </c>
      <c r="C71" s="9">
        <v>0</v>
      </c>
      <c r="D71" s="46">
        <v>0</v>
      </c>
    </row>
    <row r="72" spans="1:4" ht="19" x14ac:dyDescent="0.25">
      <c r="A72" s="58" t="s">
        <v>107</v>
      </c>
      <c r="B72" s="114">
        <v>3.38</v>
      </c>
      <c r="C72" s="8">
        <v>0</v>
      </c>
      <c r="D72" s="45">
        <v>0</v>
      </c>
    </row>
    <row r="73" spans="1:4" ht="19" x14ac:dyDescent="0.25">
      <c r="A73" s="57" t="s">
        <v>108</v>
      </c>
      <c r="B73" s="122">
        <v>5.13</v>
      </c>
      <c r="C73" s="9">
        <v>0</v>
      </c>
      <c r="D73" s="46">
        <v>0</v>
      </c>
    </row>
    <row r="74" spans="1:4" ht="19" x14ac:dyDescent="0.25">
      <c r="A74" s="58" t="s">
        <v>109</v>
      </c>
      <c r="B74" s="123">
        <v>4.54</v>
      </c>
      <c r="C74" s="8">
        <v>0</v>
      </c>
      <c r="D74" s="45">
        <v>0</v>
      </c>
    </row>
    <row r="75" spans="1:4" ht="19" x14ac:dyDescent="0.25">
      <c r="A75" s="57" t="s">
        <v>110</v>
      </c>
      <c r="B75" s="124">
        <v>6.13</v>
      </c>
      <c r="C75" s="9">
        <v>0</v>
      </c>
      <c r="D75" s="46">
        <v>0</v>
      </c>
    </row>
    <row r="76" spans="1:4" ht="19" x14ac:dyDescent="0.25">
      <c r="A76" s="58" t="s">
        <v>111</v>
      </c>
      <c r="B76" s="125">
        <v>4.3</v>
      </c>
      <c r="C76" s="8">
        <v>0</v>
      </c>
      <c r="D76" s="45">
        <v>0</v>
      </c>
    </row>
    <row r="77" spans="1:4" ht="19" x14ac:dyDescent="0.25">
      <c r="A77" s="57" t="s">
        <v>112</v>
      </c>
      <c r="B77" s="126">
        <v>5.37</v>
      </c>
      <c r="C77" s="9">
        <v>0</v>
      </c>
      <c r="D77" s="46">
        <v>0</v>
      </c>
    </row>
    <row r="78" spans="1:4" ht="19" x14ac:dyDescent="0.25">
      <c r="A78" s="58" t="s">
        <v>113</v>
      </c>
      <c r="B78" s="127">
        <v>5.14</v>
      </c>
      <c r="C78" s="8">
        <v>0</v>
      </c>
      <c r="D78" s="45">
        <v>0</v>
      </c>
    </row>
    <row r="79" spans="1:4" ht="19" x14ac:dyDescent="0.25">
      <c r="A79" s="57" t="s">
        <v>114</v>
      </c>
      <c r="B79" s="128">
        <v>3.97</v>
      </c>
      <c r="C79" s="9">
        <v>0</v>
      </c>
      <c r="D79" s="46">
        <v>0</v>
      </c>
    </row>
    <row r="80" spans="1:4" ht="19" x14ac:dyDescent="0.25">
      <c r="A80" s="58" t="s">
        <v>115</v>
      </c>
      <c r="B80" s="129">
        <v>6.12</v>
      </c>
      <c r="C80" s="8">
        <v>0</v>
      </c>
      <c r="D80" s="45">
        <v>0</v>
      </c>
    </row>
    <row r="81" spans="1:4" ht="19" x14ac:dyDescent="0.25">
      <c r="A81" s="57" t="s">
        <v>116</v>
      </c>
      <c r="B81" s="130">
        <v>5.49</v>
      </c>
      <c r="C81" s="9">
        <v>0</v>
      </c>
      <c r="D81" s="46">
        <v>0</v>
      </c>
    </row>
    <row r="82" spans="1:4" ht="19" x14ac:dyDescent="0.25">
      <c r="A82" s="58" t="s">
        <v>117</v>
      </c>
      <c r="B82" s="131">
        <v>5.97</v>
      </c>
      <c r="C82" s="8">
        <v>0</v>
      </c>
      <c r="D82" s="45">
        <v>0</v>
      </c>
    </row>
    <row r="83" spans="1:4" ht="19" x14ac:dyDescent="0.25">
      <c r="A83" s="57" t="s">
        <v>118</v>
      </c>
      <c r="B83" s="132">
        <v>5.68</v>
      </c>
      <c r="C83" s="9">
        <v>0</v>
      </c>
      <c r="D83" s="46">
        <v>0</v>
      </c>
    </row>
    <row r="84" spans="1:4" ht="19" x14ac:dyDescent="0.25">
      <c r="A84" s="58" t="s">
        <v>119</v>
      </c>
      <c r="B84" s="133">
        <v>3.93</v>
      </c>
      <c r="C84" s="8">
        <v>0</v>
      </c>
      <c r="D84" s="45">
        <v>0</v>
      </c>
    </row>
    <row r="85" spans="1:4" ht="19" x14ac:dyDescent="0.25">
      <c r="A85" s="57" t="s">
        <v>120</v>
      </c>
      <c r="B85" s="134">
        <v>5.82</v>
      </c>
      <c r="C85" s="9">
        <v>0</v>
      </c>
      <c r="D85" s="46">
        <v>0</v>
      </c>
    </row>
    <row r="86" spans="1:4" ht="19" x14ac:dyDescent="0.25">
      <c r="A86" s="58" t="s">
        <v>121</v>
      </c>
      <c r="B86" s="135">
        <v>5.58</v>
      </c>
      <c r="C86" s="8">
        <v>0</v>
      </c>
      <c r="D86" s="45">
        <v>0</v>
      </c>
    </row>
    <row r="87" spans="1:4" ht="19" x14ac:dyDescent="0.25">
      <c r="A87" s="57" t="s">
        <v>122</v>
      </c>
      <c r="B87" s="136">
        <v>4.03</v>
      </c>
      <c r="C87" s="9">
        <v>0</v>
      </c>
      <c r="D87" s="46">
        <v>0</v>
      </c>
    </row>
    <row r="88" spans="1:4" ht="19" x14ac:dyDescent="0.25">
      <c r="A88" s="58" t="s">
        <v>123</v>
      </c>
      <c r="B88" s="137">
        <v>7.1</v>
      </c>
      <c r="C88" s="8">
        <v>0</v>
      </c>
      <c r="D88" s="45">
        <v>0</v>
      </c>
    </row>
    <row r="89" spans="1:4" ht="19" x14ac:dyDescent="0.25">
      <c r="A89" s="57" t="s">
        <v>124</v>
      </c>
      <c r="B89" s="138">
        <v>6.28</v>
      </c>
      <c r="C89" s="9">
        <v>0</v>
      </c>
      <c r="D89" s="46">
        <v>0</v>
      </c>
    </row>
    <row r="90" spans="1:4" ht="19" x14ac:dyDescent="0.25">
      <c r="A90" s="58" t="s">
        <v>125</v>
      </c>
      <c r="B90" s="139">
        <v>3.47</v>
      </c>
      <c r="C90" s="8">
        <v>0</v>
      </c>
      <c r="D90" s="45">
        <v>0</v>
      </c>
    </row>
    <row r="91" spans="1:4" ht="19" x14ac:dyDescent="0.25">
      <c r="A91" s="57" t="s">
        <v>126</v>
      </c>
      <c r="B91" s="140">
        <v>5.42</v>
      </c>
      <c r="C91" s="9">
        <v>0</v>
      </c>
      <c r="D91" s="46">
        <v>0</v>
      </c>
    </row>
    <row r="92" spans="1:4" ht="19" x14ac:dyDescent="0.25">
      <c r="A92" s="58" t="s">
        <v>127</v>
      </c>
      <c r="B92" s="127">
        <v>5.14</v>
      </c>
      <c r="C92" s="8">
        <v>0</v>
      </c>
      <c r="D92" s="45">
        <v>0</v>
      </c>
    </row>
    <row r="93" spans="1:4" ht="19" x14ac:dyDescent="0.25">
      <c r="A93" s="57" t="s">
        <v>128</v>
      </c>
      <c r="B93" s="141">
        <v>4.6500000000000004</v>
      </c>
      <c r="C93" s="9">
        <v>0</v>
      </c>
      <c r="D93" s="46">
        <v>0</v>
      </c>
    </row>
    <row r="94" spans="1:4" ht="19" x14ac:dyDescent="0.25">
      <c r="A94" s="58" t="s">
        <v>129</v>
      </c>
      <c r="B94" s="142">
        <v>5.0999999999999996</v>
      </c>
      <c r="C94" s="8">
        <v>0</v>
      </c>
      <c r="D94" s="45">
        <v>0</v>
      </c>
    </row>
    <row r="95" spans="1:4" ht="19" x14ac:dyDescent="0.25">
      <c r="A95" s="57" t="s">
        <v>130</v>
      </c>
      <c r="B95" s="70">
        <v>6.3</v>
      </c>
      <c r="C95" s="9">
        <v>0</v>
      </c>
      <c r="D95" s="46">
        <v>0</v>
      </c>
    </row>
    <row r="96" spans="1:4" ht="19" x14ac:dyDescent="0.25">
      <c r="A96" s="58" t="s">
        <v>131</v>
      </c>
      <c r="B96" s="143">
        <v>4.6399999999999997</v>
      </c>
      <c r="C96" s="8">
        <v>0</v>
      </c>
      <c r="D96" s="45">
        <v>0</v>
      </c>
    </row>
    <row r="97" spans="1:4" ht="19" x14ac:dyDescent="0.25">
      <c r="A97" s="57" t="s">
        <v>132</v>
      </c>
      <c r="B97" s="104">
        <v>5.78</v>
      </c>
      <c r="C97" s="9">
        <v>0</v>
      </c>
      <c r="D97" s="46">
        <v>0</v>
      </c>
    </row>
    <row r="98" spans="1:4" ht="19" x14ac:dyDescent="0.25">
      <c r="A98" s="58" t="s">
        <v>133</v>
      </c>
      <c r="B98" s="144">
        <v>3.59</v>
      </c>
      <c r="C98" s="8">
        <v>0</v>
      </c>
      <c r="D98" s="45">
        <v>0</v>
      </c>
    </row>
    <row r="99" spans="1:4" ht="19" x14ac:dyDescent="0.25">
      <c r="A99" s="57" t="s">
        <v>134</v>
      </c>
      <c r="B99" s="145">
        <v>3.32</v>
      </c>
      <c r="C99" s="9">
        <v>0</v>
      </c>
      <c r="D99" s="46">
        <v>0</v>
      </c>
    </row>
    <row r="100" spans="1:4" ht="19" x14ac:dyDescent="0.25">
      <c r="A100" s="58" t="s">
        <v>135</v>
      </c>
      <c r="B100" s="146">
        <v>5.8</v>
      </c>
      <c r="C100" s="8">
        <v>0</v>
      </c>
      <c r="D100" s="45">
        <v>0</v>
      </c>
    </row>
    <row r="101" spans="1:4" ht="19" x14ac:dyDescent="0.25">
      <c r="A101" s="57" t="s">
        <v>136</v>
      </c>
      <c r="B101" s="147">
        <v>7.07</v>
      </c>
      <c r="C101" s="9">
        <v>0</v>
      </c>
      <c r="D101" s="46">
        <v>0</v>
      </c>
    </row>
    <row r="102" spans="1:4" ht="19" x14ac:dyDescent="0.25">
      <c r="A102" s="58" t="s">
        <v>137</v>
      </c>
      <c r="B102" s="148">
        <v>6.5</v>
      </c>
      <c r="C102" s="8">
        <v>0</v>
      </c>
      <c r="D102" s="45">
        <v>0</v>
      </c>
    </row>
    <row r="103" spans="1:4" ht="19" x14ac:dyDescent="0.25">
      <c r="A103" s="57" t="s">
        <v>138</v>
      </c>
      <c r="B103" s="149">
        <v>4.16</v>
      </c>
      <c r="C103" s="9">
        <v>0</v>
      </c>
      <c r="D103" s="46">
        <v>0</v>
      </c>
    </row>
    <row r="104" spans="1:4" ht="19" x14ac:dyDescent="0.25">
      <c r="A104" s="58" t="s">
        <v>139</v>
      </c>
      <c r="B104" s="114">
        <v>3.38</v>
      </c>
      <c r="C104" s="8">
        <v>0</v>
      </c>
      <c r="D104" s="45">
        <v>0</v>
      </c>
    </row>
    <row r="105" spans="1:4" ht="19" x14ac:dyDescent="0.25">
      <c r="A105" s="57" t="s">
        <v>140</v>
      </c>
      <c r="B105" s="150">
        <v>4.0199999999999996</v>
      </c>
      <c r="C105" s="9">
        <v>0</v>
      </c>
      <c r="D105" s="46">
        <v>0</v>
      </c>
    </row>
    <row r="106" spans="1:4" ht="19" x14ac:dyDescent="0.25">
      <c r="A106" s="58" t="s">
        <v>141</v>
      </c>
      <c r="B106" s="151">
        <v>6.65</v>
      </c>
      <c r="C106" s="8">
        <v>0</v>
      </c>
      <c r="D106" s="45">
        <v>0</v>
      </c>
    </row>
    <row r="107" spans="1:4" ht="19" x14ac:dyDescent="0.25">
      <c r="A107" s="57" t="s">
        <v>142</v>
      </c>
      <c r="B107" s="152">
        <v>4.5599999999999996</v>
      </c>
      <c r="C107" s="9">
        <v>0</v>
      </c>
      <c r="D107" s="46">
        <v>0</v>
      </c>
    </row>
    <row r="108" spans="1:4" ht="19" x14ac:dyDescent="0.25">
      <c r="A108" s="58" t="s">
        <v>143</v>
      </c>
      <c r="B108" s="76">
        <v>5.34</v>
      </c>
      <c r="C108" s="8">
        <v>0</v>
      </c>
      <c r="D108" s="45">
        <v>0</v>
      </c>
    </row>
    <row r="109" spans="1:4" ht="19" x14ac:dyDescent="0.25">
      <c r="A109" s="57" t="s">
        <v>144</v>
      </c>
      <c r="B109" s="153">
        <v>4.72</v>
      </c>
      <c r="C109" s="9">
        <v>0</v>
      </c>
      <c r="D109" s="46">
        <v>0</v>
      </c>
    </row>
    <row r="110" spans="1:4" ht="19" x14ac:dyDescent="0.25">
      <c r="A110" s="58" t="s">
        <v>145</v>
      </c>
      <c r="B110" s="154">
        <v>5.28</v>
      </c>
      <c r="C110" s="8">
        <v>0</v>
      </c>
      <c r="D110" s="45">
        <v>0</v>
      </c>
    </row>
    <row r="111" spans="1:4" ht="19" x14ac:dyDescent="0.25">
      <c r="A111" s="57" t="s">
        <v>146</v>
      </c>
      <c r="B111" s="146">
        <v>5.8</v>
      </c>
      <c r="C111" s="9">
        <v>0</v>
      </c>
      <c r="D111" s="46">
        <v>0</v>
      </c>
    </row>
    <row r="112" spans="1:4" ht="19" x14ac:dyDescent="0.25">
      <c r="A112" s="58" t="s">
        <v>147</v>
      </c>
      <c r="B112" s="155">
        <v>4.1500000000000004</v>
      </c>
      <c r="C112" s="8">
        <v>0</v>
      </c>
      <c r="D112" s="45">
        <v>0</v>
      </c>
    </row>
    <row r="113" spans="1:4" ht="19" x14ac:dyDescent="0.25">
      <c r="A113" s="57" t="s">
        <v>148</v>
      </c>
      <c r="B113" s="156">
        <v>3.43</v>
      </c>
      <c r="C113" s="9">
        <v>0</v>
      </c>
      <c r="D113" s="46">
        <v>0</v>
      </c>
    </row>
    <row r="114" spans="1:4" ht="19" x14ac:dyDescent="0.25">
      <c r="A114" s="58" t="s">
        <v>149</v>
      </c>
      <c r="B114" s="93">
        <v>3.2</v>
      </c>
      <c r="C114" s="8">
        <v>0</v>
      </c>
      <c r="D114" s="45">
        <v>0</v>
      </c>
    </row>
    <row r="115" spans="1:4" ht="19" x14ac:dyDescent="0.25">
      <c r="A115" s="57" t="s">
        <v>150</v>
      </c>
      <c r="B115" s="157">
        <v>4.05</v>
      </c>
      <c r="C115" s="9">
        <v>0</v>
      </c>
      <c r="D115" s="46">
        <v>0</v>
      </c>
    </row>
    <row r="116" spans="1:4" ht="19" x14ac:dyDescent="0.25">
      <c r="A116" s="58" t="s">
        <v>151</v>
      </c>
      <c r="B116" s="158">
        <v>5.96</v>
      </c>
      <c r="C116" s="8">
        <v>0</v>
      </c>
      <c r="D116" s="45">
        <v>0</v>
      </c>
    </row>
    <row r="117" spans="1:4" ht="19" x14ac:dyDescent="0.25">
      <c r="A117" s="57" t="s">
        <v>152</v>
      </c>
      <c r="B117" s="159">
        <v>5.47</v>
      </c>
      <c r="C117" s="9">
        <v>0</v>
      </c>
      <c r="D117" s="46">
        <v>0</v>
      </c>
    </row>
    <row r="118" spans="1:4" ht="19" x14ac:dyDescent="0.25">
      <c r="A118" s="58" t="s">
        <v>153</v>
      </c>
      <c r="B118" s="79">
        <v>4.42</v>
      </c>
      <c r="C118" s="8">
        <v>0</v>
      </c>
      <c r="D118" s="45">
        <v>0</v>
      </c>
    </row>
    <row r="119" spans="1:4" ht="19" x14ac:dyDescent="0.25">
      <c r="A119" s="57" t="s">
        <v>154</v>
      </c>
      <c r="B119" s="160">
        <v>5.4</v>
      </c>
      <c r="C119" s="9">
        <v>0</v>
      </c>
      <c r="D119" s="46">
        <v>0</v>
      </c>
    </row>
    <row r="120" spans="1:4" ht="19" x14ac:dyDescent="0.25">
      <c r="A120" s="58" t="s">
        <v>155</v>
      </c>
      <c r="B120" s="161">
        <v>5.04</v>
      </c>
      <c r="C120" s="8">
        <v>0</v>
      </c>
      <c r="D120" s="45">
        <v>0</v>
      </c>
    </row>
    <row r="121" spans="1:4" ht="19" x14ac:dyDescent="0.25">
      <c r="A121" s="57" t="s">
        <v>156</v>
      </c>
      <c r="B121" s="162">
        <v>5.64</v>
      </c>
      <c r="C121" s="9">
        <v>0</v>
      </c>
      <c r="D121" s="46">
        <v>0</v>
      </c>
    </row>
    <row r="122" spans="1:4" ht="19" x14ac:dyDescent="0.25">
      <c r="A122" s="58" t="s">
        <v>157</v>
      </c>
      <c r="B122" s="163">
        <v>3.04</v>
      </c>
      <c r="C122" s="8">
        <v>0</v>
      </c>
      <c r="D122" s="45">
        <v>0</v>
      </c>
    </row>
    <row r="123" spans="1:4" ht="19" x14ac:dyDescent="0.25">
      <c r="A123" s="57" t="s">
        <v>158</v>
      </c>
      <c r="B123" s="164">
        <v>3.79</v>
      </c>
      <c r="C123" s="9">
        <v>0</v>
      </c>
      <c r="D123" s="46">
        <v>0</v>
      </c>
    </row>
    <row r="124" spans="1:4" ht="19" x14ac:dyDescent="0.25">
      <c r="A124" s="58" t="s">
        <v>159</v>
      </c>
      <c r="B124" s="165">
        <v>3.48</v>
      </c>
      <c r="C124" s="8">
        <v>0</v>
      </c>
      <c r="D124" s="45">
        <v>0</v>
      </c>
    </row>
    <row r="125" spans="1:4" ht="19" x14ac:dyDescent="0.25">
      <c r="A125" s="57" t="s">
        <v>160</v>
      </c>
      <c r="B125" s="166">
        <v>5.22</v>
      </c>
      <c r="C125" s="9">
        <v>0</v>
      </c>
      <c r="D125" s="46">
        <v>0</v>
      </c>
    </row>
    <row r="126" spans="1:4" ht="19" x14ac:dyDescent="0.25">
      <c r="A126" s="58" t="s">
        <v>161</v>
      </c>
      <c r="B126" s="167">
        <v>3.57</v>
      </c>
      <c r="C126" s="8">
        <v>0</v>
      </c>
      <c r="D126" s="45">
        <v>0</v>
      </c>
    </row>
    <row r="127" spans="1:4" ht="19" x14ac:dyDescent="0.25">
      <c r="A127" s="57" t="s">
        <v>162</v>
      </c>
      <c r="B127" s="168">
        <v>3.7</v>
      </c>
      <c r="C127" s="9">
        <v>0</v>
      </c>
      <c r="D127" s="46">
        <v>0</v>
      </c>
    </row>
    <row r="128" spans="1:4" ht="19" x14ac:dyDescent="0.25">
      <c r="A128" s="58" t="s">
        <v>163</v>
      </c>
      <c r="B128" s="169">
        <v>5.1100000000000003</v>
      </c>
      <c r="C128" s="8">
        <v>0</v>
      </c>
      <c r="D128" s="45">
        <v>0</v>
      </c>
    </row>
    <row r="129" spans="1:4" ht="19" x14ac:dyDescent="0.25">
      <c r="A129" s="57" t="s">
        <v>164</v>
      </c>
      <c r="B129" s="137">
        <v>7.1</v>
      </c>
      <c r="C129" s="9">
        <v>0</v>
      </c>
      <c r="D129" s="46">
        <v>0</v>
      </c>
    </row>
    <row r="130" spans="1:4" ht="19" x14ac:dyDescent="0.25">
      <c r="A130" s="58" t="s">
        <v>165</v>
      </c>
      <c r="B130" s="170">
        <v>3.52</v>
      </c>
      <c r="C130" s="8">
        <v>0</v>
      </c>
      <c r="D130" s="45">
        <v>0</v>
      </c>
    </row>
    <row r="131" spans="1:4" ht="19" x14ac:dyDescent="0.25">
      <c r="A131" s="57" t="s">
        <v>166</v>
      </c>
      <c r="B131" s="171">
        <v>2.78</v>
      </c>
      <c r="C131" s="9">
        <v>0</v>
      </c>
      <c r="D131" s="46">
        <v>0</v>
      </c>
    </row>
    <row r="132" spans="1:4" ht="19" x14ac:dyDescent="0.25">
      <c r="A132" s="59" t="s">
        <v>167</v>
      </c>
      <c r="B132" s="172">
        <v>7.33</v>
      </c>
      <c r="C132" s="8">
        <v>0</v>
      </c>
      <c r="D132" s="45">
        <v>0</v>
      </c>
    </row>
    <row r="133" spans="1:4" ht="19" x14ac:dyDescent="0.25">
      <c r="A133" s="57" t="s">
        <v>168</v>
      </c>
      <c r="B133" s="173">
        <v>5.69</v>
      </c>
      <c r="C133" s="9">
        <v>0</v>
      </c>
      <c r="D133" s="46">
        <v>0</v>
      </c>
    </row>
    <row r="134" spans="1:4" ht="19" x14ac:dyDescent="0.25">
      <c r="A134" s="58" t="s">
        <v>169</v>
      </c>
      <c r="B134" s="63">
        <v>5.21</v>
      </c>
      <c r="C134" s="8">
        <v>0</v>
      </c>
      <c r="D134" s="45">
        <v>0</v>
      </c>
    </row>
    <row r="135" spans="1:4" ht="19" x14ac:dyDescent="0.25">
      <c r="A135" s="57" t="s">
        <v>170</v>
      </c>
      <c r="B135" s="174">
        <v>5.15</v>
      </c>
      <c r="C135" s="9">
        <v>0</v>
      </c>
      <c r="D135" s="46">
        <v>0</v>
      </c>
    </row>
    <row r="136" spans="1:4" ht="19" x14ac:dyDescent="0.25">
      <c r="A136" s="58" t="s">
        <v>171</v>
      </c>
      <c r="B136" s="175">
        <v>5.87</v>
      </c>
      <c r="C136" s="8">
        <v>0</v>
      </c>
      <c r="D136" s="45">
        <v>0</v>
      </c>
    </row>
    <row r="137" spans="1:4" ht="19" x14ac:dyDescent="0.25">
      <c r="A137" s="57" t="s">
        <v>172</v>
      </c>
      <c r="B137" s="176">
        <v>4.38</v>
      </c>
      <c r="C137" s="9">
        <v>0</v>
      </c>
      <c r="D137" s="46">
        <v>0</v>
      </c>
    </row>
    <row r="138" spans="1:4" ht="19" x14ac:dyDescent="0.25">
      <c r="A138" s="58" t="s">
        <v>173</v>
      </c>
      <c r="B138" s="177">
        <v>5.13</v>
      </c>
      <c r="C138" s="8">
        <v>0</v>
      </c>
      <c r="D138" s="45">
        <v>0</v>
      </c>
    </row>
    <row r="139" spans="1:4" ht="19" x14ac:dyDescent="0.25">
      <c r="A139" s="57" t="s">
        <v>174</v>
      </c>
      <c r="B139" s="178">
        <v>5.26</v>
      </c>
      <c r="C139" s="9">
        <v>0</v>
      </c>
      <c r="D139" s="46">
        <v>0</v>
      </c>
    </row>
    <row r="140" spans="1:4" ht="19" x14ac:dyDescent="0.25">
      <c r="A140" s="58" t="s">
        <v>175</v>
      </c>
      <c r="B140" s="179">
        <v>6.29</v>
      </c>
      <c r="C140" s="8">
        <v>0</v>
      </c>
      <c r="D140" s="45">
        <v>0</v>
      </c>
    </row>
    <row r="141" spans="1:4" ht="19" x14ac:dyDescent="0.25">
      <c r="A141" s="57" t="s">
        <v>176</v>
      </c>
      <c r="B141" s="180">
        <v>6.35</v>
      </c>
      <c r="C141" s="9">
        <v>0</v>
      </c>
      <c r="D141" s="46">
        <v>0</v>
      </c>
    </row>
    <row r="142" spans="1:4" ht="19" x14ac:dyDescent="0.25">
      <c r="A142" s="58" t="s">
        <v>177</v>
      </c>
      <c r="B142" s="181">
        <v>3.72</v>
      </c>
      <c r="C142" s="8">
        <v>0</v>
      </c>
      <c r="D142" s="45">
        <v>0</v>
      </c>
    </row>
    <row r="143" spans="1:4" ht="19" x14ac:dyDescent="0.25">
      <c r="A143" s="57" t="s">
        <v>178</v>
      </c>
      <c r="B143" s="145">
        <v>3.32</v>
      </c>
      <c r="C143" s="9">
        <v>0</v>
      </c>
      <c r="D143" s="46">
        <v>0</v>
      </c>
    </row>
    <row r="144" spans="1:4" ht="19" x14ac:dyDescent="0.25">
      <c r="A144" s="58" t="s">
        <v>179</v>
      </c>
      <c r="B144" s="182">
        <v>4.1900000000000004</v>
      </c>
      <c r="C144" s="8">
        <v>0</v>
      </c>
      <c r="D144" s="45">
        <v>0</v>
      </c>
    </row>
    <row r="145" spans="1:4" ht="19" x14ac:dyDescent="0.25">
      <c r="A145" s="57" t="s">
        <v>180</v>
      </c>
      <c r="B145" s="183">
        <v>3.91</v>
      </c>
      <c r="C145" s="9">
        <v>0</v>
      </c>
      <c r="D145" s="46">
        <v>0</v>
      </c>
    </row>
    <row r="146" spans="1:4" ht="19" x14ac:dyDescent="0.25">
      <c r="A146" s="58" t="s">
        <v>181</v>
      </c>
      <c r="B146" s="112">
        <v>5.77</v>
      </c>
      <c r="C146" s="8">
        <v>0</v>
      </c>
      <c r="D146" s="45">
        <v>0</v>
      </c>
    </row>
    <row r="147" spans="1:4" ht="19" x14ac:dyDescent="0.25">
      <c r="A147" s="57" t="s">
        <v>182</v>
      </c>
      <c r="B147" s="184">
        <v>4.32</v>
      </c>
      <c r="C147" s="9">
        <v>0</v>
      </c>
      <c r="D147" s="46">
        <v>0</v>
      </c>
    </row>
    <row r="148" spans="1:4" ht="19" x14ac:dyDescent="0.25">
      <c r="A148" s="58" t="s">
        <v>183</v>
      </c>
      <c r="B148" s="70">
        <v>6.3</v>
      </c>
      <c r="C148" s="8">
        <v>0</v>
      </c>
      <c r="D148" s="45">
        <v>0</v>
      </c>
    </row>
    <row r="149" spans="1:4" ht="19" x14ac:dyDescent="0.25">
      <c r="A149" s="57" t="s">
        <v>184</v>
      </c>
      <c r="B149" s="185">
        <v>4.95</v>
      </c>
      <c r="C149" s="9">
        <v>0</v>
      </c>
      <c r="D149" s="46">
        <v>0</v>
      </c>
    </row>
    <row r="150" spans="1:4" ht="19" x14ac:dyDescent="0.25">
      <c r="A150" s="60" t="s">
        <v>185</v>
      </c>
      <c r="B150" s="186">
        <v>6.14</v>
      </c>
      <c r="C150" s="10">
        <v>0</v>
      </c>
      <c r="D150" s="47">
        <v>0</v>
      </c>
    </row>
    <row r="151" spans="1:4" ht="19" x14ac:dyDescent="0.25">
      <c r="A151" s="61" t="s">
        <v>186</v>
      </c>
      <c r="B151" s="5"/>
      <c r="C151" s="6">
        <f>SUM(C4:C150)</f>
        <v>0</v>
      </c>
      <c r="D151" s="48">
        <f>SUM(D4:D150)</f>
        <v>0</v>
      </c>
    </row>
  </sheetData>
  <mergeCells count="1">
    <mergeCell ref="A1:D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5E725-7078-3A41-867A-EA48754FB841}">
  <dimension ref="A1:J151"/>
  <sheetViews>
    <sheetView workbookViewId="0">
      <selection activeCell="I17" sqref="I17"/>
    </sheetView>
  </sheetViews>
  <sheetFormatPr baseColWidth="10" defaultColWidth="11" defaultRowHeight="16" x14ac:dyDescent="0.2"/>
  <cols>
    <col min="1" max="1" width="23" bestFit="1" customWidth="1"/>
    <col min="2" max="2" width="32" bestFit="1" customWidth="1"/>
    <col min="3" max="3" width="33.6640625" bestFit="1" customWidth="1"/>
    <col min="4" max="4" width="42.6640625" bestFit="1" customWidth="1"/>
    <col min="5" max="5" width="16" bestFit="1" customWidth="1"/>
    <col min="7" max="7" width="29.33203125" bestFit="1" customWidth="1"/>
    <col min="8" max="8" width="8.5" bestFit="1" customWidth="1"/>
    <col min="9" max="9" width="22.5" bestFit="1" customWidth="1"/>
    <col min="10" max="10" width="12.33203125" bestFit="1" customWidth="1"/>
  </cols>
  <sheetData>
    <row r="1" spans="1:10" ht="17" customHeight="1" x14ac:dyDescent="0.2">
      <c r="A1" s="188" t="s">
        <v>23</v>
      </c>
      <c r="B1" s="189"/>
      <c r="C1" s="189"/>
      <c r="D1" s="189"/>
    </row>
    <row r="2" spans="1:10" ht="17" customHeight="1" thickBot="1" x14ac:dyDescent="0.25">
      <c r="A2" s="190"/>
      <c r="B2" s="191"/>
      <c r="C2" s="191"/>
      <c r="D2" s="191"/>
    </row>
    <row r="3" spans="1:10" ht="20" thickTop="1" x14ac:dyDescent="0.25">
      <c r="A3" s="12" t="s">
        <v>27</v>
      </c>
      <c r="B3" s="13" t="s">
        <v>28</v>
      </c>
      <c r="C3" s="14" t="s">
        <v>29</v>
      </c>
      <c r="D3" s="7" t="s">
        <v>30</v>
      </c>
    </row>
    <row r="4" spans="1:10" ht="20" thickBot="1" x14ac:dyDescent="0.3">
      <c r="A4" s="56" t="s">
        <v>31</v>
      </c>
      <c r="B4" s="62">
        <v>4.37</v>
      </c>
      <c r="C4" s="15">
        <v>0</v>
      </c>
      <c r="D4" s="45">
        <f>'Facility Risk - ASML'!$C4/$C$151</f>
        <v>0</v>
      </c>
      <c r="E4" s="1"/>
      <c r="F4" s="3"/>
      <c r="G4" s="4"/>
    </row>
    <row r="5" spans="1:10" ht="20" thickBot="1" x14ac:dyDescent="0.3">
      <c r="A5" s="57" t="s">
        <v>32</v>
      </c>
      <c r="B5" s="63">
        <v>5.21</v>
      </c>
      <c r="C5" s="9">
        <v>0</v>
      </c>
      <c r="D5" s="46">
        <f>'Facility Risk - ASML'!$C5/$C$151</f>
        <v>0</v>
      </c>
      <c r="E5" s="1"/>
      <c r="F5" s="3"/>
      <c r="G5" s="32" t="s">
        <v>33</v>
      </c>
      <c r="H5" s="33"/>
      <c r="I5" s="33"/>
      <c r="J5" s="34"/>
    </row>
    <row r="6" spans="1:10" ht="20" thickBot="1" x14ac:dyDescent="0.3">
      <c r="A6" s="58" t="s">
        <v>34</v>
      </c>
      <c r="B6" s="64">
        <v>5.63</v>
      </c>
      <c r="C6" s="8">
        <v>0</v>
      </c>
      <c r="D6" s="45">
        <f>'Facility Risk - ASML'!$C6/$C$151</f>
        <v>0</v>
      </c>
      <c r="E6" s="1"/>
      <c r="F6" s="3"/>
      <c r="G6" s="20"/>
      <c r="H6" s="21" t="s">
        <v>35</v>
      </c>
      <c r="I6" s="22" t="s">
        <v>36</v>
      </c>
      <c r="J6" s="23" t="s">
        <v>37</v>
      </c>
    </row>
    <row r="7" spans="1:10" ht="19" x14ac:dyDescent="0.25">
      <c r="A7" s="57" t="s">
        <v>38</v>
      </c>
      <c r="B7" s="65">
        <v>4.3600000000000003</v>
      </c>
      <c r="C7" s="9">
        <v>0</v>
      </c>
      <c r="D7" s="46">
        <f>'Facility Risk - ASML'!$C7/$C$151</f>
        <v>0</v>
      </c>
      <c r="E7" s="1"/>
      <c r="F7" s="3"/>
      <c r="G7" s="24" t="s">
        <v>39</v>
      </c>
      <c r="H7" s="25" t="str">
        <f>INDEX(A4:A150,MATCH(MIN(D4:D150),D4:D150,0))</f>
        <v>Albania</v>
      </c>
      <c r="I7" s="25">
        <f>INDEX(B4:B150,MATCH(MIN(D4:D150),D4:D150,0))</f>
        <v>4.37</v>
      </c>
      <c r="J7" s="26">
        <f>INDEX(D4:D150,MATCH(MIN(D4:D150),D4:D150,0))</f>
        <v>0</v>
      </c>
    </row>
    <row r="8" spans="1:10" ht="20" thickBot="1" x14ac:dyDescent="0.3">
      <c r="A8" s="58" t="s">
        <v>40</v>
      </c>
      <c r="B8" s="66">
        <v>4.79</v>
      </c>
      <c r="C8" s="8">
        <v>0</v>
      </c>
      <c r="D8" s="45">
        <f>'Facility Risk - ASML'!$C8/$C$151</f>
        <v>0</v>
      </c>
      <c r="E8" s="1"/>
      <c r="F8" s="3"/>
      <c r="G8" s="27" t="s">
        <v>41</v>
      </c>
      <c r="H8" s="28" t="str">
        <f>INDEX(A4:A150,MATCH(MAX(D4:D150),D4:D150,0))</f>
        <v>China</v>
      </c>
      <c r="I8" s="28">
        <f>INDEX(B4:B150,MATCH(MAX(D4:D150),D4:D150,0))</f>
        <v>4.26</v>
      </c>
      <c r="J8" s="31">
        <f>INDEX(D4:D150,MATCH(MAX(D4:D150),D4:D150,0))</f>
        <v>0.36850000000000005</v>
      </c>
    </row>
    <row r="9" spans="1:10" ht="23" thickBot="1" x14ac:dyDescent="0.35">
      <c r="A9" s="57" t="s">
        <v>42</v>
      </c>
      <c r="B9" s="67">
        <v>3.22</v>
      </c>
      <c r="C9" s="9">
        <v>0</v>
      </c>
      <c r="D9" s="46">
        <f>'Facility Risk - ASML'!$C9/$C$151</f>
        <v>0</v>
      </c>
      <c r="E9" s="1"/>
      <c r="F9" s="3"/>
      <c r="G9" s="30" t="s">
        <v>43</v>
      </c>
      <c r="H9" s="29"/>
      <c r="I9" s="29"/>
      <c r="J9" s="187">
        <f>SUMPRODUCT(B4:B150,D4:D150)</f>
        <v>3.9969190000000001</v>
      </c>
    </row>
    <row r="10" spans="1:10" ht="19" x14ac:dyDescent="0.25">
      <c r="A10" s="58" t="s">
        <v>44</v>
      </c>
      <c r="B10" s="68">
        <v>3.41</v>
      </c>
      <c r="C10" s="8">
        <v>0</v>
      </c>
      <c r="D10" s="45">
        <f>'Facility Risk - ASML'!$C10/$C$151</f>
        <v>0</v>
      </c>
      <c r="E10" s="1"/>
      <c r="F10" s="3"/>
      <c r="G10" s="4"/>
    </row>
    <row r="11" spans="1:10" ht="19" x14ac:dyDescent="0.25">
      <c r="A11" s="57" t="s">
        <v>45</v>
      </c>
      <c r="B11" s="63">
        <v>5.21</v>
      </c>
      <c r="C11" s="9">
        <v>0</v>
      </c>
      <c r="D11" s="46">
        <f>'Facility Risk - ASML'!$C11/$C$151</f>
        <v>0</v>
      </c>
      <c r="E11" s="1"/>
      <c r="F11" s="3"/>
      <c r="G11" s="4"/>
    </row>
    <row r="12" spans="1:10" ht="19" x14ac:dyDescent="0.25">
      <c r="A12" s="58" t="s">
        <v>46</v>
      </c>
      <c r="B12" s="69">
        <v>4.26</v>
      </c>
      <c r="C12" s="8">
        <v>0</v>
      </c>
      <c r="D12" s="45">
        <f>'Facility Risk - ASML'!$C12/$C$151</f>
        <v>0</v>
      </c>
      <c r="G12" s="4"/>
    </row>
    <row r="13" spans="1:10" ht="19" x14ac:dyDescent="0.25">
      <c r="A13" s="57" t="s">
        <v>47</v>
      </c>
      <c r="B13" s="70">
        <v>6.29</v>
      </c>
      <c r="C13" s="9">
        <v>0</v>
      </c>
      <c r="D13" s="46">
        <f>'Facility Risk - ASML'!$C13/$C$151</f>
        <v>0</v>
      </c>
      <c r="G13" s="4"/>
    </row>
    <row r="14" spans="1:10" ht="19" x14ac:dyDescent="0.25">
      <c r="A14" s="58" t="s">
        <v>48</v>
      </c>
      <c r="B14" s="71">
        <v>5.45</v>
      </c>
      <c r="C14" s="8">
        <v>0</v>
      </c>
      <c r="D14" s="45">
        <f>'Facility Risk - ASML'!$C14/$C$151</f>
        <v>0</v>
      </c>
      <c r="G14" s="4"/>
    </row>
    <row r="15" spans="1:10" ht="19" x14ac:dyDescent="0.25">
      <c r="A15" s="57" t="s">
        <v>49</v>
      </c>
      <c r="B15" s="72">
        <v>3.33</v>
      </c>
      <c r="C15" s="9">
        <v>0</v>
      </c>
      <c r="D15" s="46">
        <f>'Facility Risk - ASML'!$C15/$C$151</f>
        <v>0</v>
      </c>
      <c r="G15" s="4"/>
    </row>
    <row r="16" spans="1:10" ht="19" x14ac:dyDescent="0.25">
      <c r="A16" s="58" t="s">
        <v>50</v>
      </c>
      <c r="B16" s="73">
        <v>6</v>
      </c>
      <c r="C16" s="8">
        <v>0</v>
      </c>
      <c r="D16" s="45">
        <f>'Facility Risk - ASML'!$C16/$C$151</f>
        <v>0</v>
      </c>
    </row>
    <row r="17" spans="1:5" ht="19" x14ac:dyDescent="0.25">
      <c r="A17" s="57" t="s">
        <v>51</v>
      </c>
      <c r="B17" s="74">
        <v>5.0199999999999996</v>
      </c>
      <c r="C17" s="9">
        <v>0</v>
      </c>
      <c r="D17" s="46">
        <f>'Facility Risk - ASML'!$C17/$C$151</f>
        <v>0</v>
      </c>
    </row>
    <row r="18" spans="1:5" ht="19" x14ac:dyDescent="0.25">
      <c r="A18" s="58" t="s">
        <v>52</v>
      </c>
      <c r="B18" s="75">
        <v>5.41</v>
      </c>
      <c r="C18" s="8">
        <v>0</v>
      </c>
      <c r="D18" s="45">
        <f>'Facility Risk - ASML'!$C18/$C$151</f>
        <v>0</v>
      </c>
    </row>
    <row r="19" spans="1:5" ht="19" x14ac:dyDescent="0.25">
      <c r="A19" s="57" t="s">
        <v>53</v>
      </c>
      <c r="B19" s="76">
        <v>5.34</v>
      </c>
      <c r="C19" s="9">
        <v>0</v>
      </c>
      <c r="D19" s="46">
        <f>'Facility Risk - ASML'!$C19/$C$151</f>
        <v>0</v>
      </c>
    </row>
    <row r="20" spans="1:5" ht="19" x14ac:dyDescent="0.25">
      <c r="A20" s="58" t="s">
        <v>54</v>
      </c>
      <c r="B20" s="77">
        <v>4.34</v>
      </c>
      <c r="C20" s="8">
        <v>0</v>
      </c>
      <c r="D20" s="45">
        <f>'Facility Risk - ASML'!$C20/$C$151</f>
        <v>0</v>
      </c>
    </row>
    <row r="21" spans="1:5" ht="19" x14ac:dyDescent="0.25">
      <c r="A21" s="57" t="s">
        <v>55</v>
      </c>
      <c r="B21" s="78">
        <v>5.35</v>
      </c>
      <c r="C21" s="9">
        <v>0</v>
      </c>
      <c r="D21" s="46">
        <f>'Facility Risk - ASML'!$C21/$C$151</f>
        <v>0</v>
      </c>
    </row>
    <row r="22" spans="1:5" ht="19" x14ac:dyDescent="0.25">
      <c r="A22" s="58" t="s">
        <v>56</v>
      </c>
      <c r="B22" s="79">
        <v>4.43</v>
      </c>
      <c r="C22" s="8">
        <v>0</v>
      </c>
      <c r="D22" s="45">
        <f>'Facility Risk - ASML'!$C22/$C$151</f>
        <v>0</v>
      </c>
    </row>
    <row r="23" spans="1:5" ht="19" x14ac:dyDescent="0.25">
      <c r="A23" s="57" t="s">
        <v>57</v>
      </c>
      <c r="B23" s="80">
        <v>6.55</v>
      </c>
      <c r="C23" s="9">
        <v>0</v>
      </c>
      <c r="D23" s="46">
        <f>'Facility Risk - ASML'!$C23/$C$151</f>
        <v>0</v>
      </c>
    </row>
    <row r="24" spans="1:5" ht="19" x14ac:dyDescent="0.25">
      <c r="A24" s="58" t="s">
        <v>58</v>
      </c>
      <c r="B24" s="81">
        <v>6.33</v>
      </c>
      <c r="C24" s="8">
        <v>0</v>
      </c>
      <c r="D24" s="45">
        <f>'Facility Risk - ASML'!$C24/$C$151</f>
        <v>0</v>
      </c>
    </row>
    <row r="25" spans="1:5" ht="19" x14ac:dyDescent="0.25">
      <c r="A25" s="57" t="s">
        <v>59</v>
      </c>
      <c r="B25" s="64">
        <v>5.64</v>
      </c>
      <c r="C25" s="9">
        <v>0</v>
      </c>
      <c r="D25" s="46">
        <f>'Facility Risk - ASML'!$C25/$C$151</f>
        <v>0</v>
      </c>
    </row>
    <row r="26" spans="1:5" ht="19" x14ac:dyDescent="0.25">
      <c r="A26" s="58" t="s">
        <v>60</v>
      </c>
      <c r="B26" s="82">
        <v>6.83</v>
      </c>
      <c r="C26" s="8">
        <v>0</v>
      </c>
      <c r="D26" s="45">
        <f>'Facility Risk - ASML'!$C26/$C$151</f>
        <v>0</v>
      </c>
    </row>
    <row r="27" spans="1:5" ht="19" x14ac:dyDescent="0.25">
      <c r="A27" s="57" t="s">
        <v>61</v>
      </c>
      <c r="B27" s="83">
        <v>3.44</v>
      </c>
      <c r="C27" s="9">
        <v>0</v>
      </c>
      <c r="D27" s="46">
        <f>'Facility Risk - ASML'!$C27/$C$151</f>
        <v>0</v>
      </c>
    </row>
    <row r="28" spans="1:5" ht="19" x14ac:dyDescent="0.25">
      <c r="A28" s="58" t="s">
        <v>62</v>
      </c>
      <c r="B28" s="84">
        <v>6.79</v>
      </c>
      <c r="C28" s="8">
        <v>0</v>
      </c>
      <c r="D28" s="45">
        <f>'Facility Risk - ASML'!$C28/$C$151</f>
        <v>0</v>
      </c>
    </row>
    <row r="29" spans="1:5" ht="19" x14ac:dyDescent="0.25">
      <c r="A29" s="57" t="s">
        <v>63</v>
      </c>
      <c r="B29" s="82">
        <v>6.84</v>
      </c>
      <c r="C29" s="9">
        <v>0</v>
      </c>
      <c r="D29" s="46">
        <f>'Facility Risk - ASML'!$C29/$C$151</f>
        <v>0</v>
      </c>
    </row>
    <row r="30" spans="1:5" ht="19" x14ac:dyDescent="0.25">
      <c r="A30" s="58" t="s">
        <v>64</v>
      </c>
      <c r="B30" s="65">
        <v>4.3600000000000003</v>
      </c>
      <c r="C30" s="8">
        <v>0</v>
      </c>
      <c r="D30" s="45">
        <f>'Facility Risk - ASML'!$C30/$C$151</f>
        <v>0</v>
      </c>
    </row>
    <row r="31" spans="1:5" ht="19" x14ac:dyDescent="0.25">
      <c r="A31" s="57" t="s">
        <v>65</v>
      </c>
      <c r="B31" s="85">
        <v>4.26</v>
      </c>
      <c r="C31" s="9">
        <f>10.53%+26.32%</f>
        <v>0.36849999999999999</v>
      </c>
      <c r="D31" s="46">
        <f>'Facility Risk - ASML'!$C31/$C$151</f>
        <v>0.36850000000000005</v>
      </c>
      <c r="E31" s="50" t="s">
        <v>66</v>
      </c>
    </row>
    <row r="32" spans="1:5" ht="19" x14ac:dyDescent="0.25">
      <c r="A32" s="58" t="s">
        <v>67</v>
      </c>
      <c r="B32" s="86">
        <v>5.72</v>
      </c>
      <c r="C32" s="8">
        <v>0</v>
      </c>
      <c r="D32" s="45">
        <f>'Facility Risk - ASML'!$C32/$C$151</f>
        <v>0</v>
      </c>
    </row>
    <row r="33" spans="1:4" ht="19" x14ac:dyDescent="0.25">
      <c r="A33" s="57" t="s">
        <v>68</v>
      </c>
      <c r="B33" s="87">
        <v>5.65</v>
      </c>
      <c r="C33" s="9">
        <v>0</v>
      </c>
      <c r="D33" s="46">
        <f>'Facility Risk - ASML'!$C33/$C$151</f>
        <v>0</v>
      </c>
    </row>
    <row r="34" spans="1:4" ht="19" x14ac:dyDescent="0.25">
      <c r="A34" s="58" t="s">
        <v>69</v>
      </c>
      <c r="B34" s="88">
        <v>4.2300000000000004</v>
      </c>
      <c r="C34" s="8">
        <v>0</v>
      </c>
      <c r="D34" s="45">
        <f>'Facility Risk - ASML'!$C34/$C$151</f>
        <v>0</v>
      </c>
    </row>
    <row r="35" spans="1:4" ht="19" x14ac:dyDescent="0.25">
      <c r="A35" s="57" t="s">
        <v>70</v>
      </c>
      <c r="B35" s="89">
        <v>5.6</v>
      </c>
      <c r="C35" s="9">
        <v>0</v>
      </c>
      <c r="D35" s="46">
        <f>'Facility Risk - ASML'!$C35/$C$151</f>
        <v>0</v>
      </c>
    </row>
    <row r="36" spans="1:4" ht="19" x14ac:dyDescent="0.25">
      <c r="A36" s="58" t="s">
        <v>71</v>
      </c>
      <c r="B36" s="90">
        <v>4.28</v>
      </c>
      <c r="C36" s="8">
        <v>0</v>
      </c>
      <c r="D36" s="45">
        <f>'Facility Risk - ASML'!$C36/$C$151</f>
        <v>0</v>
      </c>
    </row>
    <row r="37" spans="1:4" ht="19" x14ac:dyDescent="0.25">
      <c r="A37" s="57" t="s">
        <v>72</v>
      </c>
      <c r="B37" s="91">
        <v>4.67</v>
      </c>
      <c r="C37" s="9">
        <v>0</v>
      </c>
      <c r="D37" s="46">
        <f>'Facility Risk - ASML'!$C37/$C$151</f>
        <v>0</v>
      </c>
    </row>
    <row r="38" spans="1:4" ht="19" x14ac:dyDescent="0.25">
      <c r="A38" s="58" t="s">
        <v>73</v>
      </c>
      <c r="B38" s="92">
        <v>3.75</v>
      </c>
      <c r="C38" s="8">
        <v>0</v>
      </c>
      <c r="D38" s="45">
        <f>'Facility Risk - ASML'!$C38/$C$151</f>
        <v>0</v>
      </c>
    </row>
    <row r="39" spans="1:4" ht="19" x14ac:dyDescent="0.25">
      <c r="A39" s="57" t="s">
        <v>74</v>
      </c>
      <c r="B39" s="93">
        <v>3.2</v>
      </c>
      <c r="C39" s="9">
        <v>0</v>
      </c>
      <c r="D39" s="46">
        <f>'Facility Risk - ASML'!$C39/$C$151</f>
        <v>0</v>
      </c>
    </row>
    <row r="40" spans="1:4" ht="19" x14ac:dyDescent="0.25">
      <c r="A40" s="58" t="s">
        <v>75</v>
      </c>
      <c r="B40" s="94">
        <v>5.98</v>
      </c>
      <c r="C40" s="8">
        <v>0</v>
      </c>
      <c r="D40" s="45">
        <f>'Facility Risk - ASML'!$C40/$C$151</f>
        <v>0</v>
      </c>
    </row>
    <row r="41" spans="1:4" ht="19" x14ac:dyDescent="0.25">
      <c r="A41" s="57" t="s">
        <v>76</v>
      </c>
      <c r="B41" s="95">
        <v>4.7</v>
      </c>
      <c r="C41" s="9">
        <v>0</v>
      </c>
      <c r="D41" s="46">
        <f>'Facility Risk - ASML'!$C41/$C$151</f>
        <v>0</v>
      </c>
    </row>
    <row r="42" spans="1:4" ht="19" x14ac:dyDescent="0.25">
      <c r="A42" s="58" t="s">
        <v>77</v>
      </c>
      <c r="B42" s="96">
        <v>5.71</v>
      </c>
      <c r="C42" s="8">
        <v>0</v>
      </c>
      <c r="D42" s="45">
        <f>'Facility Risk - ASML'!$C42/$C$151</f>
        <v>0</v>
      </c>
    </row>
    <row r="43" spans="1:4" ht="19" x14ac:dyDescent="0.25">
      <c r="A43" s="57" t="s">
        <v>78</v>
      </c>
      <c r="B43" s="97">
        <v>5.6</v>
      </c>
      <c r="C43" s="9">
        <v>0</v>
      </c>
      <c r="D43" s="46">
        <f>'Facility Risk - ASML'!$C43/$C$151</f>
        <v>0</v>
      </c>
    </row>
    <row r="44" spans="1:4" ht="19" x14ac:dyDescent="0.25">
      <c r="A44" s="58" t="s">
        <v>79</v>
      </c>
      <c r="B44" s="98">
        <v>4.79</v>
      </c>
      <c r="C44" s="8">
        <v>0</v>
      </c>
      <c r="D44" s="45">
        <f>'Facility Risk - ASML'!$C44/$C$151</f>
        <v>0</v>
      </c>
    </row>
    <row r="45" spans="1:4" ht="19" x14ac:dyDescent="0.25">
      <c r="A45" s="57" t="s">
        <v>80</v>
      </c>
      <c r="B45" s="99">
        <v>3.57</v>
      </c>
      <c r="C45" s="9">
        <v>0</v>
      </c>
      <c r="D45" s="46">
        <f>'Facility Risk - ASML'!$C45/$C$151</f>
        <v>0</v>
      </c>
    </row>
    <row r="46" spans="1:4" ht="19" x14ac:dyDescent="0.25">
      <c r="A46" s="58" t="s">
        <v>81</v>
      </c>
      <c r="B46" s="100">
        <v>4.5</v>
      </c>
      <c r="C46" s="8">
        <v>0</v>
      </c>
      <c r="D46" s="45">
        <f>'Facility Risk - ASML'!$C46/$C$151</f>
        <v>0</v>
      </c>
    </row>
    <row r="47" spans="1:4" ht="19" x14ac:dyDescent="0.25">
      <c r="A47" s="57" t="s">
        <v>82</v>
      </c>
      <c r="B47" s="101">
        <v>6.93</v>
      </c>
      <c r="C47" s="9">
        <v>0</v>
      </c>
      <c r="D47" s="46">
        <f>'Facility Risk - ASML'!$C47/$C$151</f>
        <v>0</v>
      </c>
    </row>
    <row r="48" spans="1:4" ht="19" x14ac:dyDescent="0.25">
      <c r="A48" s="58" t="s">
        <v>83</v>
      </c>
      <c r="B48" s="102">
        <v>3.35</v>
      </c>
      <c r="C48" s="8">
        <v>0</v>
      </c>
      <c r="D48" s="45">
        <f>'Facility Risk - ASML'!$C48/$C$151</f>
        <v>0</v>
      </c>
    </row>
    <row r="49" spans="1:4" ht="19" x14ac:dyDescent="0.25">
      <c r="A49" s="57" t="s">
        <v>84</v>
      </c>
      <c r="B49" s="103">
        <v>3.65</v>
      </c>
      <c r="C49" s="9">
        <v>0</v>
      </c>
      <c r="D49" s="46">
        <f>'Facility Risk - ASML'!$C49/$C$151</f>
        <v>0</v>
      </c>
    </row>
    <row r="50" spans="1:4" ht="19" x14ac:dyDescent="0.25">
      <c r="A50" s="58" t="s">
        <v>85</v>
      </c>
      <c r="B50" s="104">
        <v>5.78</v>
      </c>
      <c r="C50" s="8">
        <v>0</v>
      </c>
      <c r="D50" s="45">
        <f>'Facility Risk - ASML'!$C50/$C$151</f>
        <v>0</v>
      </c>
    </row>
    <row r="51" spans="1:4" ht="19" x14ac:dyDescent="0.25">
      <c r="A51" s="57" t="s">
        <v>86</v>
      </c>
      <c r="B51" s="105">
        <v>5.38</v>
      </c>
      <c r="C51" s="9">
        <v>0</v>
      </c>
      <c r="D51" s="46">
        <f>'Facility Risk - ASML'!$C51/$C$151</f>
        <v>0</v>
      </c>
    </row>
    <row r="52" spans="1:4" ht="19" x14ac:dyDescent="0.25">
      <c r="A52" s="58" t="s">
        <v>87</v>
      </c>
      <c r="B52" s="106">
        <v>4.93</v>
      </c>
      <c r="C52" s="8">
        <v>0</v>
      </c>
      <c r="D52" s="45">
        <f>'Facility Risk - ASML'!$C52/$C$151</f>
        <v>0</v>
      </c>
    </row>
    <row r="53" spans="1:4" ht="19" x14ac:dyDescent="0.25">
      <c r="A53" s="57" t="s">
        <v>88</v>
      </c>
      <c r="B53" s="68">
        <v>3.42</v>
      </c>
      <c r="C53" s="9">
        <v>5.2600000000000001E-2</v>
      </c>
      <c r="D53" s="46">
        <f>'Facility Risk - ASML'!$C53/$C$151</f>
        <v>5.2600000000000008E-2</v>
      </c>
    </row>
    <row r="54" spans="1:4" ht="19" x14ac:dyDescent="0.25">
      <c r="A54" s="58" t="s">
        <v>89</v>
      </c>
      <c r="B54" s="107">
        <v>4.63</v>
      </c>
      <c r="C54" s="8">
        <v>0</v>
      </c>
      <c r="D54" s="45">
        <f>'Facility Risk - ASML'!$C54/$C$151</f>
        <v>0</v>
      </c>
    </row>
    <row r="55" spans="1:4" ht="19" x14ac:dyDescent="0.25">
      <c r="A55" s="57" t="s">
        <v>90</v>
      </c>
      <c r="B55" s="77">
        <v>4.34</v>
      </c>
      <c r="C55" s="9">
        <v>0</v>
      </c>
      <c r="D55" s="46">
        <f>'Facility Risk - ASML'!$C55/$C$151</f>
        <v>0</v>
      </c>
    </row>
    <row r="56" spans="1:4" ht="19" x14ac:dyDescent="0.25">
      <c r="A56" s="58" t="s">
        <v>91</v>
      </c>
      <c r="B56" s="71">
        <v>5.45</v>
      </c>
      <c r="C56" s="8">
        <v>0</v>
      </c>
      <c r="D56" s="45">
        <f>'Facility Risk - ASML'!$C56/$C$151</f>
        <v>0</v>
      </c>
    </row>
    <row r="57" spans="1:4" ht="19" x14ac:dyDescent="0.25">
      <c r="A57" s="57" t="s">
        <v>92</v>
      </c>
      <c r="B57" s="108">
        <v>6.36</v>
      </c>
      <c r="C57" s="9">
        <v>0</v>
      </c>
      <c r="D57" s="46">
        <f>'Facility Risk - ASML'!$C57/$C$151</f>
        <v>0</v>
      </c>
    </row>
    <row r="58" spans="1:4" ht="19" x14ac:dyDescent="0.25">
      <c r="A58" s="58" t="s">
        <v>93</v>
      </c>
      <c r="B58" s="109">
        <v>5.94</v>
      </c>
      <c r="C58" s="8">
        <v>0</v>
      </c>
      <c r="D58" s="45">
        <f>'Facility Risk - ASML'!$C58/$C$151</f>
        <v>0</v>
      </c>
    </row>
    <row r="59" spans="1:4" ht="19" x14ac:dyDescent="0.25">
      <c r="A59" s="57" t="s">
        <v>94</v>
      </c>
      <c r="B59" s="110">
        <v>4.92</v>
      </c>
      <c r="C59" s="9">
        <v>0</v>
      </c>
      <c r="D59" s="46">
        <f>'Facility Risk - ASML'!$C59/$C$151</f>
        <v>0</v>
      </c>
    </row>
    <row r="60" spans="1:4" ht="19" x14ac:dyDescent="0.25">
      <c r="A60" s="58" t="s">
        <v>95</v>
      </c>
      <c r="B60" s="111">
        <v>6.53</v>
      </c>
      <c r="C60" s="8">
        <v>0</v>
      </c>
      <c r="D60" s="45">
        <f>'Facility Risk - ASML'!$C60/$C$151</f>
        <v>0</v>
      </c>
    </row>
    <row r="61" spans="1:4" ht="19" x14ac:dyDescent="0.25">
      <c r="A61" s="57" t="s">
        <v>96</v>
      </c>
      <c r="B61" s="112">
        <v>5.77</v>
      </c>
      <c r="C61" s="9">
        <v>0</v>
      </c>
      <c r="D61" s="46">
        <f>'Facility Risk - ASML'!$C61/$C$151</f>
        <v>0</v>
      </c>
    </row>
    <row r="62" spans="1:4" ht="19" x14ac:dyDescent="0.25">
      <c r="A62" s="58" t="s">
        <v>97</v>
      </c>
      <c r="B62" s="113">
        <v>3.63</v>
      </c>
      <c r="C62" s="8">
        <v>0</v>
      </c>
      <c r="D62" s="45">
        <f>'Facility Risk - ASML'!$C62/$C$151</f>
        <v>0</v>
      </c>
    </row>
    <row r="63" spans="1:4" ht="19" x14ac:dyDescent="0.25">
      <c r="A63" s="57" t="s">
        <v>98</v>
      </c>
      <c r="B63" s="114">
        <v>3.38</v>
      </c>
      <c r="C63" s="9">
        <v>0</v>
      </c>
      <c r="D63" s="46">
        <f>'Facility Risk - ASML'!$C63/$C$151</f>
        <v>0</v>
      </c>
    </row>
    <row r="64" spans="1:4" ht="19" x14ac:dyDescent="0.25">
      <c r="A64" s="58" t="s">
        <v>99</v>
      </c>
      <c r="B64" s="115">
        <v>5.07</v>
      </c>
      <c r="C64" s="8">
        <v>0</v>
      </c>
      <c r="D64" s="45">
        <f>'Facility Risk - ASML'!$C64/$C$151</f>
        <v>0</v>
      </c>
    </row>
    <row r="65" spans="1:4" ht="19" x14ac:dyDescent="0.25">
      <c r="A65" s="57" t="s">
        <v>100</v>
      </c>
      <c r="B65" s="106">
        <v>4.92</v>
      </c>
      <c r="C65" s="9">
        <v>0</v>
      </c>
      <c r="D65" s="46">
        <f>'Facility Risk - ASML'!$C65/$C$151</f>
        <v>0</v>
      </c>
    </row>
    <row r="66" spans="1:4" ht="19" x14ac:dyDescent="0.25">
      <c r="A66" s="58" t="s">
        <v>101</v>
      </c>
      <c r="B66" s="116">
        <v>5.88</v>
      </c>
      <c r="C66" s="8">
        <v>0</v>
      </c>
      <c r="D66" s="45">
        <f>'Facility Risk - ASML'!$C66/$C$151</f>
        <v>0</v>
      </c>
    </row>
    <row r="67" spans="1:4" ht="19" x14ac:dyDescent="0.25">
      <c r="A67" s="57" t="s">
        <v>102</v>
      </c>
      <c r="B67" s="117">
        <v>6.05</v>
      </c>
      <c r="C67" s="9">
        <v>0</v>
      </c>
      <c r="D67" s="46">
        <f>'Facility Risk - ASML'!$C67/$C$151</f>
        <v>0</v>
      </c>
    </row>
    <row r="68" spans="1:4" ht="19" x14ac:dyDescent="0.25">
      <c r="A68" s="58" t="s">
        <v>103</v>
      </c>
      <c r="B68" s="118">
        <v>3.25</v>
      </c>
      <c r="C68" s="8">
        <v>0</v>
      </c>
      <c r="D68" s="45">
        <f>'Facility Risk - ASML'!$C68/$C$151</f>
        <v>0</v>
      </c>
    </row>
    <row r="69" spans="1:4" ht="19" x14ac:dyDescent="0.25">
      <c r="A69" s="57" t="s">
        <v>104</v>
      </c>
      <c r="B69" s="119">
        <v>4.6100000000000003</v>
      </c>
      <c r="C69" s="9">
        <v>0</v>
      </c>
      <c r="D69" s="46">
        <f>'Facility Risk - ASML'!$C69/$C$151</f>
        <v>0</v>
      </c>
    </row>
    <row r="70" spans="1:4" ht="19" x14ac:dyDescent="0.25">
      <c r="A70" s="58" t="s">
        <v>105</v>
      </c>
      <c r="B70" s="120">
        <v>3.84</v>
      </c>
      <c r="C70" s="8">
        <v>0</v>
      </c>
      <c r="D70" s="45">
        <f>'Facility Risk - ASML'!$C70/$C$151</f>
        <v>0</v>
      </c>
    </row>
    <row r="71" spans="1:4" ht="19" x14ac:dyDescent="0.25">
      <c r="A71" s="57" t="s">
        <v>106</v>
      </c>
      <c r="B71" s="121">
        <v>4.75</v>
      </c>
      <c r="C71" s="9">
        <v>0</v>
      </c>
      <c r="D71" s="46">
        <f>'Facility Risk - ASML'!$C71/$C$151</f>
        <v>0</v>
      </c>
    </row>
    <row r="72" spans="1:4" ht="19" x14ac:dyDescent="0.25">
      <c r="A72" s="58" t="s">
        <v>107</v>
      </c>
      <c r="B72" s="114">
        <v>3.38</v>
      </c>
      <c r="C72" s="8">
        <v>5.2600000000000001E-2</v>
      </c>
      <c r="D72" s="45">
        <f>'Facility Risk - ASML'!$C72/$C$151</f>
        <v>5.2600000000000008E-2</v>
      </c>
    </row>
    <row r="73" spans="1:4" ht="19" x14ac:dyDescent="0.25">
      <c r="A73" s="57" t="s">
        <v>108</v>
      </c>
      <c r="B73" s="122">
        <v>5.13</v>
      </c>
      <c r="C73" s="9">
        <v>0</v>
      </c>
      <c r="D73" s="46">
        <f>'Facility Risk - ASML'!$C73/$C$151</f>
        <v>0</v>
      </c>
    </row>
    <row r="74" spans="1:4" ht="19" x14ac:dyDescent="0.25">
      <c r="A74" s="58" t="s">
        <v>109</v>
      </c>
      <c r="B74" s="123">
        <v>4.54</v>
      </c>
      <c r="C74" s="8">
        <v>0</v>
      </c>
      <c r="D74" s="45">
        <f>'Facility Risk - ASML'!$C74/$C$151</f>
        <v>0</v>
      </c>
    </row>
    <row r="75" spans="1:4" ht="19" x14ac:dyDescent="0.25">
      <c r="A75" s="57" t="s">
        <v>110</v>
      </c>
      <c r="B75" s="124">
        <v>6.13</v>
      </c>
      <c r="C75" s="9">
        <v>0</v>
      </c>
      <c r="D75" s="46">
        <f>'Facility Risk - ASML'!$C75/$C$151</f>
        <v>0</v>
      </c>
    </row>
    <row r="76" spans="1:4" ht="19" x14ac:dyDescent="0.25">
      <c r="A76" s="58" t="s">
        <v>111</v>
      </c>
      <c r="B76" s="125">
        <v>4.3</v>
      </c>
      <c r="C76" s="8">
        <v>0</v>
      </c>
      <c r="D76" s="45">
        <f>'Facility Risk - ASML'!$C76/$C$151</f>
        <v>0</v>
      </c>
    </row>
    <row r="77" spans="1:4" ht="19" x14ac:dyDescent="0.25">
      <c r="A77" s="57" t="s">
        <v>112</v>
      </c>
      <c r="B77" s="126">
        <v>5.37</v>
      </c>
      <c r="C77" s="9">
        <v>0</v>
      </c>
      <c r="D77" s="46">
        <f>'Facility Risk - ASML'!$C77/$C$151</f>
        <v>0</v>
      </c>
    </row>
    <row r="78" spans="1:4" ht="19" x14ac:dyDescent="0.25">
      <c r="A78" s="58" t="s">
        <v>113</v>
      </c>
      <c r="B78" s="127">
        <v>5.14</v>
      </c>
      <c r="C78" s="8">
        <v>0</v>
      </c>
      <c r="D78" s="45">
        <f>'Facility Risk - ASML'!$C78/$C$151</f>
        <v>0</v>
      </c>
    </row>
    <row r="79" spans="1:4" ht="19" x14ac:dyDescent="0.25">
      <c r="A79" s="57" t="s">
        <v>114</v>
      </c>
      <c r="B79" s="128">
        <v>3.97</v>
      </c>
      <c r="C79" s="9">
        <v>0</v>
      </c>
      <c r="D79" s="46">
        <f>'Facility Risk - ASML'!$C79/$C$151</f>
        <v>0</v>
      </c>
    </row>
    <row r="80" spans="1:4" ht="19" x14ac:dyDescent="0.25">
      <c r="A80" s="58" t="s">
        <v>115</v>
      </c>
      <c r="B80" s="129">
        <v>6.12</v>
      </c>
      <c r="C80" s="8">
        <v>0</v>
      </c>
      <c r="D80" s="45">
        <f>'Facility Risk - ASML'!$C80/$C$151</f>
        <v>0</v>
      </c>
    </row>
    <row r="81" spans="1:4" ht="19" x14ac:dyDescent="0.25">
      <c r="A81" s="57" t="s">
        <v>116</v>
      </c>
      <c r="B81" s="130">
        <v>5.49</v>
      </c>
      <c r="C81" s="9">
        <v>0</v>
      </c>
      <c r="D81" s="46">
        <f>'Facility Risk - ASML'!$C81/$C$151</f>
        <v>0</v>
      </c>
    </row>
    <row r="82" spans="1:4" ht="19" x14ac:dyDescent="0.25">
      <c r="A82" s="58" t="s">
        <v>117</v>
      </c>
      <c r="B82" s="131">
        <v>5.97</v>
      </c>
      <c r="C82" s="8">
        <v>0</v>
      </c>
      <c r="D82" s="45">
        <f>'Facility Risk - ASML'!$C82/$C$151</f>
        <v>0</v>
      </c>
    </row>
    <row r="83" spans="1:4" ht="19" x14ac:dyDescent="0.25">
      <c r="A83" s="57" t="s">
        <v>118</v>
      </c>
      <c r="B83" s="132">
        <v>5.68</v>
      </c>
      <c r="C83" s="9">
        <v>0</v>
      </c>
      <c r="D83" s="46">
        <f>'Facility Risk - ASML'!$C83/$C$151</f>
        <v>0</v>
      </c>
    </row>
    <row r="84" spans="1:4" ht="19" x14ac:dyDescent="0.25">
      <c r="A84" s="58" t="s">
        <v>119</v>
      </c>
      <c r="B84" s="133">
        <v>3.93</v>
      </c>
      <c r="C84" s="8">
        <v>0</v>
      </c>
      <c r="D84" s="45">
        <f>'Facility Risk - ASML'!$C84/$C$151</f>
        <v>0</v>
      </c>
    </row>
    <row r="85" spans="1:4" ht="19" x14ac:dyDescent="0.25">
      <c r="A85" s="57" t="s">
        <v>120</v>
      </c>
      <c r="B85" s="134">
        <v>5.82</v>
      </c>
      <c r="C85" s="9">
        <v>0</v>
      </c>
      <c r="D85" s="46">
        <f>'Facility Risk - ASML'!$C85/$C$151</f>
        <v>0</v>
      </c>
    </row>
    <row r="86" spans="1:4" ht="19" x14ac:dyDescent="0.25">
      <c r="A86" s="58" t="s">
        <v>121</v>
      </c>
      <c r="B86" s="135">
        <v>5.58</v>
      </c>
      <c r="C86" s="8">
        <v>0</v>
      </c>
      <c r="D86" s="45">
        <f>'Facility Risk - ASML'!$C86/$C$151</f>
        <v>0</v>
      </c>
    </row>
    <row r="87" spans="1:4" ht="19" x14ac:dyDescent="0.25">
      <c r="A87" s="57" t="s">
        <v>122</v>
      </c>
      <c r="B87" s="136">
        <v>4.03</v>
      </c>
      <c r="C87" s="9">
        <v>5.2600000000000001E-2</v>
      </c>
      <c r="D87" s="46">
        <f>'Facility Risk - ASML'!$C87/$C$151</f>
        <v>5.2600000000000008E-2</v>
      </c>
    </row>
    <row r="88" spans="1:4" ht="19" x14ac:dyDescent="0.25">
      <c r="A88" s="58" t="s">
        <v>123</v>
      </c>
      <c r="B88" s="137">
        <v>7.1</v>
      </c>
      <c r="C88" s="8">
        <v>0</v>
      </c>
      <c r="D88" s="45">
        <f>'Facility Risk - ASML'!$C88/$C$151</f>
        <v>0</v>
      </c>
    </row>
    <row r="89" spans="1:4" ht="19" x14ac:dyDescent="0.25">
      <c r="A89" s="57" t="s">
        <v>124</v>
      </c>
      <c r="B89" s="138">
        <v>6.28</v>
      </c>
      <c r="C89" s="9">
        <v>0</v>
      </c>
      <c r="D89" s="46">
        <f>'Facility Risk - ASML'!$C89/$C$151</f>
        <v>0</v>
      </c>
    </row>
    <row r="90" spans="1:4" ht="19" x14ac:dyDescent="0.25">
      <c r="A90" s="58" t="s">
        <v>125</v>
      </c>
      <c r="B90" s="139">
        <v>3.47</v>
      </c>
      <c r="C90" s="8">
        <v>0</v>
      </c>
      <c r="D90" s="45">
        <f>'Facility Risk - ASML'!$C90/$C$151</f>
        <v>0</v>
      </c>
    </row>
    <row r="91" spans="1:4" ht="19" x14ac:dyDescent="0.25">
      <c r="A91" s="57" t="s">
        <v>126</v>
      </c>
      <c r="B91" s="140">
        <v>5.42</v>
      </c>
      <c r="C91" s="9">
        <v>0</v>
      </c>
      <c r="D91" s="46">
        <f>'Facility Risk - ASML'!$C91/$C$151</f>
        <v>0</v>
      </c>
    </row>
    <row r="92" spans="1:4" ht="19" x14ac:dyDescent="0.25">
      <c r="A92" s="58" t="s">
        <v>127</v>
      </c>
      <c r="B92" s="127">
        <v>5.14</v>
      </c>
      <c r="C92" s="8">
        <v>0</v>
      </c>
      <c r="D92" s="45">
        <f>'Facility Risk - ASML'!$C92/$C$151</f>
        <v>0</v>
      </c>
    </row>
    <row r="93" spans="1:4" ht="19" x14ac:dyDescent="0.25">
      <c r="A93" s="57" t="s">
        <v>128</v>
      </c>
      <c r="B93" s="141">
        <v>4.6500000000000004</v>
      </c>
      <c r="C93" s="9">
        <v>0</v>
      </c>
      <c r="D93" s="46">
        <f>'Facility Risk - ASML'!$C93/$C$151</f>
        <v>0</v>
      </c>
    </row>
    <row r="94" spans="1:4" ht="19" x14ac:dyDescent="0.25">
      <c r="A94" s="58" t="s">
        <v>129</v>
      </c>
      <c r="B94" s="142">
        <v>5.0999999999999996</v>
      </c>
      <c r="C94" s="8">
        <v>0</v>
      </c>
      <c r="D94" s="45">
        <f>'Facility Risk - ASML'!$C94/$C$151</f>
        <v>0</v>
      </c>
    </row>
    <row r="95" spans="1:4" ht="19" x14ac:dyDescent="0.25">
      <c r="A95" s="57" t="s">
        <v>130</v>
      </c>
      <c r="B95" s="70">
        <v>6.3</v>
      </c>
      <c r="C95" s="9">
        <v>0</v>
      </c>
      <c r="D95" s="46">
        <f>'Facility Risk - ASML'!$C95/$C$151</f>
        <v>0</v>
      </c>
    </row>
    <row r="96" spans="1:4" ht="19" x14ac:dyDescent="0.25">
      <c r="A96" s="58" t="s">
        <v>131</v>
      </c>
      <c r="B96" s="143">
        <v>4.6399999999999997</v>
      </c>
      <c r="C96" s="8">
        <v>0</v>
      </c>
      <c r="D96" s="45">
        <f>'Facility Risk - ASML'!$C96/$C$151</f>
        <v>0</v>
      </c>
    </row>
    <row r="97" spans="1:4" ht="19" x14ac:dyDescent="0.25">
      <c r="A97" s="57" t="s">
        <v>132</v>
      </c>
      <c r="B97" s="104">
        <v>5.78</v>
      </c>
      <c r="C97" s="9">
        <v>0</v>
      </c>
      <c r="D97" s="46">
        <f>'Facility Risk - ASML'!$C97/$C$151</f>
        <v>0</v>
      </c>
    </row>
    <row r="98" spans="1:4" ht="19" x14ac:dyDescent="0.25">
      <c r="A98" s="58" t="s">
        <v>133</v>
      </c>
      <c r="B98" s="144">
        <v>3.59</v>
      </c>
      <c r="C98" s="8">
        <v>0.15789999999999998</v>
      </c>
      <c r="D98" s="45">
        <f>'Facility Risk - ASML'!$C98/$C$151</f>
        <v>0.15790000000000001</v>
      </c>
    </row>
    <row r="99" spans="1:4" ht="19" x14ac:dyDescent="0.25">
      <c r="A99" s="57" t="s">
        <v>134</v>
      </c>
      <c r="B99" s="145">
        <v>3.32</v>
      </c>
      <c r="C99" s="9">
        <v>0</v>
      </c>
      <c r="D99" s="46">
        <f>'Facility Risk - ASML'!$C99/$C$151</f>
        <v>0</v>
      </c>
    </row>
    <row r="100" spans="1:4" ht="19" x14ac:dyDescent="0.25">
      <c r="A100" s="58" t="s">
        <v>135</v>
      </c>
      <c r="B100" s="146">
        <v>5.8</v>
      </c>
      <c r="C100" s="8">
        <v>0</v>
      </c>
      <c r="D100" s="45">
        <f>'Facility Risk - ASML'!$C100/$C$151</f>
        <v>0</v>
      </c>
    </row>
    <row r="101" spans="1:4" ht="19" x14ac:dyDescent="0.25">
      <c r="A101" s="57" t="s">
        <v>136</v>
      </c>
      <c r="B101" s="147">
        <v>7.07</v>
      </c>
      <c r="C101" s="9">
        <v>0</v>
      </c>
      <c r="D101" s="46">
        <f>'Facility Risk - ASML'!$C101/$C$151</f>
        <v>0</v>
      </c>
    </row>
    <row r="102" spans="1:4" ht="19" x14ac:dyDescent="0.25">
      <c r="A102" s="58" t="s">
        <v>137</v>
      </c>
      <c r="B102" s="148">
        <v>6.5</v>
      </c>
      <c r="C102" s="8">
        <v>0</v>
      </c>
      <c r="D102" s="45">
        <f>'Facility Risk - ASML'!$C102/$C$151</f>
        <v>0</v>
      </c>
    </row>
    <row r="103" spans="1:4" ht="19" x14ac:dyDescent="0.25">
      <c r="A103" s="57" t="s">
        <v>138</v>
      </c>
      <c r="B103" s="149">
        <v>4.16</v>
      </c>
      <c r="C103" s="9">
        <v>0</v>
      </c>
      <c r="D103" s="46">
        <f>'Facility Risk - ASML'!$C103/$C$151</f>
        <v>0</v>
      </c>
    </row>
    <row r="104" spans="1:4" ht="19" x14ac:dyDescent="0.25">
      <c r="A104" s="58" t="s">
        <v>139</v>
      </c>
      <c r="B104" s="114">
        <v>3.38</v>
      </c>
      <c r="C104" s="8">
        <v>0</v>
      </c>
      <c r="D104" s="45">
        <f>'Facility Risk - ASML'!$C104/$C$151</f>
        <v>0</v>
      </c>
    </row>
    <row r="105" spans="1:4" ht="19" x14ac:dyDescent="0.25">
      <c r="A105" s="57" t="s">
        <v>140</v>
      </c>
      <c r="B105" s="150">
        <v>4.0199999999999996</v>
      </c>
      <c r="C105" s="9">
        <v>0</v>
      </c>
      <c r="D105" s="46">
        <f>'Facility Risk - ASML'!$C105/$C$151</f>
        <v>0</v>
      </c>
    </row>
    <row r="106" spans="1:4" ht="19" x14ac:dyDescent="0.25">
      <c r="A106" s="58" t="s">
        <v>141</v>
      </c>
      <c r="B106" s="151">
        <v>6.65</v>
      </c>
      <c r="C106" s="8">
        <v>0</v>
      </c>
      <c r="D106" s="45">
        <f>'Facility Risk - ASML'!$C106/$C$151</f>
        <v>0</v>
      </c>
    </row>
    <row r="107" spans="1:4" ht="19" x14ac:dyDescent="0.25">
      <c r="A107" s="57" t="s">
        <v>142</v>
      </c>
      <c r="B107" s="152">
        <v>4.5599999999999996</v>
      </c>
      <c r="C107" s="9">
        <v>0</v>
      </c>
      <c r="D107" s="46">
        <f>'Facility Risk - ASML'!$C107/$C$151</f>
        <v>0</v>
      </c>
    </row>
    <row r="108" spans="1:4" ht="19" x14ac:dyDescent="0.25">
      <c r="A108" s="58" t="s">
        <v>143</v>
      </c>
      <c r="B108" s="76">
        <v>5.34</v>
      </c>
      <c r="C108" s="8">
        <v>0</v>
      </c>
      <c r="D108" s="45">
        <f>'Facility Risk - ASML'!$C108/$C$151</f>
        <v>0</v>
      </c>
    </row>
    <row r="109" spans="1:4" ht="19" x14ac:dyDescent="0.25">
      <c r="A109" s="57" t="s">
        <v>144</v>
      </c>
      <c r="B109" s="153">
        <v>4.72</v>
      </c>
      <c r="C109" s="9">
        <v>0</v>
      </c>
      <c r="D109" s="46">
        <f>'Facility Risk - ASML'!$C109/$C$151</f>
        <v>0</v>
      </c>
    </row>
    <row r="110" spans="1:4" ht="19" x14ac:dyDescent="0.25">
      <c r="A110" s="58" t="s">
        <v>145</v>
      </c>
      <c r="B110" s="154">
        <v>5.28</v>
      </c>
      <c r="C110" s="8">
        <v>0</v>
      </c>
      <c r="D110" s="45">
        <f>'Facility Risk - ASML'!$C110/$C$151</f>
        <v>0</v>
      </c>
    </row>
    <row r="111" spans="1:4" ht="19" x14ac:dyDescent="0.25">
      <c r="A111" s="57" t="s">
        <v>146</v>
      </c>
      <c r="B111" s="146">
        <v>5.8</v>
      </c>
      <c r="C111" s="9">
        <v>0</v>
      </c>
      <c r="D111" s="46">
        <f>'Facility Risk - ASML'!$C111/$C$151</f>
        <v>0</v>
      </c>
    </row>
    <row r="112" spans="1:4" ht="19" x14ac:dyDescent="0.25">
      <c r="A112" s="58" t="s">
        <v>147</v>
      </c>
      <c r="B112" s="155">
        <v>4.1500000000000004</v>
      </c>
      <c r="C112" s="8">
        <v>0</v>
      </c>
      <c r="D112" s="45">
        <f>'Facility Risk - ASML'!$C112/$C$151</f>
        <v>0</v>
      </c>
    </row>
    <row r="113" spans="1:4" ht="19" x14ac:dyDescent="0.25">
      <c r="A113" s="57" t="s">
        <v>148</v>
      </c>
      <c r="B113" s="156">
        <v>3.43</v>
      </c>
      <c r="C113" s="9">
        <v>0</v>
      </c>
      <c r="D113" s="46">
        <f>'Facility Risk - ASML'!$C113/$C$151</f>
        <v>0</v>
      </c>
    </row>
    <row r="114" spans="1:4" ht="19" x14ac:dyDescent="0.25">
      <c r="A114" s="58" t="s">
        <v>149</v>
      </c>
      <c r="B114" s="93">
        <v>3.2</v>
      </c>
      <c r="C114" s="8">
        <v>0</v>
      </c>
      <c r="D114" s="45">
        <f>'Facility Risk - ASML'!$C114/$C$151</f>
        <v>0</v>
      </c>
    </row>
    <row r="115" spans="1:4" ht="19" x14ac:dyDescent="0.25">
      <c r="A115" s="57" t="s">
        <v>150</v>
      </c>
      <c r="B115" s="157">
        <v>4.05</v>
      </c>
      <c r="C115" s="9">
        <v>0</v>
      </c>
      <c r="D115" s="46">
        <f>'Facility Risk - ASML'!$C115/$C$151</f>
        <v>0</v>
      </c>
    </row>
    <row r="116" spans="1:4" ht="19" x14ac:dyDescent="0.25">
      <c r="A116" s="58" t="s">
        <v>151</v>
      </c>
      <c r="B116" s="158">
        <v>5.96</v>
      </c>
      <c r="C116" s="8">
        <v>0</v>
      </c>
      <c r="D116" s="45">
        <f>'Facility Risk - ASML'!$C116/$C$151</f>
        <v>0</v>
      </c>
    </row>
    <row r="117" spans="1:4" ht="19" x14ac:dyDescent="0.25">
      <c r="A117" s="57" t="s">
        <v>152</v>
      </c>
      <c r="B117" s="159">
        <v>5.47</v>
      </c>
      <c r="C117" s="9">
        <v>0</v>
      </c>
      <c r="D117" s="46">
        <f>'Facility Risk - ASML'!$C117/$C$151</f>
        <v>0</v>
      </c>
    </row>
    <row r="118" spans="1:4" ht="19" x14ac:dyDescent="0.25">
      <c r="A118" s="58" t="s">
        <v>153</v>
      </c>
      <c r="B118" s="79">
        <v>4.42</v>
      </c>
      <c r="C118" s="8">
        <v>0</v>
      </c>
      <c r="D118" s="45">
        <f>'Facility Risk - ASML'!$C118/$C$151</f>
        <v>0</v>
      </c>
    </row>
    <row r="119" spans="1:4" ht="19" x14ac:dyDescent="0.25">
      <c r="A119" s="57" t="s">
        <v>154</v>
      </c>
      <c r="B119" s="160">
        <v>5.4</v>
      </c>
      <c r="C119" s="9">
        <v>0</v>
      </c>
      <c r="D119" s="46">
        <f>'Facility Risk - ASML'!$C119/$C$151</f>
        <v>0</v>
      </c>
    </row>
    <row r="120" spans="1:4" ht="19" x14ac:dyDescent="0.25">
      <c r="A120" s="58" t="s">
        <v>155</v>
      </c>
      <c r="B120" s="161">
        <v>5.04</v>
      </c>
      <c r="C120" s="8">
        <v>0</v>
      </c>
      <c r="D120" s="45">
        <f>'Facility Risk - ASML'!$C120/$C$151</f>
        <v>0</v>
      </c>
    </row>
    <row r="121" spans="1:4" ht="19" x14ac:dyDescent="0.25">
      <c r="A121" s="57" t="s">
        <v>156</v>
      </c>
      <c r="B121" s="162">
        <v>5.64</v>
      </c>
      <c r="C121" s="9">
        <v>0</v>
      </c>
      <c r="D121" s="46">
        <f>'Facility Risk - ASML'!$C121/$C$151</f>
        <v>0</v>
      </c>
    </row>
    <row r="122" spans="1:4" ht="19" x14ac:dyDescent="0.25">
      <c r="A122" s="58" t="s">
        <v>157</v>
      </c>
      <c r="B122" s="163">
        <v>3.04</v>
      </c>
      <c r="C122" s="8">
        <v>0</v>
      </c>
      <c r="D122" s="45">
        <f>'Facility Risk - ASML'!$C122/$C$151</f>
        <v>0</v>
      </c>
    </row>
    <row r="123" spans="1:4" ht="19" x14ac:dyDescent="0.25">
      <c r="A123" s="57" t="s">
        <v>158</v>
      </c>
      <c r="B123" s="164">
        <v>3.79</v>
      </c>
      <c r="C123" s="9">
        <v>0</v>
      </c>
      <c r="D123" s="46">
        <f>'Facility Risk - ASML'!$C123/$C$151</f>
        <v>0</v>
      </c>
    </row>
    <row r="124" spans="1:4" ht="19" x14ac:dyDescent="0.25">
      <c r="A124" s="58" t="s">
        <v>159</v>
      </c>
      <c r="B124" s="165">
        <v>3.48</v>
      </c>
      <c r="C124" s="8">
        <v>0</v>
      </c>
      <c r="D124" s="45">
        <f>'Facility Risk - ASML'!$C124/$C$151</f>
        <v>0</v>
      </c>
    </row>
    <row r="125" spans="1:4" ht="19" x14ac:dyDescent="0.25">
      <c r="A125" s="57" t="s">
        <v>160</v>
      </c>
      <c r="B125" s="166">
        <v>5.22</v>
      </c>
      <c r="C125" s="9">
        <v>0</v>
      </c>
      <c r="D125" s="46">
        <f>'Facility Risk - ASML'!$C125/$C$151</f>
        <v>0</v>
      </c>
    </row>
    <row r="126" spans="1:4" ht="19" x14ac:dyDescent="0.25">
      <c r="A126" s="58" t="s">
        <v>161</v>
      </c>
      <c r="B126" s="167">
        <v>3.57</v>
      </c>
      <c r="C126" s="8">
        <v>5.2600000000000001E-2</v>
      </c>
      <c r="D126" s="45">
        <f>'Facility Risk - ASML'!$C126/$C$151</f>
        <v>5.2600000000000008E-2</v>
      </c>
    </row>
    <row r="127" spans="1:4" ht="19" x14ac:dyDescent="0.25">
      <c r="A127" s="57" t="s">
        <v>162</v>
      </c>
      <c r="B127" s="168">
        <v>3.7</v>
      </c>
      <c r="C127" s="9">
        <v>0</v>
      </c>
      <c r="D127" s="46">
        <f>'Facility Risk - ASML'!$C127/$C$151</f>
        <v>0</v>
      </c>
    </row>
    <row r="128" spans="1:4" ht="19" x14ac:dyDescent="0.25">
      <c r="A128" s="58" t="s">
        <v>163</v>
      </c>
      <c r="B128" s="169">
        <v>5.1100000000000003</v>
      </c>
      <c r="C128" s="8">
        <v>0</v>
      </c>
      <c r="D128" s="45">
        <f>'Facility Risk - ASML'!$C128/$C$151</f>
        <v>0</v>
      </c>
    </row>
    <row r="129" spans="1:4" ht="19" x14ac:dyDescent="0.25">
      <c r="A129" s="57" t="s">
        <v>164</v>
      </c>
      <c r="B129" s="137">
        <v>7.1</v>
      </c>
      <c r="C129" s="9">
        <v>0</v>
      </c>
      <c r="D129" s="46">
        <f>'Facility Risk - ASML'!$C129/$C$151</f>
        <v>0</v>
      </c>
    </row>
    <row r="130" spans="1:4" ht="19" x14ac:dyDescent="0.25">
      <c r="A130" s="58" t="s">
        <v>165</v>
      </c>
      <c r="B130" s="170">
        <v>3.52</v>
      </c>
      <c r="C130" s="8">
        <v>0</v>
      </c>
      <c r="D130" s="45">
        <f>'Facility Risk - ASML'!$C130/$C$151</f>
        <v>0</v>
      </c>
    </row>
    <row r="131" spans="1:4" ht="19" x14ac:dyDescent="0.25">
      <c r="A131" s="57" t="s">
        <v>166</v>
      </c>
      <c r="B131" s="171">
        <v>2.78</v>
      </c>
      <c r="C131" s="9">
        <v>0</v>
      </c>
      <c r="D131" s="46">
        <f>'Facility Risk - ASML'!$C131/$C$151</f>
        <v>0</v>
      </c>
    </row>
    <row r="132" spans="1:4" ht="19" x14ac:dyDescent="0.25">
      <c r="A132" s="59" t="s">
        <v>167</v>
      </c>
      <c r="B132" s="172">
        <v>7.33</v>
      </c>
      <c r="C132" s="8">
        <v>0</v>
      </c>
      <c r="D132" s="45">
        <f>'Facility Risk - ASML'!$C132/$C$151</f>
        <v>0</v>
      </c>
    </row>
    <row r="133" spans="1:4" ht="19" x14ac:dyDescent="0.25">
      <c r="A133" s="57" t="s">
        <v>168</v>
      </c>
      <c r="B133" s="173">
        <v>5.69</v>
      </c>
      <c r="C133" s="9">
        <v>0</v>
      </c>
      <c r="D133" s="46">
        <f>'Facility Risk - ASML'!$C133/$C$151</f>
        <v>0</v>
      </c>
    </row>
    <row r="134" spans="1:4" ht="19" x14ac:dyDescent="0.25">
      <c r="A134" s="58" t="s">
        <v>169</v>
      </c>
      <c r="B134" s="63">
        <v>5.21</v>
      </c>
      <c r="C134" s="8">
        <v>0</v>
      </c>
      <c r="D134" s="45">
        <f>'Facility Risk - ASML'!$C134/$C$151</f>
        <v>0</v>
      </c>
    </row>
    <row r="135" spans="1:4" ht="19" x14ac:dyDescent="0.25">
      <c r="A135" s="57" t="s">
        <v>170</v>
      </c>
      <c r="B135" s="174">
        <v>5.15</v>
      </c>
      <c r="C135" s="9">
        <v>0</v>
      </c>
      <c r="D135" s="46">
        <f>'Facility Risk - ASML'!$C135/$C$151</f>
        <v>0</v>
      </c>
    </row>
    <row r="136" spans="1:4" ht="19" x14ac:dyDescent="0.25">
      <c r="A136" s="58" t="s">
        <v>171</v>
      </c>
      <c r="B136" s="175">
        <v>5.87</v>
      </c>
      <c r="C136" s="8">
        <v>0</v>
      </c>
      <c r="D136" s="45">
        <f>'Facility Risk - ASML'!$C136/$C$151</f>
        <v>0</v>
      </c>
    </row>
    <row r="137" spans="1:4" ht="19" x14ac:dyDescent="0.25">
      <c r="A137" s="57" t="s">
        <v>172</v>
      </c>
      <c r="B137" s="176">
        <v>4.38</v>
      </c>
      <c r="C137" s="9">
        <v>0</v>
      </c>
      <c r="D137" s="46">
        <f>'Facility Risk - ASML'!$C137/$C$151</f>
        <v>0</v>
      </c>
    </row>
    <row r="138" spans="1:4" ht="19" x14ac:dyDescent="0.25">
      <c r="A138" s="58" t="s">
        <v>173</v>
      </c>
      <c r="B138" s="177">
        <v>5.13</v>
      </c>
      <c r="C138" s="8">
        <v>0</v>
      </c>
      <c r="D138" s="45">
        <f>'Facility Risk - ASML'!$C138/$C$151</f>
        <v>0</v>
      </c>
    </row>
    <row r="139" spans="1:4" ht="19" x14ac:dyDescent="0.25">
      <c r="A139" s="57" t="s">
        <v>174</v>
      </c>
      <c r="B139" s="178">
        <v>5.26</v>
      </c>
      <c r="C139" s="9">
        <v>0</v>
      </c>
      <c r="D139" s="46">
        <f>'Facility Risk - ASML'!$C139/$C$151</f>
        <v>0</v>
      </c>
    </row>
    <row r="140" spans="1:4" ht="19" x14ac:dyDescent="0.25">
      <c r="A140" s="58" t="s">
        <v>175</v>
      </c>
      <c r="B140" s="179">
        <v>6.29</v>
      </c>
      <c r="C140" s="8">
        <v>0</v>
      </c>
      <c r="D140" s="45">
        <f>'Facility Risk - ASML'!$C140/$C$151</f>
        <v>0</v>
      </c>
    </row>
    <row r="141" spans="1:4" ht="19" x14ac:dyDescent="0.25">
      <c r="A141" s="57" t="s">
        <v>176</v>
      </c>
      <c r="B141" s="180">
        <v>6.35</v>
      </c>
      <c r="C141" s="9">
        <v>0</v>
      </c>
      <c r="D141" s="46">
        <f>'Facility Risk - ASML'!$C141/$C$151</f>
        <v>0</v>
      </c>
    </row>
    <row r="142" spans="1:4" ht="19" x14ac:dyDescent="0.25">
      <c r="A142" s="58" t="s">
        <v>177</v>
      </c>
      <c r="B142" s="181">
        <v>3.72</v>
      </c>
      <c r="C142" s="8">
        <v>0</v>
      </c>
      <c r="D142" s="45">
        <f>'Facility Risk - ASML'!$C142/$C$151</f>
        <v>0</v>
      </c>
    </row>
    <row r="143" spans="1:4" ht="19" x14ac:dyDescent="0.25">
      <c r="A143" s="57" t="s">
        <v>178</v>
      </c>
      <c r="B143" s="145">
        <v>3.32</v>
      </c>
      <c r="C143" s="9">
        <v>0</v>
      </c>
      <c r="D143" s="46">
        <f>'Facility Risk - ASML'!$C143/$C$151</f>
        <v>0</v>
      </c>
    </row>
    <row r="144" spans="1:4" ht="19" x14ac:dyDescent="0.25">
      <c r="A144" s="58" t="s">
        <v>179</v>
      </c>
      <c r="B144" s="182">
        <v>4.1900000000000004</v>
      </c>
      <c r="C144" s="8">
        <v>0.26319999999999999</v>
      </c>
      <c r="D144" s="45">
        <f>'Facility Risk - ASML'!$C144/$C$151</f>
        <v>0.26320000000000005</v>
      </c>
    </row>
    <row r="145" spans="1:4" ht="19" x14ac:dyDescent="0.25">
      <c r="A145" s="57" t="s">
        <v>180</v>
      </c>
      <c r="B145" s="183">
        <v>3.91</v>
      </c>
      <c r="C145" s="9">
        <v>0</v>
      </c>
      <c r="D145" s="46">
        <f>'Facility Risk - ASML'!$C145/$C$151</f>
        <v>0</v>
      </c>
    </row>
    <row r="146" spans="1:4" ht="19" x14ac:dyDescent="0.25">
      <c r="A146" s="58" t="s">
        <v>181</v>
      </c>
      <c r="B146" s="112">
        <v>5.77</v>
      </c>
      <c r="C146" s="8">
        <v>0</v>
      </c>
      <c r="D146" s="45">
        <f>'Facility Risk - ASML'!$C146/$C$151</f>
        <v>0</v>
      </c>
    </row>
    <row r="147" spans="1:4" ht="19" x14ac:dyDescent="0.25">
      <c r="A147" s="57" t="s">
        <v>182</v>
      </c>
      <c r="B147" s="184">
        <v>4.32</v>
      </c>
      <c r="C147" s="9">
        <v>0</v>
      </c>
      <c r="D147" s="46">
        <f>'Facility Risk - ASML'!$C147/$C$151</f>
        <v>0</v>
      </c>
    </row>
    <row r="148" spans="1:4" ht="19" x14ac:dyDescent="0.25">
      <c r="A148" s="58" t="s">
        <v>183</v>
      </c>
      <c r="B148" s="70">
        <v>6.3</v>
      </c>
      <c r="C148" s="8">
        <v>0</v>
      </c>
      <c r="D148" s="45">
        <f>'Facility Risk - ASML'!$C148/$C$151</f>
        <v>0</v>
      </c>
    </row>
    <row r="149" spans="1:4" ht="19" x14ac:dyDescent="0.25">
      <c r="A149" s="57" t="s">
        <v>184</v>
      </c>
      <c r="B149" s="185">
        <v>4.95</v>
      </c>
      <c r="C149" s="9">
        <v>0</v>
      </c>
      <c r="D149" s="46">
        <f>'Facility Risk - ASML'!$C149/$C$151</f>
        <v>0</v>
      </c>
    </row>
    <row r="150" spans="1:4" ht="19" x14ac:dyDescent="0.25">
      <c r="A150" s="60" t="s">
        <v>185</v>
      </c>
      <c r="B150" s="186">
        <v>6.14</v>
      </c>
      <c r="C150" s="10">
        <v>0</v>
      </c>
      <c r="D150" s="47">
        <f>'Facility Risk - ASML'!$C150/$C$151</f>
        <v>0</v>
      </c>
    </row>
    <row r="151" spans="1:4" ht="19" x14ac:dyDescent="0.25">
      <c r="A151" s="61" t="s">
        <v>186</v>
      </c>
      <c r="B151" s="5"/>
      <c r="C151" s="6">
        <f>SUM(C4:C150)</f>
        <v>0.99999999999999989</v>
      </c>
      <c r="D151" s="48">
        <f>SUM(D4:D150)</f>
        <v>1</v>
      </c>
    </row>
  </sheetData>
  <mergeCells count="1">
    <mergeCell ref="A1:D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3E22A-50D0-1D47-B5E4-18BDE74C6722}">
  <dimension ref="A1:J151"/>
  <sheetViews>
    <sheetView topLeftCell="A24" workbookViewId="0">
      <selection activeCell="I17" sqref="I17"/>
    </sheetView>
  </sheetViews>
  <sheetFormatPr baseColWidth="10" defaultColWidth="11" defaultRowHeight="16" x14ac:dyDescent="0.2"/>
  <cols>
    <col min="1" max="1" width="23" bestFit="1" customWidth="1"/>
    <col min="2" max="2" width="32" bestFit="1" customWidth="1"/>
    <col min="3" max="3" width="33.6640625" bestFit="1" customWidth="1"/>
    <col min="4" max="4" width="42.6640625" bestFit="1" customWidth="1"/>
    <col min="5" max="5" width="16" bestFit="1" customWidth="1"/>
    <col min="7" max="7" width="29.33203125" bestFit="1" customWidth="1"/>
    <col min="8" max="8" width="8.5" bestFit="1" customWidth="1"/>
    <col min="9" max="9" width="22.5" bestFit="1" customWidth="1"/>
    <col min="10" max="10" width="12.33203125" bestFit="1" customWidth="1"/>
  </cols>
  <sheetData>
    <row r="1" spans="1:10" ht="17" customHeight="1" x14ac:dyDescent="0.2">
      <c r="A1" s="188" t="s">
        <v>20</v>
      </c>
      <c r="B1" s="189"/>
      <c r="C1" s="189"/>
      <c r="D1" s="189"/>
    </row>
    <row r="2" spans="1:10" ht="17" customHeight="1" thickBot="1" x14ac:dyDescent="0.25">
      <c r="A2" s="190"/>
      <c r="B2" s="191"/>
      <c r="C2" s="191"/>
      <c r="D2" s="191"/>
    </row>
    <row r="3" spans="1:10" ht="20" thickTop="1" x14ac:dyDescent="0.25">
      <c r="A3" s="12" t="s">
        <v>27</v>
      </c>
      <c r="B3" s="13" t="s">
        <v>28</v>
      </c>
      <c r="C3" s="14" t="s">
        <v>29</v>
      </c>
      <c r="D3" s="7" t="s">
        <v>30</v>
      </c>
    </row>
    <row r="4" spans="1:10" ht="20" thickBot="1" x14ac:dyDescent="0.3">
      <c r="A4" s="56" t="s">
        <v>31</v>
      </c>
      <c r="B4" s="62">
        <v>4.37</v>
      </c>
      <c r="C4" s="15">
        <v>0</v>
      </c>
      <c r="D4" s="45">
        <f>'Facility Risk - TSMC'!$C4/$C$151</f>
        <v>0</v>
      </c>
    </row>
    <row r="5" spans="1:10" ht="20" thickBot="1" x14ac:dyDescent="0.3">
      <c r="A5" s="57" t="s">
        <v>32</v>
      </c>
      <c r="B5" s="63">
        <v>5.21</v>
      </c>
      <c r="C5" s="9">
        <v>0</v>
      </c>
      <c r="D5" s="46">
        <f>'Facility Risk - TSMC'!$C5/$C$151</f>
        <v>0</v>
      </c>
      <c r="G5" s="32" t="s">
        <v>33</v>
      </c>
      <c r="H5" s="33"/>
      <c r="I5" s="33"/>
      <c r="J5" s="34"/>
    </row>
    <row r="6" spans="1:10" ht="20" thickBot="1" x14ac:dyDescent="0.3">
      <c r="A6" s="58" t="s">
        <v>34</v>
      </c>
      <c r="B6" s="64">
        <v>5.63</v>
      </c>
      <c r="C6" s="8">
        <v>0</v>
      </c>
      <c r="D6" s="45">
        <f>'Facility Risk - TSMC'!$C6/$C$151</f>
        <v>0</v>
      </c>
      <c r="G6" s="20"/>
      <c r="H6" s="21" t="s">
        <v>35</v>
      </c>
      <c r="I6" s="22" t="s">
        <v>36</v>
      </c>
      <c r="J6" s="23" t="s">
        <v>37</v>
      </c>
    </row>
    <row r="7" spans="1:10" ht="19" x14ac:dyDescent="0.25">
      <c r="A7" s="57" t="s">
        <v>38</v>
      </c>
      <c r="B7" s="65">
        <v>4.3600000000000003</v>
      </c>
      <c r="C7" s="9">
        <v>0</v>
      </c>
      <c r="D7" s="46">
        <f>'Facility Risk - TSMC'!$C7/$C$151</f>
        <v>0</v>
      </c>
      <c r="G7" s="24" t="s">
        <v>39</v>
      </c>
      <c r="H7" s="25" t="str">
        <f>INDEX(A4:A150,MATCH(MIN(D4:D150),D4:D150,0))</f>
        <v>Albania</v>
      </c>
      <c r="I7" s="25">
        <f>INDEX(B4:B150,MATCH(MIN(D4:D150),D4:D150,0))</f>
        <v>4.37</v>
      </c>
      <c r="J7" s="26">
        <f>INDEX(D4:D150,MATCH(MIN(D4:D150),D4:D150,0))</f>
        <v>0</v>
      </c>
    </row>
    <row r="8" spans="1:10" ht="20" thickBot="1" x14ac:dyDescent="0.3">
      <c r="A8" s="58" t="s">
        <v>40</v>
      </c>
      <c r="B8" s="66">
        <v>4.79</v>
      </c>
      <c r="C8" s="8">
        <v>0</v>
      </c>
      <c r="D8" s="45">
        <f>'Facility Risk - TSMC'!$C8/$C$151</f>
        <v>0</v>
      </c>
      <c r="G8" s="27" t="s">
        <v>41</v>
      </c>
      <c r="H8" s="28" t="str">
        <f>INDEX(A4:A150,MATCH(MAX(D4:D150),D4:D150,0))</f>
        <v>China</v>
      </c>
      <c r="I8" s="28">
        <f>INDEX(B4:B150,MATCH(MAX(D4:D150),D4:D150,0))</f>
        <v>4.26</v>
      </c>
      <c r="J8" s="31">
        <f>INDEX(D4:D150,MATCH(MAX(D4:D150),D4:D150,0))</f>
        <v>0.75672432756724317</v>
      </c>
    </row>
    <row r="9" spans="1:10" ht="23" thickBot="1" x14ac:dyDescent="0.35">
      <c r="A9" s="57" t="s">
        <v>42</v>
      </c>
      <c r="B9" s="67">
        <v>3.22</v>
      </c>
      <c r="C9" s="9">
        <v>0</v>
      </c>
      <c r="D9" s="46">
        <f>'Facility Risk - TSMC'!$C9/$C$151</f>
        <v>0</v>
      </c>
      <c r="G9" s="30" t="s">
        <v>43</v>
      </c>
      <c r="H9" s="29"/>
      <c r="I9" s="29"/>
      <c r="J9" s="187">
        <f>SUMPRODUCT(B4:B150,D4:D150)</f>
        <v>4.1356334366563337</v>
      </c>
    </row>
    <row r="10" spans="1:10" ht="19" x14ac:dyDescent="0.25">
      <c r="A10" s="58" t="s">
        <v>44</v>
      </c>
      <c r="B10" s="68">
        <v>3.41</v>
      </c>
      <c r="C10" s="8">
        <v>0</v>
      </c>
      <c r="D10" s="45">
        <f>'Facility Risk - TSMC'!$C10/$C$151</f>
        <v>0</v>
      </c>
    </row>
    <row r="11" spans="1:10" ht="19" x14ac:dyDescent="0.25">
      <c r="A11" s="57" t="s">
        <v>45</v>
      </c>
      <c r="B11" s="63">
        <v>5.21</v>
      </c>
      <c r="C11" s="9">
        <v>0</v>
      </c>
      <c r="D11" s="46">
        <f>'Facility Risk - TSMC'!$C11/$C$151</f>
        <v>0</v>
      </c>
    </row>
    <row r="12" spans="1:10" ht="19" x14ac:dyDescent="0.25">
      <c r="A12" s="58" t="s">
        <v>46</v>
      </c>
      <c r="B12" s="69">
        <v>4.26</v>
      </c>
      <c r="C12" s="8">
        <v>0</v>
      </c>
      <c r="D12" s="45">
        <f>'Facility Risk - TSMC'!$C12/$C$151</f>
        <v>0</v>
      </c>
    </row>
    <row r="13" spans="1:10" ht="19" x14ac:dyDescent="0.25">
      <c r="A13" s="57" t="s">
        <v>47</v>
      </c>
      <c r="B13" s="70">
        <v>6.29</v>
      </c>
      <c r="C13" s="9">
        <v>0</v>
      </c>
      <c r="D13" s="46">
        <f>'Facility Risk - TSMC'!$C13/$C$151</f>
        <v>0</v>
      </c>
    </row>
    <row r="14" spans="1:10" ht="19" x14ac:dyDescent="0.25">
      <c r="A14" s="58" t="s">
        <v>48</v>
      </c>
      <c r="B14" s="71">
        <v>5.45</v>
      </c>
      <c r="C14" s="8">
        <v>0</v>
      </c>
      <c r="D14" s="45">
        <f>'Facility Risk - TSMC'!$C14/$C$151</f>
        <v>0</v>
      </c>
    </row>
    <row r="15" spans="1:10" ht="19" x14ac:dyDescent="0.25">
      <c r="A15" s="57" t="s">
        <v>49</v>
      </c>
      <c r="B15" s="72">
        <v>3.33</v>
      </c>
      <c r="C15" s="9">
        <v>0</v>
      </c>
      <c r="D15" s="46">
        <f>'Facility Risk - TSMC'!$C15/$C$151</f>
        <v>0</v>
      </c>
    </row>
    <row r="16" spans="1:10" ht="19" x14ac:dyDescent="0.25">
      <c r="A16" s="58" t="s">
        <v>50</v>
      </c>
      <c r="B16" s="73">
        <v>6</v>
      </c>
      <c r="C16" s="8">
        <v>0</v>
      </c>
      <c r="D16" s="45">
        <f>'Facility Risk - TSMC'!$C16/$C$151</f>
        <v>0</v>
      </c>
    </row>
    <row r="17" spans="1:5" ht="19" x14ac:dyDescent="0.25">
      <c r="A17" s="57" t="s">
        <v>51</v>
      </c>
      <c r="B17" s="74">
        <v>5.0199999999999996</v>
      </c>
      <c r="C17" s="9">
        <v>0</v>
      </c>
      <c r="D17" s="46">
        <f>'Facility Risk - TSMC'!$C17/$C$151</f>
        <v>0</v>
      </c>
    </row>
    <row r="18" spans="1:5" ht="19" x14ac:dyDescent="0.25">
      <c r="A18" s="58" t="s">
        <v>52</v>
      </c>
      <c r="B18" s="75">
        <v>5.41</v>
      </c>
      <c r="C18" s="8">
        <v>0</v>
      </c>
      <c r="D18" s="45">
        <f>'Facility Risk - TSMC'!$C18/$C$151</f>
        <v>0</v>
      </c>
    </row>
    <row r="19" spans="1:5" ht="19" x14ac:dyDescent="0.25">
      <c r="A19" s="57" t="s">
        <v>53</v>
      </c>
      <c r="B19" s="76">
        <v>5.34</v>
      </c>
      <c r="C19" s="9">
        <v>0</v>
      </c>
      <c r="D19" s="46">
        <f>'Facility Risk - TSMC'!$C19/$C$151</f>
        <v>0</v>
      </c>
    </row>
    <row r="20" spans="1:5" ht="19" x14ac:dyDescent="0.25">
      <c r="A20" s="58" t="s">
        <v>54</v>
      </c>
      <c r="B20" s="77">
        <v>4.34</v>
      </c>
      <c r="C20" s="8">
        <v>0</v>
      </c>
      <c r="D20" s="45">
        <f>'Facility Risk - TSMC'!$C20/$C$151</f>
        <v>0</v>
      </c>
    </row>
    <row r="21" spans="1:5" ht="19" x14ac:dyDescent="0.25">
      <c r="A21" s="57" t="s">
        <v>55</v>
      </c>
      <c r="B21" s="78">
        <v>5.35</v>
      </c>
      <c r="C21" s="9">
        <v>0</v>
      </c>
      <c r="D21" s="46">
        <f>'Facility Risk - TSMC'!$C21/$C$151</f>
        <v>0</v>
      </c>
    </row>
    <row r="22" spans="1:5" ht="19" x14ac:dyDescent="0.25">
      <c r="A22" s="58" t="s">
        <v>56</v>
      </c>
      <c r="B22" s="79">
        <v>4.43</v>
      </c>
      <c r="C22" s="8">
        <v>0</v>
      </c>
      <c r="D22" s="45">
        <f>'Facility Risk - TSMC'!$C22/$C$151</f>
        <v>0</v>
      </c>
    </row>
    <row r="23" spans="1:5" ht="19" x14ac:dyDescent="0.25">
      <c r="A23" s="57" t="s">
        <v>57</v>
      </c>
      <c r="B23" s="80">
        <v>6.55</v>
      </c>
      <c r="C23" s="9">
        <v>0</v>
      </c>
      <c r="D23" s="46">
        <f>'Facility Risk - TSMC'!$C23/$C$151</f>
        <v>0</v>
      </c>
    </row>
    <row r="24" spans="1:5" ht="19" x14ac:dyDescent="0.25">
      <c r="A24" s="58" t="s">
        <v>58</v>
      </c>
      <c r="B24" s="81">
        <v>6.33</v>
      </c>
      <c r="C24" s="8">
        <v>0</v>
      </c>
      <c r="D24" s="45">
        <f>'Facility Risk - TSMC'!$C24/$C$151</f>
        <v>0</v>
      </c>
    </row>
    <row r="25" spans="1:5" ht="19" x14ac:dyDescent="0.25">
      <c r="A25" s="57" t="s">
        <v>59</v>
      </c>
      <c r="B25" s="64">
        <v>5.64</v>
      </c>
      <c r="C25" s="9">
        <v>0</v>
      </c>
      <c r="D25" s="46">
        <f>'Facility Risk - TSMC'!$C25/$C$151</f>
        <v>0</v>
      </c>
    </row>
    <row r="26" spans="1:5" ht="19" x14ac:dyDescent="0.25">
      <c r="A26" s="58" t="s">
        <v>60</v>
      </c>
      <c r="B26" s="82">
        <v>6.83</v>
      </c>
      <c r="C26" s="8">
        <v>0</v>
      </c>
      <c r="D26" s="45">
        <f>'Facility Risk - TSMC'!$C26/$C$151</f>
        <v>0</v>
      </c>
    </row>
    <row r="27" spans="1:5" ht="19" x14ac:dyDescent="0.25">
      <c r="A27" s="57" t="s">
        <v>61</v>
      </c>
      <c r="B27" s="83">
        <v>3.44</v>
      </c>
      <c r="C27" s="9">
        <v>0</v>
      </c>
      <c r="D27" s="46">
        <f>'Facility Risk - TSMC'!$C27/$C$151</f>
        <v>0</v>
      </c>
    </row>
    <row r="28" spans="1:5" ht="19" x14ac:dyDescent="0.25">
      <c r="A28" s="58" t="s">
        <v>62</v>
      </c>
      <c r="B28" s="84">
        <v>6.79</v>
      </c>
      <c r="C28" s="8">
        <v>0</v>
      </c>
      <c r="D28" s="45">
        <f>'Facility Risk - TSMC'!$C28/$C$151</f>
        <v>0</v>
      </c>
    </row>
    <row r="29" spans="1:5" ht="19" x14ac:dyDescent="0.25">
      <c r="A29" s="57" t="s">
        <v>63</v>
      </c>
      <c r="B29" s="82">
        <v>6.84</v>
      </c>
      <c r="C29" s="9">
        <v>0</v>
      </c>
      <c r="D29" s="46">
        <f>'Facility Risk - TSMC'!$C29/$C$151</f>
        <v>0</v>
      </c>
    </row>
    <row r="30" spans="1:5" ht="19" x14ac:dyDescent="0.25">
      <c r="A30" s="58" t="s">
        <v>64</v>
      </c>
      <c r="B30" s="65">
        <v>4.3600000000000003</v>
      </c>
      <c r="C30" s="8">
        <v>0</v>
      </c>
      <c r="D30" s="45">
        <f>'Facility Risk - TSMC'!$C30/$C$151</f>
        <v>0</v>
      </c>
    </row>
    <row r="31" spans="1:5" ht="19" x14ac:dyDescent="0.25">
      <c r="A31" s="57" t="s">
        <v>65</v>
      </c>
      <c r="B31" s="85">
        <v>4.26</v>
      </c>
      <c r="C31" s="9">
        <f>5.41%+70.27%</f>
        <v>0.75680000000000003</v>
      </c>
      <c r="D31" s="46">
        <f>'Facility Risk - TSMC'!$C31/$C$151</f>
        <v>0.75672432756724317</v>
      </c>
      <c r="E31" s="50" t="s">
        <v>66</v>
      </c>
    </row>
    <row r="32" spans="1:5" ht="19" x14ac:dyDescent="0.25">
      <c r="A32" s="58" t="s">
        <v>67</v>
      </c>
      <c r="B32" s="86">
        <v>5.72</v>
      </c>
      <c r="C32" s="8">
        <v>0</v>
      </c>
      <c r="D32" s="45">
        <f>'Facility Risk - TSMC'!$C32/$C$151</f>
        <v>0</v>
      </c>
    </row>
    <row r="33" spans="1:4" ht="19" x14ac:dyDescent="0.25">
      <c r="A33" s="57" t="s">
        <v>68</v>
      </c>
      <c r="B33" s="87">
        <v>5.65</v>
      </c>
      <c r="C33" s="9">
        <v>0</v>
      </c>
      <c r="D33" s="46">
        <f>'Facility Risk - TSMC'!$C33/$C$151</f>
        <v>0</v>
      </c>
    </row>
    <row r="34" spans="1:4" ht="19" x14ac:dyDescent="0.25">
      <c r="A34" s="58" t="s">
        <v>69</v>
      </c>
      <c r="B34" s="88">
        <v>4.2300000000000004</v>
      </c>
      <c r="C34" s="8">
        <v>0</v>
      </c>
      <c r="D34" s="45">
        <f>'Facility Risk - TSMC'!$C34/$C$151</f>
        <v>0</v>
      </c>
    </row>
    <row r="35" spans="1:4" ht="19" x14ac:dyDescent="0.25">
      <c r="A35" s="57" t="s">
        <v>70</v>
      </c>
      <c r="B35" s="89">
        <v>5.6</v>
      </c>
      <c r="C35" s="9">
        <v>0</v>
      </c>
      <c r="D35" s="46">
        <f>'Facility Risk - TSMC'!$C35/$C$151</f>
        <v>0</v>
      </c>
    </row>
    <row r="36" spans="1:4" ht="19" x14ac:dyDescent="0.25">
      <c r="A36" s="58" t="s">
        <v>71</v>
      </c>
      <c r="B36" s="90">
        <v>4.28</v>
      </c>
      <c r="C36" s="8">
        <v>0</v>
      </c>
      <c r="D36" s="45">
        <f>'Facility Risk - TSMC'!$C36/$C$151</f>
        <v>0</v>
      </c>
    </row>
    <row r="37" spans="1:4" ht="19" x14ac:dyDescent="0.25">
      <c r="A37" s="57" t="s">
        <v>72</v>
      </c>
      <c r="B37" s="91">
        <v>4.67</v>
      </c>
      <c r="C37" s="9">
        <v>0</v>
      </c>
      <c r="D37" s="46">
        <f>'Facility Risk - TSMC'!$C37/$C$151</f>
        <v>0</v>
      </c>
    </row>
    <row r="38" spans="1:4" ht="19" x14ac:dyDescent="0.25">
      <c r="A38" s="58" t="s">
        <v>73</v>
      </c>
      <c r="B38" s="92">
        <v>3.75</v>
      </c>
      <c r="C38" s="8">
        <v>0</v>
      </c>
      <c r="D38" s="45">
        <f>'Facility Risk - TSMC'!$C38/$C$151</f>
        <v>0</v>
      </c>
    </row>
    <row r="39" spans="1:4" ht="19" x14ac:dyDescent="0.25">
      <c r="A39" s="57" t="s">
        <v>74</v>
      </c>
      <c r="B39" s="93">
        <v>3.2</v>
      </c>
      <c r="C39" s="9">
        <v>0</v>
      </c>
      <c r="D39" s="46">
        <f>'Facility Risk - TSMC'!$C39/$C$151</f>
        <v>0</v>
      </c>
    </row>
    <row r="40" spans="1:4" ht="19" x14ac:dyDescent="0.25">
      <c r="A40" s="58" t="s">
        <v>75</v>
      </c>
      <c r="B40" s="94">
        <v>5.98</v>
      </c>
      <c r="C40" s="8">
        <v>0</v>
      </c>
      <c r="D40" s="45">
        <f>'Facility Risk - TSMC'!$C40/$C$151</f>
        <v>0</v>
      </c>
    </row>
    <row r="41" spans="1:4" ht="19" x14ac:dyDescent="0.25">
      <c r="A41" s="57" t="s">
        <v>76</v>
      </c>
      <c r="B41" s="95">
        <v>4.7</v>
      </c>
      <c r="C41" s="9">
        <v>0</v>
      </c>
      <c r="D41" s="46">
        <f>'Facility Risk - TSMC'!$C41/$C$151</f>
        <v>0</v>
      </c>
    </row>
    <row r="42" spans="1:4" ht="19" x14ac:dyDescent="0.25">
      <c r="A42" s="58" t="s">
        <v>77</v>
      </c>
      <c r="B42" s="96">
        <v>5.71</v>
      </c>
      <c r="C42" s="8">
        <v>0</v>
      </c>
      <c r="D42" s="45">
        <f>'Facility Risk - TSMC'!$C42/$C$151</f>
        <v>0</v>
      </c>
    </row>
    <row r="43" spans="1:4" ht="19" x14ac:dyDescent="0.25">
      <c r="A43" s="57" t="s">
        <v>78</v>
      </c>
      <c r="B43" s="97">
        <v>5.6</v>
      </c>
      <c r="C43" s="9">
        <v>0</v>
      </c>
      <c r="D43" s="46">
        <f>'Facility Risk - TSMC'!$C43/$C$151</f>
        <v>0</v>
      </c>
    </row>
    <row r="44" spans="1:4" ht="19" x14ac:dyDescent="0.25">
      <c r="A44" s="58" t="s">
        <v>79</v>
      </c>
      <c r="B44" s="98">
        <v>4.79</v>
      </c>
      <c r="C44" s="8">
        <v>0</v>
      </c>
      <c r="D44" s="45">
        <f>'Facility Risk - TSMC'!$C44/$C$151</f>
        <v>0</v>
      </c>
    </row>
    <row r="45" spans="1:4" ht="19" x14ac:dyDescent="0.25">
      <c r="A45" s="57" t="s">
        <v>80</v>
      </c>
      <c r="B45" s="99">
        <v>3.57</v>
      </c>
      <c r="C45" s="9">
        <v>0</v>
      </c>
      <c r="D45" s="46">
        <f>'Facility Risk - TSMC'!$C45/$C$151</f>
        <v>0</v>
      </c>
    </row>
    <row r="46" spans="1:4" ht="19" x14ac:dyDescent="0.25">
      <c r="A46" s="58" t="s">
        <v>81</v>
      </c>
      <c r="B46" s="100">
        <v>4.5</v>
      </c>
      <c r="C46" s="8">
        <v>0</v>
      </c>
      <c r="D46" s="45">
        <f>'Facility Risk - TSMC'!$C46/$C$151</f>
        <v>0</v>
      </c>
    </row>
    <row r="47" spans="1:4" ht="19" x14ac:dyDescent="0.25">
      <c r="A47" s="57" t="s">
        <v>82</v>
      </c>
      <c r="B47" s="101">
        <v>6.93</v>
      </c>
      <c r="C47" s="9">
        <v>0</v>
      </c>
      <c r="D47" s="46">
        <f>'Facility Risk - TSMC'!$C47/$C$151</f>
        <v>0</v>
      </c>
    </row>
    <row r="48" spans="1:4" ht="19" x14ac:dyDescent="0.25">
      <c r="A48" s="58" t="s">
        <v>83</v>
      </c>
      <c r="B48" s="102">
        <v>3.35</v>
      </c>
      <c r="C48" s="8">
        <v>0</v>
      </c>
      <c r="D48" s="45">
        <f>'Facility Risk - TSMC'!$C48/$C$151</f>
        <v>0</v>
      </c>
    </row>
    <row r="49" spans="1:4" ht="19" x14ac:dyDescent="0.25">
      <c r="A49" s="57" t="s">
        <v>84</v>
      </c>
      <c r="B49" s="103">
        <v>3.65</v>
      </c>
      <c r="C49" s="9">
        <v>0</v>
      </c>
      <c r="D49" s="46">
        <f>'Facility Risk - TSMC'!$C49/$C$151</f>
        <v>0</v>
      </c>
    </row>
    <row r="50" spans="1:4" ht="19" x14ac:dyDescent="0.25">
      <c r="A50" s="58" t="s">
        <v>85</v>
      </c>
      <c r="B50" s="104">
        <v>5.78</v>
      </c>
      <c r="C50" s="8">
        <v>0</v>
      </c>
      <c r="D50" s="45">
        <f>'Facility Risk - TSMC'!$C50/$C$151</f>
        <v>0</v>
      </c>
    </row>
    <row r="51" spans="1:4" ht="19" x14ac:dyDescent="0.25">
      <c r="A51" s="57" t="s">
        <v>86</v>
      </c>
      <c r="B51" s="105">
        <v>5.38</v>
      </c>
      <c r="C51" s="9">
        <v>0</v>
      </c>
      <c r="D51" s="46">
        <f>'Facility Risk - TSMC'!$C51/$C$151</f>
        <v>0</v>
      </c>
    </row>
    <row r="52" spans="1:4" ht="19" x14ac:dyDescent="0.25">
      <c r="A52" s="58" t="s">
        <v>87</v>
      </c>
      <c r="B52" s="106">
        <v>4.93</v>
      </c>
      <c r="C52" s="8">
        <v>0</v>
      </c>
      <c r="D52" s="45">
        <f>'Facility Risk - TSMC'!$C52/$C$151</f>
        <v>0</v>
      </c>
    </row>
    <row r="53" spans="1:4" ht="19" x14ac:dyDescent="0.25">
      <c r="A53" s="57" t="s">
        <v>88</v>
      </c>
      <c r="B53" s="68">
        <v>3.42</v>
      </c>
      <c r="C53" s="9">
        <v>5.4100000000000002E-2</v>
      </c>
      <c r="D53" s="46">
        <f>'Facility Risk - TSMC'!$C53/$C$151</f>
        <v>5.4094590540945897E-2</v>
      </c>
    </row>
    <row r="54" spans="1:4" ht="19" x14ac:dyDescent="0.25">
      <c r="A54" s="58" t="s">
        <v>89</v>
      </c>
      <c r="B54" s="107">
        <v>4.63</v>
      </c>
      <c r="C54" s="8">
        <v>0</v>
      </c>
      <c r="D54" s="45">
        <f>'Facility Risk - TSMC'!$C54/$C$151</f>
        <v>0</v>
      </c>
    </row>
    <row r="55" spans="1:4" ht="19" x14ac:dyDescent="0.25">
      <c r="A55" s="57" t="s">
        <v>90</v>
      </c>
      <c r="B55" s="77">
        <v>4.34</v>
      </c>
      <c r="C55" s="9">
        <v>0</v>
      </c>
      <c r="D55" s="46">
        <f>'Facility Risk - TSMC'!$C55/$C$151</f>
        <v>0</v>
      </c>
    </row>
    <row r="56" spans="1:4" ht="19" x14ac:dyDescent="0.25">
      <c r="A56" s="58" t="s">
        <v>91</v>
      </c>
      <c r="B56" s="71">
        <v>5.45</v>
      </c>
      <c r="C56" s="8">
        <v>0</v>
      </c>
      <c r="D56" s="45">
        <f>'Facility Risk - TSMC'!$C56/$C$151</f>
        <v>0</v>
      </c>
    </row>
    <row r="57" spans="1:4" ht="19" x14ac:dyDescent="0.25">
      <c r="A57" s="57" t="s">
        <v>92</v>
      </c>
      <c r="B57" s="108">
        <v>6.36</v>
      </c>
      <c r="C57" s="9">
        <v>0</v>
      </c>
      <c r="D57" s="46">
        <f>'Facility Risk - TSMC'!$C57/$C$151</f>
        <v>0</v>
      </c>
    </row>
    <row r="58" spans="1:4" ht="19" x14ac:dyDescent="0.25">
      <c r="A58" s="58" t="s">
        <v>93</v>
      </c>
      <c r="B58" s="109">
        <v>5.94</v>
      </c>
      <c r="C58" s="8">
        <v>0</v>
      </c>
      <c r="D58" s="45">
        <f>'Facility Risk - TSMC'!$C58/$C$151</f>
        <v>0</v>
      </c>
    </row>
    <row r="59" spans="1:4" ht="19" x14ac:dyDescent="0.25">
      <c r="A59" s="57" t="s">
        <v>94</v>
      </c>
      <c r="B59" s="110">
        <v>4.92</v>
      </c>
      <c r="C59" s="9">
        <v>0</v>
      </c>
      <c r="D59" s="46">
        <f>'Facility Risk - TSMC'!$C59/$C$151</f>
        <v>0</v>
      </c>
    </row>
    <row r="60" spans="1:4" ht="19" x14ac:dyDescent="0.25">
      <c r="A60" s="58" t="s">
        <v>95</v>
      </c>
      <c r="B60" s="111">
        <v>6.53</v>
      </c>
      <c r="C60" s="8">
        <v>0</v>
      </c>
      <c r="D60" s="45">
        <f>'Facility Risk - TSMC'!$C60/$C$151</f>
        <v>0</v>
      </c>
    </row>
    <row r="61" spans="1:4" ht="19" x14ac:dyDescent="0.25">
      <c r="A61" s="57" t="s">
        <v>96</v>
      </c>
      <c r="B61" s="112">
        <v>5.77</v>
      </c>
      <c r="C61" s="9">
        <v>0</v>
      </c>
      <c r="D61" s="46">
        <f>'Facility Risk - TSMC'!$C61/$C$151</f>
        <v>0</v>
      </c>
    </row>
    <row r="62" spans="1:4" ht="19" x14ac:dyDescent="0.25">
      <c r="A62" s="58" t="s">
        <v>97</v>
      </c>
      <c r="B62" s="113">
        <v>3.63</v>
      </c>
      <c r="C62" s="8">
        <v>0</v>
      </c>
      <c r="D62" s="45">
        <f>'Facility Risk - TSMC'!$C62/$C$151</f>
        <v>0</v>
      </c>
    </row>
    <row r="63" spans="1:4" ht="19" x14ac:dyDescent="0.25">
      <c r="A63" s="57" t="s">
        <v>98</v>
      </c>
      <c r="B63" s="114">
        <v>3.38</v>
      </c>
      <c r="C63" s="9">
        <v>0</v>
      </c>
      <c r="D63" s="46">
        <f>'Facility Risk - TSMC'!$C63/$C$151</f>
        <v>0</v>
      </c>
    </row>
    <row r="64" spans="1:4" ht="19" x14ac:dyDescent="0.25">
      <c r="A64" s="58" t="s">
        <v>99</v>
      </c>
      <c r="B64" s="115">
        <v>5.07</v>
      </c>
      <c r="C64" s="8">
        <v>0</v>
      </c>
      <c r="D64" s="45">
        <f>'Facility Risk - TSMC'!$C64/$C$151</f>
        <v>0</v>
      </c>
    </row>
    <row r="65" spans="1:4" ht="19" x14ac:dyDescent="0.25">
      <c r="A65" s="57" t="s">
        <v>100</v>
      </c>
      <c r="B65" s="106">
        <v>4.92</v>
      </c>
      <c r="C65" s="9">
        <v>0</v>
      </c>
      <c r="D65" s="46">
        <f>'Facility Risk - TSMC'!$C65/$C$151</f>
        <v>0</v>
      </c>
    </row>
    <row r="66" spans="1:4" ht="19" x14ac:dyDescent="0.25">
      <c r="A66" s="58" t="s">
        <v>101</v>
      </c>
      <c r="B66" s="116">
        <v>5.88</v>
      </c>
      <c r="C66" s="8">
        <v>0</v>
      </c>
      <c r="D66" s="45">
        <f>'Facility Risk - TSMC'!$C66/$C$151</f>
        <v>0</v>
      </c>
    </row>
    <row r="67" spans="1:4" ht="19" x14ac:dyDescent="0.25">
      <c r="A67" s="57" t="s">
        <v>102</v>
      </c>
      <c r="B67" s="117">
        <v>6.05</v>
      </c>
      <c r="C67" s="9">
        <v>0</v>
      </c>
      <c r="D67" s="46">
        <f>'Facility Risk - TSMC'!$C67/$C$151</f>
        <v>0</v>
      </c>
    </row>
    <row r="68" spans="1:4" ht="19" x14ac:dyDescent="0.25">
      <c r="A68" s="58" t="s">
        <v>103</v>
      </c>
      <c r="B68" s="118">
        <v>3.25</v>
      </c>
      <c r="C68" s="8">
        <v>0</v>
      </c>
      <c r="D68" s="45">
        <f>'Facility Risk - TSMC'!$C68/$C$151</f>
        <v>0</v>
      </c>
    </row>
    <row r="69" spans="1:4" ht="19" x14ac:dyDescent="0.25">
      <c r="A69" s="57" t="s">
        <v>104</v>
      </c>
      <c r="B69" s="119">
        <v>4.6100000000000003</v>
      </c>
      <c r="C69" s="9">
        <v>0</v>
      </c>
      <c r="D69" s="46">
        <f>'Facility Risk - TSMC'!$C69/$C$151</f>
        <v>0</v>
      </c>
    </row>
    <row r="70" spans="1:4" ht="19" x14ac:dyDescent="0.25">
      <c r="A70" s="58" t="s">
        <v>105</v>
      </c>
      <c r="B70" s="120">
        <v>3.84</v>
      </c>
      <c r="C70" s="8">
        <v>0</v>
      </c>
      <c r="D70" s="45">
        <f>'Facility Risk - TSMC'!$C70/$C$151</f>
        <v>0</v>
      </c>
    </row>
    <row r="71" spans="1:4" ht="19" x14ac:dyDescent="0.25">
      <c r="A71" s="57" t="s">
        <v>106</v>
      </c>
      <c r="B71" s="121">
        <v>4.75</v>
      </c>
      <c r="C71" s="9">
        <v>0</v>
      </c>
      <c r="D71" s="46">
        <f>'Facility Risk - TSMC'!$C71/$C$151</f>
        <v>0</v>
      </c>
    </row>
    <row r="72" spans="1:4" ht="19" x14ac:dyDescent="0.25">
      <c r="A72" s="58" t="s">
        <v>107</v>
      </c>
      <c r="B72" s="114">
        <v>3.38</v>
      </c>
      <c r="C72" s="8">
        <v>8.1100000000000005E-2</v>
      </c>
      <c r="D72" s="45">
        <f>'Facility Risk - TSMC'!$C72/$C$151</f>
        <v>8.1091890810918901E-2</v>
      </c>
    </row>
    <row r="73" spans="1:4" ht="19" x14ac:dyDescent="0.25">
      <c r="A73" s="57" t="s">
        <v>108</v>
      </c>
      <c r="B73" s="122">
        <v>5.13</v>
      </c>
      <c r="C73" s="9">
        <v>0</v>
      </c>
      <c r="D73" s="46">
        <f>'Facility Risk - TSMC'!$C73/$C$151</f>
        <v>0</v>
      </c>
    </row>
    <row r="74" spans="1:4" ht="19" x14ac:dyDescent="0.25">
      <c r="A74" s="58" t="s">
        <v>109</v>
      </c>
      <c r="B74" s="123">
        <v>4.54</v>
      </c>
      <c r="C74" s="8">
        <v>0</v>
      </c>
      <c r="D74" s="45">
        <f>'Facility Risk - TSMC'!$C74/$C$151</f>
        <v>0</v>
      </c>
    </row>
    <row r="75" spans="1:4" ht="19" x14ac:dyDescent="0.25">
      <c r="A75" s="57" t="s">
        <v>110</v>
      </c>
      <c r="B75" s="124">
        <v>6.13</v>
      </c>
      <c r="C75" s="9">
        <v>0</v>
      </c>
      <c r="D75" s="46">
        <f>'Facility Risk - TSMC'!$C75/$C$151</f>
        <v>0</v>
      </c>
    </row>
    <row r="76" spans="1:4" ht="19" x14ac:dyDescent="0.25">
      <c r="A76" s="58" t="s">
        <v>111</v>
      </c>
      <c r="B76" s="125">
        <v>4.3</v>
      </c>
      <c r="C76" s="8">
        <v>0</v>
      </c>
      <c r="D76" s="45">
        <f>'Facility Risk - TSMC'!$C76/$C$151</f>
        <v>0</v>
      </c>
    </row>
    <row r="77" spans="1:4" ht="19" x14ac:dyDescent="0.25">
      <c r="A77" s="57" t="s">
        <v>112</v>
      </c>
      <c r="B77" s="126">
        <v>5.37</v>
      </c>
      <c r="C77" s="9">
        <v>0</v>
      </c>
      <c r="D77" s="46">
        <f>'Facility Risk - TSMC'!$C77/$C$151</f>
        <v>0</v>
      </c>
    </row>
    <row r="78" spans="1:4" ht="19" x14ac:dyDescent="0.25">
      <c r="A78" s="58" t="s">
        <v>113</v>
      </c>
      <c r="B78" s="127">
        <v>5.14</v>
      </c>
      <c r="C78" s="8">
        <v>0</v>
      </c>
      <c r="D78" s="45">
        <f>'Facility Risk - TSMC'!$C78/$C$151</f>
        <v>0</v>
      </c>
    </row>
    <row r="79" spans="1:4" ht="19" x14ac:dyDescent="0.25">
      <c r="A79" s="57" t="s">
        <v>114</v>
      </c>
      <c r="B79" s="128">
        <v>3.97</v>
      </c>
      <c r="C79" s="9">
        <v>0</v>
      </c>
      <c r="D79" s="46">
        <f>'Facility Risk - TSMC'!$C79/$C$151</f>
        <v>0</v>
      </c>
    </row>
    <row r="80" spans="1:4" ht="19" x14ac:dyDescent="0.25">
      <c r="A80" s="58" t="s">
        <v>115</v>
      </c>
      <c r="B80" s="129">
        <v>6.12</v>
      </c>
      <c r="C80" s="8">
        <v>0</v>
      </c>
      <c r="D80" s="45">
        <f>'Facility Risk - TSMC'!$C80/$C$151</f>
        <v>0</v>
      </c>
    </row>
    <row r="81" spans="1:4" ht="19" x14ac:dyDescent="0.25">
      <c r="A81" s="57" t="s">
        <v>116</v>
      </c>
      <c r="B81" s="130">
        <v>5.49</v>
      </c>
      <c r="C81" s="9">
        <v>0</v>
      </c>
      <c r="D81" s="46">
        <f>'Facility Risk - TSMC'!$C81/$C$151</f>
        <v>0</v>
      </c>
    </row>
    <row r="82" spans="1:4" ht="19" x14ac:dyDescent="0.25">
      <c r="A82" s="58" t="s">
        <v>117</v>
      </c>
      <c r="B82" s="131">
        <v>5.97</v>
      </c>
      <c r="C82" s="8">
        <v>0</v>
      </c>
      <c r="D82" s="45">
        <f>'Facility Risk - TSMC'!$C82/$C$151</f>
        <v>0</v>
      </c>
    </row>
    <row r="83" spans="1:4" ht="19" x14ac:dyDescent="0.25">
      <c r="A83" s="57" t="s">
        <v>118</v>
      </c>
      <c r="B83" s="132">
        <v>5.68</v>
      </c>
      <c r="C83" s="9">
        <v>0</v>
      </c>
      <c r="D83" s="46">
        <f>'Facility Risk - TSMC'!$C83/$C$151</f>
        <v>0</v>
      </c>
    </row>
    <row r="84" spans="1:4" ht="19" x14ac:dyDescent="0.25">
      <c r="A84" s="58" t="s">
        <v>119</v>
      </c>
      <c r="B84" s="133">
        <v>3.93</v>
      </c>
      <c r="C84" s="8">
        <v>0</v>
      </c>
      <c r="D84" s="45">
        <f>'Facility Risk - TSMC'!$C84/$C$151</f>
        <v>0</v>
      </c>
    </row>
    <row r="85" spans="1:4" ht="19" x14ac:dyDescent="0.25">
      <c r="A85" s="57" t="s">
        <v>120</v>
      </c>
      <c r="B85" s="134">
        <v>5.82</v>
      </c>
      <c r="C85" s="9">
        <v>0</v>
      </c>
      <c r="D85" s="46">
        <f>'Facility Risk - TSMC'!$C85/$C$151</f>
        <v>0</v>
      </c>
    </row>
    <row r="86" spans="1:4" ht="19" x14ac:dyDescent="0.25">
      <c r="A86" s="58" t="s">
        <v>121</v>
      </c>
      <c r="B86" s="135">
        <v>5.58</v>
      </c>
      <c r="C86" s="8">
        <v>0</v>
      </c>
      <c r="D86" s="45">
        <f>'Facility Risk - TSMC'!$C86/$C$151</f>
        <v>0</v>
      </c>
    </row>
    <row r="87" spans="1:4" ht="19" x14ac:dyDescent="0.25">
      <c r="A87" s="57" t="s">
        <v>122</v>
      </c>
      <c r="B87" s="136">
        <v>4.03</v>
      </c>
      <c r="C87" s="9">
        <v>0</v>
      </c>
      <c r="D87" s="46">
        <f>'Facility Risk - TSMC'!$C87/$C$151</f>
        <v>0</v>
      </c>
    </row>
    <row r="88" spans="1:4" ht="19" x14ac:dyDescent="0.25">
      <c r="A88" s="58" t="s">
        <v>123</v>
      </c>
      <c r="B88" s="137">
        <v>7.1</v>
      </c>
      <c r="C88" s="8">
        <v>0</v>
      </c>
      <c r="D88" s="45">
        <f>'Facility Risk - TSMC'!$C88/$C$151</f>
        <v>0</v>
      </c>
    </row>
    <row r="89" spans="1:4" ht="19" x14ac:dyDescent="0.25">
      <c r="A89" s="57" t="s">
        <v>124</v>
      </c>
      <c r="B89" s="138">
        <v>6.28</v>
      </c>
      <c r="C89" s="9">
        <v>0</v>
      </c>
      <c r="D89" s="46">
        <f>'Facility Risk - TSMC'!$C89/$C$151</f>
        <v>0</v>
      </c>
    </row>
    <row r="90" spans="1:4" ht="19" x14ac:dyDescent="0.25">
      <c r="A90" s="58" t="s">
        <v>125</v>
      </c>
      <c r="B90" s="139">
        <v>3.47</v>
      </c>
      <c r="C90" s="8">
        <v>0</v>
      </c>
      <c r="D90" s="45">
        <f>'Facility Risk - TSMC'!$C90/$C$151</f>
        <v>0</v>
      </c>
    </row>
    <row r="91" spans="1:4" ht="19" x14ac:dyDescent="0.25">
      <c r="A91" s="57" t="s">
        <v>126</v>
      </c>
      <c r="B91" s="140">
        <v>5.42</v>
      </c>
      <c r="C91" s="9">
        <v>0</v>
      </c>
      <c r="D91" s="46">
        <f>'Facility Risk - TSMC'!$C91/$C$151</f>
        <v>0</v>
      </c>
    </row>
    <row r="92" spans="1:4" ht="19" x14ac:dyDescent="0.25">
      <c r="A92" s="58" t="s">
        <v>127</v>
      </c>
      <c r="B92" s="127">
        <v>5.14</v>
      </c>
      <c r="C92" s="8">
        <v>0</v>
      </c>
      <c r="D92" s="45">
        <f>'Facility Risk - TSMC'!$C92/$C$151</f>
        <v>0</v>
      </c>
    </row>
    <row r="93" spans="1:4" ht="19" x14ac:dyDescent="0.25">
      <c r="A93" s="57" t="s">
        <v>128</v>
      </c>
      <c r="B93" s="141">
        <v>4.6500000000000004</v>
      </c>
      <c r="C93" s="9">
        <v>0</v>
      </c>
      <c r="D93" s="46">
        <f>'Facility Risk - TSMC'!$C93/$C$151</f>
        <v>0</v>
      </c>
    </row>
    <row r="94" spans="1:4" ht="19" x14ac:dyDescent="0.25">
      <c r="A94" s="58" t="s">
        <v>129</v>
      </c>
      <c r="B94" s="142">
        <v>5.0999999999999996</v>
      </c>
      <c r="C94" s="8">
        <v>0</v>
      </c>
      <c r="D94" s="45">
        <f>'Facility Risk - TSMC'!$C94/$C$151</f>
        <v>0</v>
      </c>
    </row>
    <row r="95" spans="1:4" ht="19" x14ac:dyDescent="0.25">
      <c r="A95" s="57" t="s">
        <v>130</v>
      </c>
      <c r="B95" s="70">
        <v>6.3</v>
      </c>
      <c r="C95" s="9">
        <v>0</v>
      </c>
      <c r="D95" s="46">
        <f>'Facility Risk - TSMC'!$C95/$C$151</f>
        <v>0</v>
      </c>
    </row>
    <row r="96" spans="1:4" ht="19" x14ac:dyDescent="0.25">
      <c r="A96" s="58" t="s">
        <v>131</v>
      </c>
      <c r="B96" s="143">
        <v>4.6399999999999997</v>
      </c>
      <c r="C96" s="8">
        <v>0</v>
      </c>
      <c r="D96" s="45">
        <f>'Facility Risk - TSMC'!$C96/$C$151</f>
        <v>0</v>
      </c>
    </row>
    <row r="97" spans="1:4" ht="19" x14ac:dyDescent="0.25">
      <c r="A97" s="57" t="s">
        <v>132</v>
      </c>
      <c r="B97" s="104">
        <v>5.78</v>
      </c>
      <c r="C97" s="9">
        <v>0</v>
      </c>
      <c r="D97" s="46">
        <f>'Facility Risk - TSMC'!$C97/$C$151</f>
        <v>0</v>
      </c>
    </row>
    <row r="98" spans="1:4" ht="19" x14ac:dyDescent="0.25">
      <c r="A98" s="58" t="s">
        <v>133</v>
      </c>
      <c r="B98" s="144">
        <v>3.59</v>
      </c>
      <c r="C98" s="8">
        <v>0</v>
      </c>
      <c r="D98" s="45">
        <f>'Facility Risk - TSMC'!$C98/$C$151</f>
        <v>0</v>
      </c>
    </row>
    <row r="99" spans="1:4" ht="19" x14ac:dyDescent="0.25">
      <c r="A99" s="57" t="s">
        <v>134</v>
      </c>
      <c r="B99" s="145">
        <v>3.32</v>
      </c>
      <c r="C99" s="9">
        <v>0</v>
      </c>
      <c r="D99" s="46">
        <f>'Facility Risk - TSMC'!$C99/$C$151</f>
        <v>0</v>
      </c>
    </row>
    <row r="100" spans="1:4" ht="19" x14ac:dyDescent="0.25">
      <c r="A100" s="58" t="s">
        <v>135</v>
      </c>
      <c r="B100" s="146">
        <v>5.8</v>
      </c>
      <c r="C100" s="8">
        <v>0</v>
      </c>
      <c r="D100" s="45">
        <f>'Facility Risk - TSMC'!$C100/$C$151</f>
        <v>0</v>
      </c>
    </row>
    <row r="101" spans="1:4" ht="19" x14ac:dyDescent="0.25">
      <c r="A101" s="57" t="s">
        <v>136</v>
      </c>
      <c r="B101" s="147">
        <v>7.07</v>
      </c>
      <c r="C101" s="9">
        <v>0</v>
      </c>
      <c r="D101" s="46">
        <f>'Facility Risk - TSMC'!$C101/$C$151</f>
        <v>0</v>
      </c>
    </row>
    <row r="102" spans="1:4" ht="19" x14ac:dyDescent="0.25">
      <c r="A102" s="58" t="s">
        <v>137</v>
      </c>
      <c r="B102" s="148">
        <v>6.5</v>
      </c>
      <c r="C102" s="8">
        <v>0</v>
      </c>
      <c r="D102" s="45">
        <f>'Facility Risk - TSMC'!$C102/$C$151</f>
        <v>0</v>
      </c>
    </row>
    <row r="103" spans="1:4" ht="19" x14ac:dyDescent="0.25">
      <c r="A103" s="57" t="s">
        <v>138</v>
      </c>
      <c r="B103" s="149">
        <v>4.16</v>
      </c>
      <c r="C103" s="9">
        <v>0</v>
      </c>
      <c r="D103" s="46">
        <f>'Facility Risk - TSMC'!$C103/$C$151</f>
        <v>0</v>
      </c>
    </row>
    <row r="104" spans="1:4" ht="19" x14ac:dyDescent="0.25">
      <c r="A104" s="58" t="s">
        <v>139</v>
      </c>
      <c r="B104" s="114">
        <v>3.38</v>
      </c>
      <c r="C104" s="8">
        <v>0</v>
      </c>
      <c r="D104" s="45">
        <f>'Facility Risk - TSMC'!$C104/$C$151</f>
        <v>0</v>
      </c>
    </row>
    <row r="105" spans="1:4" ht="19" x14ac:dyDescent="0.25">
      <c r="A105" s="57" t="s">
        <v>140</v>
      </c>
      <c r="B105" s="150">
        <v>4.0199999999999996</v>
      </c>
      <c r="C105" s="9">
        <v>0</v>
      </c>
      <c r="D105" s="46">
        <f>'Facility Risk - TSMC'!$C105/$C$151</f>
        <v>0</v>
      </c>
    </row>
    <row r="106" spans="1:4" ht="19" x14ac:dyDescent="0.25">
      <c r="A106" s="58" t="s">
        <v>141</v>
      </c>
      <c r="B106" s="151">
        <v>6.65</v>
      </c>
      <c r="C106" s="8">
        <v>0</v>
      </c>
      <c r="D106" s="45">
        <f>'Facility Risk - TSMC'!$C106/$C$151</f>
        <v>0</v>
      </c>
    </row>
    <row r="107" spans="1:4" ht="19" x14ac:dyDescent="0.25">
      <c r="A107" s="57" t="s">
        <v>142</v>
      </c>
      <c r="B107" s="152">
        <v>4.5599999999999996</v>
      </c>
      <c r="C107" s="9">
        <v>0</v>
      </c>
      <c r="D107" s="46">
        <f>'Facility Risk - TSMC'!$C107/$C$151</f>
        <v>0</v>
      </c>
    </row>
    <row r="108" spans="1:4" ht="19" x14ac:dyDescent="0.25">
      <c r="A108" s="58" t="s">
        <v>143</v>
      </c>
      <c r="B108" s="76">
        <v>5.34</v>
      </c>
      <c r="C108" s="8">
        <v>0</v>
      </c>
      <c r="D108" s="45">
        <f>'Facility Risk - TSMC'!$C108/$C$151</f>
        <v>0</v>
      </c>
    </row>
    <row r="109" spans="1:4" ht="19" x14ac:dyDescent="0.25">
      <c r="A109" s="57" t="s">
        <v>144</v>
      </c>
      <c r="B109" s="153">
        <v>4.72</v>
      </c>
      <c r="C109" s="9">
        <v>0</v>
      </c>
      <c r="D109" s="46">
        <f>'Facility Risk - TSMC'!$C109/$C$151</f>
        <v>0</v>
      </c>
    </row>
    <row r="110" spans="1:4" ht="19" x14ac:dyDescent="0.25">
      <c r="A110" s="58" t="s">
        <v>145</v>
      </c>
      <c r="B110" s="154">
        <v>5.28</v>
      </c>
      <c r="C110" s="8">
        <v>0</v>
      </c>
      <c r="D110" s="45">
        <f>'Facility Risk - TSMC'!$C110/$C$151</f>
        <v>0</v>
      </c>
    </row>
    <row r="111" spans="1:4" ht="19" x14ac:dyDescent="0.25">
      <c r="A111" s="57" t="s">
        <v>146</v>
      </c>
      <c r="B111" s="146">
        <v>5.8</v>
      </c>
      <c r="C111" s="9">
        <v>0</v>
      </c>
      <c r="D111" s="46">
        <f>'Facility Risk - TSMC'!$C111/$C$151</f>
        <v>0</v>
      </c>
    </row>
    <row r="112" spans="1:4" ht="19" x14ac:dyDescent="0.25">
      <c r="A112" s="58" t="s">
        <v>147</v>
      </c>
      <c r="B112" s="155">
        <v>4.1500000000000004</v>
      </c>
      <c r="C112" s="8">
        <v>0</v>
      </c>
      <c r="D112" s="45">
        <f>'Facility Risk - TSMC'!$C112/$C$151</f>
        <v>0</v>
      </c>
    </row>
    <row r="113" spans="1:4" ht="19" x14ac:dyDescent="0.25">
      <c r="A113" s="57" t="s">
        <v>148</v>
      </c>
      <c r="B113" s="156">
        <v>3.43</v>
      </c>
      <c r="C113" s="9">
        <v>0</v>
      </c>
      <c r="D113" s="46">
        <f>'Facility Risk - TSMC'!$C113/$C$151</f>
        <v>0</v>
      </c>
    </row>
    <row r="114" spans="1:4" ht="19" x14ac:dyDescent="0.25">
      <c r="A114" s="58" t="s">
        <v>149</v>
      </c>
      <c r="B114" s="93">
        <v>3.2</v>
      </c>
      <c r="C114" s="8">
        <v>0</v>
      </c>
      <c r="D114" s="45">
        <f>'Facility Risk - TSMC'!$C114/$C$151</f>
        <v>0</v>
      </c>
    </row>
    <row r="115" spans="1:4" ht="19" x14ac:dyDescent="0.25">
      <c r="A115" s="57" t="s">
        <v>150</v>
      </c>
      <c r="B115" s="157">
        <v>4.05</v>
      </c>
      <c r="C115" s="9">
        <v>0</v>
      </c>
      <c r="D115" s="46">
        <f>'Facility Risk - TSMC'!$C115/$C$151</f>
        <v>0</v>
      </c>
    </row>
    <row r="116" spans="1:4" ht="19" x14ac:dyDescent="0.25">
      <c r="A116" s="58" t="s">
        <v>151</v>
      </c>
      <c r="B116" s="158">
        <v>5.96</v>
      </c>
      <c r="C116" s="8">
        <v>0</v>
      </c>
      <c r="D116" s="45">
        <f>'Facility Risk - TSMC'!$C116/$C$151</f>
        <v>0</v>
      </c>
    </row>
    <row r="117" spans="1:4" ht="19" x14ac:dyDescent="0.25">
      <c r="A117" s="57" t="s">
        <v>152</v>
      </c>
      <c r="B117" s="159">
        <v>5.47</v>
      </c>
      <c r="C117" s="9">
        <v>0</v>
      </c>
      <c r="D117" s="46">
        <f>'Facility Risk - TSMC'!$C117/$C$151</f>
        <v>0</v>
      </c>
    </row>
    <row r="118" spans="1:4" ht="19" x14ac:dyDescent="0.25">
      <c r="A118" s="58" t="s">
        <v>153</v>
      </c>
      <c r="B118" s="79">
        <v>4.42</v>
      </c>
      <c r="C118" s="8">
        <v>0</v>
      </c>
      <c r="D118" s="45">
        <f>'Facility Risk - TSMC'!$C118/$C$151</f>
        <v>0</v>
      </c>
    </row>
    <row r="119" spans="1:4" ht="19" x14ac:dyDescent="0.25">
      <c r="A119" s="57" t="s">
        <v>154</v>
      </c>
      <c r="B119" s="160">
        <v>5.4</v>
      </c>
      <c r="C119" s="9">
        <v>0</v>
      </c>
      <c r="D119" s="46">
        <f>'Facility Risk - TSMC'!$C119/$C$151</f>
        <v>0</v>
      </c>
    </row>
    <row r="120" spans="1:4" ht="19" x14ac:dyDescent="0.25">
      <c r="A120" s="58" t="s">
        <v>155</v>
      </c>
      <c r="B120" s="161">
        <v>5.04</v>
      </c>
      <c r="C120" s="8">
        <v>0</v>
      </c>
      <c r="D120" s="45">
        <f>'Facility Risk - TSMC'!$C120/$C$151</f>
        <v>0</v>
      </c>
    </row>
    <row r="121" spans="1:4" ht="19" x14ac:dyDescent="0.25">
      <c r="A121" s="57" t="s">
        <v>156</v>
      </c>
      <c r="B121" s="162">
        <v>5.64</v>
      </c>
      <c r="C121" s="9">
        <v>0</v>
      </c>
      <c r="D121" s="46">
        <f>'Facility Risk - TSMC'!$C121/$C$151</f>
        <v>0</v>
      </c>
    </row>
    <row r="122" spans="1:4" ht="19" x14ac:dyDescent="0.25">
      <c r="A122" s="58" t="s">
        <v>157</v>
      </c>
      <c r="B122" s="163">
        <v>3.04</v>
      </c>
      <c r="C122" s="8">
        <v>0</v>
      </c>
      <c r="D122" s="45">
        <f>'Facility Risk - TSMC'!$C122/$C$151</f>
        <v>0</v>
      </c>
    </row>
    <row r="123" spans="1:4" ht="19" x14ac:dyDescent="0.25">
      <c r="A123" s="57" t="s">
        <v>158</v>
      </c>
      <c r="B123" s="164">
        <v>3.79</v>
      </c>
      <c r="C123" s="9">
        <v>0</v>
      </c>
      <c r="D123" s="46">
        <f>'Facility Risk - TSMC'!$C123/$C$151</f>
        <v>0</v>
      </c>
    </row>
    <row r="124" spans="1:4" ht="19" x14ac:dyDescent="0.25">
      <c r="A124" s="58" t="s">
        <v>159</v>
      </c>
      <c r="B124" s="165">
        <v>3.48</v>
      </c>
      <c r="C124" s="8">
        <v>0</v>
      </c>
      <c r="D124" s="45">
        <f>'Facility Risk - TSMC'!$C124/$C$151</f>
        <v>0</v>
      </c>
    </row>
    <row r="125" spans="1:4" ht="19" x14ac:dyDescent="0.25">
      <c r="A125" s="57" t="s">
        <v>160</v>
      </c>
      <c r="B125" s="166">
        <v>5.22</v>
      </c>
      <c r="C125" s="9">
        <v>0</v>
      </c>
      <c r="D125" s="46">
        <f>'Facility Risk - TSMC'!$C125/$C$151</f>
        <v>0</v>
      </c>
    </row>
    <row r="126" spans="1:4" ht="19" x14ac:dyDescent="0.25">
      <c r="A126" s="58" t="s">
        <v>161</v>
      </c>
      <c r="B126" s="167">
        <v>3.57</v>
      </c>
      <c r="C126" s="8">
        <v>0</v>
      </c>
      <c r="D126" s="45">
        <f>'Facility Risk - TSMC'!$C126/$C$151</f>
        <v>0</v>
      </c>
    </row>
    <row r="127" spans="1:4" ht="19" x14ac:dyDescent="0.25">
      <c r="A127" s="57" t="s">
        <v>162</v>
      </c>
      <c r="B127" s="168">
        <v>3.7</v>
      </c>
      <c r="C127" s="9">
        <v>0</v>
      </c>
      <c r="D127" s="46">
        <f>'Facility Risk - TSMC'!$C127/$C$151</f>
        <v>0</v>
      </c>
    </row>
    <row r="128" spans="1:4" ht="19" x14ac:dyDescent="0.25">
      <c r="A128" s="58" t="s">
        <v>163</v>
      </c>
      <c r="B128" s="169">
        <v>5.1100000000000003</v>
      </c>
      <c r="C128" s="8">
        <v>0</v>
      </c>
      <c r="D128" s="45">
        <f>'Facility Risk - TSMC'!$C128/$C$151</f>
        <v>0</v>
      </c>
    </row>
    <row r="129" spans="1:4" ht="19" x14ac:dyDescent="0.25">
      <c r="A129" s="57" t="s">
        <v>164</v>
      </c>
      <c r="B129" s="137">
        <v>7.1</v>
      </c>
      <c r="C129" s="9">
        <v>0</v>
      </c>
      <c r="D129" s="46">
        <f>'Facility Risk - TSMC'!$C129/$C$151</f>
        <v>0</v>
      </c>
    </row>
    <row r="130" spans="1:4" ht="19" x14ac:dyDescent="0.25">
      <c r="A130" s="58" t="s">
        <v>165</v>
      </c>
      <c r="B130" s="170">
        <v>3.52</v>
      </c>
      <c r="C130" s="8">
        <v>0</v>
      </c>
      <c r="D130" s="45">
        <f>'Facility Risk - TSMC'!$C130/$C$151</f>
        <v>0</v>
      </c>
    </row>
    <row r="131" spans="1:4" ht="19" x14ac:dyDescent="0.25">
      <c r="A131" s="57" t="s">
        <v>166</v>
      </c>
      <c r="B131" s="171">
        <v>2.78</v>
      </c>
      <c r="C131" s="9">
        <v>0</v>
      </c>
      <c r="D131" s="46">
        <f>'Facility Risk - TSMC'!$C131/$C$151</f>
        <v>0</v>
      </c>
    </row>
    <row r="132" spans="1:4" ht="19" x14ac:dyDescent="0.25">
      <c r="A132" s="59" t="s">
        <v>167</v>
      </c>
      <c r="B132" s="172">
        <v>7.33</v>
      </c>
      <c r="C132" s="8">
        <v>0</v>
      </c>
      <c r="D132" s="45">
        <f>'Facility Risk - TSMC'!$C132/$C$151</f>
        <v>0</v>
      </c>
    </row>
    <row r="133" spans="1:4" ht="19" x14ac:dyDescent="0.25">
      <c r="A133" s="57" t="s">
        <v>168</v>
      </c>
      <c r="B133" s="173">
        <v>5.69</v>
      </c>
      <c r="C133" s="9">
        <v>0</v>
      </c>
      <c r="D133" s="46">
        <f>'Facility Risk - TSMC'!$C133/$C$151</f>
        <v>0</v>
      </c>
    </row>
    <row r="134" spans="1:4" ht="19" x14ac:dyDescent="0.25">
      <c r="A134" s="58" t="s">
        <v>169</v>
      </c>
      <c r="B134" s="63">
        <v>5.21</v>
      </c>
      <c r="C134" s="8">
        <v>0</v>
      </c>
      <c r="D134" s="45">
        <f>'Facility Risk - TSMC'!$C134/$C$151</f>
        <v>0</v>
      </c>
    </row>
    <row r="135" spans="1:4" ht="19" x14ac:dyDescent="0.25">
      <c r="A135" s="57" t="s">
        <v>170</v>
      </c>
      <c r="B135" s="174">
        <v>5.15</v>
      </c>
      <c r="C135" s="9">
        <v>0</v>
      </c>
      <c r="D135" s="46">
        <f>'Facility Risk - TSMC'!$C135/$C$151</f>
        <v>0</v>
      </c>
    </row>
    <row r="136" spans="1:4" ht="19" x14ac:dyDescent="0.25">
      <c r="A136" s="58" t="s">
        <v>171</v>
      </c>
      <c r="B136" s="175">
        <v>5.87</v>
      </c>
      <c r="C136" s="8">
        <v>0</v>
      </c>
      <c r="D136" s="45">
        <f>'Facility Risk - TSMC'!$C136/$C$151</f>
        <v>0</v>
      </c>
    </row>
    <row r="137" spans="1:4" ht="19" x14ac:dyDescent="0.25">
      <c r="A137" s="57" t="s">
        <v>172</v>
      </c>
      <c r="B137" s="176">
        <v>4.38</v>
      </c>
      <c r="C137" s="9">
        <v>0</v>
      </c>
      <c r="D137" s="46">
        <f>'Facility Risk - TSMC'!$C137/$C$151</f>
        <v>0</v>
      </c>
    </row>
    <row r="138" spans="1:4" ht="19" x14ac:dyDescent="0.25">
      <c r="A138" s="58" t="s">
        <v>173</v>
      </c>
      <c r="B138" s="177">
        <v>5.13</v>
      </c>
      <c r="C138" s="8">
        <v>0</v>
      </c>
      <c r="D138" s="45">
        <f>'Facility Risk - TSMC'!$C138/$C$151</f>
        <v>0</v>
      </c>
    </row>
    <row r="139" spans="1:4" ht="19" x14ac:dyDescent="0.25">
      <c r="A139" s="57" t="s">
        <v>174</v>
      </c>
      <c r="B139" s="178">
        <v>5.26</v>
      </c>
      <c r="C139" s="9">
        <v>0</v>
      </c>
      <c r="D139" s="46">
        <f>'Facility Risk - TSMC'!$C139/$C$151</f>
        <v>0</v>
      </c>
    </row>
    <row r="140" spans="1:4" ht="19" x14ac:dyDescent="0.25">
      <c r="A140" s="58" t="s">
        <v>175</v>
      </c>
      <c r="B140" s="179">
        <v>6.29</v>
      </c>
      <c r="C140" s="8">
        <v>0</v>
      </c>
      <c r="D140" s="45">
        <f>'Facility Risk - TSMC'!$C140/$C$151</f>
        <v>0</v>
      </c>
    </row>
    <row r="141" spans="1:4" ht="19" x14ac:dyDescent="0.25">
      <c r="A141" s="57" t="s">
        <v>176</v>
      </c>
      <c r="B141" s="180">
        <v>6.35</v>
      </c>
      <c r="C141" s="9">
        <v>0</v>
      </c>
      <c r="D141" s="46">
        <f>'Facility Risk - TSMC'!$C141/$C$151</f>
        <v>0</v>
      </c>
    </row>
    <row r="142" spans="1:4" ht="19" x14ac:dyDescent="0.25">
      <c r="A142" s="58" t="s">
        <v>177</v>
      </c>
      <c r="B142" s="181">
        <v>3.72</v>
      </c>
      <c r="C142" s="8">
        <v>0</v>
      </c>
      <c r="D142" s="45">
        <f>'Facility Risk - TSMC'!$C142/$C$151</f>
        <v>0</v>
      </c>
    </row>
    <row r="143" spans="1:4" ht="19" x14ac:dyDescent="0.25">
      <c r="A143" s="57" t="s">
        <v>178</v>
      </c>
      <c r="B143" s="145">
        <v>3.32</v>
      </c>
      <c r="C143" s="9">
        <v>0</v>
      </c>
      <c r="D143" s="46">
        <f>'Facility Risk - TSMC'!$C143/$C$151</f>
        <v>0</v>
      </c>
    </row>
    <row r="144" spans="1:4" ht="19" x14ac:dyDescent="0.25">
      <c r="A144" s="58" t="s">
        <v>179</v>
      </c>
      <c r="B144" s="182">
        <v>4.1900000000000004</v>
      </c>
      <c r="C144" s="8">
        <v>0.1081</v>
      </c>
      <c r="D144" s="45">
        <f>'Facility Risk - TSMC'!$C144/$C$151</f>
        <v>0.10808919108089189</v>
      </c>
    </row>
    <row r="145" spans="1:4" ht="19" x14ac:dyDescent="0.25">
      <c r="A145" s="57" t="s">
        <v>180</v>
      </c>
      <c r="B145" s="183">
        <v>3.91</v>
      </c>
      <c r="C145" s="9">
        <v>0</v>
      </c>
      <c r="D145" s="46">
        <f>'Facility Risk - TSMC'!$C145/$C$151</f>
        <v>0</v>
      </c>
    </row>
    <row r="146" spans="1:4" ht="19" x14ac:dyDescent="0.25">
      <c r="A146" s="58" t="s">
        <v>181</v>
      </c>
      <c r="B146" s="112">
        <v>5.77</v>
      </c>
      <c r="C146" s="8">
        <v>0</v>
      </c>
      <c r="D146" s="45">
        <f>'Facility Risk - TSMC'!$C146/$C$151</f>
        <v>0</v>
      </c>
    </row>
    <row r="147" spans="1:4" ht="19" x14ac:dyDescent="0.25">
      <c r="A147" s="57" t="s">
        <v>182</v>
      </c>
      <c r="B147" s="184">
        <v>4.32</v>
      </c>
      <c r="C147" s="9">
        <v>0</v>
      </c>
      <c r="D147" s="46">
        <f>'Facility Risk - TSMC'!$C147/$C$151</f>
        <v>0</v>
      </c>
    </row>
    <row r="148" spans="1:4" ht="19" x14ac:dyDescent="0.25">
      <c r="A148" s="58" t="s">
        <v>183</v>
      </c>
      <c r="B148" s="70">
        <v>6.3</v>
      </c>
      <c r="C148" s="8">
        <v>0</v>
      </c>
      <c r="D148" s="45">
        <f>'Facility Risk - TSMC'!$C148/$C$151</f>
        <v>0</v>
      </c>
    </row>
    <row r="149" spans="1:4" ht="19" x14ac:dyDescent="0.25">
      <c r="A149" s="57" t="s">
        <v>184</v>
      </c>
      <c r="B149" s="185">
        <v>4.95</v>
      </c>
      <c r="C149" s="9">
        <v>0</v>
      </c>
      <c r="D149" s="46">
        <f>'Facility Risk - TSMC'!$C149/$C$151</f>
        <v>0</v>
      </c>
    </row>
    <row r="150" spans="1:4" ht="19" x14ac:dyDescent="0.25">
      <c r="A150" s="60" t="s">
        <v>185</v>
      </c>
      <c r="B150" s="186">
        <v>6.14</v>
      </c>
      <c r="C150" s="10">
        <v>0</v>
      </c>
      <c r="D150" s="47">
        <f>'Facility Risk - TSMC'!$C150/$C$151</f>
        <v>0</v>
      </c>
    </row>
    <row r="151" spans="1:4" ht="19" x14ac:dyDescent="0.25">
      <c r="A151" s="61" t="s">
        <v>186</v>
      </c>
      <c r="B151" s="5"/>
      <c r="C151" s="6">
        <f>SUM(C4:C150)</f>
        <v>1.0001000000000002</v>
      </c>
      <c r="D151" s="48">
        <f>SUM(D4:D150)</f>
        <v>0.99999999999999989</v>
      </c>
    </row>
  </sheetData>
  <mergeCells count="1">
    <mergeCell ref="A1:D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51F62-AD9E-4A48-8057-443AB0FAE5B1}">
  <dimension ref="A1:J151"/>
  <sheetViews>
    <sheetView workbookViewId="0">
      <selection activeCell="I17" sqref="I17"/>
    </sheetView>
  </sheetViews>
  <sheetFormatPr baseColWidth="10" defaultColWidth="11" defaultRowHeight="16" x14ac:dyDescent="0.2"/>
  <cols>
    <col min="1" max="1" width="23" bestFit="1" customWidth="1"/>
    <col min="2" max="2" width="32" bestFit="1" customWidth="1"/>
    <col min="3" max="3" width="33.6640625" bestFit="1" customWidth="1"/>
    <col min="4" max="4" width="42.6640625" bestFit="1" customWidth="1"/>
    <col min="5" max="5" width="16" bestFit="1" customWidth="1"/>
    <col min="7" max="7" width="29.33203125" bestFit="1" customWidth="1"/>
    <col min="8" max="8" width="8.5" bestFit="1" customWidth="1"/>
    <col min="9" max="9" width="22.5" bestFit="1" customWidth="1"/>
    <col min="10" max="10" width="12.33203125" bestFit="1" customWidth="1"/>
  </cols>
  <sheetData>
    <row r="1" spans="1:10" ht="17" customHeight="1" x14ac:dyDescent="0.2">
      <c r="A1" s="188" t="s">
        <v>16</v>
      </c>
      <c r="B1" s="189"/>
      <c r="C1" s="189"/>
      <c r="D1" s="189"/>
    </row>
    <row r="2" spans="1:10" ht="17" customHeight="1" thickBot="1" x14ac:dyDescent="0.25">
      <c r="A2" s="190"/>
      <c r="B2" s="191"/>
      <c r="C2" s="191"/>
      <c r="D2" s="191"/>
    </row>
    <row r="3" spans="1:10" ht="20" thickTop="1" x14ac:dyDescent="0.25">
      <c r="A3" s="12" t="s">
        <v>27</v>
      </c>
      <c r="B3" s="13" t="s">
        <v>28</v>
      </c>
      <c r="C3" s="14" t="s">
        <v>29</v>
      </c>
      <c r="D3" s="7" t="s">
        <v>30</v>
      </c>
    </row>
    <row r="4" spans="1:10" ht="20" thickBot="1" x14ac:dyDescent="0.3">
      <c r="A4" s="56" t="s">
        <v>31</v>
      </c>
      <c r="B4" s="62">
        <v>4.37</v>
      </c>
      <c r="C4" s="15">
        <v>0</v>
      </c>
      <c r="D4" s="45">
        <f>'Facility Risk - Sony'!$C4/$C$151</f>
        <v>0</v>
      </c>
      <c r="E4" s="1"/>
      <c r="F4" s="3"/>
    </row>
    <row r="5" spans="1:10" ht="20" thickBot="1" x14ac:dyDescent="0.3">
      <c r="A5" s="57" t="s">
        <v>32</v>
      </c>
      <c r="B5" s="63">
        <v>5.21</v>
      </c>
      <c r="C5" s="9">
        <v>0</v>
      </c>
      <c r="D5" s="46">
        <f>'Facility Risk - Sony'!$C5/$C$151</f>
        <v>0</v>
      </c>
      <c r="E5" s="1"/>
      <c r="F5" s="3"/>
      <c r="G5" s="32" t="s">
        <v>33</v>
      </c>
      <c r="H5" s="33"/>
      <c r="I5" s="33"/>
      <c r="J5" s="34"/>
    </row>
    <row r="6" spans="1:10" ht="20" thickBot="1" x14ac:dyDescent="0.3">
      <c r="A6" s="58" t="s">
        <v>34</v>
      </c>
      <c r="B6" s="64">
        <v>5.63</v>
      </c>
      <c r="C6" s="8">
        <v>0</v>
      </c>
      <c r="D6" s="45">
        <f>'Facility Risk - Sony'!$C6/$C$151</f>
        <v>0</v>
      </c>
      <c r="E6" s="1"/>
      <c r="F6" s="3"/>
      <c r="G6" s="20"/>
      <c r="H6" s="21" t="s">
        <v>35</v>
      </c>
      <c r="I6" s="22" t="s">
        <v>36</v>
      </c>
      <c r="J6" s="23" t="s">
        <v>37</v>
      </c>
    </row>
    <row r="7" spans="1:10" ht="19" x14ac:dyDescent="0.25">
      <c r="A7" s="57" t="s">
        <v>38</v>
      </c>
      <c r="B7" s="65">
        <v>4.3600000000000003</v>
      </c>
      <c r="C7" s="9">
        <v>0</v>
      </c>
      <c r="D7" s="46">
        <f>'Facility Risk - Sony'!$C7/$C$151</f>
        <v>0</v>
      </c>
      <c r="E7" s="1"/>
      <c r="F7" s="3"/>
      <c r="G7" s="24" t="s">
        <v>39</v>
      </c>
      <c r="H7" s="25" t="str">
        <f>INDEX(A4:A150,MATCH(MIN(D4:D150),D4:D150,0))</f>
        <v>Albania</v>
      </c>
      <c r="I7" s="25">
        <f>INDEX(B4:B150,MATCH(MIN(D4:D150),D4:D150,0))</f>
        <v>4.37</v>
      </c>
      <c r="J7" s="26">
        <f>INDEX(D4:D150,MATCH(MIN(D4:D150),D4:D150,0))</f>
        <v>0</v>
      </c>
    </row>
    <row r="8" spans="1:10" ht="20" thickBot="1" x14ac:dyDescent="0.3">
      <c r="A8" s="58" t="s">
        <v>40</v>
      </c>
      <c r="B8" s="66">
        <v>4.79</v>
      </c>
      <c r="C8" s="8">
        <v>0</v>
      </c>
      <c r="D8" s="45">
        <f>'Facility Risk - Sony'!$C8/$C$151</f>
        <v>0</v>
      </c>
      <c r="E8" s="1"/>
      <c r="F8" s="3"/>
      <c r="G8" s="27" t="s">
        <v>41</v>
      </c>
      <c r="H8" s="28" t="str">
        <f>INDEX(A4:A150,MATCH(MAX(D4:D150),D4:D150,0))</f>
        <v>Japan</v>
      </c>
      <c r="I8" s="28">
        <f>INDEX(B4:B150,MATCH(MAX(D4:D150),D4:D150,0))</f>
        <v>3.38</v>
      </c>
      <c r="J8" s="31">
        <f>INDEX(D4:D150,MATCH(MAX(D4:D150),D4:D150,0))</f>
        <v>0.62966296629662966</v>
      </c>
    </row>
    <row r="9" spans="1:10" ht="23" thickBot="1" x14ac:dyDescent="0.35">
      <c r="A9" s="57" t="s">
        <v>42</v>
      </c>
      <c r="B9" s="67">
        <v>3.22</v>
      </c>
      <c r="C9" s="9">
        <v>0</v>
      </c>
      <c r="D9" s="46">
        <f>'Facility Risk - Sony'!$C9/$C$151</f>
        <v>0</v>
      </c>
      <c r="E9" s="1"/>
      <c r="F9" s="3"/>
      <c r="G9" s="30" t="s">
        <v>43</v>
      </c>
      <c r="H9" s="29"/>
      <c r="I9" s="29"/>
      <c r="J9" s="187">
        <f>SUMPRODUCT(B4:B150,D4:D150)</f>
        <v>3.6262216221622157</v>
      </c>
    </row>
    <row r="10" spans="1:10" ht="19" x14ac:dyDescent="0.25">
      <c r="A10" s="58" t="s">
        <v>44</v>
      </c>
      <c r="B10" s="68">
        <v>3.41</v>
      </c>
      <c r="C10" s="8">
        <v>0</v>
      </c>
      <c r="D10" s="45">
        <f>'Facility Risk - Sony'!$C10/$C$151</f>
        <v>0</v>
      </c>
      <c r="E10" s="1"/>
      <c r="F10" s="3"/>
    </row>
    <row r="11" spans="1:10" ht="19" x14ac:dyDescent="0.25">
      <c r="A11" s="57" t="s">
        <v>45</v>
      </c>
      <c r="B11" s="63">
        <v>5.21</v>
      </c>
      <c r="C11" s="9">
        <v>0</v>
      </c>
      <c r="D11" s="46">
        <f>'Facility Risk - Sony'!$C11/$C$151</f>
        <v>0</v>
      </c>
    </row>
    <row r="12" spans="1:10" ht="19" x14ac:dyDescent="0.25">
      <c r="A12" s="58" t="s">
        <v>46</v>
      </c>
      <c r="B12" s="69">
        <v>4.26</v>
      </c>
      <c r="C12" s="8">
        <v>0</v>
      </c>
      <c r="D12" s="45">
        <f>'Facility Risk - Sony'!$C12/$C$151</f>
        <v>0</v>
      </c>
    </row>
    <row r="13" spans="1:10" ht="19" x14ac:dyDescent="0.25">
      <c r="A13" s="57" t="s">
        <v>47</v>
      </c>
      <c r="B13" s="70">
        <v>6.29</v>
      </c>
      <c r="C13" s="9">
        <v>0</v>
      </c>
      <c r="D13" s="46">
        <f>'Facility Risk - Sony'!$C13/$C$151</f>
        <v>0</v>
      </c>
    </row>
    <row r="14" spans="1:10" ht="19" x14ac:dyDescent="0.25">
      <c r="A14" s="58" t="s">
        <v>48</v>
      </c>
      <c r="B14" s="71">
        <v>5.45</v>
      </c>
      <c r="C14" s="8">
        <v>0</v>
      </c>
      <c r="D14" s="45">
        <f>'Facility Risk - Sony'!$C14/$C$151</f>
        <v>0</v>
      </c>
    </row>
    <row r="15" spans="1:10" ht="19" x14ac:dyDescent="0.25">
      <c r="A15" s="57" t="s">
        <v>49</v>
      </c>
      <c r="B15" s="72">
        <v>3.33</v>
      </c>
      <c r="C15" s="9">
        <v>0</v>
      </c>
      <c r="D15" s="46">
        <f>'Facility Risk - Sony'!$C15/$C$151</f>
        <v>0</v>
      </c>
    </row>
    <row r="16" spans="1:10" ht="19" x14ac:dyDescent="0.25">
      <c r="A16" s="58" t="s">
        <v>50</v>
      </c>
      <c r="B16" s="73">
        <v>6</v>
      </c>
      <c r="C16" s="8">
        <v>0</v>
      </c>
      <c r="D16" s="45">
        <f>'Facility Risk - Sony'!$C16/$C$151</f>
        <v>0</v>
      </c>
    </row>
    <row r="17" spans="1:5" ht="19" x14ac:dyDescent="0.25">
      <c r="A17" s="57" t="s">
        <v>51</v>
      </c>
      <c r="B17" s="74">
        <v>5.0199999999999996</v>
      </c>
      <c r="C17" s="9">
        <v>0</v>
      </c>
      <c r="D17" s="46">
        <f>'Facility Risk - Sony'!$C17/$C$151</f>
        <v>0</v>
      </c>
    </row>
    <row r="18" spans="1:5" ht="19" x14ac:dyDescent="0.25">
      <c r="A18" s="58" t="s">
        <v>52</v>
      </c>
      <c r="B18" s="75">
        <v>5.41</v>
      </c>
      <c r="C18" s="8">
        <v>0</v>
      </c>
      <c r="D18" s="45">
        <f>'Facility Risk - Sony'!$C18/$C$151</f>
        <v>0</v>
      </c>
    </row>
    <row r="19" spans="1:5" ht="19" x14ac:dyDescent="0.25">
      <c r="A19" s="57" t="s">
        <v>53</v>
      </c>
      <c r="B19" s="76">
        <v>5.34</v>
      </c>
      <c r="C19" s="9">
        <v>0</v>
      </c>
      <c r="D19" s="46">
        <f>'Facility Risk - Sony'!$C19/$C$151</f>
        <v>0</v>
      </c>
    </row>
    <row r="20" spans="1:5" ht="19" x14ac:dyDescent="0.25">
      <c r="A20" s="58" t="s">
        <v>54</v>
      </c>
      <c r="B20" s="77">
        <v>4.34</v>
      </c>
      <c r="C20" s="8">
        <v>0</v>
      </c>
      <c r="D20" s="45">
        <f>'Facility Risk - Sony'!$C20/$C$151</f>
        <v>0</v>
      </c>
    </row>
    <row r="21" spans="1:5" ht="19" x14ac:dyDescent="0.25">
      <c r="A21" s="57" t="s">
        <v>55</v>
      </c>
      <c r="B21" s="78">
        <v>5.35</v>
      </c>
      <c r="C21" s="9">
        <v>0</v>
      </c>
      <c r="D21" s="46">
        <f>'Facility Risk - Sony'!$C21/$C$151</f>
        <v>0</v>
      </c>
    </row>
    <row r="22" spans="1:5" ht="19" x14ac:dyDescent="0.25">
      <c r="A22" s="58" t="s">
        <v>56</v>
      </c>
      <c r="B22" s="79">
        <v>4.43</v>
      </c>
      <c r="C22" s="8">
        <v>0</v>
      </c>
      <c r="D22" s="45">
        <f>'Facility Risk - Sony'!$C22/$C$151</f>
        <v>0</v>
      </c>
    </row>
    <row r="23" spans="1:5" ht="19" x14ac:dyDescent="0.25">
      <c r="A23" s="57" t="s">
        <v>57</v>
      </c>
      <c r="B23" s="80">
        <v>6.55</v>
      </c>
      <c r="C23" s="9">
        <v>0</v>
      </c>
      <c r="D23" s="46">
        <f>'Facility Risk - Sony'!$C23/$C$151</f>
        <v>0</v>
      </c>
    </row>
    <row r="24" spans="1:5" ht="19" x14ac:dyDescent="0.25">
      <c r="A24" s="58" t="s">
        <v>58</v>
      </c>
      <c r="B24" s="81">
        <v>6.33</v>
      </c>
      <c r="C24" s="8">
        <v>0</v>
      </c>
      <c r="D24" s="45">
        <f>'Facility Risk - Sony'!$C24/$C$151</f>
        <v>0</v>
      </c>
    </row>
    <row r="25" spans="1:5" ht="19" x14ac:dyDescent="0.25">
      <c r="A25" s="57" t="s">
        <v>59</v>
      </c>
      <c r="B25" s="64">
        <v>5.64</v>
      </c>
      <c r="C25" s="9">
        <v>0</v>
      </c>
      <c r="D25" s="46">
        <f>'Facility Risk - Sony'!$C25/$C$151</f>
        <v>0</v>
      </c>
    </row>
    <row r="26" spans="1:5" ht="19" x14ac:dyDescent="0.25">
      <c r="A26" s="58" t="s">
        <v>60</v>
      </c>
      <c r="B26" s="82">
        <v>6.83</v>
      </c>
      <c r="C26" s="8">
        <v>0</v>
      </c>
      <c r="D26" s="45">
        <f>'Facility Risk - Sony'!$C26/$C$151</f>
        <v>0</v>
      </c>
    </row>
    <row r="27" spans="1:5" ht="19" x14ac:dyDescent="0.25">
      <c r="A27" s="57" t="s">
        <v>61</v>
      </c>
      <c r="B27" s="83">
        <v>3.44</v>
      </c>
      <c r="C27" s="9">
        <v>0</v>
      </c>
      <c r="D27" s="46">
        <f>'Facility Risk - Sony'!$C27/$C$151</f>
        <v>0</v>
      </c>
    </row>
    <row r="28" spans="1:5" ht="19" x14ac:dyDescent="0.25">
      <c r="A28" s="58" t="s">
        <v>62</v>
      </c>
      <c r="B28" s="84">
        <v>6.79</v>
      </c>
      <c r="C28" s="8">
        <v>0</v>
      </c>
      <c r="D28" s="45">
        <f>'Facility Risk - Sony'!$C28/$C$151</f>
        <v>0</v>
      </c>
    </row>
    <row r="29" spans="1:5" ht="19" x14ac:dyDescent="0.25">
      <c r="A29" s="57" t="s">
        <v>63</v>
      </c>
      <c r="B29" s="82">
        <v>6.84</v>
      </c>
      <c r="C29" s="9">
        <v>0</v>
      </c>
      <c r="D29" s="46">
        <f>'Facility Risk - Sony'!$C29/$C$151</f>
        <v>0</v>
      </c>
    </row>
    <row r="30" spans="1:5" ht="19" x14ac:dyDescent="0.25">
      <c r="A30" s="58" t="s">
        <v>64</v>
      </c>
      <c r="B30" s="65">
        <v>4.3600000000000003</v>
      </c>
      <c r="C30" s="8">
        <v>0</v>
      </c>
      <c r="D30" s="45">
        <f>'Facility Risk - Sony'!$C30/$C$151</f>
        <v>0</v>
      </c>
    </row>
    <row r="31" spans="1:5" ht="19" x14ac:dyDescent="0.25">
      <c r="A31" s="57" t="s">
        <v>65</v>
      </c>
      <c r="B31" s="85">
        <v>4.26</v>
      </c>
      <c r="C31" s="9">
        <v>0.11109999999999999</v>
      </c>
      <c r="D31" s="46">
        <f>'Facility Risk - Sony'!$C31/$C$151</f>
        <v>0.11111111111111109</v>
      </c>
      <c r="E31" s="50" t="s">
        <v>66</v>
      </c>
    </row>
    <row r="32" spans="1:5" ht="19" x14ac:dyDescent="0.25">
      <c r="A32" s="58" t="s">
        <v>67</v>
      </c>
      <c r="B32" s="86">
        <v>5.72</v>
      </c>
      <c r="C32" s="8">
        <v>0</v>
      </c>
      <c r="D32" s="45">
        <f>'Facility Risk - Sony'!$C32/$C$151</f>
        <v>0</v>
      </c>
    </row>
    <row r="33" spans="1:4" ht="19" x14ac:dyDescent="0.25">
      <c r="A33" s="57" t="s">
        <v>68</v>
      </c>
      <c r="B33" s="87">
        <v>5.65</v>
      </c>
      <c r="C33" s="9">
        <v>0</v>
      </c>
      <c r="D33" s="46">
        <f>'Facility Risk - Sony'!$C33/$C$151</f>
        <v>0</v>
      </c>
    </row>
    <row r="34" spans="1:4" ht="19" x14ac:dyDescent="0.25">
      <c r="A34" s="58" t="s">
        <v>69</v>
      </c>
      <c r="B34" s="88">
        <v>4.2300000000000004</v>
      </c>
      <c r="C34" s="8">
        <v>0</v>
      </c>
      <c r="D34" s="45">
        <f>'Facility Risk - Sony'!$C34/$C$151</f>
        <v>0</v>
      </c>
    </row>
    <row r="35" spans="1:4" ht="19" x14ac:dyDescent="0.25">
      <c r="A35" s="57" t="s">
        <v>70</v>
      </c>
      <c r="B35" s="89">
        <v>5.6</v>
      </c>
      <c r="C35" s="9">
        <v>0</v>
      </c>
      <c r="D35" s="46">
        <f>'Facility Risk - Sony'!$C35/$C$151</f>
        <v>0</v>
      </c>
    </row>
    <row r="36" spans="1:4" ht="19" x14ac:dyDescent="0.25">
      <c r="A36" s="58" t="s">
        <v>71</v>
      </c>
      <c r="B36" s="90">
        <v>4.28</v>
      </c>
      <c r="C36" s="8">
        <v>0</v>
      </c>
      <c r="D36" s="45">
        <f>'Facility Risk - Sony'!$C36/$C$151</f>
        <v>0</v>
      </c>
    </row>
    <row r="37" spans="1:4" ht="19" x14ac:dyDescent="0.25">
      <c r="A37" s="57" t="s">
        <v>72</v>
      </c>
      <c r="B37" s="91">
        <v>4.67</v>
      </c>
      <c r="C37" s="9">
        <v>0</v>
      </c>
      <c r="D37" s="46">
        <f>'Facility Risk - Sony'!$C37/$C$151</f>
        <v>0</v>
      </c>
    </row>
    <row r="38" spans="1:4" ht="19" x14ac:dyDescent="0.25">
      <c r="A38" s="58" t="s">
        <v>73</v>
      </c>
      <c r="B38" s="92">
        <v>3.75</v>
      </c>
      <c r="C38" s="8">
        <v>0</v>
      </c>
      <c r="D38" s="45">
        <f>'Facility Risk - Sony'!$C38/$C$151</f>
        <v>0</v>
      </c>
    </row>
    <row r="39" spans="1:4" ht="19" x14ac:dyDescent="0.25">
      <c r="A39" s="57" t="s">
        <v>74</v>
      </c>
      <c r="B39" s="93">
        <v>3.2</v>
      </c>
      <c r="C39" s="9">
        <v>0</v>
      </c>
      <c r="D39" s="46">
        <f>'Facility Risk - Sony'!$C39/$C$151</f>
        <v>0</v>
      </c>
    </row>
    <row r="40" spans="1:4" ht="19" x14ac:dyDescent="0.25">
      <c r="A40" s="58" t="s">
        <v>75</v>
      </c>
      <c r="B40" s="94">
        <v>5.98</v>
      </c>
      <c r="C40" s="8">
        <v>0</v>
      </c>
      <c r="D40" s="45">
        <f>'Facility Risk - Sony'!$C40/$C$151</f>
        <v>0</v>
      </c>
    </row>
    <row r="41" spans="1:4" ht="19" x14ac:dyDescent="0.25">
      <c r="A41" s="57" t="s">
        <v>76</v>
      </c>
      <c r="B41" s="95">
        <v>4.7</v>
      </c>
      <c r="C41" s="9">
        <v>0</v>
      </c>
      <c r="D41" s="46">
        <f>'Facility Risk - Sony'!$C41/$C$151</f>
        <v>0</v>
      </c>
    </row>
    <row r="42" spans="1:4" ht="19" x14ac:dyDescent="0.25">
      <c r="A42" s="58" t="s">
        <v>77</v>
      </c>
      <c r="B42" s="96">
        <v>5.71</v>
      </c>
      <c r="C42" s="8">
        <v>0</v>
      </c>
      <c r="D42" s="45">
        <f>'Facility Risk - Sony'!$C42/$C$151</f>
        <v>0</v>
      </c>
    </row>
    <row r="43" spans="1:4" ht="19" x14ac:dyDescent="0.25">
      <c r="A43" s="57" t="s">
        <v>78</v>
      </c>
      <c r="B43" s="97">
        <v>5.6</v>
      </c>
      <c r="C43" s="9">
        <v>0</v>
      </c>
      <c r="D43" s="46">
        <f>'Facility Risk - Sony'!$C43/$C$151</f>
        <v>0</v>
      </c>
    </row>
    <row r="44" spans="1:4" ht="19" x14ac:dyDescent="0.25">
      <c r="A44" s="58" t="s">
        <v>79</v>
      </c>
      <c r="B44" s="98">
        <v>4.79</v>
      </c>
      <c r="C44" s="8">
        <v>0</v>
      </c>
      <c r="D44" s="45">
        <f>'Facility Risk - Sony'!$C44/$C$151</f>
        <v>0</v>
      </c>
    </row>
    <row r="45" spans="1:4" ht="19" x14ac:dyDescent="0.25">
      <c r="A45" s="57" t="s">
        <v>80</v>
      </c>
      <c r="B45" s="99">
        <v>3.57</v>
      </c>
      <c r="C45" s="9">
        <v>0</v>
      </c>
      <c r="D45" s="46">
        <f>'Facility Risk - Sony'!$C45/$C$151</f>
        <v>0</v>
      </c>
    </row>
    <row r="46" spans="1:4" ht="19" x14ac:dyDescent="0.25">
      <c r="A46" s="58" t="s">
        <v>81</v>
      </c>
      <c r="B46" s="100">
        <v>4.5</v>
      </c>
      <c r="C46" s="8">
        <v>0</v>
      </c>
      <c r="D46" s="45">
        <f>'Facility Risk - Sony'!$C46/$C$151</f>
        <v>0</v>
      </c>
    </row>
    <row r="47" spans="1:4" ht="19" x14ac:dyDescent="0.25">
      <c r="A47" s="57" t="s">
        <v>82</v>
      </c>
      <c r="B47" s="101">
        <v>6.93</v>
      </c>
      <c r="C47" s="9">
        <v>0</v>
      </c>
      <c r="D47" s="46">
        <f>'Facility Risk - Sony'!$C47/$C$151</f>
        <v>0</v>
      </c>
    </row>
    <row r="48" spans="1:4" ht="19" x14ac:dyDescent="0.25">
      <c r="A48" s="58" t="s">
        <v>83</v>
      </c>
      <c r="B48" s="102">
        <v>3.35</v>
      </c>
      <c r="C48" s="8">
        <v>0</v>
      </c>
      <c r="D48" s="45">
        <f>'Facility Risk - Sony'!$C48/$C$151</f>
        <v>0</v>
      </c>
    </row>
    <row r="49" spans="1:4" ht="19" x14ac:dyDescent="0.25">
      <c r="A49" s="57" t="s">
        <v>84</v>
      </c>
      <c r="B49" s="103">
        <v>3.65</v>
      </c>
      <c r="C49" s="9">
        <v>0</v>
      </c>
      <c r="D49" s="46">
        <f>'Facility Risk - Sony'!$C49/$C$151</f>
        <v>0</v>
      </c>
    </row>
    <row r="50" spans="1:4" ht="19" x14ac:dyDescent="0.25">
      <c r="A50" s="58" t="s">
        <v>85</v>
      </c>
      <c r="B50" s="104">
        <v>5.78</v>
      </c>
      <c r="C50" s="8">
        <v>0</v>
      </c>
      <c r="D50" s="45">
        <f>'Facility Risk - Sony'!$C50/$C$151</f>
        <v>0</v>
      </c>
    </row>
    <row r="51" spans="1:4" ht="19" x14ac:dyDescent="0.25">
      <c r="A51" s="57" t="s">
        <v>86</v>
      </c>
      <c r="B51" s="105">
        <v>5.38</v>
      </c>
      <c r="C51" s="9">
        <v>0</v>
      </c>
      <c r="D51" s="46">
        <f>'Facility Risk - Sony'!$C51/$C$151</f>
        <v>0</v>
      </c>
    </row>
    <row r="52" spans="1:4" ht="19" x14ac:dyDescent="0.25">
      <c r="A52" s="58" t="s">
        <v>87</v>
      </c>
      <c r="B52" s="106">
        <v>4.93</v>
      </c>
      <c r="C52" s="8">
        <v>0</v>
      </c>
      <c r="D52" s="45">
        <f>'Facility Risk - Sony'!$C52/$C$151</f>
        <v>0</v>
      </c>
    </row>
    <row r="53" spans="1:4" ht="19" x14ac:dyDescent="0.25">
      <c r="A53" s="57" t="s">
        <v>88</v>
      </c>
      <c r="B53" s="68">
        <v>3.42</v>
      </c>
      <c r="C53" s="9">
        <v>0</v>
      </c>
      <c r="D53" s="46">
        <f>'Facility Risk - Sony'!$C53/$C$151</f>
        <v>0</v>
      </c>
    </row>
    <row r="54" spans="1:4" ht="19" x14ac:dyDescent="0.25">
      <c r="A54" s="58" t="s">
        <v>89</v>
      </c>
      <c r="B54" s="107">
        <v>4.63</v>
      </c>
      <c r="C54" s="8">
        <v>0</v>
      </c>
      <c r="D54" s="45">
        <f>'Facility Risk - Sony'!$C54/$C$151</f>
        <v>0</v>
      </c>
    </row>
    <row r="55" spans="1:4" ht="19" x14ac:dyDescent="0.25">
      <c r="A55" s="57" t="s">
        <v>90</v>
      </c>
      <c r="B55" s="77">
        <v>4.34</v>
      </c>
      <c r="C55" s="9">
        <v>0</v>
      </c>
      <c r="D55" s="46">
        <f>'Facility Risk - Sony'!$C55/$C$151</f>
        <v>0</v>
      </c>
    </row>
    <row r="56" spans="1:4" ht="19" x14ac:dyDescent="0.25">
      <c r="A56" s="58" t="s">
        <v>91</v>
      </c>
      <c r="B56" s="71">
        <v>5.45</v>
      </c>
      <c r="C56" s="8">
        <v>0</v>
      </c>
      <c r="D56" s="45">
        <f>'Facility Risk - Sony'!$C56/$C$151</f>
        <v>0</v>
      </c>
    </row>
    <row r="57" spans="1:4" ht="19" x14ac:dyDescent="0.25">
      <c r="A57" s="57" t="s">
        <v>92</v>
      </c>
      <c r="B57" s="108">
        <v>6.36</v>
      </c>
      <c r="C57" s="9">
        <v>0</v>
      </c>
      <c r="D57" s="46">
        <f>'Facility Risk - Sony'!$C57/$C$151</f>
        <v>0</v>
      </c>
    </row>
    <row r="58" spans="1:4" ht="19" x14ac:dyDescent="0.25">
      <c r="A58" s="58" t="s">
        <v>93</v>
      </c>
      <c r="B58" s="109">
        <v>5.94</v>
      </c>
      <c r="C58" s="8">
        <v>0</v>
      </c>
      <c r="D58" s="45">
        <f>'Facility Risk - Sony'!$C58/$C$151</f>
        <v>0</v>
      </c>
    </row>
    <row r="59" spans="1:4" ht="19" x14ac:dyDescent="0.25">
      <c r="A59" s="57" t="s">
        <v>94</v>
      </c>
      <c r="B59" s="110">
        <v>4.92</v>
      </c>
      <c r="C59" s="9">
        <v>0</v>
      </c>
      <c r="D59" s="46">
        <f>'Facility Risk - Sony'!$C59/$C$151</f>
        <v>0</v>
      </c>
    </row>
    <row r="60" spans="1:4" ht="19" x14ac:dyDescent="0.25">
      <c r="A60" s="58" t="s">
        <v>95</v>
      </c>
      <c r="B60" s="111">
        <v>6.53</v>
      </c>
      <c r="C60" s="8">
        <v>0</v>
      </c>
      <c r="D60" s="45">
        <f>'Facility Risk - Sony'!$C60/$C$151</f>
        <v>0</v>
      </c>
    </row>
    <row r="61" spans="1:4" ht="19" x14ac:dyDescent="0.25">
      <c r="A61" s="57" t="s">
        <v>96</v>
      </c>
      <c r="B61" s="112">
        <v>5.77</v>
      </c>
      <c r="C61" s="9">
        <v>0</v>
      </c>
      <c r="D61" s="46">
        <f>'Facility Risk - Sony'!$C61/$C$151</f>
        <v>0</v>
      </c>
    </row>
    <row r="62" spans="1:4" ht="19" x14ac:dyDescent="0.25">
      <c r="A62" s="58" t="s">
        <v>97</v>
      </c>
      <c r="B62" s="113">
        <v>3.63</v>
      </c>
      <c r="C62" s="8">
        <v>0</v>
      </c>
      <c r="D62" s="45">
        <f>'Facility Risk - Sony'!$C62/$C$151</f>
        <v>0</v>
      </c>
    </row>
    <row r="63" spans="1:4" ht="19" x14ac:dyDescent="0.25">
      <c r="A63" s="57" t="s">
        <v>98</v>
      </c>
      <c r="B63" s="114">
        <v>3.38</v>
      </c>
      <c r="C63" s="9">
        <v>0</v>
      </c>
      <c r="D63" s="46">
        <f>'Facility Risk - Sony'!$C63/$C$151</f>
        <v>0</v>
      </c>
    </row>
    <row r="64" spans="1:4" ht="19" x14ac:dyDescent="0.25">
      <c r="A64" s="58" t="s">
        <v>99</v>
      </c>
      <c r="B64" s="115">
        <v>5.07</v>
      </c>
      <c r="C64" s="8">
        <v>0</v>
      </c>
      <c r="D64" s="45">
        <f>'Facility Risk - Sony'!$C64/$C$151</f>
        <v>0</v>
      </c>
    </row>
    <row r="65" spans="1:4" ht="19" x14ac:dyDescent="0.25">
      <c r="A65" s="57" t="s">
        <v>100</v>
      </c>
      <c r="B65" s="106">
        <v>4.92</v>
      </c>
      <c r="C65" s="9">
        <v>0</v>
      </c>
      <c r="D65" s="46">
        <f>'Facility Risk - Sony'!$C65/$C$151</f>
        <v>0</v>
      </c>
    </row>
    <row r="66" spans="1:4" ht="19" x14ac:dyDescent="0.25">
      <c r="A66" s="58" t="s">
        <v>101</v>
      </c>
      <c r="B66" s="116">
        <v>5.88</v>
      </c>
      <c r="C66" s="8">
        <v>0</v>
      </c>
      <c r="D66" s="45">
        <f>'Facility Risk - Sony'!$C66/$C$151</f>
        <v>0</v>
      </c>
    </row>
    <row r="67" spans="1:4" ht="19" x14ac:dyDescent="0.25">
      <c r="A67" s="57" t="s">
        <v>102</v>
      </c>
      <c r="B67" s="117">
        <v>6.05</v>
      </c>
      <c r="C67" s="9">
        <v>0</v>
      </c>
      <c r="D67" s="46">
        <f>'Facility Risk - Sony'!$C67/$C$151</f>
        <v>0</v>
      </c>
    </row>
    <row r="68" spans="1:4" ht="19" x14ac:dyDescent="0.25">
      <c r="A68" s="58" t="s">
        <v>103</v>
      </c>
      <c r="B68" s="118">
        <v>3.25</v>
      </c>
      <c r="C68" s="8">
        <v>0</v>
      </c>
      <c r="D68" s="45">
        <f>'Facility Risk - Sony'!$C68/$C$151</f>
        <v>0</v>
      </c>
    </row>
    <row r="69" spans="1:4" ht="19" x14ac:dyDescent="0.25">
      <c r="A69" s="57" t="s">
        <v>104</v>
      </c>
      <c r="B69" s="119">
        <v>4.6100000000000003</v>
      </c>
      <c r="C69" s="9">
        <v>0</v>
      </c>
      <c r="D69" s="46">
        <f>'Facility Risk - Sony'!$C69/$C$151</f>
        <v>0</v>
      </c>
    </row>
    <row r="70" spans="1:4" ht="19" x14ac:dyDescent="0.25">
      <c r="A70" s="58" t="s">
        <v>105</v>
      </c>
      <c r="B70" s="120">
        <v>3.84</v>
      </c>
      <c r="C70" s="8">
        <v>0</v>
      </c>
      <c r="D70" s="45">
        <f>'Facility Risk - Sony'!$C70/$C$151</f>
        <v>0</v>
      </c>
    </row>
    <row r="71" spans="1:4" ht="19" x14ac:dyDescent="0.25">
      <c r="A71" s="57" t="s">
        <v>106</v>
      </c>
      <c r="B71" s="121">
        <v>4.75</v>
      </c>
      <c r="C71" s="9">
        <v>0</v>
      </c>
      <c r="D71" s="46">
        <f>'Facility Risk - Sony'!$C71/$C$151</f>
        <v>0</v>
      </c>
    </row>
    <row r="72" spans="1:4" ht="19" x14ac:dyDescent="0.25">
      <c r="A72" s="58" t="s">
        <v>107</v>
      </c>
      <c r="B72" s="114">
        <v>3.38</v>
      </c>
      <c r="C72" s="8">
        <v>0.62960000000000005</v>
      </c>
      <c r="D72" s="45">
        <f>'Facility Risk - Sony'!$C72/$C$151</f>
        <v>0.62966296629662966</v>
      </c>
    </row>
    <row r="73" spans="1:4" ht="19" x14ac:dyDescent="0.25">
      <c r="A73" s="57" t="s">
        <v>108</v>
      </c>
      <c r="B73" s="122">
        <v>5.13</v>
      </c>
      <c r="C73" s="9">
        <v>0</v>
      </c>
      <c r="D73" s="46">
        <f>'Facility Risk - Sony'!$C73/$C$151</f>
        <v>0</v>
      </c>
    </row>
    <row r="74" spans="1:4" ht="19" x14ac:dyDescent="0.25">
      <c r="A74" s="58" t="s">
        <v>109</v>
      </c>
      <c r="B74" s="123">
        <v>4.54</v>
      </c>
      <c r="C74" s="8">
        <v>0</v>
      </c>
      <c r="D74" s="45">
        <f>'Facility Risk - Sony'!$C74/$C$151</f>
        <v>0</v>
      </c>
    </row>
    <row r="75" spans="1:4" ht="19" x14ac:dyDescent="0.25">
      <c r="A75" s="57" t="s">
        <v>110</v>
      </c>
      <c r="B75" s="124">
        <v>6.13</v>
      </c>
      <c r="C75" s="9">
        <v>0</v>
      </c>
      <c r="D75" s="46">
        <f>'Facility Risk - Sony'!$C75/$C$151</f>
        <v>0</v>
      </c>
    </row>
    <row r="76" spans="1:4" ht="19" x14ac:dyDescent="0.25">
      <c r="A76" s="58" t="s">
        <v>111</v>
      </c>
      <c r="B76" s="125">
        <v>4.3</v>
      </c>
      <c r="C76" s="8">
        <v>0</v>
      </c>
      <c r="D76" s="45">
        <f>'Facility Risk - Sony'!$C76/$C$151</f>
        <v>0</v>
      </c>
    </row>
    <row r="77" spans="1:4" ht="19" x14ac:dyDescent="0.25">
      <c r="A77" s="57" t="s">
        <v>112</v>
      </c>
      <c r="B77" s="126">
        <v>5.37</v>
      </c>
      <c r="C77" s="9">
        <v>0</v>
      </c>
      <c r="D77" s="46">
        <f>'Facility Risk - Sony'!$C77/$C$151</f>
        <v>0</v>
      </c>
    </row>
    <row r="78" spans="1:4" ht="19" x14ac:dyDescent="0.25">
      <c r="A78" s="58" t="s">
        <v>113</v>
      </c>
      <c r="B78" s="127">
        <v>5.14</v>
      </c>
      <c r="C78" s="8">
        <v>0</v>
      </c>
      <c r="D78" s="45">
        <f>'Facility Risk - Sony'!$C78/$C$151</f>
        <v>0</v>
      </c>
    </row>
    <row r="79" spans="1:4" ht="19" x14ac:dyDescent="0.25">
      <c r="A79" s="57" t="s">
        <v>114</v>
      </c>
      <c r="B79" s="128">
        <v>3.97</v>
      </c>
      <c r="C79" s="9">
        <v>0</v>
      </c>
      <c r="D79" s="46">
        <f>'Facility Risk - Sony'!$C79/$C$151</f>
        <v>0</v>
      </c>
    </row>
    <row r="80" spans="1:4" ht="19" x14ac:dyDescent="0.25">
      <c r="A80" s="58" t="s">
        <v>115</v>
      </c>
      <c r="B80" s="129">
        <v>6.12</v>
      </c>
      <c r="C80" s="8">
        <v>0</v>
      </c>
      <c r="D80" s="45">
        <f>'Facility Risk - Sony'!$C80/$C$151</f>
        <v>0</v>
      </c>
    </row>
    <row r="81" spans="1:4" ht="19" x14ac:dyDescent="0.25">
      <c r="A81" s="57" t="s">
        <v>116</v>
      </c>
      <c r="B81" s="130">
        <v>5.49</v>
      </c>
      <c r="C81" s="9">
        <v>0</v>
      </c>
      <c r="D81" s="46">
        <f>'Facility Risk - Sony'!$C81/$C$151</f>
        <v>0</v>
      </c>
    </row>
    <row r="82" spans="1:4" ht="19" x14ac:dyDescent="0.25">
      <c r="A82" s="58" t="s">
        <v>117</v>
      </c>
      <c r="B82" s="131">
        <v>5.97</v>
      </c>
      <c r="C82" s="8">
        <v>0</v>
      </c>
      <c r="D82" s="45">
        <f>'Facility Risk - Sony'!$C82/$C$151</f>
        <v>0</v>
      </c>
    </row>
    <row r="83" spans="1:4" ht="19" x14ac:dyDescent="0.25">
      <c r="A83" s="57" t="s">
        <v>118</v>
      </c>
      <c r="B83" s="132">
        <v>5.68</v>
      </c>
      <c r="C83" s="9">
        <v>0</v>
      </c>
      <c r="D83" s="46">
        <f>'Facility Risk - Sony'!$C83/$C$151</f>
        <v>0</v>
      </c>
    </row>
    <row r="84" spans="1:4" ht="19" x14ac:dyDescent="0.25">
      <c r="A84" s="58" t="s">
        <v>119</v>
      </c>
      <c r="B84" s="133">
        <v>3.93</v>
      </c>
      <c r="C84" s="8">
        <v>0</v>
      </c>
      <c r="D84" s="45">
        <f>'Facility Risk - Sony'!$C84/$C$151</f>
        <v>0</v>
      </c>
    </row>
    <row r="85" spans="1:4" ht="19" x14ac:dyDescent="0.25">
      <c r="A85" s="57" t="s">
        <v>120</v>
      </c>
      <c r="B85" s="134">
        <v>5.82</v>
      </c>
      <c r="C85" s="9">
        <v>0</v>
      </c>
      <c r="D85" s="46">
        <f>'Facility Risk - Sony'!$C85/$C$151</f>
        <v>0</v>
      </c>
    </row>
    <row r="86" spans="1:4" ht="19" x14ac:dyDescent="0.25">
      <c r="A86" s="58" t="s">
        <v>121</v>
      </c>
      <c r="B86" s="135">
        <v>5.58</v>
      </c>
      <c r="C86" s="8">
        <v>0</v>
      </c>
      <c r="D86" s="45">
        <f>'Facility Risk - Sony'!$C86/$C$151</f>
        <v>0</v>
      </c>
    </row>
    <row r="87" spans="1:4" ht="19" x14ac:dyDescent="0.25">
      <c r="A87" s="57" t="s">
        <v>122</v>
      </c>
      <c r="B87" s="136">
        <v>4.03</v>
      </c>
      <c r="C87" s="9">
        <v>7.4099999999999999E-2</v>
      </c>
      <c r="D87" s="46">
        <f>'Facility Risk - Sony'!$C87/$C$151</f>
        <v>7.4107410741074103E-2</v>
      </c>
    </row>
    <row r="88" spans="1:4" ht="19" x14ac:dyDescent="0.25">
      <c r="A88" s="58" t="s">
        <v>123</v>
      </c>
      <c r="B88" s="137">
        <v>7.1</v>
      </c>
      <c r="C88" s="8">
        <v>0</v>
      </c>
      <c r="D88" s="45">
        <f>'Facility Risk - Sony'!$C88/$C$151</f>
        <v>0</v>
      </c>
    </row>
    <row r="89" spans="1:4" ht="19" x14ac:dyDescent="0.25">
      <c r="A89" s="57" t="s">
        <v>124</v>
      </c>
      <c r="B89" s="138">
        <v>6.28</v>
      </c>
      <c r="C89" s="9">
        <v>0</v>
      </c>
      <c r="D89" s="46">
        <f>'Facility Risk - Sony'!$C89/$C$151</f>
        <v>0</v>
      </c>
    </row>
    <row r="90" spans="1:4" ht="19" x14ac:dyDescent="0.25">
      <c r="A90" s="58" t="s">
        <v>125</v>
      </c>
      <c r="B90" s="139">
        <v>3.47</v>
      </c>
      <c r="C90" s="8">
        <v>0</v>
      </c>
      <c r="D90" s="45">
        <f>'Facility Risk - Sony'!$C90/$C$151</f>
        <v>0</v>
      </c>
    </row>
    <row r="91" spans="1:4" ht="19" x14ac:dyDescent="0.25">
      <c r="A91" s="57" t="s">
        <v>126</v>
      </c>
      <c r="B91" s="140">
        <v>5.42</v>
      </c>
      <c r="C91" s="9">
        <v>0</v>
      </c>
      <c r="D91" s="46">
        <f>'Facility Risk - Sony'!$C91/$C$151</f>
        <v>0</v>
      </c>
    </row>
    <row r="92" spans="1:4" ht="19" x14ac:dyDescent="0.25">
      <c r="A92" s="58" t="s">
        <v>127</v>
      </c>
      <c r="B92" s="127">
        <v>5.14</v>
      </c>
      <c r="C92" s="8">
        <v>0</v>
      </c>
      <c r="D92" s="45">
        <f>'Facility Risk - Sony'!$C92/$C$151</f>
        <v>0</v>
      </c>
    </row>
    <row r="93" spans="1:4" ht="19" x14ac:dyDescent="0.25">
      <c r="A93" s="57" t="s">
        <v>128</v>
      </c>
      <c r="B93" s="141">
        <v>4.6500000000000004</v>
      </c>
      <c r="C93" s="9">
        <v>0</v>
      </c>
      <c r="D93" s="46">
        <f>'Facility Risk - Sony'!$C93/$C$151</f>
        <v>0</v>
      </c>
    </row>
    <row r="94" spans="1:4" ht="19" x14ac:dyDescent="0.25">
      <c r="A94" s="58" t="s">
        <v>129</v>
      </c>
      <c r="B94" s="142">
        <v>5.0999999999999996</v>
      </c>
      <c r="C94" s="8">
        <v>0</v>
      </c>
      <c r="D94" s="45">
        <f>'Facility Risk - Sony'!$C94/$C$151</f>
        <v>0</v>
      </c>
    </row>
    <row r="95" spans="1:4" ht="19" x14ac:dyDescent="0.25">
      <c r="A95" s="57" t="s">
        <v>130</v>
      </c>
      <c r="B95" s="70">
        <v>6.3</v>
      </c>
      <c r="C95" s="9">
        <v>0</v>
      </c>
      <c r="D95" s="46">
        <f>'Facility Risk - Sony'!$C95/$C$151</f>
        <v>0</v>
      </c>
    </row>
    <row r="96" spans="1:4" ht="19" x14ac:dyDescent="0.25">
      <c r="A96" s="58" t="s">
        <v>131</v>
      </c>
      <c r="B96" s="143">
        <v>4.6399999999999997</v>
      </c>
      <c r="C96" s="8">
        <v>0</v>
      </c>
      <c r="D96" s="45">
        <f>'Facility Risk - Sony'!$C96/$C$151</f>
        <v>0</v>
      </c>
    </row>
    <row r="97" spans="1:4" ht="19" x14ac:dyDescent="0.25">
      <c r="A97" s="57" t="s">
        <v>132</v>
      </c>
      <c r="B97" s="104">
        <v>5.78</v>
      </c>
      <c r="C97" s="9">
        <v>0</v>
      </c>
      <c r="D97" s="46">
        <f>'Facility Risk - Sony'!$C97/$C$151</f>
        <v>0</v>
      </c>
    </row>
    <row r="98" spans="1:4" ht="19" x14ac:dyDescent="0.25">
      <c r="A98" s="58" t="s">
        <v>133</v>
      </c>
      <c r="B98" s="144">
        <v>3.59</v>
      </c>
      <c r="C98" s="8">
        <v>0</v>
      </c>
      <c r="D98" s="45">
        <f>'Facility Risk - Sony'!$C98/$C$151</f>
        <v>0</v>
      </c>
    </row>
    <row r="99" spans="1:4" ht="19" x14ac:dyDescent="0.25">
      <c r="A99" s="57" t="s">
        <v>134</v>
      </c>
      <c r="B99" s="145">
        <v>3.32</v>
      </c>
      <c r="C99" s="9">
        <v>0</v>
      </c>
      <c r="D99" s="46">
        <f>'Facility Risk - Sony'!$C99/$C$151</f>
        <v>0</v>
      </c>
    </row>
    <row r="100" spans="1:4" ht="19" x14ac:dyDescent="0.25">
      <c r="A100" s="58" t="s">
        <v>135</v>
      </c>
      <c r="B100" s="146">
        <v>5.8</v>
      </c>
      <c r="C100" s="8">
        <v>0</v>
      </c>
      <c r="D100" s="45">
        <f>'Facility Risk - Sony'!$C100/$C$151</f>
        <v>0</v>
      </c>
    </row>
    <row r="101" spans="1:4" ht="19" x14ac:dyDescent="0.25">
      <c r="A101" s="57" t="s">
        <v>136</v>
      </c>
      <c r="B101" s="147">
        <v>7.07</v>
      </c>
      <c r="C101" s="9">
        <v>0</v>
      </c>
      <c r="D101" s="46">
        <f>'Facility Risk - Sony'!$C101/$C$151</f>
        <v>0</v>
      </c>
    </row>
    <row r="102" spans="1:4" ht="19" x14ac:dyDescent="0.25">
      <c r="A102" s="58" t="s">
        <v>137</v>
      </c>
      <c r="B102" s="148">
        <v>6.5</v>
      </c>
      <c r="C102" s="8">
        <v>0</v>
      </c>
      <c r="D102" s="45">
        <f>'Facility Risk - Sony'!$C102/$C$151</f>
        <v>0</v>
      </c>
    </row>
    <row r="103" spans="1:4" ht="19" x14ac:dyDescent="0.25">
      <c r="A103" s="57" t="s">
        <v>138</v>
      </c>
      <c r="B103" s="149">
        <v>4.16</v>
      </c>
      <c r="C103" s="9">
        <v>0</v>
      </c>
      <c r="D103" s="46">
        <f>'Facility Risk - Sony'!$C103/$C$151</f>
        <v>0</v>
      </c>
    </row>
    <row r="104" spans="1:4" ht="19" x14ac:dyDescent="0.25">
      <c r="A104" s="58" t="s">
        <v>139</v>
      </c>
      <c r="B104" s="114">
        <v>3.38</v>
      </c>
      <c r="C104" s="8">
        <v>0</v>
      </c>
      <c r="D104" s="45">
        <f>'Facility Risk - Sony'!$C104/$C$151</f>
        <v>0</v>
      </c>
    </row>
    <row r="105" spans="1:4" ht="19" x14ac:dyDescent="0.25">
      <c r="A105" s="57" t="s">
        <v>140</v>
      </c>
      <c r="B105" s="150">
        <v>4.0199999999999996</v>
      </c>
      <c r="C105" s="9">
        <v>0</v>
      </c>
      <c r="D105" s="46">
        <f>'Facility Risk - Sony'!$C105/$C$151</f>
        <v>0</v>
      </c>
    </row>
    <row r="106" spans="1:4" ht="19" x14ac:dyDescent="0.25">
      <c r="A106" s="58" t="s">
        <v>141</v>
      </c>
      <c r="B106" s="151">
        <v>6.65</v>
      </c>
      <c r="C106" s="8">
        <v>0</v>
      </c>
      <c r="D106" s="45">
        <f>'Facility Risk - Sony'!$C106/$C$151</f>
        <v>0</v>
      </c>
    </row>
    <row r="107" spans="1:4" ht="19" x14ac:dyDescent="0.25">
      <c r="A107" s="57" t="s">
        <v>142</v>
      </c>
      <c r="B107" s="152">
        <v>4.5599999999999996</v>
      </c>
      <c r="C107" s="9">
        <v>0</v>
      </c>
      <c r="D107" s="46">
        <f>'Facility Risk - Sony'!$C107/$C$151</f>
        <v>0</v>
      </c>
    </row>
    <row r="108" spans="1:4" ht="19" x14ac:dyDescent="0.25">
      <c r="A108" s="58" t="s">
        <v>143</v>
      </c>
      <c r="B108" s="76">
        <v>5.34</v>
      </c>
      <c r="C108" s="8">
        <v>0</v>
      </c>
      <c r="D108" s="45">
        <f>'Facility Risk - Sony'!$C108/$C$151</f>
        <v>0</v>
      </c>
    </row>
    <row r="109" spans="1:4" ht="19" x14ac:dyDescent="0.25">
      <c r="A109" s="57" t="s">
        <v>144</v>
      </c>
      <c r="B109" s="153">
        <v>4.72</v>
      </c>
      <c r="C109" s="9">
        <v>0</v>
      </c>
      <c r="D109" s="46">
        <f>'Facility Risk - Sony'!$C109/$C$151</f>
        <v>0</v>
      </c>
    </row>
    <row r="110" spans="1:4" ht="19" x14ac:dyDescent="0.25">
      <c r="A110" s="58" t="s">
        <v>145</v>
      </c>
      <c r="B110" s="154">
        <v>5.28</v>
      </c>
      <c r="C110" s="8">
        <v>0</v>
      </c>
      <c r="D110" s="45">
        <f>'Facility Risk - Sony'!$C110/$C$151</f>
        <v>0</v>
      </c>
    </row>
    <row r="111" spans="1:4" ht="19" x14ac:dyDescent="0.25">
      <c r="A111" s="57" t="s">
        <v>146</v>
      </c>
      <c r="B111" s="146">
        <v>5.8</v>
      </c>
      <c r="C111" s="9">
        <v>0</v>
      </c>
      <c r="D111" s="46">
        <f>'Facility Risk - Sony'!$C111/$C$151</f>
        <v>0</v>
      </c>
    </row>
    <row r="112" spans="1:4" ht="19" x14ac:dyDescent="0.25">
      <c r="A112" s="58" t="s">
        <v>147</v>
      </c>
      <c r="B112" s="155">
        <v>4.1500000000000004</v>
      </c>
      <c r="C112" s="8">
        <v>0</v>
      </c>
      <c r="D112" s="45">
        <f>'Facility Risk - Sony'!$C112/$C$151</f>
        <v>0</v>
      </c>
    </row>
    <row r="113" spans="1:4" ht="19" x14ac:dyDescent="0.25">
      <c r="A113" s="57" t="s">
        <v>148</v>
      </c>
      <c r="B113" s="156">
        <v>3.43</v>
      </c>
      <c r="C113" s="9">
        <v>0</v>
      </c>
      <c r="D113" s="46">
        <f>'Facility Risk - Sony'!$C113/$C$151</f>
        <v>0</v>
      </c>
    </row>
    <row r="114" spans="1:4" ht="19" x14ac:dyDescent="0.25">
      <c r="A114" s="58" t="s">
        <v>149</v>
      </c>
      <c r="B114" s="93">
        <v>3.2</v>
      </c>
      <c r="C114" s="8">
        <v>0</v>
      </c>
      <c r="D114" s="45">
        <f>'Facility Risk - Sony'!$C114/$C$151</f>
        <v>0</v>
      </c>
    </row>
    <row r="115" spans="1:4" ht="19" x14ac:dyDescent="0.25">
      <c r="A115" s="57" t="s">
        <v>150</v>
      </c>
      <c r="B115" s="157">
        <v>4.05</v>
      </c>
      <c r="C115" s="9">
        <v>0</v>
      </c>
      <c r="D115" s="46">
        <f>'Facility Risk - Sony'!$C115/$C$151</f>
        <v>0</v>
      </c>
    </row>
    <row r="116" spans="1:4" ht="19" x14ac:dyDescent="0.25">
      <c r="A116" s="58" t="s">
        <v>151</v>
      </c>
      <c r="B116" s="158">
        <v>5.96</v>
      </c>
      <c r="C116" s="8">
        <v>0</v>
      </c>
      <c r="D116" s="45">
        <f>'Facility Risk - Sony'!$C116/$C$151</f>
        <v>0</v>
      </c>
    </row>
    <row r="117" spans="1:4" ht="19" x14ac:dyDescent="0.25">
      <c r="A117" s="57" t="s">
        <v>152</v>
      </c>
      <c r="B117" s="159">
        <v>5.47</v>
      </c>
      <c r="C117" s="9">
        <v>0</v>
      </c>
      <c r="D117" s="46">
        <f>'Facility Risk - Sony'!$C117/$C$151</f>
        <v>0</v>
      </c>
    </row>
    <row r="118" spans="1:4" ht="19" x14ac:dyDescent="0.25">
      <c r="A118" s="58" t="s">
        <v>153</v>
      </c>
      <c r="B118" s="79">
        <v>4.42</v>
      </c>
      <c r="C118" s="8">
        <v>0</v>
      </c>
      <c r="D118" s="45">
        <f>'Facility Risk - Sony'!$C118/$C$151</f>
        <v>0</v>
      </c>
    </row>
    <row r="119" spans="1:4" ht="19" x14ac:dyDescent="0.25">
      <c r="A119" s="57" t="s">
        <v>154</v>
      </c>
      <c r="B119" s="160">
        <v>5.4</v>
      </c>
      <c r="C119" s="9">
        <v>0</v>
      </c>
      <c r="D119" s="46">
        <f>'Facility Risk - Sony'!$C119/$C$151</f>
        <v>0</v>
      </c>
    </row>
    <row r="120" spans="1:4" ht="19" x14ac:dyDescent="0.25">
      <c r="A120" s="58" t="s">
        <v>155</v>
      </c>
      <c r="B120" s="161">
        <v>5.04</v>
      </c>
      <c r="C120" s="8">
        <v>0</v>
      </c>
      <c r="D120" s="45">
        <f>'Facility Risk - Sony'!$C120/$C$151</f>
        <v>0</v>
      </c>
    </row>
    <row r="121" spans="1:4" ht="19" x14ac:dyDescent="0.25">
      <c r="A121" s="57" t="s">
        <v>156</v>
      </c>
      <c r="B121" s="162">
        <v>5.64</v>
      </c>
      <c r="C121" s="9">
        <v>0</v>
      </c>
      <c r="D121" s="46">
        <f>'Facility Risk - Sony'!$C121/$C$151</f>
        <v>0</v>
      </c>
    </row>
    <row r="122" spans="1:4" ht="19" x14ac:dyDescent="0.25">
      <c r="A122" s="58" t="s">
        <v>157</v>
      </c>
      <c r="B122" s="163">
        <v>3.04</v>
      </c>
      <c r="C122" s="8">
        <v>0</v>
      </c>
      <c r="D122" s="45">
        <f>'Facility Risk - Sony'!$C122/$C$151</f>
        <v>0</v>
      </c>
    </row>
    <row r="123" spans="1:4" ht="19" x14ac:dyDescent="0.25">
      <c r="A123" s="57" t="s">
        <v>158</v>
      </c>
      <c r="B123" s="164">
        <v>3.79</v>
      </c>
      <c r="C123" s="9">
        <v>0</v>
      </c>
      <c r="D123" s="46">
        <f>'Facility Risk - Sony'!$C123/$C$151</f>
        <v>0</v>
      </c>
    </row>
    <row r="124" spans="1:4" ht="19" x14ac:dyDescent="0.25">
      <c r="A124" s="58" t="s">
        <v>159</v>
      </c>
      <c r="B124" s="165">
        <v>3.48</v>
      </c>
      <c r="C124" s="8">
        <v>0</v>
      </c>
      <c r="D124" s="45">
        <f>'Facility Risk - Sony'!$C124/$C$151</f>
        <v>0</v>
      </c>
    </row>
    <row r="125" spans="1:4" ht="19" x14ac:dyDescent="0.25">
      <c r="A125" s="57" t="s">
        <v>160</v>
      </c>
      <c r="B125" s="166">
        <v>5.22</v>
      </c>
      <c r="C125" s="9">
        <v>0</v>
      </c>
      <c r="D125" s="46">
        <f>'Facility Risk - Sony'!$C125/$C$151</f>
        <v>0</v>
      </c>
    </row>
    <row r="126" spans="1:4" ht="19" x14ac:dyDescent="0.25">
      <c r="A126" s="58" t="s">
        <v>161</v>
      </c>
      <c r="B126" s="167">
        <v>3.57</v>
      </c>
      <c r="C126" s="8">
        <v>3.7000000000000005E-2</v>
      </c>
      <c r="D126" s="45">
        <f>'Facility Risk - Sony'!$C126/$C$151</f>
        <v>3.7003700370037002E-2</v>
      </c>
    </row>
    <row r="127" spans="1:4" ht="19" x14ac:dyDescent="0.25">
      <c r="A127" s="57" t="s">
        <v>162</v>
      </c>
      <c r="B127" s="168">
        <v>3.7</v>
      </c>
      <c r="C127" s="9">
        <v>0</v>
      </c>
      <c r="D127" s="46">
        <f>'Facility Risk - Sony'!$C127/$C$151</f>
        <v>0</v>
      </c>
    </row>
    <row r="128" spans="1:4" ht="19" x14ac:dyDescent="0.25">
      <c r="A128" s="58" t="s">
        <v>163</v>
      </c>
      <c r="B128" s="169">
        <v>5.1100000000000003</v>
      </c>
      <c r="C128" s="8">
        <v>0</v>
      </c>
      <c r="D128" s="45">
        <f>'Facility Risk - Sony'!$C128/$C$151</f>
        <v>0</v>
      </c>
    </row>
    <row r="129" spans="1:4" ht="19" x14ac:dyDescent="0.25">
      <c r="A129" s="57" t="s">
        <v>164</v>
      </c>
      <c r="B129" s="137">
        <v>7.1</v>
      </c>
      <c r="C129" s="9">
        <v>0</v>
      </c>
      <c r="D129" s="46">
        <f>'Facility Risk - Sony'!$C129/$C$151</f>
        <v>0</v>
      </c>
    </row>
    <row r="130" spans="1:4" ht="19" x14ac:dyDescent="0.25">
      <c r="A130" s="58" t="s">
        <v>165</v>
      </c>
      <c r="B130" s="170">
        <v>3.52</v>
      </c>
      <c r="C130" s="8">
        <v>0</v>
      </c>
      <c r="D130" s="45">
        <f>'Facility Risk - Sony'!$C130/$C$151</f>
        <v>0</v>
      </c>
    </row>
    <row r="131" spans="1:4" ht="19" x14ac:dyDescent="0.25">
      <c r="A131" s="57" t="s">
        <v>166</v>
      </c>
      <c r="B131" s="171">
        <v>2.78</v>
      </c>
      <c r="C131" s="9">
        <v>0</v>
      </c>
      <c r="D131" s="46">
        <f>'Facility Risk - Sony'!$C131/$C$151</f>
        <v>0</v>
      </c>
    </row>
    <row r="132" spans="1:4" ht="19" x14ac:dyDescent="0.25">
      <c r="A132" s="59" t="s">
        <v>167</v>
      </c>
      <c r="B132" s="172">
        <v>7.33</v>
      </c>
      <c r="C132" s="8">
        <v>0</v>
      </c>
      <c r="D132" s="45">
        <f>'Facility Risk - Sony'!$C132/$C$151</f>
        <v>0</v>
      </c>
    </row>
    <row r="133" spans="1:4" ht="19" x14ac:dyDescent="0.25">
      <c r="A133" s="57" t="s">
        <v>168</v>
      </c>
      <c r="B133" s="173">
        <v>5.69</v>
      </c>
      <c r="C133" s="9">
        <v>0</v>
      </c>
      <c r="D133" s="46">
        <f>'Facility Risk - Sony'!$C133/$C$151</f>
        <v>0</v>
      </c>
    </row>
    <row r="134" spans="1:4" ht="19" x14ac:dyDescent="0.25">
      <c r="A134" s="58" t="s">
        <v>169</v>
      </c>
      <c r="B134" s="63">
        <v>5.21</v>
      </c>
      <c r="C134" s="8">
        <v>3.7000000000000005E-2</v>
      </c>
      <c r="D134" s="45">
        <f>'Facility Risk - Sony'!$C134/$C$151</f>
        <v>3.7003700370037002E-2</v>
      </c>
    </row>
    <row r="135" spans="1:4" ht="19" x14ac:dyDescent="0.25">
      <c r="A135" s="57" t="s">
        <v>170</v>
      </c>
      <c r="B135" s="174">
        <v>5.15</v>
      </c>
      <c r="C135" s="9">
        <v>0</v>
      </c>
      <c r="D135" s="46">
        <f>'Facility Risk - Sony'!$C135/$C$151</f>
        <v>0</v>
      </c>
    </row>
    <row r="136" spans="1:4" ht="19" x14ac:dyDescent="0.25">
      <c r="A136" s="58" t="s">
        <v>171</v>
      </c>
      <c r="B136" s="175">
        <v>5.87</v>
      </c>
      <c r="C136" s="8">
        <v>0</v>
      </c>
      <c r="D136" s="45">
        <f>'Facility Risk - Sony'!$C136/$C$151</f>
        <v>0</v>
      </c>
    </row>
    <row r="137" spans="1:4" ht="19" x14ac:dyDescent="0.25">
      <c r="A137" s="57" t="s">
        <v>172</v>
      </c>
      <c r="B137" s="176">
        <v>4.38</v>
      </c>
      <c r="C137" s="9">
        <v>0</v>
      </c>
      <c r="D137" s="46">
        <f>'Facility Risk - Sony'!$C137/$C$151</f>
        <v>0</v>
      </c>
    </row>
    <row r="138" spans="1:4" ht="19" x14ac:dyDescent="0.25">
      <c r="A138" s="58" t="s">
        <v>173</v>
      </c>
      <c r="B138" s="177">
        <v>5.13</v>
      </c>
      <c r="C138" s="8">
        <v>0</v>
      </c>
      <c r="D138" s="45">
        <f>'Facility Risk - Sony'!$C138/$C$151</f>
        <v>0</v>
      </c>
    </row>
    <row r="139" spans="1:4" ht="19" x14ac:dyDescent="0.25">
      <c r="A139" s="57" t="s">
        <v>174</v>
      </c>
      <c r="B139" s="178">
        <v>5.26</v>
      </c>
      <c r="C139" s="9">
        <v>0</v>
      </c>
      <c r="D139" s="46">
        <f>'Facility Risk - Sony'!$C139/$C$151</f>
        <v>0</v>
      </c>
    </row>
    <row r="140" spans="1:4" ht="19" x14ac:dyDescent="0.25">
      <c r="A140" s="58" t="s">
        <v>175</v>
      </c>
      <c r="B140" s="179">
        <v>6.29</v>
      </c>
      <c r="C140" s="8">
        <v>0</v>
      </c>
      <c r="D140" s="45">
        <f>'Facility Risk - Sony'!$C140/$C$151</f>
        <v>0</v>
      </c>
    </row>
    <row r="141" spans="1:4" ht="19" x14ac:dyDescent="0.25">
      <c r="A141" s="57" t="s">
        <v>176</v>
      </c>
      <c r="B141" s="180">
        <v>6.35</v>
      </c>
      <c r="C141" s="9">
        <v>0</v>
      </c>
      <c r="D141" s="46">
        <f>'Facility Risk - Sony'!$C141/$C$151</f>
        <v>0</v>
      </c>
    </row>
    <row r="142" spans="1:4" ht="19" x14ac:dyDescent="0.25">
      <c r="A142" s="58" t="s">
        <v>177</v>
      </c>
      <c r="B142" s="181">
        <v>3.72</v>
      </c>
      <c r="C142" s="8">
        <v>0</v>
      </c>
      <c r="D142" s="45">
        <f>'Facility Risk - Sony'!$C142/$C$151</f>
        <v>0</v>
      </c>
    </row>
    <row r="143" spans="1:4" ht="19" x14ac:dyDescent="0.25">
      <c r="A143" s="57" t="s">
        <v>178</v>
      </c>
      <c r="B143" s="145">
        <v>3.32</v>
      </c>
      <c r="C143" s="9">
        <v>7.4099999999999999E-2</v>
      </c>
      <c r="D143" s="46">
        <f>'Facility Risk - Sony'!$C143/$C$151</f>
        <v>7.4107410741074103E-2</v>
      </c>
    </row>
    <row r="144" spans="1:4" ht="19" x14ac:dyDescent="0.25">
      <c r="A144" s="58" t="s">
        <v>179</v>
      </c>
      <c r="B144" s="182">
        <v>4.1900000000000004</v>
      </c>
      <c r="C144" s="8">
        <v>3.7000000000000005E-2</v>
      </c>
      <c r="D144" s="45">
        <f>'Facility Risk - Sony'!$C144/$C$151</f>
        <v>3.7003700370037002E-2</v>
      </c>
    </row>
    <row r="145" spans="1:4" ht="19" x14ac:dyDescent="0.25">
      <c r="A145" s="57" t="s">
        <v>180</v>
      </c>
      <c r="B145" s="183">
        <v>3.91</v>
      </c>
      <c r="C145" s="9">
        <v>0</v>
      </c>
      <c r="D145" s="46">
        <f>'Facility Risk - Sony'!$C145/$C$151</f>
        <v>0</v>
      </c>
    </row>
    <row r="146" spans="1:4" ht="19" x14ac:dyDescent="0.25">
      <c r="A146" s="58" t="s">
        <v>181</v>
      </c>
      <c r="B146" s="112">
        <v>5.77</v>
      </c>
      <c r="C146" s="8">
        <v>0</v>
      </c>
      <c r="D146" s="45">
        <f>'Facility Risk - Sony'!$C146/$C$151</f>
        <v>0</v>
      </c>
    </row>
    <row r="147" spans="1:4" ht="19" x14ac:dyDescent="0.25">
      <c r="A147" s="57" t="s">
        <v>182</v>
      </c>
      <c r="B147" s="184">
        <v>4.32</v>
      </c>
      <c r="C147" s="9">
        <v>0</v>
      </c>
      <c r="D147" s="46">
        <f>'Facility Risk - Sony'!$C147/$C$151</f>
        <v>0</v>
      </c>
    </row>
    <row r="148" spans="1:4" ht="19" x14ac:dyDescent="0.25">
      <c r="A148" s="58" t="s">
        <v>183</v>
      </c>
      <c r="B148" s="70">
        <v>6.3</v>
      </c>
      <c r="C148" s="8">
        <v>0</v>
      </c>
      <c r="D148" s="45">
        <f>'Facility Risk - Sony'!$C148/$C$151</f>
        <v>0</v>
      </c>
    </row>
    <row r="149" spans="1:4" ht="19" x14ac:dyDescent="0.25">
      <c r="A149" s="57" t="s">
        <v>184</v>
      </c>
      <c r="B149" s="185">
        <v>4.95</v>
      </c>
      <c r="C149" s="9">
        <v>0</v>
      </c>
      <c r="D149" s="46">
        <f>'Facility Risk - Sony'!$C149/$C$151</f>
        <v>0</v>
      </c>
    </row>
    <row r="150" spans="1:4" ht="19" x14ac:dyDescent="0.25">
      <c r="A150" s="60" t="s">
        <v>185</v>
      </c>
      <c r="B150" s="186">
        <v>6.14</v>
      </c>
      <c r="C150" s="10">
        <v>0</v>
      </c>
      <c r="D150" s="47">
        <f>'Facility Risk - Sony'!$C150/$C$151</f>
        <v>0</v>
      </c>
    </row>
    <row r="151" spans="1:4" ht="19" x14ac:dyDescent="0.25">
      <c r="A151" s="61" t="s">
        <v>186</v>
      </c>
      <c r="B151" s="5"/>
      <c r="C151" s="6">
        <f>SUM(C4:C150)</f>
        <v>0.99990000000000012</v>
      </c>
      <c r="D151" s="48">
        <f>SUM(D4:D150)</f>
        <v>0.99999999999999978</v>
      </c>
    </row>
  </sheetData>
  <mergeCells count="1">
    <mergeCell ref="A1:D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A023F-CE91-1143-AC18-F5E8A4EF24FA}">
  <dimension ref="A1:J151"/>
  <sheetViews>
    <sheetView workbookViewId="0">
      <selection activeCell="I17" sqref="I17"/>
    </sheetView>
  </sheetViews>
  <sheetFormatPr baseColWidth="10" defaultColWidth="11" defaultRowHeight="16" x14ac:dyDescent="0.2"/>
  <cols>
    <col min="1" max="1" width="23" bestFit="1" customWidth="1"/>
    <col min="2" max="2" width="32" bestFit="1" customWidth="1"/>
    <col min="3" max="3" width="33.6640625" bestFit="1" customWidth="1"/>
    <col min="4" max="4" width="42.6640625" bestFit="1" customWidth="1"/>
    <col min="5" max="5" width="16" bestFit="1" customWidth="1"/>
    <col min="7" max="7" width="29.33203125" bestFit="1" customWidth="1"/>
    <col min="8" max="8" width="13.6640625" bestFit="1" customWidth="1"/>
    <col min="9" max="9" width="22.5" bestFit="1" customWidth="1"/>
    <col min="10" max="10" width="12.33203125" bestFit="1" customWidth="1"/>
  </cols>
  <sheetData>
    <row r="1" spans="1:10" ht="17" customHeight="1" x14ac:dyDescent="0.2">
      <c r="A1" s="188" t="s">
        <v>25</v>
      </c>
      <c r="B1" s="189"/>
      <c r="C1" s="189"/>
      <c r="D1" s="189"/>
    </row>
    <row r="2" spans="1:10" ht="17" customHeight="1" thickBot="1" x14ac:dyDescent="0.25">
      <c r="A2" s="190"/>
      <c r="B2" s="191"/>
      <c r="C2" s="191"/>
      <c r="D2" s="191"/>
    </row>
    <row r="3" spans="1:10" ht="20" thickTop="1" x14ac:dyDescent="0.25">
      <c r="A3" s="12" t="s">
        <v>27</v>
      </c>
      <c r="B3" s="13" t="s">
        <v>28</v>
      </c>
      <c r="C3" s="14" t="s">
        <v>29</v>
      </c>
      <c r="D3" s="7" t="s">
        <v>30</v>
      </c>
    </row>
    <row r="4" spans="1:10" ht="20" thickBot="1" x14ac:dyDescent="0.3">
      <c r="A4" s="56" t="s">
        <v>31</v>
      </c>
      <c r="B4" s="62">
        <v>4.37</v>
      </c>
      <c r="C4" s="15">
        <v>0</v>
      </c>
      <c r="D4" s="45">
        <f>'Facility Risk - Eli Lilly'!$C4/$C$151</f>
        <v>0</v>
      </c>
      <c r="E4" s="1"/>
      <c r="F4" s="3"/>
    </row>
    <row r="5" spans="1:10" ht="20" thickBot="1" x14ac:dyDescent="0.3">
      <c r="A5" s="57" t="s">
        <v>32</v>
      </c>
      <c r="B5" s="63">
        <v>5.21</v>
      </c>
      <c r="C5" s="9">
        <v>0</v>
      </c>
      <c r="D5" s="46">
        <f>'Facility Risk - Eli Lilly'!$C5/$C$151</f>
        <v>0</v>
      </c>
      <c r="E5" s="1"/>
      <c r="F5" s="3"/>
      <c r="G5" s="32" t="s">
        <v>33</v>
      </c>
      <c r="H5" s="33"/>
      <c r="I5" s="33"/>
      <c r="J5" s="34"/>
    </row>
    <row r="6" spans="1:10" ht="20" thickBot="1" x14ac:dyDescent="0.3">
      <c r="A6" s="58" t="s">
        <v>34</v>
      </c>
      <c r="B6" s="64">
        <v>5.63</v>
      </c>
      <c r="C6" s="8">
        <v>0</v>
      </c>
      <c r="D6" s="45">
        <f>'Facility Risk - Eli Lilly'!$C6/$C$151</f>
        <v>0</v>
      </c>
      <c r="E6" s="1"/>
      <c r="F6" s="3"/>
      <c r="G6" s="20"/>
      <c r="H6" s="21" t="s">
        <v>35</v>
      </c>
      <c r="I6" s="22" t="s">
        <v>36</v>
      </c>
      <c r="J6" s="23" t="s">
        <v>37</v>
      </c>
    </row>
    <row r="7" spans="1:10" ht="19" x14ac:dyDescent="0.25">
      <c r="A7" s="57" t="s">
        <v>38</v>
      </c>
      <c r="B7" s="65">
        <v>4.3600000000000003</v>
      </c>
      <c r="C7" s="9">
        <v>0</v>
      </c>
      <c r="D7" s="46">
        <f>'Facility Risk - Eli Lilly'!$C7/$C$151</f>
        <v>0</v>
      </c>
      <c r="E7" s="1"/>
      <c r="F7" s="3"/>
      <c r="G7" s="24" t="s">
        <v>39</v>
      </c>
      <c r="H7" s="25" t="str">
        <f>INDEX(A4:A150,MATCH(MIN(D4:D150),D4:D150,0))</f>
        <v>Albania</v>
      </c>
      <c r="I7" s="25">
        <f>INDEX(B4:B150,MATCH(MIN(D4:D150),D4:D150,0))</f>
        <v>4.37</v>
      </c>
      <c r="J7" s="26">
        <f>INDEX(D4:D150,MATCH(MIN(D4:D150),D4:D150,0))</f>
        <v>0</v>
      </c>
    </row>
    <row r="8" spans="1:10" ht="20" thickBot="1" x14ac:dyDescent="0.3">
      <c r="A8" s="58" t="s">
        <v>40</v>
      </c>
      <c r="B8" s="66">
        <v>4.79</v>
      </c>
      <c r="C8" s="8">
        <v>0</v>
      </c>
      <c r="D8" s="45">
        <f>'Facility Risk - Eli Lilly'!$C8/$C$151</f>
        <v>0</v>
      </c>
      <c r="E8" s="1"/>
      <c r="F8" s="3"/>
      <c r="G8" s="27" t="s">
        <v>41</v>
      </c>
      <c r="H8" s="28" t="str">
        <f>INDEX(A4:A150,MATCH(MAX(D4:D150),D4:D150,0))</f>
        <v>United States</v>
      </c>
      <c r="I8" s="28">
        <f>INDEX(B4:B150,MATCH(MAX(D4:D150),D4:D150,0))</f>
        <v>4.1900000000000004</v>
      </c>
      <c r="J8" s="31">
        <f>INDEX(D4:D150,MATCH(MAX(D4:D150),D4:D150,0))</f>
        <v>0.41666666666666669</v>
      </c>
    </row>
    <row r="9" spans="1:10" ht="23" thickBot="1" x14ac:dyDescent="0.35">
      <c r="A9" s="57" t="s">
        <v>42</v>
      </c>
      <c r="B9" s="67">
        <v>3.22</v>
      </c>
      <c r="C9" s="9">
        <v>0.04</v>
      </c>
      <c r="D9" s="46">
        <f>'Facility Risk - Eli Lilly'!$C9/$C$151</f>
        <v>4.1666666666666671E-2</v>
      </c>
      <c r="E9" s="1"/>
      <c r="F9" s="3"/>
      <c r="G9" s="30" t="s">
        <v>43</v>
      </c>
      <c r="H9" s="29"/>
      <c r="I9" s="29"/>
      <c r="J9" s="187">
        <f>SUMPRODUCT(B4:B150,D4:D150)</f>
        <v>3.9675000000000002</v>
      </c>
    </row>
    <row r="10" spans="1:10" ht="19" x14ac:dyDescent="0.25">
      <c r="A10" s="58" t="s">
        <v>44</v>
      </c>
      <c r="B10" s="68">
        <v>3.41</v>
      </c>
      <c r="C10" s="8">
        <v>0</v>
      </c>
      <c r="D10" s="45">
        <f>'Facility Risk - Eli Lilly'!$C10/$C$151</f>
        <v>0</v>
      </c>
      <c r="E10" s="1"/>
      <c r="F10" s="3"/>
    </row>
    <row r="11" spans="1:10" ht="19" x14ac:dyDescent="0.25">
      <c r="A11" s="57" t="s">
        <v>45</v>
      </c>
      <c r="B11" s="63">
        <v>5.21</v>
      </c>
      <c r="C11" s="9">
        <v>0</v>
      </c>
      <c r="D11" s="46">
        <f>'Facility Risk - Eli Lilly'!$C11/$C$151</f>
        <v>0</v>
      </c>
      <c r="E11" s="1"/>
      <c r="F11" s="3"/>
    </row>
    <row r="12" spans="1:10" ht="19" x14ac:dyDescent="0.25">
      <c r="A12" s="58" t="s">
        <v>46</v>
      </c>
      <c r="B12" s="69">
        <v>4.26</v>
      </c>
      <c r="C12" s="8">
        <v>0</v>
      </c>
      <c r="D12" s="45">
        <f>'Facility Risk - Eli Lilly'!$C12/$C$151</f>
        <v>0</v>
      </c>
      <c r="E12" s="1"/>
      <c r="F12" s="3"/>
    </row>
    <row r="13" spans="1:10" ht="19" x14ac:dyDescent="0.25">
      <c r="A13" s="57" t="s">
        <v>47</v>
      </c>
      <c r="B13" s="70">
        <v>6.29</v>
      </c>
      <c r="C13" s="9">
        <v>0</v>
      </c>
      <c r="D13" s="46">
        <f>'Facility Risk - Eli Lilly'!$C13/$C$151</f>
        <v>0</v>
      </c>
      <c r="E13" s="1"/>
      <c r="F13" s="3"/>
    </row>
    <row r="14" spans="1:10" ht="19" x14ac:dyDescent="0.25">
      <c r="A14" s="58" t="s">
        <v>48</v>
      </c>
      <c r="B14" s="71">
        <v>5.45</v>
      </c>
      <c r="C14" s="8">
        <v>0</v>
      </c>
      <c r="D14" s="45">
        <f>'Facility Risk - Eli Lilly'!$C14/$C$151</f>
        <v>0</v>
      </c>
      <c r="E14" s="1"/>
      <c r="F14" s="3"/>
    </row>
    <row r="15" spans="1:10" ht="19" x14ac:dyDescent="0.25">
      <c r="A15" s="57" t="s">
        <v>49</v>
      </c>
      <c r="B15" s="72">
        <v>3.33</v>
      </c>
      <c r="C15" s="9">
        <v>0</v>
      </c>
      <c r="D15" s="46">
        <f>'Facility Risk - Eli Lilly'!$C15/$C$151</f>
        <v>0</v>
      </c>
      <c r="E15" s="1"/>
      <c r="F15" s="3"/>
    </row>
    <row r="16" spans="1:10" ht="19" x14ac:dyDescent="0.25">
      <c r="A16" s="58" t="s">
        <v>50</v>
      </c>
      <c r="B16" s="73">
        <v>6</v>
      </c>
      <c r="C16" s="8">
        <v>0</v>
      </c>
      <c r="D16" s="45">
        <f>'Facility Risk - Eli Lilly'!$C16/$C$151</f>
        <v>0</v>
      </c>
      <c r="E16" s="1"/>
      <c r="F16" s="3"/>
    </row>
    <row r="17" spans="1:6" ht="19" x14ac:dyDescent="0.25">
      <c r="A17" s="57" t="s">
        <v>51</v>
      </c>
      <c r="B17" s="74">
        <v>5.0199999999999996</v>
      </c>
      <c r="C17" s="9">
        <v>0</v>
      </c>
      <c r="D17" s="46">
        <f>'Facility Risk - Eli Lilly'!$C17/$C$151</f>
        <v>0</v>
      </c>
      <c r="E17" s="1"/>
      <c r="F17" s="3"/>
    </row>
    <row r="18" spans="1:6" ht="19" x14ac:dyDescent="0.25">
      <c r="A18" s="58" t="s">
        <v>52</v>
      </c>
      <c r="B18" s="75">
        <v>5.41</v>
      </c>
      <c r="C18" s="8">
        <v>0</v>
      </c>
      <c r="D18" s="45">
        <f>'Facility Risk - Eli Lilly'!$C18/$C$151</f>
        <v>0</v>
      </c>
    </row>
    <row r="19" spans="1:6" ht="19" x14ac:dyDescent="0.25">
      <c r="A19" s="57" t="s">
        <v>53</v>
      </c>
      <c r="B19" s="76">
        <v>5.34</v>
      </c>
      <c r="C19" s="9">
        <v>0</v>
      </c>
      <c r="D19" s="46">
        <f>'Facility Risk - Eli Lilly'!$C19/$C$151</f>
        <v>0</v>
      </c>
    </row>
    <row r="20" spans="1:6" ht="19" x14ac:dyDescent="0.25">
      <c r="A20" s="58" t="s">
        <v>54</v>
      </c>
      <c r="B20" s="77">
        <v>4.34</v>
      </c>
      <c r="C20" s="8">
        <v>0</v>
      </c>
      <c r="D20" s="45">
        <f>'Facility Risk - Eli Lilly'!$C20/$C$151</f>
        <v>0</v>
      </c>
    </row>
    <row r="21" spans="1:6" ht="19" x14ac:dyDescent="0.25">
      <c r="A21" s="57" t="s">
        <v>55</v>
      </c>
      <c r="B21" s="78">
        <v>5.35</v>
      </c>
      <c r="C21" s="9">
        <v>0</v>
      </c>
      <c r="D21" s="46">
        <f>'Facility Risk - Eli Lilly'!$C21/$C$151</f>
        <v>0</v>
      </c>
    </row>
    <row r="22" spans="1:6" ht="19" x14ac:dyDescent="0.25">
      <c r="A22" s="58" t="s">
        <v>56</v>
      </c>
      <c r="B22" s="79">
        <v>4.43</v>
      </c>
      <c r="C22" s="8">
        <v>0</v>
      </c>
      <c r="D22" s="45">
        <f>'Facility Risk - Eli Lilly'!$C22/$C$151</f>
        <v>0</v>
      </c>
    </row>
    <row r="23" spans="1:6" ht="19" x14ac:dyDescent="0.25">
      <c r="A23" s="57" t="s">
        <v>57</v>
      </c>
      <c r="B23" s="80">
        <v>6.55</v>
      </c>
      <c r="C23" s="9">
        <v>0</v>
      </c>
      <c r="D23" s="46">
        <f>'Facility Risk - Eli Lilly'!$C23/$C$151</f>
        <v>0</v>
      </c>
    </row>
    <row r="24" spans="1:6" ht="19" x14ac:dyDescent="0.25">
      <c r="A24" s="58" t="s">
        <v>58</v>
      </c>
      <c r="B24" s="81">
        <v>6.33</v>
      </c>
      <c r="C24" s="8">
        <v>0</v>
      </c>
      <c r="D24" s="45">
        <f>'Facility Risk - Eli Lilly'!$C24/$C$151</f>
        <v>0</v>
      </c>
    </row>
    <row r="25" spans="1:6" ht="19" x14ac:dyDescent="0.25">
      <c r="A25" s="57" t="s">
        <v>59</v>
      </c>
      <c r="B25" s="64">
        <v>5.64</v>
      </c>
      <c r="C25" s="9">
        <v>0</v>
      </c>
      <c r="D25" s="46">
        <f>'Facility Risk - Eli Lilly'!$C25/$C$151</f>
        <v>0</v>
      </c>
    </row>
    <row r="26" spans="1:6" ht="19" x14ac:dyDescent="0.25">
      <c r="A26" s="58" t="s">
        <v>60</v>
      </c>
      <c r="B26" s="82">
        <v>6.83</v>
      </c>
      <c r="C26" s="8">
        <v>0</v>
      </c>
      <c r="D26" s="45">
        <f>'Facility Risk - Eli Lilly'!$C26/$C$151</f>
        <v>0</v>
      </c>
    </row>
    <row r="27" spans="1:6" ht="19" x14ac:dyDescent="0.25">
      <c r="A27" s="57" t="s">
        <v>61</v>
      </c>
      <c r="B27" s="83">
        <v>3.44</v>
      </c>
      <c r="C27" s="9">
        <v>0</v>
      </c>
      <c r="D27" s="46">
        <f>'Facility Risk - Eli Lilly'!$C27/$C$151</f>
        <v>0</v>
      </c>
    </row>
    <row r="28" spans="1:6" ht="19" x14ac:dyDescent="0.25">
      <c r="A28" s="58" t="s">
        <v>62</v>
      </c>
      <c r="B28" s="84">
        <v>6.79</v>
      </c>
      <c r="C28" s="8">
        <v>0</v>
      </c>
      <c r="D28" s="45">
        <f>'Facility Risk - Eli Lilly'!$C28/$C$151</f>
        <v>0</v>
      </c>
    </row>
    <row r="29" spans="1:6" ht="19" x14ac:dyDescent="0.25">
      <c r="A29" s="57" t="s">
        <v>63</v>
      </c>
      <c r="B29" s="82">
        <v>6.84</v>
      </c>
      <c r="C29" s="9">
        <v>0</v>
      </c>
      <c r="D29" s="46">
        <f>'Facility Risk - Eli Lilly'!$C29/$C$151</f>
        <v>0</v>
      </c>
    </row>
    <row r="30" spans="1:6" ht="19" x14ac:dyDescent="0.25">
      <c r="A30" s="58" t="s">
        <v>64</v>
      </c>
      <c r="B30" s="65">
        <v>4.3600000000000003</v>
      </c>
      <c r="C30" s="8">
        <v>0</v>
      </c>
      <c r="D30" s="45">
        <f>'Facility Risk - Eli Lilly'!$C30/$C$151</f>
        <v>0</v>
      </c>
    </row>
    <row r="31" spans="1:6" ht="19" x14ac:dyDescent="0.25">
      <c r="A31" s="57" t="s">
        <v>65</v>
      </c>
      <c r="B31" s="85">
        <v>4.26</v>
      </c>
      <c r="C31" s="9">
        <v>0.04</v>
      </c>
      <c r="D31" s="46">
        <f>'Facility Risk - Eli Lilly'!$C31/$C$151</f>
        <v>4.1666666666666671E-2</v>
      </c>
      <c r="E31" s="50" t="s">
        <v>66</v>
      </c>
    </row>
    <row r="32" spans="1:6" ht="19" x14ac:dyDescent="0.25">
      <c r="A32" s="58" t="s">
        <v>67</v>
      </c>
      <c r="B32" s="86">
        <v>5.72</v>
      </c>
      <c r="C32" s="8">
        <v>0</v>
      </c>
      <c r="D32" s="45">
        <f>'Facility Risk - Eli Lilly'!$C32/$C$151</f>
        <v>0</v>
      </c>
    </row>
    <row r="33" spans="1:4" ht="19" x14ac:dyDescent="0.25">
      <c r="A33" s="57" t="s">
        <v>68</v>
      </c>
      <c r="B33" s="87">
        <v>5.65</v>
      </c>
      <c r="C33" s="9">
        <v>0</v>
      </c>
      <c r="D33" s="46">
        <f>'Facility Risk - Eli Lilly'!$C33/$C$151</f>
        <v>0</v>
      </c>
    </row>
    <row r="34" spans="1:4" ht="19" x14ac:dyDescent="0.25">
      <c r="A34" s="58" t="s">
        <v>69</v>
      </c>
      <c r="B34" s="88">
        <v>4.2300000000000004</v>
      </c>
      <c r="C34" s="8">
        <v>0</v>
      </c>
      <c r="D34" s="45">
        <f>'Facility Risk - Eli Lilly'!$C34/$C$151</f>
        <v>0</v>
      </c>
    </row>
    <row r="35" spans="1:4" ht="19" x14ac:dyDescent="0.25">
      <c r="A35" s="57" t="s">
        <v>70</v>
      </c>
      <c r="B35" s="89">
        <v>5.6</v>
      </c>
      <c r="C35" s="9">
        <v>0</v>
      </c>
      <c r="D35" s="46">
        <f>'Facility Risk - Eli Lilly'!$C35/$C$151</f>
        <v>0</v>
      </c>
    </row>
    <row r="36" spans="1:4" ht="19" x14ac:dyDescent="0.25">
      <c r="A36" s="58" t="s">
        <v>71</v>
      </c>
      <c r="B36" s="90">
        <v>4.28</v>
      </c>
      <c r="C36" s="8">
        <v>0</v>
      </c>
      <c r="D36" s="45">
        <f>'Facility Risk - Eli Lilly'!$C36/$C$151</f>
        <v>0</v>
      </c>
    </row>
    <row r="37" spans="1:4" ht="19" x14ac:dyDescent="0.25">
      <c r="A37" s="57" t="s">
        <v>72</v>
      </c>
      <c r="B37" s="91">
        <v>4.67</v>
      </c>
      <c r="C37" s="9">
        <v>0</v>
      </c>
      <c r="D37" s="46">
        <f>'Facility Risk - Eli Lilly'!$C37/$C$151</f>
        <v>0</v>
      </c>
    </row>
    <row r="38" spans="1:4" ht="19" x14ac:dyDescent="0.25">
      <c r="A38" s="58" t="s">
        <v>73</v>
      </c>
      <c r="B38" s="92">
        <v>3.75</v>
      </c>
      <c r="C38" s="8">
        <v>0</v>
      </c>
      <c r="D38" s="45">
        <f>'Facility Risk - Eli Lilly'!$C38/$C$151</f>
        <v>0</v>
      </c>
    </row>
    <row r="39" spans="1:4" ht="19" x14ac:dyDescent="0.25">
      <c r="A39" s="57" t="s">
        <v>74</v>
      </c>
      <c r="B39" s="93">
        <v>3.2</v>
      </c>
      <c r="C39" s="9">
        <v>0</v>
      </c>
      <c r="D39" s="46">
        <f>'Facility Risk - Eli Lilly'!$C39/$C$151</f>
        <v>0</v>
      </c>
    </row>
    <row r="40" spans="1:4" ht="19" x14ac:dyDescent="0.25">
      <c r="A40" s="58" t="s">
        <v>75</v>
      </c>
      <c r="B40" s="94">
        <v>5.98</v>
      </c>
      <c r="C40" s="8">
        <v>0</v>
      </c>
      <c r="D40" s="45">
        <f>'Facility Risk - Eli Lilly'!$C40/$C$151</f>
        <v>0</v>
      </c>
    </row>
    <row r="41" spans="1:4" ht="19" x14ac:dyDescent="0.25">
      <c r="A41" s="57" t="s">
        <v>76</v>
      </c>
      <c r="B41" s="95">
        <v>4.7</v>
      </c>
      <c r="C41" s="9">
        <v>0</v>
      </c>
      <c r="D41" s="46">
        <f>'Facility Risk - Eli Lilly'!$C41/$C$151</f>
        <v>0</v>
      </c>
    </row>
    <row r="42" spans="1:4" ht="19" x14ac:dyDescent="0.25">
      <c r="A42" s="58" t="s">
        <v>77</v>
      </c>
      <c r="B42" s="96">
        <v>5.71</v>
      </c>
      <c r="C42" s="8">
        <v>0</v>
      </c>
      <c r="D42" s="45">
        <f>'Facility Risk - Eli Lilly'!$C42/$C$151</f>
        <v>0</v>
      </c>
    </row>
    <row r="43" spans="1:4" ht="19" x14ac:dyDescent="0.25">
      <c r="A43" s="57" t="s">
        <v>78</v>
      </c>
      <c r="B43" s="97">
        <v>5.6</v>
      </c>
      <c r="C43" s="9">
        <v>0.04</v>
      </c>
      <c r="D43" s="46">
        <f>'Facility Risk - Eli Lilly'!$C43/$C$151</f>
        <v>4.1666666666666671E-2</v>
      </c>
    </row>
    <row r="44" spans="1:4" ht="19" x14ac:dyDescent="0.25">
      <c r="A44" s="58" t="s">
        <v>79</v>
      </c>
      <c r="B44" s="98">
        <v>4.79</v>
      </c>
      <c r="C44" s="8">
        <v>0</v>
      </c>
      <c r="D44" s="45">
        <f>'Facility Risk - Eli Lilly'!$C44/$C$151</f>
        <v>0</v>
      </c>
    </row>
    <row r="45" spans="1:4" ht="19" x14ac:dyDescent="0.25">
      <c r="A45" s="57" t="s">
        <v>80</v>
      </c>
      <c r="B45" s="99">
        <v>3.57</v>
      </c>
      <c r="C45" s="9">
        <v>0</v>
      </c>
      <c r="D45" s="46">
        <f>'Facility Risk - Eli Lilly'!$C45/$C$151</f>
        <v>0</v>
      </c>
    </row>
    <row r="46" spans="1:4" ht="19" x14ac:dyDescent="0.25">
      <c r="A46" s="58" t="s">
        <v>81</v>
      </c>
      <c r="B46" s="100">
        <v>4.5</v>
      </c>
      <c r="C46" s="8">
        <v>0</v>
      </c>
      <c r="D46" s="45">
        <f>'Facility Risk - Eli Lilly'!$C46/$C$151</f>
        <v>0</v>
      </c>
    </row>
    <row r="47" spans="1:4" ht="19" x14ac:dyDescent="0.25">
      <c r="A47" s="57" t="s">
        <v>82</v>
      </c>
      <c r="B47" s="101">
        <v>6.93</v>
      </c>
      <c r="C47" s="9">
        <v>0</v>
      </c>
      <c r="D47" s="46">
        <f>'Facility Risk - Eli Lilly'!$C47/$C$151</f>
        <v>0</v>
      </c>
    </row>
    <row r="48" spans="1:4" ht="19" x14ac:dyDescent="0.25">
      <c r="A48" s="58" t="s">
        <v>83</v>
      </c>
      <c r="B48" s="102">
        <v>3.35</v>
      </c>
      <c r="C48" s="8">
        <v>0</v>
      </c>
      <c r="D48" s="45">
        <f>'Facility Risk - Eli Lilly'!$C48/$C$151</f>
        <v>0</v>
      </c>
    </row>
    <row r="49" spans="1:4" ht="19" x14ac:dyDescent="0.25">
      <c r="A49" s="57" t="s">
        <v>84</v>
      </c>
      <c r="B49" s="103">
        <v>3.65</v>
      </c>
      <c r="C49" s="9">
        <v>0.04</v>
      </c>
      <c r="D49" s="46">
        <f>'Facility Risk - Eli Lilly'!$C49/$C$151</f>
        <v>4.1666666666666671E-2</v>
      </c>
    </row>
    <row r="50" spans="1:4" ht="19" x14ac:dyDescent="0.25">
      <c r="A50" s="58" t="s">
        <v>85</v>
      </c>
      <c r="B50" s="104">
        <v>5.78</v>
      </c>
      <c r="C50" s="8">
        <v>0</v>
      </c>
      <c r="D50" s="45">
        <f>'Facility Risk - Eli Lilly'!$C50/$C$151</f>
        <v>0</v>
      </c>
    </row>
    <row r="51" spans="1:4" ht="19" x14ac:dyDescent="0.25">
      <c r="A51" s="57" t="s">
        <v>86</v>
      </c>
      <c r="B51" s="105">
        <v>5.38</v>
      </c>
      <c r="C51" s="9">
        <v>0</v>
      </c>
      <c r="D51" s="46">
        <f>'Facility Risk - Eli Lilly'!$C51/$C$151</f>
        <v>0</v>
      </c>
    </row>
    <row r="52" spans="1:4" ht="19" x14ac:dyDescent="0.25">
      <c r="A52" s="58" t="s">
        <v>87</v>
      </c>
      <c r="B52" s="106">
        <v>4.93</v>
      </c>
      <c r="C52" s="8">
        <v>0</v>
      </c>
      <c r="D52" s="45">
        <f>'Facility Risk - Eli Lilly'!$C52/$C$151</f>
        <v>0</v>
      </c>
    </row>
    <row r="53" spans="1:4" ht="19" x14ac:dyDescent="0.25">
      <c r="A53" s="57" t="s">
        <v>88</v>
      </c>
      <c r="B53" s="68">
        <v>3.42</v>
      </c>
      <c r="C53" s="9">
        <v>0.08</v>
      </c>
      <c r="D53" s="46">
        <f>'Facility Risk - Eli Lilly'!$C53/$C$151</f>
        <v>8.3333333333333343E-2</v>
      </c>
    </row>
    <row r="54" spans="1:4" ht="19" x14ac:dyDescent="0.25">
      <c r="A54" s="58" t="s">
        <v>89</v>
      </c>
      <c r="B54" s="107">
        <v>4.63</v>
      </c>
      <c r="C54" s="8">
        <v>0</v>
      </c>
      <c r="D54" s="45">
        <f>'Facility Risk - Eli Lilly'!$C54/$C$151</f>
        <v>0</v>
      </c>
    </row>
    <row r="55" spans="1:4" ht="19" x14ac:dyDescent="0.25">
      <c r="A55" s="57" t="s">
        <v>90</v>
      </c>
      <c r="B55" s="77">
        <v>4.34</v>
      </c>
      <c r="C55" s="9">
        <v>0</v>
      </c>
      <c r="D55" s="46">
        <f>'Facility Risk - Eli Lilly'!$C55/$C$151</f>
        <v>0</v>
      </c>
    </row>
    <row r="56" spans="1:4" ht="19" x14ac:dyDescent="0.25">
      <c r="A56" s="58" t="s">
        <v>91</v>
      </c>
      <c r="B56" s="71">
        <v>5.45</v>
      </c>
      <c r="C56" s="8">
        <v>0</v>
      </c>
      <c r="D56" s="45">
        <f>'Facility Risk - Eli Lilly'!$C56/$C$151</f>
        <v>0</v>
      </c>
    </row>
    <row r="57" spans="1:4" ht="19" x14ac:dyDescent="0.25">
      <c r="A57" s="57" t="s">
        <v>92</v>
      </c>
      <c r="B57" s="108">
        <v>6.36</v>
      </c>
      <c r="C57" s="9">
        <v>0</v>
      </c>
      <c r="D57" s="46">
        <f>'Facility Risk - Eli Lilly'!$C57/$C$151</f>
        <v>0</v>
      </c>
    </row>
    <row r="58" spans="1:4" ht="19" x14ac:dyDescent="0.25">
      <c r="A58" s="58" t="s">
        <v>93</v>
      </c>
      <c r="B58" s="109">
        <v>5.94</v>
      </c>
      <c r="C58" s="8">
        <v>0</v>
      </c>
      <c r="D58" s="45">
        <f>'Facility Risk - Eli Lilly'!$C58/$C$151</f>
        <v>0</v>
      </c>
    </row>
    <row r="59" spans="1:4" ht="19" x14ac:dyDescent="0.25">
      <c r="A59" s="57" t="s">
        <v>94</v>
      </c>
      <c r="B59" s="110">
        <v>4.92</v>
      </c>
      <c r="C59" s="9">
        <v>0</v>
      </c>
      <c r="D59" s="46">
        <f>'Facility Risk - Eli Lilly'!$C59/$C$151</f>
        <v>0</v>
      </c>
    </row>
    <row r="60" spans="1:4" ht="19" x14ac:dyDescent="0.25">
      <c r="A60" s="58" t="s">
        <v>95</v>
      </c>
      <c r="B60" s="111">
        <v>6.53</v>
      </c>
      <c r="C60" s="8">
        <v>0</v>
      </c>
      <c r="D60" s="45">
        <f>'Facility Risk - Eli Lilly'!$C60/$C$151</f>
        <v>0</v>
      </c>
    </row>
    <row r="61" spans="1:4" ht="19" x14ac:dyDescent="0.25">
      <c r="A61" s="57" t="s">
        <v>96</v>
      </c>
      <c r="B61" s="112">
        <v>5.77</v>
      </c>
      <c r="C61" s="9">
        <v>0</v>
      </c>
      <c r="D61" s="46">
        <f>'Facility Risk - Eli Lilly'!$C61/$C$151</f>
        <v>0</v>
      </c>
    </row>
    <row r="62" spans="1:4" ht="19" x14ac:dyDescent="0.25">
      <c r="A62" s="58" t="s">
        <v>97</v>
      </c>
      <c r="B62" s="113">
        <v>3.63</v>
      </c>
      <c r="C62" s="8">
        <v>0</v>
      </c>
      <c r="D62" s="45">
        <f>'Facility Risk - Eli Lilly'!$C62/$C$151</f>
        <v>0</v>
      </c>
    </row>
    <row r="63" spans="1:4" ht="19" x14ac:dyDescent="0.25">
      <c r="A63" s="57" t="s">
        <v>98</v>
      </c>
      <c r="B63" s="114">
        <v>3.38</v>
      </c>
      <c r="C63" s="9">
        <v>0</v>
      </c>
      <c r="D63" s="46">
        <f>'Facility Risk - Eli Lilly'!$C63/$C$151</f>
        <v>0</v>
      </c>
    </row>
    <row r="64" spans="1:4" ht="19" x14ac:dyDescent="0.25">
      <c r="A64" s="58" t="s">
        <v>99</v>
      </c>
      <c r="B64" s="115">
        <v>5.07</v>
      </c>
      <c r="C64" s="8">
        <v>0</v>
      </c>
      <c r="D64" s="45">
        <f>'Facility Risk - Eli Lilly'!$C64/$C$151</f>
        <v>0</v>
      </c>
    </row>
    <row r="65" spans="1:4" ht="19" x14ac:dyDescent="0.25">
      <c r="A65" s="57" t="s">
        <v>100</v>
      </c>
      <c r="B65" s="106">
        <v>4.92</v>
      </c>
      <c r="C65" s="9">
        <v>0</v>
      </c>
      <c r="D65" s="46">
        <f>'Facility Risk - Eli Lilly'!$C65/$C$151</f>
        <v>0</v>
      </c>
    </row>
    <row r="66" spans="1:4" ht="19" x14ac:dyDescent="0.25">
      <c r="A66" s="58" t="s">
        <v>101</v>
      </c>
      <c r="B66" s="116">
        <v>5.88</v>
      </c>
      <c r="C66" s="8">
        <v>0</v>
      </c>
      <c r="D66" s="45">
        <f>'Facility Risk - Eli Lilly'!$C66/$C$151</f>
        <v>0</v>
      </c>
    </row>
    <row r="67" spans="1:4" ht="19" x14ac:dyDescent="0.25">
      <c r="A67" s="57" t="s">
        <v>102</v>
      </c>
      <c r="B67" s="117">
        <v>6.05</v>
      </c>
      <c r="C67" s="9">
        <v>0</v>
      </c>
      <c r="D67" s="46">
        <f>'Facility Risk - Eli Lilly'!$C67/$C$151</f>
        <v>0</v>
      </c>
    </row>
    <row r="68" spans="1:4" ht="19" x14ac:dyDescent="0.25">
      <c r="A68" s="58" t="s">
        <v>103</v>
      </c>
      <c r="B68" s="118">
        <v>3.25</v>
      </c>
      <c r="C68" s="8">
        <v>0.08</v>
      </c>
      <c r="D68" s="45">
        <f>'Facility Risk - Eli Lilly'!$C68/$C$151</f>
        <v>8.3333333333333343E-2</v>
      </c>
    </row>
    <row r="69" spans="1:4" ht="19" x14ac:dyDescent="0.25">
      <c r="A69" s="57" t="s">
        <v>104</v>
      </c>
      <c r="B69" s="119">
        <v>4.6100000000000003</v>
      </c>
      <c r="C69" s="9">
        <v>0</v>
      </c>
      <c r="D69" s="46">
        <f>'Facility Risk - Eli Lilly'!$C69/$C$151</f>
        <v>0</v>
      </c>
    </row>
    <row r="70" spans="1:4" ht="19" x14ac:dyDescent="0.25">
      <c r="A70" s="58" t="s">
        <v>105</v>
      </c>
      <c r="B70" s="120">
        <v>3.84</v>
      </c>
      <c r="C70" s="8">
        <v>0.04</v>
      </c>
      <c r="D70" s="45">
        <f>'Facility Risk - Eli Lilly'!$C70/$C$151</f>
        <v>4.1666666666666671E-2</v>
      </c>
    </row>
    <row r="71" spans="1:4" ht="19" x14ac:dyDescent="0.25">
      <c r="A71" s="57" t="s">
        <v>106</v>
      </c>
      <c r="B71" s="121">
        <v>4.75</v>
      </c>
      <c r="C71" s="9">
        <v>0</v>
      </c>
      <c r="D71" s="46">
        <f>'Facility Risk - Eli Lilly'!$C71/$C$151</f>
        <v>0</v>
      </c>
    </row>
    <row r="72" spans="1:4" ht="19" x14ac:dyDescent="0.25">
      <c r="A72" s="58" t="s">
        <v>107</v>
      </c>
      <c r="B72" s="114">
        <v>3.38</v>
      </c>
      <c r="C72" s="8">
        <v>0.04</v>
      </c>
      <c r="D72" s="45">
        <f>'Facility Risk - Eli Lilly'!$C72/$C$151</f>
        <v>4.1666666666666671E-2</v>
      </c>
    </row>
    <row r="73" spans="1:4" ht="19" x14ac:dyDescent="0.25">
      <c r="A73" s="57" t="s">
        <v>108</v>
      </c>
      <c r="B73" s="122">
        <v>5.13</v>
      </c>
      <c r="C73" s="9">
        <v>0</v>
      </c>
      <c r="D73" s="46">
        <f>'Facility Risk - Eli Lilly'!$C73/$C$151</f>
        <v>0</v>
      </c>
    </row>
    <row r="74" spans="1:4" ht="19" x14ac:dyDescent="0.25">
      <c r="A74" s="58" t="s">
        <v>109</v>
      </c>
      <c r="B74" s="123">
        <v>4.54</v>
      </c>
      <c r="C74" s="8">
        <v>0</v>
      </c>
      <c r="D74" s="45">
        <f>'Facility Risk - Eli Lilly'!$C74/$C$151</f>
        <v>0</v>
      </c>
    </row>
    <row r="75" spans="1:4" ht="19" x14ac:dyDescent="0.25">
      <c r="A75" s="57" t="s">
        <v>110</v>
      </c>
      <c r="B75" s="124">
        <v>6.13</v>
      </c>
      <c r="C75" s="9">
        <v>0</v>
      </c>
      <c r="D75" s="46">
        <f>'Facility Risk - Eli Lilly'!$C75/$C$151</f>
        <v>0</v>
      </c>
    </row>
    <row r="76" spans="1:4" ht="19" x14ac:dyDescent="0.25">
      <c r="A76" s="58" t="s">
        <v>111</v>
      </c>
      <c r="B76" s="125">
        <v>4.3</v>
      </c>
      <c r="C76" s="8">
        <v>0</v>
      </c>
      <c r="D76" s="45">
        <f>'Facility Risk - Eli Lilly'!$C76/$C$151</f>
        <v>0</v>
      </c>
    </row>
    <row r="77" spans="1:4" ht="19" x14ac:dyDescent="0.25">
      <c r="A77" s="57" t="s">
        <v>112</v>
      </c>
      <c r="B77" s="126">
        <v>5.37</v>
      </c>
      <c r="C77" s="9">
        <v>0</v>
      </c>
      <c r="D77" s="46">
        <f>'Facility Risk - Eli Lilly'!$C77/$C$151</f>
        <v>0</v>
      </c>
    </row>
    <row r="78" spans="1:4" ht="19" x14ac:dyDescent="0.25">
      <c r="A78" s="58" t="s">
        <v>113</v>
      </c>
      <c r="B78" s="127">
        <v>5.14</v>
      </c>
      <c r="C78" s="8">
        <v>0</v>
      </c>
      <c r="D78" s="45">
        <f>'Facility Risk - Eli Lilly'!$C78/$C$151</f>
        <v>0</v>
      </c>
    </row>
    <row r="79" spans="1:4" ht="19" x14ac:dyDescent="0.25">
      <c r="A79" s="57" t="s">
        <v>114</v>
      </c>
      <c r="B79" s="128">
        <v>3.97</v>
      </c>
      <c r="C79" s="9">
        <v>0</v>
      </c>
      <c r="D79" s="46">
        <f>'Facility Risk - Eli Lilly'!$C79/$C$151</f>
        <v>0</v>
      </c>
    </row>
    <row r="80" spans="1:4" ht="19" x14ac:dyDescent="0.25">
      <c r="A80" s="58" t="s">
        <v>115</v>
      </c>
      <c r="B80" s="129">
        <v>6.12</v>
      </c>
      <c r="C80" s="8">
        <v>0</v>
      </c>
      <c r="D80" s="45">
        <f>'Facility Risk - Eli Lilly'!$C80/$C$151</f>
        <v>0</v>
      </c>
    </row>
    <row r="81" spans="1:4" ht="19" x14ac:dyDescent="0.25">
      <c r="A81" s="57" t="s">
        <v>116</v>
      </c>
      <c r="B81" s="130">
        <v>5.49</v>
      </c>
      <c r="C81" s="9">
        <v>0</v>
      </c>
      <c r="D81" s="46">
        <f>'Facility Risk - Eli Lilly'!$C81/$C$151</f>
        <v>0</v>
      </c>
    </row>
    <row r="82" spans="1:4" ht="19" x14ac:dyDescent="0.25">
      <c r="A82" s="58" t="s">
        <v>117</v>
      </c>
      <c r="B82" s="131">
        <v>5.97</v>
      </c>
      <c r="C82" s="8">
        <v>0</v>
      </c>
      <c r="D82" s="45">
        <f>'Facility Risk - Eli Lilly'!$C82/$C$151</f>
        <v>0</v>
      </c>
    </row>
    <row r="83" spans="1:4" ht="19" x14ac:dyDescent="0.25">
      <c r="A83" s="57" t="s">
        <v>118</v>
      </c>
      <c r="B83" s="132">
        <v>5.68</v>
      </c>
      <c r="C83" s="9">
        <v>0</v>
      </c>
      <c r="D83" s="46">
        <f>'Facility Risk - Eli Lilly'!$C83/$C$151</f>
        <v>0</v>
      </c>
    </row>
    <row r="84" spans="1:4" ht="19" x14ac:dyDescent="0.25">
      <c r="A84" s="58" t="s">
        <v>119</v>
      </c>
      <c r="B84" s="133">
        <v>3.93</v>
      </c>
      <c r="C84" s="8">
        <v>0</v>
      </c>
      <c r="D84" s="45">
        <f>'Facility Risk - Eli Lilly'!$C84/$C$151</f>
        <v>0</v>
      </c>
    </row>
    <row r="85" spans="1:4" ht="19" x14ac:dyDescent="0.25">
      <c r="A85" s="57" t="s">
        <v>120</v>
      </c>
      <c r="B85" s="134">
        <v>5.82</v>
      </c>
      <c r="C85" s="9">
        <v>0</v>
      </c>
      <c r="D85" s="46">
        <f>'Facility Risk - Eli Lilly'!$C85/$C$151</f>
        <v>0</v>
      </c>
    </row>
    <row r="86" spans="1:4" ht="19" x14ac:dyDescent="0.25">
      <c r="A86" s="58" t="s">
        <v>121</v>
      </c>
      <c r="B86" s="135">
        <v>5.58</v>
      </c>
      <c r="C86" s="8">
        <v>0</v>
      </c>
      <c r="D86" s="45">
        <f>'Facility Risk - Eli Lilly'!$C86/$C$151</f>
        <v>0</v>
      </c>
    </row>
    <row r="87" spans="1:4" ht="19" x14ac:dyDescent="0.25">
      <c r="A87" s="57" t="s">
        <v>122</v>
      </c>
      <c r="B87" s="136">
        <v>4.03</v>
      </c>
      <c r="C87" s="9">
        <v>0</v>
      </c>
      <c r="D87" s="46">
        <f>'Facility Risk - Eli Lilly'!$C87/$C$151</f>
        <v>0</v>
      </c>
    </row>
    <row r="88" spans="1:4" ht="19" x14ac:dyDescent="0.25">
      <c r="A88" s="58" t="s">
        <v>123</v>
      </c>
      <c r="B88" s="137">
        <v>7.1</v>
      </c>
      <c r="C88" s="8">
        <v>0</v>
      </c>
      <c r="D88" s="45">
        <f>'Facility Risk - Eli Lilly'!$C88/$C$151</f>
        <v>0</v>
      </c>
    </row>
    <row r="89" spans="1:4" ht="19" x14ac:dyDescent="0.25">
      <c r="A89" s="57" t="s">
        <v>124</v>
      </c>
      <c r="B89" s="138">
        <v>6.28</v>
      </c>
      <c r="C89" s="9">
        <v>0</v>
      </c>
      <c r="D89" s="46">
        <f>'Facility Risk - Eli Lilly'!$C89/$C$151</f>
        <v>0</v>
      </c>
    </row>
    <row r="90" spans="1:4" ht="19" x14ac:dyDescent="0.25">
      <c r="A90" s="58" t="s">
        <v>125</v>
      </c>
      <c r="B90" s="139">
        <v>3.47</v>
      </c>
      <c r="C90" s="8">
        <v>0</v>
      </c>
      <c r="D90" s="45">
        <f>'Facility Risk - Eli Lilly'!$C90/$C$151</f>
        <v>0</v>
      </c>
    </row>
    <row r="91" spans="1:4" ht="19" x14ac:dyDescent="0.25">
      <c r="A91" s="57" t="s">
        <v>126</v>
      </c>
      <c r="B91" s="140">
        <v>5.42</v>
      </c>
      <c r="C91" s="9">
        <v>0.04</v>
      </c>
      <c r="D91" s="46">
        <f>'Facility Risk - Eli Lilly'!$C91/$C$151</f>
        <v>4.1666666666666671E-2</v>
      </c>
    </row>
    <row r="92" spans="1:4" ht="19" x14ac:dyDescent="0.25">
      <c r="A92" s="58" t="s">
        <v>127</v>
      </c>
      <c r="B92" s="127">
        <v>5.14</v>
      </c>
      <c r="C92" s="8">
        <v>0</v>
      </c>
      <c r="D92" s="45">
        <f>'Facility Risk - Eli Lilly'!$C92/$C$151</f>
        <v>0</v>
      </c>
    </row>
    <row r="93" spans="1:4" ht="19" x14ac:dyDescent="0.25">
      <c r="A93" s="57" t="s">
        <v>128</v>
      </c>
      <c r="B93" s="141">
        <v>4.6500000000000004</v>
      </c>
      <c r="C93" s="9">
        <v>0</v>
      </c>
      <c r="D93" s="46">
        <f>'Facility Risk - Eli Lilly'!$C93/$C$151</f>
        <v>0</v>
      </c>
    </row>
    <row r="94" spans="1:4" ht="19" x14ac:dyDescent="0.25">
      <c r="A94" s="58" t="s">
        <v>129</v>
      </c>
      <c r="B94" s="142">
        <v>5.0999999999999996</v>
      </c>
      <c r="C94" s="8">
        <v>0</v>
      </c>
      <c r="D94" s="45">
        <f>'Facility Risk - Eli Lilly'!$C94/$C$151</f>
        <v>0</v>
      </c>
    </row>
    <row r="95" spans="1:4" ht="19" x14ac:dyDescent="0.25">
      <c r="A95" s="57" t="s">
        <v>130</v>
      </c>
      <c r="B95" s="70">
        <v>6.3</v>
      </c>
      <c r="C95" s="9">
        <v>0</v>
      </c>
      <c r="D95" s="46">
        <f>'Facility Risk - Eli Lilly'!$C95/$C$151</f>
        <v>0</v>
      </c>
    </row>
    <row r="96" spans="1:4" ht="19" x14ac:dyDescent="0.25">
      <c r="A96" s="58" t="s">
        <v>131</v>
      </c>
      <c r="B96" s="143">
        <v>4.6399999999999997</v>
      </c>
      <c r="C96" s="8">
        <v>0</v>
      </c>
      <c r="D96" s="45">
        <f>'Facility Risk - Eli Lilly'!$C96/$C$151</f>
        <v>0</v>
      </c>
    </row>
    <row r="97" spans="1:4" ht="19" x14ac:dyDescent="0.25">
      <c r="A97" s="57" t="s">
        <v>132</v>
      </c>
      <c r="B97" s="104">
        <v>5.78</v>
      </c>
      <c r="C97" s="9">
        <v>0</v>
      </c>
      <c r="D97" s="46">
        <f>'Facility Risk - Eli Lilly'!$C97/$C$151</f>
        <v>0</v>
      </c>
    </row>
    <row r="98" spans="1:4" ht="19" x14ac:dyDescent="0.25">
      <c r="A98" s="58" t="s">
        <v>133</v>
      </c>
      <c r="B98" s="144">
        <v>3.59</v>
      </c>
      <c r="C98" s="8">
        <v>0.04</v>
      </c>
      <c r="D98" s="45">
        <f>'Facility Risk - Eli Lilly'!$C98/$C$151</f>
        <v>4.1666666666666671E-2</v>
      </c>
    </row>
    <row r="99" spans="1:4" ht="19" x14ac:dyDescent="0.25">
      <c r="A99" s="57" t="s">
        <v>134</v>
      </c>
      <c r="B99" s="145">
        <v>3.32</v>
      </c>
      <c r="C99" s="9">
        <v>0</v>
      </c>
      <c r="D99" s="46">
        <f>'Facility Risk - Eli Lilly'!$C99/$C$151</f>
        <v>0</v>
      </c>
    </row>
    <row r="100" spans="1:4" ht="19" x14ac:dyDescent="0.25">
      <c r="A100" s="58" t="s">
        <v>135</v>
      </c>
      <c r="B100" s="146">
        <v>5.8</v>
      </c>
      <c r="C100" s="8">
        <v>0</v>
      </c>
      <c r="D100" s="45">
        <f>'Facility Risk - Eli Lilly'!$C100/$C$151</f>
        <v>0</v>
      </c>
    </row>
    <row r="101" spans="1:4" ht="19" x14ac:dyDescent="0.25">
      <c r="A101" s="57" t="s">
        <v>136</v>
      </c>
      <c r="B101" s="147">
        <v>7.07</v>
      </c>
      <c r="C101" s="9">
        <v>0</v>
      </c>
      <c r="D101" s="46">
        <f>'Facility Risk - Eli Lilly'!$C101/$C$151</f>
        <v>0</v>
      </c>
    </row>
    <row r="102" spans="1:4" ht="19" x14ac:dyDescent="0.25">
      <c r="A102" s="58" t="s">
        <v>137</v>
      </c>
      <c r="B102" s="148">
        <v>6.5</v>
      </c>
      <c r="C102" s="8">
        <v>0</v>
      </c>
      <c r="D102" s="45">
        <f>'Facility Risk - Eli Lilly'!$C102/$C$151</f>
        <v>0</v>
      </c>
    </row>
    <row r="103" spans="1:4" ht="19" x14ac:dyDescent="0.25">
      <c r="A103" s="57" t="s">
        <v>138</v>
      </c>
      <c r="B103" s="149">
        <v>4.16</v>
      </c>
      <c r="C103" s="9">
        <v>0</v>
      </c>
      <c r="D103" s="46">
        <f>'Facility Risk - Eli Lilly'!$C103/$C$151</f>
        <v>0</v>
      </c>
    </row>
    <row r="104" spans="1:4" ht="19" x14ac:dyDescent="0.25">
      <c r="A104" s="58" t="s">
        <v>139</v>
      </c>
      <c r="B104" s="114">
        <v>3.38</v>
      </c>
      <c r="C104" s="8">
        <v>0</v>
      </c>
      <c r="D104" s="45">
        <f>'Facility Risk - Eli Lilly'!$C104/$C$151</f>
        <v>0</v>
      </c>
    </row>
    <row r="105" spans="1:4" ht="19" x14ac:dyDescent="0.25">
      <c r="A105" s="57" t="s">
        <v>140</v>
      </c>
      <c r="B105" s="150">
        <v>4.0199999999999996</v>
      </c>
      <c r="C105" s="9">
        <v>0</v>
      </c>
      <c r="D105" s="46">
        <f>'Facility Risk - Eli Lilly'!$C105/$C$151</f>
        <v>0</v>
      </c>
    </row>
    <row r="106" spans="1:4" ht="19" x14ac:dyDescent="0.25">
      <c r="A106" s="58" t="s">
        <v>141</v>
      </c>
      <c r="B106" s="151">
        <v>6.65</v>
      </c>
      <c r="C106" s="8">
        <v>0</v>
      </c>
      <c r="D106" s="45">
        <f>'Facility Risk - Eli Lilly'!$C106/$C$151</f>
        <v>0</v>
      </c>
    </row>
    <row r="107" spans="1:4" ht="19" x14ac:dyDescent="0.25">
      <c r="A107" s="57" t="s">
        <v>142</v>
      </c>
      <c r="B107" s="152">
        <v>4.5599999999999996</v>
      </c>
      <c r="C107" s="9">
        <v>0</v>
      </c>
      <c r="D107" s="46">
        <f>'Facility Risk - Eli Lilly'!$C107/$C$151</f>
        <v>0</v>
      </c>
    </row>
    <row r="108" spans="1:4" ht="19" x14ac:dyDescent="0.25">
      <c r="A108" s="58" t="s">
        <v>143</v>
      </c>
      <c r="B108" s="76">
        <v>5.34</v>
      </c>
      <c r="C108" s="8">
        <v>0</v>
      </c>
      <c r="D108" s="45">
        <f>'Facility Risk - Eli Lilly'!$C108/$C$151</f>
        <v>0</v>
      </c>
    </row>
    <row r="109" spans="1:4" ht="19" x14ac:dyDescent="0.25">
      <c r="A109" s="57" t="s">
        <v>144</v>
      </c>
      <c r="B109" s="153">
        <v>4.72</v>
      </c>
      <c r="C109" s="9">
        <v>0</v>
      </c>
      <c r="D109" s="46">
        <f>'Facility Risk - Eli Lilly'!$C109/$C$151</f>
        <v>0</v>
      </c>
    </row>
    <row r="110" spans="1:4" ht="19" x14ac:dyDescent="0.25">
      <c r="A110" s="58" t="s">
        <v>145</v>
      </c>
      <c r="B110" s="154">
        <v>5.28</v>
      </c>
      <c r="C110" s="8">
        <v>0</v>
      </c>
      <c r="D110" s="45">
        <f>'Facility Risk - Eli Lilly'!$C110/$C$151</f>
        <v>0</v>
      </c>
    </row>
    <row r="111" spans="1:4" ht="19" x14ac:dyDescent="0.25">
      <c r="A111" s="57" t="s">
        <v>146</v>
      </c>
      <c r="B111" s="146">
        <v>5.8</v>
      </c>
      <c r="C111" s="9">
        <v>0</v>
      </c>
      <c r="D111" s="46">
        <f>'Facility Risk - Eli Lilly'!$C111/$C$151</f>
        <v>0</v>
      </c>
    </row>
    <row r="112" spans="1:4" ht="19" x14ac:dyDescent="0.25">
      <c r="A112" s="58" t="s">
        <v>147</v>
      </c>
      <c r="B112" s="155">
        <v>4.1500000000000004</v>
      </c>
      <c r="C112" s="8">
        <v>0</v>
      </c>
      <c r="D112" s="45">
        <f>'Facility Risk - Eli Lilly'!$C112/$C$151</f>
        <v>0</v>
      </c>
    </row>
    <row r="113" spans="1:4" ht="19" x14ac:dyDescent="0.25">
      <c r="A113" s="57" t="s">
        <v>148</v>
      </c>
      <c r="B113" s="156">
        <v>3.43</v>
      </c>
      <c r="C113" s="9">
        <v>0</v>
      </c>
      <c r="D113" s="46">
        <f>'Facility Risk - Eli Lilly'!$C113/$C$151</f>
        <v>0</v>
      </c>
    </row>
    <row r="114" spans="1:4" ht="19" x14ac:dyDescent="0.25">
      <c r="A114" s="58" t="s">
        <v>149</v>
      </c>
      <c r="B114" s="93">
        <v>3.2</v>
      </c>
      <c r="C114" s="8">
        <v>0</v>
      </c>
      <c r="D114" s="45">
        <f>'Facility Risk - Eli Lilly'!$C114/$C$151</f>
        <v>0</v>
      </c>
    </row>
    <row r="115" spans="1:4" ht="19" x14ac:dyDescent="0.25">
      <c r="A115" s="57" t="s">
        <v>150</v>
      </c>
      <c r="B115" s="157">
        <v>4.05</v>
      </c>
      <c r="C115" s="9">
        <v>0</v>
      </c>
      <c r="D115" s="46">
        <f>'Facility Risk - Eli Lilly'!$C115/$C$151</f>
        <v>0</v>
      </c>
    </row>
    <row r="116" spans="1:4" ht="19" x14ac:dyDescent="0.25">
      <c r="A116" s="58" t="s">
        <v>151</v>
      </c>
      <c r="B116" s="158">
        <v>5.96</v>
      </c>
      <c r="C116" s="8">
        <v>0</v>
      </c>
      <c r="D116" s="45">
        <f>'Facility Risk - Eli Lilly'!$C116/$C$151</f>
        <v>0</v>
      </c>
    </row>
    <row r="117" spans="1:4" ht="19" x14ac:dyDescent="0.25">
      <c r="A117" s="57" t="s">
        <v>152</v>
      </c>
      <c r="B117" s="159">
        <v>5.47</v>
      </c>
      <c r="C117" s="9">
        <v>0</v>
      </c>
      <c r="D117" s="46">
        <f>'Facility Risk - Eli Lilly'!$C117/$C$151</f>
        <v>0</v>
      </c>
    </row>
    <row r="118" spans="1:4" ht="19" x14ac:dyDescent="0.25">
      <c r="A118" s="58" t="s">
        <v>153</v>
      </c>
      <c r="B118" s="79">
        <v>4.42</v>
      </c>
      <c r="C118" s="8">
        <v>0</v>
      </c>
      <c r="D118" s="45">
        <f>'Facility Risk - Eli Lilly'!$C118/$C$151</f>
        <v>0</v>
      </c>
    </row>
    <row r="119" spans="1:4" ht="19" x14ac:dyDescent="0.25">
      <c r="A119" s="57" t="s">
        <v>154</v>
      </c>
      <c r="B119" s="160">
        <v>5.4</v>
      </c>
      <c r="C119" s="9">
        <v>0</v>
      </c>
      <c r="D119" s="46">
        <f>'Facility Risk - Eli Lilly'!$C119/$C$151</f>
        <v>0</v>
      </c>
    </row>
    <row r="120" spans="1:4" ht="19" x14ac:dyDescent="0.25">
      <c r="A120" s="58" t="s">
        <v>155</v>
      </c>
      <c r="B120" s="161">
        <v>5.04</v>
      </c>
      <c r="C120" s="8">
        <v>0</v>
      </c>
      <c r="D120" s="45">
        <f>'Facility Risk - Eli Lilly'!$C120/$C$151</f>
        <v>0</v>
      </c>
    </row>
    <row r="121" spans="1:4" ht="19" x14ac:dyDescent="0.25">
      <c r="A121" s="57" t="s">
        <v>156</v>
      </c>
      <c r="B121" s="162">
        <v>5.64</v>
      </c>
      <c r="C121" s="9">
        <v>0</v>
      </c>
      <c r="D121" s="46">
        <f>'Facility Risk - Eli Lilly'!$C121/$C$151</f>
        <v>0</v>
      </c>
    </row>
    <row r="122" spans="1:4" ht="19" x14ac:dyDescent="0.25">
      <c r="A122" s="58" t="s">
        <v>157</v>
      </c>
      <c r="B122" s="163">
        <v>3.04</v>
      </c>
      <c r="C122" s="8">
        <v>0</v>
      </c>
      <c r="D122" s="45">
        <f>'Facility Risk - Eli Lilly'!$C122/$C$151</f>
        <v>0</v>
      </c>
    </row>
    <row r="123" spans="1:4" ht="19" x14ac:dyDescent="0.25">
      <c r="A123" s="57" t="s">
        <v>158</v>
      </c>
      <c r="B123" s="164">
        <v>3.79</v>
      </c>
      <c r="C123" s="9">
        <v>0</v>
      </c>
      <c r="D123" s="46">
        <f>'Facility Risk - Eli Lilly'!$C123/$C$151</f>
        <v>0</v>
      </c>
    </row>
    <row r="124" spans="1:4" ht="19" x14ac:dyDescent="0.25">
      <c r="A124" s="58" t="s">
        <v>159</v>
      </c>
      <c r="B124" s="165">
        <v>3.48</v>
      </c>
      <c r="C124" s="8">
        <v>0</v>
      </c>
      <c r="D124" s="45">
        <f>'Facility Risk - Eli Lilly'!$C124/$C$151</f>
        <v>0</v>
      </c>
    </row>
    <row r="125" spans="1:4" ht="19" x14ac:dyDescent="0.25">
      <c r="A125" s="57" t="s">
        <v>160</v>
      </c>
      <c r="B125" s="166">
        <v>5.22</v>
      </c>
      <c r="C125" s="9">
        <v>0</v>
      </c>
      <c r="D125" s="46">
        <f>'Facility Risk - Eli Lilly'!$C125/$C$151</f>
        <v>0</v>
      </c>
    </row>
    <row r="126" spans="1:4" ht="19" x14ac:dyDescent="0.25">
      <c r="A126" s="58" t="s">
        <v>161</v>
      </c>
      <c r="B126" s="167">
        <v>3.57</v>
      </c>
      <c r="C126" s="8">
        <v>0</v>
      </c>
      <c r="D126" s="45">
        <f>'Facility Risk - Eli Lilly'!$C126/$C$151</f>
        <v>0</v>
      </c>
    </row>
    <row r="127" spans="1:4" ht="19" x14ac:dyDescent="0.25">
      <c r="A127" s="57" t="s">
        <v>162</v>
      </c>
      <c r="B127" s="168">
        <v>3.7</v>
      </c>
      <c r="C127" s="9">
        <v>0.04</v>
      </c>
      <c r="D127" s="46">
        <f>'Facility Risk - Eli Lilly'!$C127/$C$151</f>
        <v>4.1666666666666671E-2</v>
      </c>
    </row>
    <row r="128" spans="1:4" ht="19" x14ac:dyDescent="0.25">
      <c r="A128" s="58" t="s">
        <v>163</v>
      </c>
      <c r="B128" s="169">
        <v>5.1100000000000003</v>
      </c>
      <c r="C128" s="8">
        <v>0</v>
      </c>
      <c r="D128" s="45">
        <f>'Facility Risk - Eli Lilly'!$C128/$C$151</f>
        <v>0</v>
      </c>
    </row>
    <row r="129" spans="1:4" ht="19" x14ac:dyDescent="0.25">
      <c r="A129" s="57" t="s">
        <v>164</v>
      </c>
      <c r="B129" s="137">
        <v>7.1</v>
      </c>
      <c r="C129" s="9">
        <v>0</v>
      </c>
      <c r="D129" s="46">
        <f>'Facility Risk - Eli Lilly'!$C129/$C$151</f>
        <v>0</v>
      </c>
    </row>
    <row r="130" spans="1:4" ht="19" x14ac:dyDescent="0.25">
      <c r="A130" s="58" t="s">
        <v>165</v>
      </c>
      <c r="B130" s="170">
        <v>3.52</v>
      </c>
      <c r="C130" s="8">
        <v>0</v>
      </c>
      <c r="D130" s="45">
        <f>'Facility Risk - Eli Lilly'!$C130/$C$151</f>
        <v>0</v>
      </c>
    </row>
    <row r="131" spans="1:4" ht="19" x14ac:dyDescent="0.25">
      <c r="A131" s="57" t="s">
        <v>166</v>
      </c>
      <c r="B131" s="171">
        <v>2.78</v>
      </c>
      <c r="C131" s="9">
        <v>0</v>
      </c>
      <c r="D131" s="46">
        <f>'Facility Risk - Eli Lilly'!$C131/$C$151</f>
        <v>0</v>
      </c>
    </row>
    <row r="132" spans="1:4" ht="19" x14ac:dyDescent="0.25">
      <c r="A132" s="59" t="s">
        <v>167</v>
      </c>
      <c r="B132" s="172">
        <v>7.33</v>
      </c>
      <c r="C132" s="8">
        <v>0</v>
      </c>
      <c r="D132" s="45">
        <f>'Facility Risk - Eli Lilly'!$C132/$C$151</f>
        <v>0</v>
      </c>
    </row>
    <row r="133" spans="1:4" ht="19" x14ac:dyDescent="0.25">
      <c r="A133" s="57" t="s">
        <v>168</v>
      </c>
      <c r="B133" s="173">
        <v>5.69</v>
      </c>
      <c r="C133" s="9">
        <v>0</v>
      </c>
      <c r="D133" s="46">
        <f>'Facility Risk - Eli Lilly'!$C133/$C$151</f>
        <v>0</v>
      </c>
    </row>
    <row r="134" spans="1:4" ht="19" x14ac:dyDescent="0.25">
      <c r="A134" s="58" t="s">
        <v>169</v>
      </c>
      <c r="B134" s="63">
        <v>5.21</v>
      </c>
      <c r="C134" s="8">
        <v>0</v>
      </c>
      <c r="D134" s="45">
        <f>'Facility Risk - Eli Lilly'!$C134/$C$151</f>
        <v>0</v>
      </c>
    </row>
    <row r="135" spans="1:4" ht="19" x14ac:dyDescent="0.25">
      <c r="A135" s="57" t="s">
        <v>170</v>
      </c>
      <c r="B135" s="174">
        <v>5.15</v>
      </c>
      <c r="C135" s="9">
        <v>0</v>
      </c>
      <c r="D135" s="46">
        <f>'Facility Risk - Eli Lilly'!$C135/$C$151</f>
        <v>0</v>
      </c>
    </row>
    <row r="136" spans="1:4" ht="19" x14ac:dyDescent="0.25">
      <c r="A136" s="58" t="s">
        <v>171</v>
      </c>
      <c r="B136" s="175">
        <v>5.87</v>
      </c>
      <c r="C136" s="8">
        <v>0</v>
      </c>
      <c r="D136" s="45">
        <f>'Facility Risk - Eli Lilly'!$C136/$C$151</f>
        <v>0</v>
      </c>
    </row>
    <row r="137" spans="1:4" ht="19" x14ac:dyDescent="0.25">
      <c r="A137" s="57" t="s">
        <v>172</v>
      </c>
      <c r="B137" s="176">
        <v>4.38</v>
      </c>
      <c r="C137" s="9">
        <v>0</v>
      </c>
      <c r="D137" s="46">
        <f>'Facility Risk - Eli Lilly'!$C137/$C$151</f>
        <v>0</v>
      </c>
    </row>
    <row r="138" spans="1:4" ht="19" x14ac:dyDescent="0.25">
      <c r="A138" s="58" t="s">
        <v>173</v>
      </c>
      <c r="B138" s="177">
        <v>5.13</v>
      </c>
      <c r="C138" s="8">
        <v>0</v>
      </c>
      <c r="D138" s="45">
        <f>'Facility Risk - Eli Lilly'!$C138/$C$151</f>
        <v>0</v>
      </c>
    </row>
    <row r="139" spans="1:4" ht="19" x14ac:dyDescent="0.25">
      <c r="A139" s="57" t="s">
        <v>174</v>
      </c>
      <c r="B139" s="178">
        <v>5.26</v>
      </c>
      <c r="C139" s="9">
        <v>0</v>
      </c>
      <c r="D139" s="46">
        <f>'Facility Risk - Eli Lilly'!$C139/$C$151</f>
        <v>0</v>
      </c>
    </row>
    <row r="140" spans="1:4" ht="19" x14ac:dyDescent="0.25">
      <c r="A140" s="58" t="s">
        <v>175</v>
      </c>
      <c r="B140" s="179">
        <v>6.29</v>
      </c>
      <c r="C140" s="8">
        <v>0</v>
      </c>
      <c r="D140" s="45">
        <f>'Facility Risk - Eli Lilly'!$C140/$C$151</f>
        <v>0</v>
      </c>
    </row>
    <row r="141" spans="1:4" ht="19" x14ac:dyDescent="0.25">
      <c r="A141" s="57" t="s">
        <v>176</v>
      </c>
      <c r="B141" s="180">
        <v>6.35</v>
      </c>
      <c r="C141" s="9">
        <v>0</v>
      </c>
      <c r="D141" s="46">
        <f>'Facility Risk - Eli Lilly'!$C141/$C$151</f>
        <v>0</v>
      </c>
    </row>
    <row r="142" spans="1:4" ht="19" x14ac:dyDescent="0.25">
      <c r="A142" s="58" t="s">
        <v>177</v>
      </c>
      <c r="B142" s="181">
        <v>3.72</v>
      </c>
      <c r="C142" s="8">
        <v>0</v>
      </c>
      <c r="D142" s="45">
        <f>'Facility Risk - Eli Lilly'!$C142/$C$151</f>
        <v>0</v>
      </c>
    </row>
    <row r="143" spans="1:4" ht="19" x14ac:dyDescent="0.25">
      <c r="A143" s="57" t="s">
        <v>178</v>
      </c>
      <c r="B143" s="145">
        <v>3.32</v>
      </c>
      <c r="C143" s="9">
        <v>0.04</v>
      </c>
      <c r="D143" s="46">
        <f>'Facility Risk - Eli Lilly'!$C143/$C$151</f>
        <v>4.1666666666666671E-2</v>
      </c>
    </row>
    <row r="144" spans="1:4" ht="19" x14ac:dyDescent="0.25">
      <c r="A144" s="58" t="s">
        <v>179</v>
      </c>
      <c r="B144" s="182">
        <v>4.1900000000000004</v>
      </c>
      <c r="C144" s="8">
        <v>0.4</v>
      </c>
      <c r="D144" s="45">
        <f>'Facility Risk - Eli Lilly'!$C144/$C$151</f>
        <v>0.41666666666666669</v>
      </c>
    </row>
    <row r="145" spans="1:4" ht="19" x14ac:dyDescent="0.25">
      <c r="A145" s="57" t="s">
        <v>180</v>
      </c>
      <c r="B145" s="183">
        <v>3.91</v>
      </c>
      <c r="C145" s="9">
        <v>0</v>
      </c>
      <c r="D145" s="46">
        <f>'Facility Risk - Eli Lilly'!$C145/$C$151</f>
        <v>0</v>
      </c>
    </row>
    <row r="146" spans="1:4" ht="19" x14ac:dyDescent="0.25">
      <c r="A146" s="58" t="s">
        <v>181</v>
      </c>
      <c r="B146" s="112">
        <v>5.77</v>
      </c>
      <c r="C146" s="8">
        <v>0</v>
      </c>
      <c r="D146" s="45">
        <f>'Facility Risk - Eli Lilly'!$C146/$C$151</f>
        <v>0</v>
      </c>
    </row>
    <row r="147" spans="1:4" ht="19" x14ac:dyDescent="0.25">
      <c r="A147" s="57" t="s">
        <v>182</v>
      </c>
      <c r="B147" s="184">
        <v>4.32</v>
      </c>
      <c r="C147" s="9">
        <v>0</v>
      </c>
      <c r="D147" s="46">
        <f>'Facility Risk - Eli Lilly'!$C147/$C$151</f>
        <v>0</v>
      </c>
    </row>
    <row r="148" spans="1:4" ht="19" x14ac:dyDescent="0.25">
      <c r="A148" s="58" t="s">
        <v>183</v>
      </c>
      <c r="B148" s="70">
        <v>6.3</v>
      </c>
      <c r="C148" s="8">
        <v>0</v>
      </c>
      <c r="D148" s="45">
        <f>'Facility Risk - Eli Lilly'!$C148/$C$151</f>
        <v>0</v>
      </c>
    </row>
    <row r="149" spans="1:4" ht="19" x14ac:dyDescent="0.25">
      <c r="A149" s="57" t="s">
        <v>184</v>
      </c>
      <c r="B149" s="185">
        <v>4.95</v>
      </c>
      <c r="C149" s="9">
        <v>0</v>
      </c>
      <c r="D149" s="46">
        <f>'Facility Risk - Eli Lilly'!$C149/$C$151</f>
        <v>0</v>
      </c>
    </row>
    <row r="150" spans="1:4" ht="19" x14ac:dyDescent="0.25">
      <c r="A150" s="60" t="s">
        <v>185</v>
      </c>
      <c r="B150" s="186">
        <v>6.14</v>
      </c>
      <c r="C150" s="10">
        <v>0</v>
      </c>
      <c r="D150" s="47">
        <f>'Facility Risk - Eli Lilly'!$C150/$C$151</f>
        <v>0</v>
      </c>
    </row>
    <row r="151" spans="1:4" ht="19" x14ac:dyDescent="0.25">
      <c r="A151" s="61" t="s">
        <v>186</v>
      </c>
      <c r="B151" s="5"/>
      <c r="C151" s="6">
        <f>SUM(C4:C150)</f>
        <v>0.96</v>
      </c>
      <c r="D151" s="48">
        <f>SUM(D4:D150)</f>
        <v>1</v>
      </c>
    </row>
  </sheetData>
  <mergeCells count="1">
    <mergeCell ref="A1:D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E332-FAD2-DE40-9336-B425D0BA6D90}">
  <dimension ref="A1:J151"/>
  <sheetViews>
    <sheetView workbookViewId="0">
      <selection activeCell="I17" sqref="I17"/>
    </sheetView>
  </sheetViews>
  <sheetFormatPr baseColWidth="10" defaultColWidth="11" defaultRowHeight="16" x14ac:dyDescent="0.2"/>
  <cols>
    <col min="1" max="1" width="23" bestFit="1" customWidth="1"/>
    <col min="2" max="2" width="32" bestFit="1" customWidth="1"/>
    <col min="3" max="3" width="33.6640625" bestFit="1" customWidth="1"/>
    <col min="4" max="4" width="42.6640625" bestFit="1" customWidth="1"/>
    <col min="5" max="5" width="16" bestFit="1" customWidth="1"/>
    <col min="7" max="7" width="29.33203125" bestFit="1" customWidth="1"/>
    <col min="8" max="8" width="13.6640625" bestFit="1" customWidth="1"/>
    <col min="9" max="9" width="22.5" bestFit="1" customWidth="1"/>
    <col min="10" max="10" width="12.33203125" bestFit="1" customWidth="1"/>
  </cols>
  <sheetData>
    <row r="1" spans="1:10" ht="17" customHeight="1" x14ac:dyDescent="0.2">
      <c r="A1" s="188" t="s">
        <v>11</v>
      </c>
      <c r="B1" s="189"/>
      <c r="C1" s="189"/>
      <c r="D1" s="189"/>
    </row>
    <row r="2" spans="1:10" ht="17" customHeight="1" thickBot="1" x14ac:dyDescent="0.25">
      <c r="A2" s="190"/>
      <c r="B2" s="191"/>
      <c r="C2" s="191"/>
      <c r="D2" s="191"/>
    </row>
    <row r="3" spans="1:10" ht="20" thickTop="1" x14ac:dyDescent="0.25">
      <c r="A3" s="12" t="s">
        <v>27</v>
      </c>
      <c r="B3" s="13" t="s">
        <v>28</v>
      </c>
      <c r="C3" s="14" t="s">
        <v>29</v>
      </c>
      <c r="D3" s="7" t="s">
        <v>30</v>
      </c>
    </row>
    <row r="4" spans="1:10" ht="20" thickBot="1" x14ac:dyDescent="0.3">
      <c r="A4" s="56" t="s">
        <v>31</v>
      </c>
      <c r="B4" s="62">
        <v>4.37</v>
      </c>
      <c r="C4" s="15">
        <v>0</v>
      </c>
      <c r="D4" s="45">
        <f>'Facility Risk - L''Oreal'!$C4/$C$151</f>
        <v>0</v>
      </c>
      <c r="E4" s="1"/>
      <c r="F4" s="3"/>
    </row>
    <row r="5" spans="1:10" ht="20" thickBot="1" x14ac:dyDescent="0.3">
      <c r="A5" s="57" t="s">
        <v>32</v>
      </c>
      <c r="B5" s="63">
        <v>5.21</v>
      </c>
      <c r="C5" s="9">
        <v>0</v>
      </c>
      <c r="D5" s="46">
        <f>'Facility Risk - L''Oreal'!$C5/$C$151</f>
        <v>0</v>
      </c>
      <c r="E5" s="1"/>
      <c r="F5" s="3"/>
      <c r="G5" s="32" t="s">
        <v>33</v>
      </c>
      <c r="H5" s="33"/>
      <c r="I5" s="33"/>
      <c r="J5" s="34"/>
    </row>
    <row r="6" spans="1:10" ht="20" thickBot="1" x14ac:dyDescent="0.3">
      <c r="A6" s="58" t="s">
        <v>34</v>
      </c>
      <c r="B6" s="64">
        <v>5.63</v>
      </c>
      <c r="C6" s="8">
        <v>0</v>
      </c>
      <c r="D6" s="45">
        <f>'Facility Risk - L''Oreal'!$C6/$C$151</f>
        <v>0</v>
      </c>
      <c r="E6" s="1"/>
      <c r="F6" s="3"/>
      <c r="G6" s="20"/>
      <c r="H6" s="21" t="s">
        <v>35</v>
      </c>
      <c r="I6" s="22" t="s">
        <v>36</v>
      </c>
      <c r="J6" s="23" t="s">
        <v>37</v>
      </c>
    </row>
    <row r="7" spans="1:10" ht="19" x14ac:dyDescent="0.25">
      <c r="A7" s="57" t="s">
        <v>38</v>
      </c>
      <c r="B7" s="65">
        <v>4.3600000000000003</v>
      </c>
      <c r="C7" s="9">
        <v>0</v>
      </c>
      <c r="D7" s="46">
        <f>'Facility Risk - L''Oreal'!$C7/$C$151</f>
        <v>0</v>
      </c>
      <c r="E7" s="1"/>
      <c r="F7" s="3"/>
      <c r="G7" s="24" t="s">
        <v>39</v>
      </c>
      <c r="H7" s="25" t="str">
        <f>INDEX(A4:A150,MATCH(MIN(D4:D150),D4:D150,0))</f>
        <v>Albania</v>
      </c>
      <c r="I7" s="25">
        <f>INDEX(B4:B150,MATCH(MIN(D4:D150),D4:D150,0))</f>
        <v>4.37</v>
      </c>
      <c r="J7" s="26">
        <f>INDEX(D4:D150,MATCH(MIN(D4:D150),D4:D150,0))</f>
        <v>0</v>
      </c>
    </row>
    <row r="8" spans="1:10" ht="20" thickBot="1" x14ac:dyDescent="0.3">
      <c r="A8" s="58" t="s">
        <v>40</v>
      </c>
      <c r="B8" s="66">
        <v>4.79</v>
      </c>
      <c r="C8" s="8">
        <v>0</v>
      </c>
      <c r="D8" s="45">
        <f>'Facility Risk - L''Oreal'!$C8/$C$151</f>
        <v>0</v>
      </c>
      <c r="E8" s="1"/>
      <c r="F8" s="3"/>
      <c r="G8" s="27" t="s">
        <v>41</v>
      </c>
      <c r="H8" s="28" t="str">
        <f>INDEX(A4:A150,MATCH(MAX(D4:D150),D4:D150,0))</f>
        <v>United States</v>
      </c>
      <c r="I8" s="28">
        <f>INDEX(B4:B150,MATCH(MAX(D4:D150),D4:D150,0))</f>
        <v>4.1900000000000004</v>
      </c>
      <c r="J8" s="31">
        <f>INDEX(D4:D150,MATCH(MAX(D4:D150),D4:D150,0))</f>
        <v>0.25259896041583363</v>
      </c>
    </row>
    <row r="9" spans="1:10" ht="23" thickBot="1" x14ac:dyDescent="0.35">
      <c r="A9" s="57" t="s">
        <v>42</v>
      </c>
      <c r="B9" s="67">
        <v>3.22</v>
      </c>
      <c r="C9" s="9">
        <v>1.1000000000000001E-2</v>
      </c>
      <c r="D9" s="46">
        <f>'Facility Risk - L''Oreal'!$C9/$C$151</f>
        <v>1.0995601759296281E-2</v>
      </c>
      <c r="E9" s="1"/>
      <c r="F9" s="3"/>
      <c r="G9" s="30" t="s">
        <v>43</v>
      </c>
      <c r="H9" s="29"/>
      <c r="I9" s="29"/>
      <c r="J9" s="187">
        <f>SUMPRODUCT(B4:B150,D4:D150)</f>
        <v>4.110906637345062</v>
      </c>
    </row>
    <row r="10" spans="1:10" ht="19" x14ac:dyDescent="0.25">
      <c r="A10" s="58" t="s">
        <v>44</v>
      </c>
      <c r="B10" s="68">
        <v>3.41</v>
      </c>
      <c r="C10" s="8">
        <v>0</v>
      </c>
      <c r="D10" s="45">
        <f>'Facility Risk - L''Oreal'!$C10/$C$151</f>
        <v>0</v>
      </c>
      <c r="E10" s="1"/>
      <c r="F10" s="3"/>
    </row>
    <row r="11" spans="1:10" ht="19" x14ac:dyDescent="0.25">
      <c r="A11" s="57" t="s">
        <v>45</v>
      </c>
      <c r="B11" s="63">
        <v>5.21</v>
      </c>
      <c r="C11" s="9">
        <v>0</v>
      </c>
      <c r="D11" s="46">
        <f>'Facility Risk - L''Oreal'!$C11/$C$151</f>
        <v>0</v>
      </c>
      <c r="E11" s="1"/>
      <c r="F11" s="3"/>
    </row>
    <row r="12" spans="1:10" ht="19" x14ac:dyDescent="0.25">
      <c r="A12" s="58" t="s">
        <v>46</v>
      </c>
      <c r="B12" s="69">
        <v>4.26</v>
      </c>
      <c r="C12" s="8">
        <v>0</v>
      </c>
      <c r="D12" s="45">
        <f>'Facility Risk - L''Oreal'!$C12/$C$151</f>
        <v>0</v>
      </c>
      <c r="E12" s="1"/>
      <c r="F12" s="3"/>
    </row>
    <row r="13" spans="1:10" ht="19" x14ac:dyDescent="0.25">
      <c r="A13" s="57" t="s">
        <v>47</v>
      </c>
      <c r="B13" s="70">
        <v>6.29</v>
      </c>
      <c r="C13" s="9">
        <v>0</v>
      </c>
      <c r="D13" s="46">
        <f>'Facility Risk - L''Oreal'!$C13/$C$151</f>
        <v>0</v>
      </c>
      <c r="E13" s="1"/>
      <c r="F13" s="3"/>
    </row>
    <row r="14" spans="1:10" ht="19" x14ac:dyDescent="0.25">
      <c r="A14" s="58" t="s">
        <v>48</v>
      </c>
      <c r="B14" s="71">
        <v>5.45</v>
      </c>
      <c r="C14" s="8">
        <v>0</v>
      </c>
      <c r="D14" s="45">
        <f>'Facility Risk - L''Oreal'!$C14/$C$151</f>
        <v>0</v>
      </c>
      <c r="E14" s="1"/>
      <c r="F14" s="3"/>
    </row>
    <row r="15" spans="1:10" ht="19" x14ac:dyDescent="0.25">
      <c r="A15" s="57" t="s">
        <v>49</v>
      </c>
      <c r="B15" s="72">
        <v>3.33</v>
      </c>
      <c r="C15" s="9">
        <v>1.1000000000000001E-2</v>
      </c>
      <c r="D15" s="46">
        <f>'Facility Risk - L''Oreal'!$C15/$C$151</f>
        <v>1.0995601759296281E-2</v>
      </c>
      <c r="E15" s="1"/>
      <c r="F15" s="3"/>
    </row>
    <row r="16" spans="1:10" ht="19" x14ac:dyDescent="0.25">
      <c r="A16" s="58" t="s">
        <v>50</v>
      </c>
      <c r="B16" s="73">
        <v>6</v>
      </c>
      <c r="C16" s="8">
        <v>0</v>
      </c>
      <c r="D16" s="45">
        <f>'Facility Risk - L''Oreal'!$C16/$C$151</f>
        <v>0</v>
      </c>
      <c r="E16" s="1"/>
      <c r="F16" s="3"/>
    </row>
    <row r="17" spans="1:6" ht="19" x14ac:dyDescent="0.25">
      <c r="A17" s="57" t="s">
        <v>51</v>
      </c>
      <c r="B17" s="74">
        <v>5.0199999999999996</v>
      </c>
      <c r="C17" s="9">
        <v>0</v>
      </c>
      <c r="D17" s="46">
        <f>'Facility Risk - L''Oreal'!$C17/$C$151</f>
        <v>0</v>
      </c>
      <c r="E17" s="1"/>
      <c r="F17" s="3"/>
    </row>
    <row r="18" spans="1:6" ht="19" x14ac:dyDescent="0.25">
      <c r="A18" s="58" t="s">
        <v>52</v>
      </c>
      <c r="B18" s="75">
        <v>5.41</v>
      </c>
      <c r="C18" s="8">
        <v>0</v>
      </c>
      <c r="D18" s="45">
        <f>'Facility Risk - L''Oreal'!$C18/$C$151</f>
        <v>0</v>
      </c>
      <c r="E18" s="1"/>
      <c r="F18" s="3"/>
    </row>
    <row r="19" spans="1:6" ht="19" x14ac:dyDescent="0.25">
      <c r="A19" s="57" t="s">
        <v>53</v>
      </c>
      <c r="B19" s="76">
        <v>5.34</v>
      </c>
      <c r="C19" s="9">
        <v>0</v>
      </c>
      <c r="D19" s="46">
        <f>'Facility Risk - L''Oreal'!$C19/$C$151</f>
        <v>0</v>
      </c>
      <c r="E19" s="1"/>
      <c r="F19" s="3"/>
    </row>
    <row r="20" spans="1:6" ht="19" x14ac:dyDescent="0.25">
      <c r="A20" s="58" t="s">
        <v>54</v>
      </c>
      <c r="B20" s="77">
        <v>4.34</v>
      </c>
      <c r="C20" s="8">
        <v>0</v>
      </c>
      <c r="D20" s="45">
        <f>'Facility Risk - L''Oreal'!$C20/$C$151</f>
        <v>0</v>
      </c>
      <c r="E20" s="1"/>
      <c r="F20" s="3"/>
    </row>
    <row r="21" spans="1:6" ht="19" x14ac:dyDescent="0.25">
      <c r="A21" s="57" t="s">
        <v>55</v>
      </c>
      <c r="B21" s="78">
        <v>5.35</v>
      </c>
      <c r="C21" s="9">
        <v>3.3000000000000002E-2</v>
      </c>
      <c r="D21" s="46">
        <f>'Facility Risk - L''Oreal'!$C21/$C$151</f>
        <v>3.2986805277888838E-2</v>
      </c>
      <c r="E21" s="1"/>
      <c r="F21" s="3"/>
    </row>
    <row r="22" spans="1:6" ht="19" x14ac:dyDescent="0.25">
      <c r="A22" s="58" t="s">
        <v>56</v>
      </c>
      <c r="B22" s="79">
        <v>4.43</v>
      </c>
      <c r="C22" s="8">
        <v>0</v>
      </c>
      <c r="D22" s="45">
        <f>'Facility Risk - L''Oreal'!$C22/$C$151</f>
        <v>0</v>
      </c>
      <c r="E22" s="1"/>
      <c r="F22" s="3"/>
    </row>
    <row r="23" spans="1:6" ht="19" x14ac:dyDescent="0.25">
      <c r="A23" s="57" t="s">
        <v>57</v>
      </c>
      <c r="B23" s="80">
        <v>6.55</v>
      </c>
      <c r="C23" s="9">
        <v>0</v>
      </c>
      <c r="D23" s="46">
        <f>'Facility Risk - L''Oreal'!$C23/$C$151</f>
        <v>0</v>
      </c>
      <c r="E23" s="1"/>
      <c r="F23" s="3"/>
    </row>
    <row r="24" spans="1:6" ht="19" x14ac:dyDescent="0.25">
      <c r="A24" s="58" t="s">
        <v>58</v>
      </c>
      <c r="B24" s="81">
        <v>6.33</v>
      </c>
      <c r="C24" s="8">
        <v>0</v>
      </c>
      <c r="D24" s="45">
        <f>'Facility Risk - L''Oreal'!$C24/$C$151</f>
        <v>0</v>
      </c>
      <c r="E24" s="1"/>
      <c r="F24" s="3"/>
    </row>
    <row r="25" spans="1:6" ht="19" x14ac:dyDescent="0.25">
      <c r="A25" s="57" t="s">
        <v>59</v>
      </c>
      <c r="B25" s="64">
        <v>5.64</v>
      </c>
      <c r="C25" s="9">
        <v>0</v>
      </c>
      <c r="D25" s="46">
        <f>'Facility Risk - L''Oreal'!$C25/$C$151</f>
        <v>0</v>
      </c>
      <c r="E25" s="1"/>
      <c r="F25" s="3"/>
    </row>
    <row r="26" spans="1:6" ht="19" x14ac:dyDescent="0.25">
      <c r="A26" s="58" t="s">
        <v>60</v>
      </c>
      <c r="B26" s="82">
        <v>6.83</v>
      </c>
      <c r="C26" s="8">
        <v>0</v>
      </c>
      <c r="D26" s="45">
        <f>'Facility Risk - L''Oreal'!$C26/$C$151</f>
        <v>0</v>
      </c>
      <c r="E26" s="1"/>
      <c r="F26" s="3"/>
    </row>
    <row r="27" spans="1:6" ht="19" x14ac:dyDescent="0.25">
      <c r="A27" s="57" t="s">
        <v>61</v>
      </c>
      <c r="B27" s="83">
        <v>3.44</v>
      </c>
      <c r="C27" s="9">
        <v>2.2000000000000002E-2</v>
      </c>
      <c r="D27" s="46">
        <f>'Facility Risk - L''Oreal'!$C27/$C$151</f>
        <v>2.1991203518592562E-2</v>
      </c>
      <c r="E27" s="1"/>
      <c r="F27" s="3"/>
    </row>
    <row r="28" spans="1:6" ht="19" x14ac:dyDescent="0.25">
      <c r="A28" s="58" t="s">
        <v>62</v>
      </c>
      <c r="B28" s="84">
        <v>6.79</v>
      </c>
      <c r="C28" s="8">
        <v>0</v>
      </c>
      <c r="D28" s="45">
        <f>'Facility Risk - L''Oreal'!$C28/$C$151</f>
        <v>0</v>
      </c>
      <c r="E28" s="1"/>
      <c r="F28" s="3"/>
    </row>
    <row r="29" spans="1:6" ht="19" x14ac:dyDescent="0.25">
      <c r="A29" s="57" t="s">
        <v>63</v>
      </c>
      <c r="B29" s="82">
        <v>6.84</v>
      </c>
      <c r="C29" s="9">
        <v>0</v>
      </c>
      <c r="D29" s="46">
        <f>'Facility Risk - L''Oreal'!$C29/$C$151</f>
        <v>0</v>
      </c>
      <c r="E29" s="1"/>
      <c r="F29" s="3"/>
    </row>
    <row r="30" spans="1:6" ht="19" x14ac:dyDescent="0.25">
      <c r="A30" s="58" t="s">
        <v>64</v>
      </c>
      <c r="B30" s="65">
        <v>4.3600000000000003</v>
      </c>
      <c r="C30" s="8">
        <v>0</v>
      </c>
      <c r="D30" s="45">
        <f>'Facility Risk - L''Oreal'!$C30/$C$151</f>
        <v>0</v>
      </c>
      <c r="E30" s="1"/>
      <c r="F30" s="3"/>
    </row>
    <row r="31" spans="1:6" ht="19" x14ac:dyDescent="0.25">
      <c r="A31" s="57" t="s">
        <v>65</v>
      </c>
      <c r="B31" s="85">
        <v>4.26</v>
      </c>
      <c r="C31" s="9">
        <v>4.4000000000000004E-2</v>
      </c>
      <c r="D31" s="46">
        <f>'Facility Risk - L''Oreal'!$C31/$C$151</f>
        <v>4.3982407037185124E-2</v>
      </c>
      <c r="E31" s="50" t="s">
        <v>66</v>
      </c>
    </row>
    <row r="32" spans="1:6" ht="19" x14ac:dyDescent="0.25">
      <c r="A32" s="58" t="s">
        <v>67</v>
      </c>
      <c r="B32" s="86">
        <v>5.72</v>
      </c>
      <c r="C32" s="8">
        <v>1.1000000000000001E-2</v>
      </c>
      <c r="D32" s="45">
        <f>'Facility Risk - L''Oreal'!$C32/$C$151</f>
        <v>1.0995601759296281E-2</v>
      </c>
    </row>
    <row r="33" spans="1:4" ht="19" x14ac:dyDescent="0.25">
      <c r="A33" s="57" t="s">
        <v>68</v>
      </c>
      <c r="B33" s="87">
        <v>5.65</v>
      </c>
      <c r="C33" s="9">
        <v>0</v>
      </c>
      <c r="D33" s="46">
        <f>'Facility Risk - L''Oreal'!$C33/$C$151</f>
        <v>0</v>
      </c>
    </row>
    <row r="34" spans="1:4" ht="19" x14ac:dyDescent="0.25">
      <c r="A34" s="58" t="s">
        <v>69</v>
      </c>
      <c r="B34" s="88">
        <v>4.2300000000000004</v>
      </c>
      <c r="C34" s="8">
        <v>0</v>
      </c>
      <c r="D34" s="45">
        <f>'Facility Risk - L''Oreal'!$C34/$C$151</f>
        <v>0</v>
      </c>
    </row>
    <row r="35" spans="1:4" ht="19" x14ac:dyDescent="0.25">
      <c r="A35" s="57" t="s">
        <v>70</v>
      </c>
      <c r="B35" s="89">
        <v>5.6</v>
      </c>
      <c r="C35" s="9">
        <v>0</v>
      </c>
      <c r="D35" s="46">
        <f>'Facility Risk - L''Oreal'!$C35/$C$151</f>
        <v>0</v>
      </c>
    </row>
    <row r="36" spans="1:4" ht="19" x14ac:dyDescent="0.25">
      <c r="A36" s="58" t="s">
        <v>71</v>
      </c>
      <c r="B36" s="90">
        <v>4.28</v>
      </c>
      <c r="C36" s="8">
        <v>0</v>
      </c>
      <c r="D36" s="45">
        <f>'Facility Risk - L''Oreal'!$C36/$C$151</f>
        <v>0</v>
      </c>
    </row>
    <row r="37" spans="1:4" ht="19" x14ac:dyDescent="0.25">
      <c r="A37" s="57" t="s">
        <v>72</v>
      </c>
      <c r="B37" s="91">
        <v>4.67</v>
      </c>
      <c r="C37" s="9">
        <v>0</v>
      </c>
      <c r="D37" s="46">
        <f>'Facility Risk - L''Oreal'!$C37/$C$151</f>
        <v>0</v>
      </c>
    </row>
    <row r="38" spans="1:4" ht="19" x14ac:dyDescent="0.25">
      <c r="A38" s="58" t="s">
        <v>73</v>
      </c>
      <c r="B38" s="92">
        <v>3.75</v>
      </c>
      <c r="C38" s="8">
        <v>0</v>
      </c>
      <c r="D38" s="45">
        <f>'Facility Risk - L''Oreal'!$C38/$C$151</f>
        <v>0</v>
      </c>
    </row>
    <row r="39" spans="1:4" ht="19" x14ac:dyDescent="0.25">
      <c r="A39" s="57" t="s">
        <v>74</v>
      </c>
      <c r="B39" s="93">
        <v>3.2</v>
      </c>
      <c r="C39" s="9">
        <v>1.1000000000000001E-2</v>
      </c>
      <c r="D39" s="46">
        <f>'Facility Risk - L''Oreal'!$C39/$C$151</f>
        <v>1.0995601759296281E-2</v>
      </c>
    </row>
    <row r="40" spans="1:4" ht="19" x14ac:dyDescent="0.25">
      <c r="A40" s="58" t="s">
        <v>75</v>
      </c>
      <c r="B40" s="94">
        <v>5.98</v>
      </c>
      <c r="C40" s="8">
        <v>0</v>
      </c>
      <c r="D40" s="45">
        <f>'Facility Risk - L''Oreal'!$C40/$C$151</f>
        <v>0</v>
      </c>
    </row>
    <row r="41" spans="1:4" ht="19" x14ac:dyDescent="0.25">
      <c r="A41" s="57" t="s">
        <v>76</v>
      </c>
      <c r="B41" s="95">
        <v>4.7</v>
      </c>
      <c r="C41" s="9">
        <v>0</v>
      </c>
      <c r="D41" s="46">
        <f>'Facility Risk - L''Oreal'!$C41/$C$151</f>
        <v>0</v>
      </c>
    </row>
    <row r="42" spans="1:4" ht="19" x14ac:dyDescent="0.25">
      <c r="A42" s="58" t="s">
        <v>77</v>
      </c>
      <c r="B42" s="96">
        <v>5.71</v>
      </c>
      <c r="C42" s="8">
        <v>0</v>
      </c>
      <c r="D42" s="45">
        <f>'Facility Risk - L''Oreal'!$C42/$C$151</f>
        <v>0</v>
      </c>
    </row>
    <row r="43" spans="1:4" ht="19" x14ac:dyDescent="0.25">
      <c r="A43" s="57" t="s">
        <v>78</v>
      </c>
      <c r="B43" s="97">
        <v>5.6</v>
      </c>
      <c r="C43" s="9">
        <v>1.1000000000000001E-2</v>
      </c>
      <c r="D43" s="46">
        <f>'Facility Risk - L''Oreal'!$C43/$C$151</f>
        <v>1.0995601759296281E-2</v>
      </c>
    </row>
    <row r="44" spans="1:4" ht="19" x14ac:dyDescent="0.25">
      <c r="A44" s="58" t="s">
        <v>79</v>
      </c>
      <c r="B44" s="98">
        <v>4.79</v>
      </c>
      <c r="C44" s="8">
        <v>0</v>
      </c>
      <c r="D44" s="45">
        <f>'Facility Risk - L''Oreal'!$C44/$C$151</f>
        <v>0</v>
      </c>
    </row>
    <row r="45" spans="1:4" ht="19" x14ac:dyDescent="0.25">
      <c r="A45" s="57" t="s">
        <v>80</v>
      </c>
      <c r="B45" s="99">
        <v>3.57</v>
      </c>
      <c r="C45" s="9">
        <v>0</v>
      </c>
      <c r="D45" s="46">
        <f>'Facility Risk - L''Oreal'!$C45/$C$151</f>
        <v>0</v>
      </c>
    </row>
    <row r="46" spans="1:4" ht="19" x14ac:dyDescent="0.25">
      <c r="A46" s="58" t="s">
        <v>81</v>
      </c>
      <c r="B46" s="100">
        <v>4.5</v>
      </c>
      <c r="C46" s="8">
        <v>0</v>
      </c>
      <c r="D46" s="45">
        <f>'Facility Risk - L''Oreal'!$C46/$C$151</f>
        <v>0</v>
      </c>
    </row>
    <row r="47" spans="1:4" ht="19" x14ac:dyDescent="0.25">
      <c r="A47" s="57" t="s">
        <v>82</v>
      </c>
      <c r="B47" s="101">
        <v>6.93</v>
      </c>
      <c r="C47" s="9">
        <v>0</v>
      </c>
      <c r="D47" s="46">
        <f>'Facility Risk - L''Oreal'!$C47/$C$151</f>
        <v>0</v>
      </c>
    </row>
    <row r="48" spans="1:4" ht="19" x14ac:dyDescent="0.25">
      <c r="A48" s="58" t="s">
        <v>83</v>
      </c>
      <c r="B48" s="102">
        <v>3.35</v>
      </c>
      <c r="C48" s="8">
        <v>0</v>
      </c>
      <c r="D48" s="45">
        <f>'Facility Risk - L''Oreal'!$C48/$C$151</f>
        <v>0</v>
      </c>
    </row>
    <row r="49" spans="1:4" ht="19" x14ac:dyDescent="0.25">
      <c r="A49" s="57" t="s">
        <v>84</v>
      </c>
      <c r="B49" s="103">
        <v>3.65</v>
      </c>
      <c r="C49" s="9">
        <v>0.23079999999999998</v>
      </c>
      <c r="D49" s="46">
        <f>'Facility Risk - L''Oreal'!$C49/$C$151</f>
        <v>0.23070771691323463</v>
      </c>
    </row>
    <row r="50" spans="1:4" ht="19" x14ac:dyDescent="0.25">
      <c r="A50" s="58" t="s">
        <v>85</v>
      </c>
      <c r="B50" s="104">
        <v>5.78</v>
      </c>
      <c r="C50" s="8">
        <v>0</v>
      </c>
      <c r="D50" s="45">
        <f>'Facility Risk - L''Oreal'!$C50/$C$151</f>
        <v>0</v>
      </c>
    </row>
    <row r="51" spans="1:4" ht="19" x14ac:dyDescent="0.25">
      <c r="A51" s="57" t="s">
        <v>86</v>
      </c>
      <c r="B51" s="105">
        <v>5.38</v>
      </c>
      <c r="C51" s="9">
        <v>0</v>
      </c>
      <c r="D51" s="46">
        <f>'Facility Risk - L''Oreal'!$C51/$C$151</f>
        <v>0</v>
      </c>
    </row>
    <row r="52" spans="1:4" ht="19" x14ac:dyDescent="0.25">
      <c r="A52" s="58" t="s">
        <v>87</v>
      </c>
      <c r="B52" s="106">
        <v>4.93</v>
      </c>
      <c r="C52" s="8">
        <v>0</v>
      </c>
      <c r="D52" s="45">
        <f>'Facility Risk - L''Oreal'!$C52/$C$151</f>
        <v>0</v>
      </c>
    </row>
    <row r="53" spans="1:4" ht="19" x14ac:dyDescent="0.25">
      <c r="A53" s="57" t="s">
        <v>88</v>
      </c>
      <c r="B53" s="68">
        <v>3.42</v>
      </c>
      <c r="C53" s="9">
        <v>5.4900000000000004E-2</v>
      </c>
      <c r="D53" s="46">
        <f>'Facility Risk - L''Oreal'!$C53/$C$151</f>
        <v>5.4878048780487798E-2</v>
      </c>
    </row>
    <row r="54" spans="1:4" ht="19" x14ac:dyDescent="0.25">
      <c r="A54" s="58" t="s">
        <v>89</v>
      </c>
      <c r="B54" s="107">
        <v>4.63</v>
      </c>
      <c r="C54" s="8">
        <v>0</v>
      </c>
      <c r="D54" s="45">
        <f>'Facility Risk - L''Oreal'!$C54/$C$151</f>
        <v>0</v>
      </c>
    </row>
    <row r="55" spans="1:4" ht="19" x14ac:dyDescent="0.25">
      <c r="A55" s="57" t="s">
        <v>90</v>
      </c>
      <c r="B55" s="77">
        <v>4.34</v>
      </c>
      <c r="C55" s="9">
        <v>0</v>
      </c>
      <c r="D55" s="46">
        <f>'Facility Risk - L''Oreal'!$C55/$C$151</f>
        <v>0</v>
      </c>
    </row>
    <row r="56" spans="1:4" ht="19" x14ac:dyDescent="0.25">
      <c r="A56" s="58" t="s">
        <v>91</v>
      </c>
      <c r="B56" s="71">
        <v>5.45</v>
      </c>
      <c r="C56" s="8">
        <v>0</v>
      </c>
      <c r="D56" s="45">
        <f>'Facility Risk - L''Oreal'!$C56/$C$151</f>
        <v>0</v>
      </c>
    </row>
    <row r="57" spans="1:4" ht="19" x14ac:dyDescent="0.25">
      <c r="A57" s="57" t="s">
        <v>92</v>
      </c>
      <c r="B57" s="108">
        <v>6.36</v>
      </c>
      <c r="C57" s="9">
        <v>0</v>
      </c>
      <c r="D57" s="46">
        <f>'Facility Risk - L''Oreal'!$C57/$C$151</f>
        <v>0</v>
      </c>
    </row>
    <row r="58" spans="1:4" ht="19" x14ac:dyDescent="0.25">
      <c r="A58" s="58" t="s">
        <v>93</v>
      </c>
      <c r="B58" s="109">
        <v>5.94</v>
      </c>
      <c r="C58" s="8">
        <v>0</v>
      </c>
      <c r="D58" s="45">
        <f>'Facility Risk - L''Oreal'!$C58/$C$151</f>
        <v>0</v>
      </c>
    </row>
    <row r="59" spans="1:4" ht="19" x14ac:dyDescent="0.25">
      <c r="A59" s="57" t="s">
        <v>94</v>
      </c>
      <c r="B59" s="110">
        <v>4.92</v>
      </c>
      <c r="C59" s="9">
        <v>0</v>
      </c>
      <c r="D59" s="46">
        <f>'Facility Risk - L''Oreal'!$C59/$C$151</f>
        <v>0</v>
      </c>
    </row>
    <row r="60" spans="1:4" ht="19" x14ac:dyDescent="0.25">
      <c r="A60" s="58" t="s">
        <v>95</v>
      </c>
      <c r="B60" s="111">
        <v>6.53</v>
      </c>
      <c r="C60" s="8">
        <v>0</v>
      </c>
      <c r="D60" s="45">
        <f>'Facility Risk - L''Oreal'!$C60/$C$151</f>
        <v>0</v>
      </c>
    </row>
    <row r="61" spans="1:4" ht="19" x14ac:dyDescent="0.25">
      <c r="A61" s="57" t="s">
        <v>96</v>
      </c>
      <c r="B61" s="112">
        <v>5.77</v>
      </c>
      <c r="C61" s="9">
        <v>0</v>
      </c>
      <c r="D61" s="46">
        <f>'Facility Risk - L''Oreal'!$C61/$C$151</f>
        <v>0</v>
      </c>
    </row>
    <row r="62" spans="1:4" ht="19" x14ac:dyDescent="0.25">
      <c r="A62" s="58" t="s">
        <v>97</v>
      </c>
      <c r="B62" s="113">
        <v>3.63</v>
      </c>
      <c r="C62" s="8">
        <v>0</v>
      </c>
      <c r="D62" s="45">
        <f>'Facility Risk - L''Oreal'!$C62/$C$151</f>
        <v>0</v>
      </c>
    </row>
    <row r="63" spans="1:4" ht="19" x14ac:dyDescent="0.25">
      <c r="A63" s="57" t="s">
        <v>98</v>
      </c>
      <c r="B63" s="114">
        <v>3.38</v>
      </c>
      <c r="C63" s="9">
        <v>0</v>
      </c>
      <c r="D63" s="46">
        <f>'Facility Risk - L''Oreal'!$C63/$C$151</f>
        <v>0</v>
      </c>
    </row>
    <row r="64" spans="1:4" ht="19" x14ac:dyDescent="0.25">
      <c r="A64" s="58" t="s">
        <v>99</v>
      </c>
      <c r="B64" s="115">
        <v>5.07</v>
      </c>
      <c r="C64" s="8">
        <v>3.3000000000000002E-2</v>
      </c>
      <c r="D64" s="45">
        <f>'Facility Risk - L''Oreal'!$C64/$C$151</f>
        <v>3.2986805277888838E-2</v>
      </c>
    </row>
    <row r="65" spans="1:4" ht="19" x14ac:dyDescent="0.25">
      <c r="A65" s="57" t="s">
        <v>100</v>
      </c>
      <c r="B65" s="106">
        <v>4.92</v>
      </c>
      <c r="C65" s="9">
        <v>2.2000000000000002E-2</v>
      </c>
      <c r="D65" s="46">
        <f>'Facility Risk - L''Oreal'!$C65/$C$151</f>
        <v>2.1991203518592562E-2</v>
      </c>
    </row>
    <row r="66" spans="1:4" ht="19" x14ac:dyDescent="0.25">
      <c r="A66" s="58" t="s">
        <v>101</v>
      </c>
      <c r="B66" s="116">
        <v>5.88</v>
      </c>
      <c r="C66" s="8">
        <v>0</v>
      </c>
      <c r="D66" s="45">
        <f>'Facility Risk - L''Oreal'!$C66/$C$151</f>
        <v>0</v>
      </c>
    </row>
    <row r="67" spans="1:4" ht="19" x14ac:dyDescent="0.25">
      <c r="A67" s="57" t="s">
        <v>102</v>
      </c>
      <c r="B67" s="117">
        <v>6.05</v>
      </c>
      <c r="C67" s="9">
        <v>0</v>
      </c>
      <c r="D67" s="46">
        <f>'Facility Risk - L''Oreal'!$C67/$C$151</f>
        <v>0</v>
      </c>
    </row>
    <row r="68" spans="1:4" ht="19" x14ac:dyDescent="0.25">
      <c r="A68" s="58" t="s">
        <v>103</v>
      </c>
      <c r="B68" s="118">
        <v>3.25</v>
      </c>
      <c r="C68" s="8">
        <v>0</v>
      </c>
      <c r="D68" s="45">
        <f>'Facility Risk - L''Oreal'!$C68/$C$151</f>
        <v>0</v>
      </c>
    </row>
    <row r="69" spans="1:4" ht="19" x14ac:dyDescent="0.25">
      <c r="A69" s="57" t="s">
        <v>104</v>
      </c>
      <c r="B69" s="119">
        <v>4.6100000000000003</v>
      </c>
      <c r="C69" s="9">
        <v>2.2000000000000002E-2</v>
      </c>
      <c r="D69" s="46">
        <f>'Facility Risk - L''Oreal'!$C69/$C$151</f>
        <v>2.1991203518592562E-2</v>
      </c>
    </row>
    <row r="70" spans="1:4" ht="19" x14ac:dyDescent="0.25">
      <c r="A70" s="58" t="s">
        <v>105</v>
      </c>
      <c r="B70" s="120">
        <v>3.84</v>
      </c>
      <c r="C70" s="8">
        <v>1.1000000000000001E-2</v>
      </c>
      <c r="D70" s="45">
        <f>'Facility Risk - L''Oreal'!$C70/$C$151</f>
        <v>1.0995601759296281E-2</v>
      </c>
    </row>
    <row r="71" spans="1:4" ht="19" x14ac:dyDescent="0.25">
      <c r="A71" s="57" t="s">
        <v>106</v>
      </c>
      <c r="B71" s="121">
        <v>4.75</v>
      </c>
      <c r="C71" s="9">
        <v>0</v>
      </c>
      <c r="D71" s="46">
        <f>'Facility Risk - L''Oreal'!$C71/$C$151</f>
        <v>0</v>
      </c>
    </row>
    <row r="72" spans="1:4" ht="19" x14ac:dyDescent="0.25">
      <c r="A72" s="58" t="s">
        <v>107</v>
      </c>
      <c r="B72" s="114">
        <v>3.38</v>
      </c>
      <c r="C72" s="8">
        <v>2.2000000000000002E-2</v>
      </c>
      <c r="D72" s="45">
        <f>'Facility Risk - L''Oreal'!$C72/$C$151</f>
        <v>2.1991203518592562E-2</v>
      </c>
    </row>
    <row r="73" spans="1:4" ht="19" x14ac:dyDescent="0.25">
      <c r="A73" s="57" t="s">
        <v>108</v>
      </c>
      <c r="B73" s="122">
        <v>5.13</v>
      </c>
      <c r="C73" s="9">
        <v>0</v>
      </c>
      <c r="D73" s="46">
        <f>'Facility Risk - L''Oreal'!$C73/$C$151</f>
        <v>0</v>
      </c>
    </row>
    <row r="74" spans="1:4" ht="19" x14ac:dyDescent="0.25">
      <c r="A74" s="58" t="s">
        <v>109</v>
      </c>
      <c r="B74" s="123">
        <v>4.54</v>
      </c>
      <c r="C74" s="8">
        <v>0</v>
      </c>
      <c r="D74" s="45">
        <f>'Facility Risk - L''Oreal'!$C74/$C$151</f>
        <v>0</v>
      </c>
    </row>
    <row r="75" spans="1:4" ht="19" x14ac:dyDescent="0.25">
      <c r="A75" s="57" t="s">
        <v>110</v>
      </c>
      <c r="B75" s="124">
        <v>6.13</v>
      </c>
      <c r="C75" s="9">
        <v>0</v>
      </c>
      <c r="D75" s="46">
        <f>'Facility Risk - L''Oreal'!$C75/$C$151</f>
        <v>0</v>
      </c>
    </row>
    <row r="76" spans="1:4" ht="19" x14ac:dyDescent="0.25">
      <c r="A76" s="58" t="s">
        <v>111</v>
      </c>
      <c r="B76" s="125">
        <v>4.3</v>
      </c>
      <c r="C76" s="8">
        <v>0</v>
      </c>
      <c r="D76" s="45">
        <f>'Facility Risk - L''Oreal'!$C76/$C$151</f>
        <v>0</v>
      </c>
    </row>
    <row r="77" spans="1:4" ht="19" x14ac:dyDescent="0.25">
      <c r="A77" s="57" t="s">
        <v>112</v>
      </c>
      <c r="B77" s="126">
        <v>5.37</v>
      </c>
      <c r="C77" s="9">
        <v>0</v>
      </c>
      <c r="D77" s="46">
        <f>'Facility Risk - L''Oreal'!$C77/$C$151</f>
        <v>0</v>
      </c>
    </row>
    <row r="78" spans="1:4" ht="19" x14ac:dyDescent="0.25">
      <c r="A78" s="58" t="s">
        <v>113</v>
      </c>
      <c r="B78" s="127">
        <v>5.14</v>
      </c>
      <c r="C78" s="8">
        <v>0</v>
      </c>
      <c r="D78" s="45">
        <f>'Facility Risk - L''Oreal'!$C78/$C$151</f>
        <v>0</v>
      </c>
    </row>
    <row r="79" spans="1:4" ht="19" x14ac:dyDescent="0.25">
      <c r="A79" s="57" t="s">
        <v>114</v>
      </c>
      <c r="B79" s="128">
        <v>3.97</v>
      </c>
      <c r="C79" s="9">
        <v>0</v>
      </c>
      <c r="D79" s="46">
        <f>'Facility Risk - L''Oreal'!$C79/$C$151</f>
        <v>0</v>
      </c>
    </row>
    <row r="80" spans="1:4" ht="19" x14ac:dyDescent="0.25">
      <c r="A80" s="58" t="s">
        <v>115</v>
      </c>
      <c r="B80" s="129">
        <v>6.12</v>
      </c>
      <c r="C80" s="8">
        <v>0</v>
      </c>
      <c r="D80" s="45">
        <f>'Facility Risk - L''Oreal'!$C80/$C$151</f>
        <v>0</v>
      </c>
    </row>
    <row r="81" spans="1:4" ht="19" x14ac:dyDescent="0.25">
      <c r="A81" s="57" t="s">
        <v>116</v>
      </c>
      <c r="B81" s="130">
        <v>5.49</v>
      </c>
      <c r="C81" s="9">
        <v>0</v>
      </c>
      <c r="D81" s="46">
        <f>'Facility Risk - L''Oreal'!$C81/$C$151</f>
        <v>0</v>
      </c>
    </row>
    <row r="82" spans="1:4" ht="19" x14ac:dyDescent="0.25">
      <c r="A82" s="58" t="s">
        <v>117</v>
      </c>
      <c r="B82" s="131">
        <v>5.97</v>
      </c>
      <c r="C82" s="8">
        <v>0</v>
      </c>
      <c r="D82" s="45">
        <f>'Facility Risk - L''Oreal'!$C82/$C$151</f>
        <v>0</v>
      </c>
    </row>
    <row r="83" spans="1:4" ht="19" x14ac:dyDescent="0.25">
      <c r="A83" s="57" t="s">
        <v>118</v>
      </c>
      <c r="B83" s="132">
        <v>5.68</v>
      </c>
      <c r="C83" s="9">
        <v>0</v>
      </c>
      <c r="D83" s="46">
        <f>'Facility Risk - L''Oreal'!$C83/$C$151</f>
        <v>0</v>
      </c>
    </row>
    <row r="84" spans="1:4" ht="19" x14ac:dyDescent="0.25">
      <c r="A84" s="58" t="s">
        <v>119</v>
      </c>
      <c r="B84" s="133">
        <v>3.93</v>
      </c>
      <c r="C84" s="8">
        <v>0</v>
      </c>
      <c r="D84" s="45">
        <f>'Facility Risk - L''Oreal'!$C84/$C$151</f>
        <v>0</v>
      </c>
    </row>
    <row r="85" spans="1:4" ht="19" x14ac:dyDescent="0.25">
      <c r="A85" s="57" t="s">
        <v>120</v>
      </c>
      <c r="B85" s="134">
        <v>5.82</v>
      </c>
      <c r="C85" s="9">
        <v>0</v>
      </c>
      <c r="D85" s="46">
        <f>'Facility Risk - L''Oreal'!$C85/$C$151</f>
        <v>0</v>
      </c>
    </row>
    <row r="86" spans="1:4" ht="19" x14ac:dyDescent="0.25">
      <c r="A86" s="58" t="s">
        <v>121</v>
      </c>
      <c r="B86" s="135">
        <v>5.58</v>
      </c>
      <c r="C86" s="8">
        <v>0</v>
      </c>
      <c r="D86" s="45">
        <f>'Facility Risk - L''Oreal'!$C86/$C$151</f>
        <v>0</v>
      </c>
    </row>
    <row r="87" spans="1:4" ht="19" x14ac:dyDescent="0.25">
      <c r="A87" s="57" t="s">
        <v>122</v>
      </c>
      <c r="B87" s="136">
        <v>4.03</v>
      </c>
      <c r="C87" s="9">
        <v>0</v>
      </c>
      <c r="D87" s="46">
        <f>'Facility Risk - L''Oreal'!$C87/$C$151</f>
        <v>0</v>
      </c>
    </row>
    <row r="88" spans="1:4" ht="19" x14ac:dyDescent="0.25">
      <c r="A88" s="58" t="s">
        <v>123</v>
      </c>
      <c r="B88" s="137">
        <v>7.1</v>
      </c>
      <c r="C88" s="8">
        <v>0</v>
      </c>
      <c r="D88" s="45">
        <f>'Facility Risk - L''Oreal'!$C88/$C$151</f>
        <v>0</v>
      </c>
    </row>
    <row r="89" spans="1:4" ht="19" x14ac:dyDescent="0.25">
      <c r="A89" s="57" t="s">
        <v>124</v>
      </c>
      <c r="B89" s="138">
        <v>6.28</v>
      </c>
      <c r="C89" s="9">
        <v>0</v>
      </c>
      <c r="D89" s="46">
        <f>'Facility Risk - L''Oreal'!$C89/$C$151</f>
        <v>0</v>
      </c>
    </row>
    <row r="90" spans="1:4" ht="19" x14ac:dyDescent="0.25">
      <c r="A90" s="58" t="s">
        <v>125</v>
      </c>
      <c r="B90" s="139">
        <v>3.47</v>
      </c>
      <c r="C90" s="8">
        <v>0</v>
      </c>
      <c r="D90" s="45">
        <f>'Facility Risk - L''Oreal'!$C90/$C$151</f>
        <v>0</v>
      </c>
    </row>
    <row r="91" spans="1:4" ht="19" x14ac:dyDescent="0.25">
      <c r="A91" s="57" t="s">
        <v>126</v>
      </c>
      <c r="B91" s="140">
        <v>5.42</v>
      </c>
      <c r="C91" s="9">
        <v>4.4000000000000004E-2</v>
      </c>
      <c r="D91" s="46">
        <f>'Facility Risk - L''Oreal'!$C91/$C$151</f>
        <v>4.3982407037185124E-2</v>
      </c>
    </row>
    <row r="92" spans="1:4" ht="19" x14ac:dyDescent="0.25">
      <c r="A92" s="58" t="s">
        <v>127</v>
      </c>
      <c r="B92" s="127">
        <v>5.14</v>
      </c>
      <c r="C92" s="8">
        <v>0</v>
      </c>
      <c r="D92" s="45">
        <f>'Facility Risk - L''Oreal'!$C92/$C$151</f>
        <v>0</v>
      </c>
    </row>
    <row r="93" spans="1:4" ht="19" x14ac:dyDescent="0.25">
      <c r="A93" s="57" t="s">
        <v>128</v>
      </c>
      <c r="B93" s="141">
        <v>4.6500000000000004</v>
      </c>
      <c r="C93" s="9">
        <v>0</v>
      </c>
      <c r="D93" s="46">
        <f>'Facility Risk - L''Oreal'!$C93/$C$151</f>
        <v>0</v>
      </c>
    </row>
    <row r="94" spans="1:4" ht="19" x14ac:dyDescent="0.25">
      <c r="A94" s="58" t="s">
        <v>129</v>
      </c>
      <c r="B94" s="142">
        <v>5.0999999999999996</v>
      </c>
      <c r="C94" s="8">
        <v>0</v>
      </c>
      <c r="D94" s="45">
        <f>'Facility Risk - L''Oreal'!$C94/$C$151</f>
        <v>0</v>
      </c>
    </row>
    <row r="95" spans="1:4" ht="19" x14ac:dyDescent="0.25">
      <c r="A95" s="57" t="s">
        <v>130</v>
      </c>
      <c r="B95" s="70">
        <v>6.3</v>
      </c>
      <c r="C95" s="9">
        <v>0</v>
      </c>
      <c r="D95" s="46">
        <f>'Facility Risk - L''Oreal'!$C95/$C$151</f>
        <v>0</v>
      </c>
    </row>
    <row r="96" spans="1:4" ht="19" x14ac:dyDescent="0.25">
      <c r="A96" s="58" t="s">
        <v>131</v>
      </c>
      <c r="B96" s="143">
        <v>4.6399999999999997</v>
      </c>
      <c r="C96" s="8">
        <v>0</v>
      </c>
      <c r="D96" s="45">
        <f>'Facility Risk - L''Oreal'!$C96/$C$151</f>
        <v>0</v>
      </c>
    </row>
    <row r="97" spans="1:4" ht="19" x14ac:dyDescent="0.25">
      <c r="A97" s="57" t="s">
        <v>132</v>
      </c>
      <c r="B97" s="104">
        <v>5.78</v>
      </c>
      <c r="C97" s="9">
        <v>0</v>
      </c>
      <c r="D97" s="46">
        <f>'Facility Risk - L''Oreal'!$C97/$C$151</f>
        <v>0</v>
      </c>
    </row>
    <row r="98" spans="1:4" ht="19" x14ac:dyDescent="0.25">
      <c r="A98" s="58" t="s">
        <v>133</v>
      </c>
      <c r="B98" s="144">
        <v>3.59</v>
      </c>
      <c r="C98" s="8">
        <v>1.1000000000000001E-2</v>
      </c>
      <c r="D98" s="45">
        <f>'Facility Risk - L''Oreal'!$C98/$C$151</f>
        <v>1.0995601759296281E-2</v>
      </c>
    </row>
    <row r="99" spans="1:4" ht="19" x14ac:dyDescent="0.25">
      <c r="A99" s="57" t="s">
        <v>134</v>
      </c>
      <c r="B99" s="145">
        <v>3.32</v>
      </c>
      <c r="C99" s="9">
        <v>1.1000000000000001E-2</v>
      </c>
      <c r="D99" s="46">
        <f>'Facility Risk - L''Oreal'!$C99/$C$151</f>
        <v>1.0995601759296281E-2</v>
      </c>
    </row>
    <row r="100" spans="1:4" ht="19" x14ac:dyDescent="0.25">
      <c r="A100" s="58" t="s">
        <v>135</v>
      </c>
      <c r="B100" s="146">
        <v>5.8</v>
      </c>
      <c r="C100" s="8">
        <v>0</v>
      </c>
      <c r="D100" s="45">
        <f>'Facility Risk - L''Oreal'!$C100/$C$151</f>
        <v>0</v>
      </c>
    </row>
    <row r="101" spans="1:4" ht="19" x14ac:dyDescent="0.25">
      <c r="A101" s="57" t="s">
        <v>136</v>
      </c>
      <c r="B101" s="147">
        <v>7.07</v>
      </c>
      <c r="C101" s="9">
        <v>0</v>
      </c>
      <c r="D101" s="46">
        <f>'Facility Risk - L''Oreal'!$C101/$C$151</f>
        <v>0</v>
      </c>
    </row>
    <row r="102" spans="1:4" ht="19" x14ac:dyDescent="0.25">
      <c r="A102" s="58" t="s">
        <v>137</v>
      </c>
      <c r="B102" s="148">
        <v>6.5</v>
      </c>
      <c r="C102" s="8">
        <v>0</v>
      </c>
      <c r="D102" s="45">
        <f>'Facility Risk - L''Oreal'!$C102/$C$151</f>
        <v>0</v>
      </c>
    </row>
    <row r="103" spans="1:4" ht="19" x14ac:dyDescent="0.25">
      <c r="A103" s="57" t="s">
        <v>138</v>
      </c>
      <c r="B103" s="149">
        <v>4.16</v>
      </c>
      <c r="C103" s="9">
        <v>0</v>
      </c>
      <c r="D103" s="46">
        <f>'Facility Risk - L''Oreal'!$C103/$C$151</f>
        <v>0</v>
      </c>
    </row>
    <row r="104" spans="1:4" ht="19" x14ac:dyDescent="0.25">
      <c r="A104" s="58" t="s">
        <v>139</v>
      </c>
      <c r="B104" s="114">
        <v>3.38</v>
      </c>
      <c r="C104" s="8">
        <v>0</v>
      </c>
      <c r="D104" s="45">
        <f>'Facility Risk - L''Oreal'!$C104/$C$151</f>
        <v>0</v>
      </c>
    </row>
    <row r="105" spans="1:4" ht="19" x14ac:dyDescent="0.25">
      <c r="A105" s="57" t="s">
        <v>140</v>
      </c>
      <c r="B105" s="150">
        <v>4.0199999999999996</v>
      </c>
      <c r="C105" s="9">
        <v>0</v>
      </c>
      <c r="D105" s="46">
        <f>'Facility Risk - L''Oreal'!$C105/$C$151</f>
        <v>0</v>
      </c>
    </row>
    <row r="106" spans="1:4" ht="19" x14ac:dyDescent="0.25">
      <c r="A106" s="58" t="s">
        <v>141</v>
      </c>
      <c r="B106" s="151">
        <v>6.65</v>
      </c>
      <c r="C106" s="8">
        <v>0</v>
      </c>
      <c r="D106" s="45">
        <f>'Facility Risk - L''Oreal'!$C106/$C$151</f>
        <v>0</v>
      </c>
    </row>
    <row r="107" spans="1:4" ht="19" x14ac:dyDescent="0.25">
      <c r="A107" s="57" t="s">
        <v>142</v>
      </c>
      <c r="B107" s="152">
        <v>4.5599999999999996</v>
      </c>
      <c r="C107" s="9">
        <v>0</v>
      </c>
      <c r="D107" s="46">
        <f>'Facility Risk - L''Oreal'!$C107/$C$151</f>
        <v>0</v>
      </c>
    </row>
    <row r="108" spans="1:4" ht="19" x14ac:dyDescent="0.25">
      <c r="A108" s="58" t="s">
        <v>143</v>
      </c>
      <c r="B108" s="76">
        <v>5.34</v>
      </c>
      <c r="C108" s="8">
        <v>0</v>
      </c>
      <c r="D108" s="45">
        <f>'Facility Risk - L''Oreal'!$C108/$C$151</f>
        <v>0</v>
      </c>
    </row>
    <row r="109" spans="1:4" ht="19" x14ac:dyDescent="0.25">
      <c r="A109" s="57" t="s">
        <v>144</v>
      </c>
      <c r="B109" s="153">
        <v>4.72</v>
      </c>
      <c r="C109" s="9">
        <v>0</v>
      </c>
      <c r="D109" s="46">
        <f>'Facility Risk - L''Oreal'!$C109/$C$151</f>
        <v>0</v>
      </c>
    </row>
    <row r="110" spans="1:4" ht="19" x14ac:dyDescent="0.25">
      <c r="A110" s="58" t="s">
        <v>145</v>
      </c>
      <c r="B110" s="154">
        <v>5.28</v>
      </c>
      <c r="C110" s="8">
        <v>0</v>
      </c>
      <c r="D110" s="45">
        <f>'Facility Risk - L''Oreal'!$C110/$C$151</f>
        <v>0</v>
      </c>
    </row>
    <row r="111" spans="1:4" ht="19" x14ac:dyDescent="0.25">
      <c r="A111" s="57" t="s">
        <v>146</v>
      </c>
      <c r="B111" s="146">
        <v>5.8</v>
      </c>
      <c r="C111" s="9">
        <v>0</v>
      </c>
      <c r="D111" s="46">
        <f>'Facility Risk - L''Oreal'!$C111/$C$151</f>
        <v>0</v>
      </c>
    </row>
    <row r="112" spans="1:4" ht="19" x14ac:dyDescent="0.25">
      <c r="A112" s="58" t="s">
        <v>147</v>
      </c>
      <c r="B112" s="155">
        <v>4.1500000000000004</v>
      </c>
      <c r="C112" s="8">
        <v>2.2000000000000002E-2</v>
      </c>
      <c r="D112" s="45">
        <f>'Facility Risk - L''Oreal'!$C112/$C$151</f>
        <v>2.1991203518592562E-2</v>
      </c>
    </row>
    <row r="113" spans="1:4" ht="19" x14ac:dyDescent="0.25">
      <c r="A113" s="57" t="s">
        <v>148</v>
      </c>
      <c r="B113" s="156">
        <v>3.43</v>
      </c>
      <c r="C113" s="9">
        <v>0</v>
      </c>
      <c r="D113" s="46">
        <f>'Facility Risk - L''Oreal'!$C113/$C$151</f>
        <v>0</v>
      </c>
    </row>
    <row r="114" spans="1:4" ht="19" x14ac:dyDescent="0.25">
      <c r="A114" s="58" t="s">
        <v>149</v>
      </c>
      <c r="B114" s="93">
        <v>3.2</v>
      </c>
      <c r="C114" s="8">
        <v>0</v>
      </c>
      <c r="D114" s="45">
        <f>'Facility Risk - L''Oreal'!$C114/$C$151</f>
        <v>0</v>
      </c>
    </row>
    <row r="115" spans="1:4" ht="19" x14ac:dyDescent="0.25">
      <c r="A115" s="57" t="s">
        <v>150</v>
      </c>
      <c r="B115" s="157">
        <v>4.05</v>
      </c>
      <c r="C115" s="9">
        <v>0</v>
      </c>
      <c r="D115" s="46">
        <f>'Facility Risk - L''Oreal'!$C115/$C$151</f>
        <v>0</v>
      </c>
    </row>
    <row r="116" spans="1:4" ht="19" x14ac:dyDescent="0.25">
      <c r="A116" s="58" t="s">
        <v>151</v>
      </c>
      <c r="B116" s="158">
        <v>5.96</v>
      </c>
      <c r="C116" s="8">
        <v>1.1000000000000001E-2</v>
      </c>
      <c r="D116" s="45">
        <f>'Facility Risk - L''Oreal'!$C116/$C$151</f>
        <v>1.0995601759296281E-2</v>
      </c>
    </row>
    <row r="117" spans="1:4" ht="19" x14ac:dyDescent="0.25">
      <c r="A117" s="57" t="s">
        <v>152</v>
      </c>
      <c r="B117" s="159">
        <v>5.47</v>
      </c>
      <c r="C117" s="9">
        <v>0</v>
      </c>
      <c r="D117" s="46">
        <f>'Facility Risk - L''Oreal'!$C117/$C$151</f>
        <v>0</v>
      </c>
    </row>
    <row r="118" spans="1:4" ht="19" x14ac:dyDescent="0.25">
      <c r="A118" s="58" t="s">
        <v>153</v>
      </c>
      <c r="B118" s="79">
        <v>4.42</v>
      </c>
      <c r="C118" s="8">
        <v>0</v>
      </c>
      <c r="D118" s="45">
        <f>'Facility Risk - L''Oreal'!$C118/$C$151</f>
        <v>0</v>
      </c>
    </row>
    <row r="119" spans="1:4" ht="19" x14ac:dyDescent="0.25">
      <c r="A119" s="57" t="s">
        <v>154</v>
      </c>
      <c r="B119" s="160">
        <v>5.4</v>
      </c>
      <c r="C119" s="9">
        <v>0</v>
      </c>
      <c r="D119" s="46">
        <f>'Facility Risk - L''Oreal'!$C119/$C$151</f>
        <v>0</v>
      </c>
    </row>
    <row r="120" spans="1:4" ht="19" x14ac:dyDescent="0.25">
      <c r="A120" s="58" t="s">
        <v>155</v>
      </c>
      <c r="B120" s="161">
        <v>5.04</v>
      </c>
      <c r="C120" s="8">
        <v>0</v>
      </c>
      <c r="D120" s="45">
        <f>'Facility Risk - L''Oreal'!$C120/$C$151</f>
        <v>0</v>
      </c>
    </row>
    <row r="121" spans="1:4" ht="19" x14ac:dyDescent="0.25">
      <c r="A121" s="57" t="s">
        <v>156</v>
      </c>
      <c r="B121" s="162">
        <v>5.64</v>
      </c>
      <c r="C121" s="9">
        <v>0</v>
      </c>
      <c r="D121" s="46">
        <f>'Facility Risk - L''Oreal'!$C121/$C$151</f>
        <v>0</v>
      </c>
    </row>
    <row r="122" spans="1:4" ht="19" x14ac:dyDescent="0.25">
      <c r="A122" s="58" t="s">
        <v>157</v>
      </c>
      <c r="B122" s="163">
        <v>3.04</v>
      </c>
      <c r="C122" s="8">
        <v>1.1000000000000001E-2</v>
      </c>
      <c r="D122" s="45">
        <f>'Facility Risk - L''Oreal'!$C122/$C$151</f>
        <v>1.0995601759296281E-2</v>
      </c>
    </row>
    <row r="123" spans="1:4" ht="19" x14ac:dyDescent="0.25">
      <c r="A123" s="57" t="s">
        <v>158</v>
      </c>
      <c r="B123" s="164">
        <v>3.79</v>
      </c>
      <c r="C123" s="9">
        <v>0</v>
      </c>
      <c r="D123" s="46">
        <f>'Facility Risk - L''Oreal'!$C123/$C$151</f>
        <v>0</v>
      </c>
    </row>
    <row r="124" spans="1:4" ht="19" x14ac:dyDescent="0.25">
      <c r="A124" s="58" t="s">
        <v>159</v>
      </c>
      <c r="B124" s="165">
        <v>3.48</v>
      </c>
      <c r="C124" s="8">
        <v>0</v>
      </c>
      <c r="D124" s="45">
        <f>'Facility Risk - L''Oreal'!$C124/$C$151</f>
        <v>0</v>
      </c>
    </row>
    <row r="125" spans="1:4" ht="19" x14ac:dyDescent="0.25">
      <c r="A125" s="57" t="s">
        <v>160</v>
      </c>
      <c r="B125" s="166">
        <v>5.22</v>
      </c>
      <c r="C125" s="9">
        <v>1.1000000000000001E-2</v>
      </c>
      <c r="D125" s="46">
        <f>'Facility Risk - L''Oreal'!$C125/$C$151</f>
        <v>1.0995601759296281E-2</v>
      </c>
    </row>
    <row r="126" spans="1:4" ht="19" x14ac:dyDescent="0.25">
      <c r="A126" s="58" t="s">
        <v>161</v>
      </c>
      <c r="B126" s="167">
        <v>3.57</v>
      </c>
      <c r="C126" s="8">
        <v>0</v>
      </c>
      <c r="D126" s="45">
        <f>'Facility Risk - L''Oreal'!$C126/$C$151</f>
        <v>0</v>
      </c>
    </row>
    <row r="127" spans="1:4" ht="19" x14ac:dyDescent="0.25">
      <c r="A127" s="57" t="s">
        <v>162</v>
      </c>
      <c r="B127" s="168">
        <v>3.7</v>
      </c>
      <c r="C127" s="9">
        <v>2.2000000000000002E-2</v>
      </c>
      <c r="D127" s="46">
        <f>'Facility Risk - L''Oreal'!$C127/$C$151</f>
        <v>2.1991203518592562E-2</v>
      </c>
    </row>
    <row r="128" spans="1:4" ht="19" x14ac:dyDescent="0.25">
      <c r="A128" s="58" t="s">
        <v>163</v>
      </c>
      <c r="B128" s="169">
        <v>5.1100000000000003</v>
      </c>
      <c r="C128" s="8">
        <v>0</v>
      </c>
      <c r="D128" s="45">
        <f>'Facility Risk - L''Oreal'!$C128/$C$151</f>
        <v>0</v>
      </c>
    </row>
    <row r="129" spans="1:4" ht="19" x14ac:dyDescent="0.25">
      <c r="A129" s="57" t="s">
        <v>164</v>
      </c>
      <c r="B129" s="137">
        <v>7.1</v>
      </c>
      <c r="C129" s="9">
        <v>0</v>
      </c>
      <c r="D129" s="46">
        <f>'Facility Risk - L''Oreal'!$C129/$C$151</f>
        <v>0</v>
      </c>
    </row>
    <row r="130" spans="1:4" ht="19" x14ac:dyDescent="0.25">
      <c r="A130" s="58" t="s">
        <v>165</v>
      </c>
      <c r="B130" s="170">
        <v>3.52</v>
      </c>
      <c r="C130" s="8">
        <v>0</v>
      </c>
      <c r="D130" s="45">
        <f>'Facility Risk - L''Oreal'!$C130/$C$151</f>
        <v>0</v>
      </c>
    </row>
    <row r="131" spans="1:4" ht="19" x14ac:dyDescent="0.25">
      <c r="A131" s="57" t="s">
        <v>166</v>
      </c>
      <c r="B131" s="171">
        <v>2.78</v>
      </c>
      <c r="C131" s="9">
        <v>0</v>
      </c>
      <c r="D131" s="46">
        <f>'Facility Risk - L''Oreal'!$C131/$C$151</f>
        <v>0</v>
      </c>
    </row>
    <row r="132" spans="1:4" ht="19" x14ac:dyDescent="0.25">
      <c r="A132" s="59" t="s">
        <v>167</v>
      </c>
      <c r="B132" s="172">
        <v>7.33</v>
      </c>
      <c r="C132" s="8">
        <v>0</v>
      </c>
      <c r="D132" s="45">
        <f>'Facility Risk - L''Oreal'!$C132/$C$151</f>
        <v>0</v>
      </c>
    </row>
    <row r="133" spans="1:4" ht="19" x14ac:dyDescent="0.25">
      <c r="A133" s="57" t="s">
        <v>168</v>
      </c>
      <c r="B133" s="173">
        <v>5.69</v>
      </c>
      <c r="C133" s="9">
        <v>0</v>
      </c>
      <c r="D133" s="46">
        <f>'Facility Risk - L''Oreal'!$C133/$C$151</f>
        <v>0</v>
      </c>
    </row>
    <row r="134" spans="1:4" ht="19" x14ac:dyDescent="0.25">
      <c r="A134" s="58" t="s">
        <v>169</v>
      </c>
      <c r="B134" s="63">
        <v>5.21</v>
      </c>
      <c r="C134" s="8">
        <v>0</v>
      </c>
      <c r="D134" s="45">
        <f>'Facility Risk - L''Oreal'!$C134/$C$151</f>
        <v>0</v>
      </c>
    </row>
    <row r="135" spans="1:4" ht="19" x14ac:dyDescent="0.25">
      <c r="A135" s="57" t="s">
        <v>170</v>
      </c>
      <c r="B135" s="174">
        <v>5.15</v>
      </c>
      <c r="C135" s="9">
        <v>0</v>
      </c>
      <c r="D135" s="46">
        <f>'Facility Risk - L''Oreal'!$C135/$C$151</f>
        <v>0</v>
      </c>
    </row>
    <row r="136" spans="1:4" ht="19" x14ac:dyDescent="0.25">
      <c r="A136" s="58" t="s">
        <v>171</v>
      </c>
      <c r="B136" s="175">
        <v>5.87</v>
      </c>
      <c r="C136" s="8">
        <v>0</v>
      </c>
      <c r="D136" s="45">
        <f>'Facility Risk - L''Oreal'!$C136/$C$151</f>
        <v>0</v>
      </c>
    </row>
    <row r="137" spans="1:4" ht="19" x14ac:dyDescent="0.25">
      <c r="A137" s="57" t="s">
        <v>172</v>
      </c>
      <c r="B137" s="176">
        <v>4.38</v>
      </c>
      <c r="C137" s="9">
        <v>0</v>
      </c>
      <c r="D137" s="46">
        <f>'Facility Risk - L''Oreal'!$C137/$C$151</f>
        <v>0</v>
      </c>
    </row>
    <row r="138" spans="1:4" ht="19" x14ac:dyDescent="0.25">
      <c r="A138" s="58" t="s">
        <v>173</v>
      </c>
      <c r="B138" s="177">
        <v>5.13</v>
      </c>
      <c r="C138" s="8">
        <v>0</v>
      </c>
      <c r="D138" s="45">
        <f>'Facility Risk - L''Oreal'!$C138/$C$151</f>
        <v>0</v>
      </c>
    </row>
    <row r="139" spans="1:4" ht="19" x14ac:dyDescent="0.25">
      <c r="A139" s="57" t="s">
        <v>174</v>
      </c>
      <c r="B139" s="178">
        <v>5.26</v>
      </c>
      <c r="C139" s="9">
        <v>1.1000000000000001E-2</v>
      </c>
      <c r="D139" s="46">
        <f>'Facility Risk - L''Oreal'!$C139/$C$151</f>
        <v>1.0995601759296281E-2</v>
      </c>
    </row>
    <row r="140" spans="1:4" ht="19" x14ac:dyDescent="0.25">
      <c r="A140" s="58" t="s">
        <v>175</v>
      </c>
      <c r="B140" s="179">
        <v>6.29</v>
      </c>
      <c r="C140" s="8">
        <v>0</v>
      </c>
      <c r="D140" s="45">
        <f>'Facility Risk - L''Oreal'!$C140/$C$151</f>
        <v>0</v>
      </c>
    </row>
    <row r="141" spans="1:4" ht="19" x14ac:dyDescent="0.25">
      <c r="A141" s="57" t="s">
        <v>176</v>
      </c>
      <c r="B141" s="180">
        <v>6.35</v>
      </c>
      <c r="C141" s="9">
        <v>0</v>
      </c>
      <c r="D141" s="46">
        <f>'Facility Risk - L''Oreal'!$C141/$C$151</f>
        <v>0</v>
      </c>
    </row>
    <row r="142" spans="1:4" ht="19" x14ac:dyDescent="0.25">
      <c r="A142" s="58" t="s">
        <v>177</v>
      </c>
      <c r="B142" s="181">
        <v>3.72</v>
      </c>
      <c r="C142" s="8">
        <v>0</v>
      </c>
      <c r="D142" s="45">
        <f>'Facility Risk - L''Oreal'!$C142/$C$151</f>
        <v>0</v>
      </c>
    </row>
    <row r="143" spans="1:4" ht="19" x14ac:dyDescent="0.25">
      <c r="A143" s="57" t="s">
        <v>178</v>
      </c>
      <c r="B143" s="145">
        <v>3.32</v>
      </c>
      <c r="C143" s="9">
        <v>3.3000000000000002E-2</v>
      </c>
      <c r="D143" s="46">
        <f>'Facility Risk - L''Oreal'!$C143/$C$151</f>
        <v>3.2986805277888838E-2</v>
      </c>
    </row>
    <row r="144" spans="1:4" ht="19" x14ac:dyDescent="0.25">
      <c r="A144" s="58" t="s">
        <v>179</v>
      </c>
      <c r="B144" s="182">
        <v>4.1900000000000004</v>
      </c>
      <c r="C144" s="8">
        <v>0.25269999999999998</v>
      </c>
      <c r="D144" s="45">
        <f>'Facility Risk - L''Oreal'!$C144/$C$151</f>
        <v>0.25259896041583363</v>
      </c>
    </row>
    <row r="145" spans="1:4" ht="19" x14ac:dyDescent="0.25">
      <c r="A145" s="57" t="s">
        <v>180</v>
      </c>
      <c r="B145" s="183">
        <v>3.91</v>
      </c>
      <c r="C145" s="9">
        <v>0</v>
      </c>
      <c r="D145" s="46">
        <f>'Facility Risk - L''Oreal'!$C145/$C$151</f>
        <v>0</v>
      </c>
    </row>
    <row r="146" spans="1:4" ht="19" x14ac:dyDescent="0.25">
      <c r="A146" s="58" t="s">
        <v>181</v>
      </c>
      <c r="B146" s="112">
        <v>5.77</v>
      </c>
      <c r="C146" s="8">
        <v>0</v>
      </c>
      <c r="D146" s="45">
        <f>'Facility Risk - L''Oreal'!$C146/$C$151</f>
        <v>0</v>
      </c>
    </row>
    <row r="147" spans="1:4" ht="19" x14ac:dyDescent="0.25">
      <c r="A147" s="57" t="s">
        <v>182</v>
      </c>
      <c r="B147" s="184">
        <v>4.32</v>
      </c>
      <c r="C147" s="9">
        <v>1.1000000000000001E-2</v>
      </c>
      <c r="D147" s="46">
        <f>'Facility Risk - L''Oreal'!$C147/$C$151</f>
        <v>1.0995601759296281E-2</v>
      </c>
    </row>
    <row r="148" spans="1:4" ht="19" x14ac:dyDescent="0.25">
      <c r="A148" s="58" t="s">
        <v>183</v>
      </c>
      <c r="B148" s="70">
        <v>6.3</v>
      </c>
      <c r="C148" s="8">
        <v>0</v>
      </c>
      <c r="D148" s="45">
        <f>'Facility Risk - L''Oreal'!$C148/$C$151</f>
        <v>0</v>
      </c>
    </row>
    <row r="149" spans="1:4" ht="19" x14ac:dyDescent="0.25">
      <c r="A149" s="57" t="s">
        <v>184</v>
      </c>
      <c r="B149" s="185">
        <v>4.95</v>
      </c>
      <c r="C149" s="9">
        <v>0</v>
      </c>
      <c r="D149" s="46">
        <f>'Facility Risk - L''Oreal'!$C149/$C$151</f>
        <v>0</v>
      </c>
    </row>
    <row r="150" spans="1:4" ht="19" x14ac:dyDescent="0.25">
      <c r="A150" s="60" t="s">
        <v>185</v>
      </c>
      <c r="B150" s="186">
        <v>6.14</v>
      </c>
      <c r="C150" s="10">
        <v>0</v>
      </c>
      <c r="D150" s="47">
        <f>'Facility Risk - L''Oreal'!$C150/$C$151</f>
        <v>0</v>
      </c>
    </row>
    <row r="151" spans="1:4" ht="19" x14ac:dyDescent="0.25">
      <c r="A151" s="61" t="s">
        <v>186</v>
      </c>
      <c r="B151" s="5"/>
      <c r="C151" s="6">
        <f>SUM(C4:C150)</f>
        <v>1.0004000000000002</v>
      </c>
      <c r="D151" s="48">
        <f>SUM(D4:D150)</f>
        <v>0.99999999999999967</v>
      </c>
    </row>
  </sheetData>
  <mergeCells count="1">
    <mergeCell ref="A1:D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0FBAE-4125-4240-ACCD-E9DCE835DC8E}">
  <dimension ref="A1:J151"/>
  <sheetViews>
    <sheetView workbookViewId="0">
      <selection activeCell="I17" sqref="I17"/>
    </sheetView>
  </sheetViews>
  <sheetFormatPr baseColWidth="10" defaultColWidth="11" defaultRowHeight="16" x14ac:dyDescent="0.2"/>
  <cols>
    <col min="1" max="1" width="23" bestFit="1" customWidth="1"/>
    <col min="2" max="2" width="32" bestFit="1" customWidth="1"/>
    <col min="3" max="3" width="33.6640625" bestFit="1" customWidth="1"/>
    <col min="4" max="4" width="42.6640625" bestFit="1" customWidth="1"/>
    <col min="5" max="5" width="16" bestFit="1" customWidth="1"/>
    <col min="7" max="7" width="29.33203125" bestFit="1" customWidth="1"/>
    <col min="8" max="8" width="8.5" bestFit="1" customWidth="1"/>
    <col min="9" max="9" width="22.5" bestFit="1" customWidth="1"/>
    <col min="10" max="10" width="12.33203125" bestFit="1" customWidth="1"/>
  </cols>
  <sheetData>
    <row r="1" spans="1:10" ht="17" customHeight="1" x14ac:dyDescent="0.2">
      <c r="A1" s="188" t="s">
        <v>26</v>
      </c>
      <c r="B1" s="189"/>
      <c r="C1" s="189"/>
      <c r="D1" s="189"/>
    </row>
    <row r="2" spans="1:10" ht="17" customHeight="1" thickBot="1" x14ac:dyDescent="0.25">
      <c r="A2" s="190"/>
      <c r="B2" s="191"/>
      <c r="C2" s="191"/>
      <c r="D2" s="191"/>
    </row>
    <row r="3" spans="1:10" ht="20" thickTop="1" x14ac:dyDescent="0.25">
      <c r="A3" s="12" t="s">
        <v>27</v>
      </c>
      <c r="B3" s="13" t="s">
        <v>28</v>
      </c>
      <c r="C3" s="14" t="s">
        <v>29</v>
      </c>
      <c r="D3" s="7" t="s">
        <v>30</v>
      </c>
    </row>
    <row r="4" spans="1:10" ht="20" thickBot="1" x14ac:dyDescent="0.3">
      <c r="A4" s="56" t="s">
        <v>31</v>
      </c>
      <c r="B4" s="62">
        <v>4.37</v>
      </c>
      <c r="C4" s="15">
        <v>0</v>
      </c>
      <c r="D4" s="45">
        <v>0</v>
      </c>
    </row>
    <row r="5" spans="1:10" ht="20" thickBot="1" x14ac:dyDescent="0.3">
      <c r="A5" s="57" t="s">
        <v>32</v>
      </c>
      <c r="B5" s="63">
        <v>5.21</v>
      </c>
      <c r="C5" s="9">
        <v>0</v>
      </c>
      <c r="D5" s="46">
        <v>0</v>
      </c>
      <c r="G5" s="32" t="s">
        <v>33</v>
      </c>
      <c r="H5" s="33"/>
      <c r="I5" s="33"/>
      <c r="J5" s="34"/>
    </row>
    <row r="6" spans="1:10" ht="20" thickBot="1" x14ac:dyDescent="0.3">
      <c r="A6" s="58" t="s">
        <v>34</v>
      </c>
      <c r="B6" s="64">
        <v>5.63</v>
      </c>
      <c r="C6" s="8">
        <v>0</v>
      </c>
      <c r="D6" s="45">
        <v>0</v>
      </c>
      <c r="G6" s="20"/>
      <c r="H6" s="21" t="s">
        <v>35</v>
      </c>
      <c r="I6" s="22" t="s">
        <v>36</v>
      </c>
      <c r="J6" s="23" t="s">
        <v>37</v>
      </c>
    </row>
    <row r="7" spans="1:10" ht="19" x14ac:dyDescent="0.25">
      <c r="A7" s="57" t="s">
        <v>38</v>
      </c>
      <c r="B7" s="65">
        <v>4.3600000000000003</v>
      </c>
      <c r="C7" s="9">
        <v>0</v>
      </c>
      <c r="D7" s="46">
        <v>0</v>
      </c>
      <c r="G7" s="24" t="s">
        <v>39</v>
      </c>
      <c r="H7" s="25" t="str">
        <f>INDEX(A4:A150,MATCH(MIN(D4:D150),D4:D150,0))</f>
        <v>Albania</v>
      </c>
      <c r="I7" s="25">
        <f>INDEX(B4:B150,MATCH(MIN(D4:D150),D4:D150,0))</f>
        <v>4.37</v>
      </c>
      <c r="J7" s="26">
        <f>INDEX(D4:D150,MATCH(MIN(D4:D150),D4:D150,0))</f>
        <v>0</v>
      </c>
    </row>
    <row r="8" spans="1:10" ht="20" thickBot="1" x14ac:dyDescent="0.3">
      <c r="A8" s="58" t="s">
        <v>40</v>
      </c>
      <c r="B8" s="66">
        <v>4.79</v>
      </c>
      <c r="C8" s="8">
        <v>0</v>
      </c>
      <c r="D8" s="45">
        <v>0</v>
      </c>
      <c r="G8" s="27" t="s">
        <v>41</v>
      </c>
      <c r="H8" s="28" t="str">
        <f>INDEX(A4:A150,MATCH(MAX(D4:D150),D4:D150,0))</f>
        <v>Albania</v>
      </c>
      <c r="I8" s="28">
        <f>INDEX(B4:B150,MATCH(MAX(D4:D150),D4:D150,0))</f>
        <v>4.37</v>
      </c>
      <c r="J8" s="31">
        <f>INDEX(D4:D150,MATCH(MAX(D4:D150),D4:D150,0))</f>
        <v>0</v>
      </c>
    </row>
    <row r="9" spans="1:10" ht="23" thickBot="1" x14ac:dyDescent="0.35">
      <c r="A9" s="57" t="s">
        <v>42</v>
      </c>
      <c r="B9" s="67">
        <v>3.22</v>
      </c>
      <c r="C9" s="9">
        <v>0</v>
      </c>
      <c r="D9" s="46">
        <v>0</v>
      </c>
      <c r="G9" s="30" t="s">
        <v>43</v>
      </c>
      <c r="H9" s="29"/>
      <c r="I9" s="29"/>
      <c r="J9" s="187">
        <f>SUMPRODUCT(B4:B150,D4:D150)</f>
        <v>0</v>
      </c>
    </row>
    <row r="10" spans="1:10" ht="19" x14ac:dyDescent="0.25">
      <c r="A10" s="58" t="s">
        <v>44</v>
      </c>
      <c r="B10" s="68">
        <v>3.41</v>
      </c>
      <c r="C10" s="8">
        <v>0</v>
      </c>
      <c r="D10" s="45">
        <v>0</v>
      </c>
    </row>
    <row r="11" spans="1:10" ht="19" x14ac:dyDescent="0.25">
      <c r="A11" s="57" t="s">
        <v>45</v>
      </c>
      <c r="B11" s="63">
        <v>5.21</v>
      </c>
      <c r="C11" s="9">
        <v>0</v>
      </c>
      <c r="D11" s="46">
        <v>0</v>
      </c>
    </row>
    <row r="12" spans="1:10" ht="19" x14ac:dyDescent="0.25">
      <c r="A12" s="58" t="s">
        <v>46</v>
      </c>
      <c r="B12" s="69">
        <v>4.26</v>
      </c>
      <c r="C12" s="8">
        <v>0</v>
      </c>
      <c r="D12" s="45">
        <v>0</v>
      </c>
    </row>
    <row r="13" spans="1:10" ht="19" x14ac:dyDescent="0.25">
      <c r="A13" s="57" t="s">
        <v>47</v>
      </c>
      <c r="B13" s="70">
        <v>6.29</v>
      </c>
      <c r="C13" s="9">
        <v>0</v>
      </c>
      <c r="D13" s="46">
        <v>0</v>
      </c>
    </row>
    <row r="14" spans="1:10" ht="19" x14ac:dyDescent="0.25">
      <c r="A14" s="58" t="s">
        <v>48</v>
      </c>
      <c r="B14" s="71">
        <v>5.45</v>
      </c>
      <c r="C14" s="8">
        <v>0</v>
      </c>
      <c r="D14" s="45">
        <v>0</v>
      </c>
    </row>
    <row r="15" spans="1:10" ht="19" x14ac:dyDescent="0.25">
      <c r="A15" s="57" t="s">
        <v>49</v>
      </c>
      <c r="B15" s="72">
        <v>3.33</v>
      </c>
      <c r="C15" s="9">
        <v>0</v>
      </c>
      <c r="D15" s="46">
        <v>0</v>
      </c>
    </row>
    <row r="16" spans="1:10" ht="19" x14ac:dyDescent="0.25">
      <c r="A16" s="58" t="s">
        <v>50</v>
      </c>
      <c r="B16" s="73">
        <v>6</v>
      </c>
      <c r="C16" s="8">
        <v>0</v>
      </c>
      <c r="D16" s="45">
        <v>0</v>
      </c>
    </row>
    <row r="17" spans="1:5" ht="19" x14ac:dyDescent="0.25">
      <c r="A17" s="57" t="s">
        <v>51</v>
      </c>
      <c r="B17" s="74">
        <v>5.0199999999999996</v>
      </c>
      <c r="C17" s="9">
        <v>0</v>
      </c>
      <c r="D17" s="46">
        <v>0</v>
      </c>
    </row>
    <row r="18" spans="1:5" ht="19" x14ac:dyDescent="0.25">
      <c r="A18" s="58" t="s">
        <v>52</v>
      </c>
      <c r="B18" s="75">
        <v>5.41</v>
      </c>
      <c r="C18" s="8">
        <v>0</v>
      </c>
      <c r="D18" s="45">
        <v>0</v>
      </c>
    </row>
    <row r="19" spans="1:5" ht="19" x14ac:dyDescent="0.25">
      <c r="A19" s="57" t="s">
        <v>53</v>
      </c>
      <c r="B19" s="76">
        <v>5.34</v>
      </c>
      <c r="C19" s="9">
        <v>0</v>
      </c>
      <c r="D19" s="46">
        <v>0</v>
      </c>
    </row>
    <row r="20" spans="1:5" ht="19" x14ac:dyDescent="0.25">
      <c r="A20" s="58" t="s">
        <v>54</v>
      </c>
      <c r="B20" s="77">
        <v>4.34</v>
      </c>
      <c r="C20" s="8">
        <v>0</v>
      </c>
      <c r="D20" s="45">
        <v>0</v>
      </c>
    </row>
    <row r="21" spans="1:5" ht="19" x14ac:dyDescent="0.25">
      <c r="A21" s="57" t="s">
        <v>55</v>
      </c>
      <c r="B21" s="78">
        <v>5.35</v>
      </c>
      <c r="C21" s="9">
        <v>0</v>
      </c>
      <c r="D21" s="46">
        <v>0</v>
      </c>
    </row>
    <row r="22" spans="1:5" ht="19" x14ac:dyDescent="0.25">
      <c r="A22" s="58" t="s">
        <v>56</v>
      </c>
      <c r="B22" s="79">
        <v>4.43</v>
      </c>
      <c r="C22" s="8">
        <v>0</v>
      </c>
      <c r="D22" s="45">
        <v>0</v>
      </c>
    </row>
    <row r="23" spans="1:5" ht="19" x14ac:dyDescent="0.25">
      <c r="A23" s="57" t="s">
        <v>57</v>
      </c>
      <c r="B23" s="80">
        <v>6.55</v>
      </c>
      <c r="C23" s="9">
        <v>0</v>
      </c>
      <c r="D23" s="46">
        <v>0</v>
      </c>
    </row>
    <row r="24" spans="1:5" ht="19" x14ac:dyDescent="0.25">
      <c r="A24" s="58" t="s">
        <v>58</v>
      </c>
      <c r="B24" s="81">
        <v>6.33</v>
      </c>
      <c r="C24" s="8">
        <v>0</v>
      </c>
      <c r="D24" s="45">
        <v>0</v>
      </c>
    </row>
    <row r="25" spans="1:5" ht="19" x14ac:dyDescent="0.25">
      <c r="A25" s="57" t="s">
        <v>59</v>
      </c>
      <c r="B25" s="64">
        <v>5.64</v>
      </c>
      <c r="C25" s="9">
        <v>0</v>
      </c>
      <c r="D25" s="46">
        <v>0</v>
      </c>
    </row>
    <row r="26" spans="1:5" ht="19" x14ac:dyDescent="0.25">
      <c r="A26" s="58" t="s">
        <v>60</v>
      </c>
      <c r="B26" s="82">
        <v>6.83</v>
      </c>
      <c r="C26" s="8">
        <v>0</v>
      </c>
      <c r="D26" s="45">
        <v>0</v>
      </c>
    </row>
    <row r="27" spans="1:5" ht="19" x14ac:dyDescent="0.25">
      <c r="A27" s="57" t="s">
        <v>61</v>
      </c>
      <c r="B27" s="83">
        <v>3.44</v>
      </c>
      <c r="C27" s="9">
        <v>0</v>
      </c>
      <c r="D27" s="46">
        <v>0</v>
      </c>
    </row>
    <row r="28" spans="1:5" ht="19" x14ac:dyDescent="0.25">
      <c r="A28" s="58" t="s">
        <v>62</v>
      </c>
      <c r="B28" s="84">
        <v>6.79</v>
      </c>
      <c r="C28" s="8">
        <v>0</v>
      </c>
      <c r="D28" s="45">
        <v>0</v>
      </c>
    </row>
    <row r="29" spans="1:5" ht="19" x14ac:dyDescent="0.25">
      <c r="A29" s="57" t="s">
        <v>63</v>
      </c>
      <c r="B29" s="82">
        <v>6.84</v>
      </c>
      <c r="C29" s="9">
        <v>0</v>
      </c>
      <c r="D29" s="46">
        <v>0</v>
      </c>
    </row>
    <row r="30" spans="1:5" ht="19" x14ac:dyDescent="0.25">
      <c r="A30" s="58" t="s">
        <v>64</v>
      </c>
      <c r="B30" s="65">
        <v>4.3600000000000003</v>
      </c>
      <c r="C30" s="8">
        <v>0</v>
      </c>
      <c r="D30" s="45">
        <v>0</v>
      </c>
    </row>
    <row r="31" spans="1:5" ht="19" x14ac:dyDescent="0.25">
      <c r="A31" s="57" t="s">
        <v>65</v>
      </c>
      <c r="B31" s="85">
        <v>4.26</v>
      </c>
      <c r="C31" s="9">
        <v>0</v>
      </c>
      <c r="D31" s="46">
        <v>0</v>
      </c>
      <c r="E31" s="50" t="s">
        <v>66</v>
      </c>
    </row>
    <row r="32" spans="1:5" ht="19" x14ac:dyDescent="0.25">
      <c r="A32" s="58" t="s">
        <v>67</v>
      </c>
      <c r="B32" s="86">
        <v>5.72</v>
      </c>
      <c r="C32" s="8">
        <v>0</v>
      </c>
      <c r="D32" s="45">
        <v>0</v>
      </c>
    </row>
    <row r="33" spans="1:4" ht="19" x14ac:dyDescent="0.25">
      <c r="A33" s="57" t="s">
        <v>68</v>
      </c>
      <c r="B33" s="87">
        <v>5.65</v>
      </c>
      <c r="C33" s="9">
        <v>0</v>
      </c>
      <c r="D33" s="46">
        <v>0</v>
      </c>
    </row>
    <row r="34" spans="1:4" ht="19" x14ac:dyDescent="0.25">
      <c r="A34" s="58" t="s">
        <v>69</v>
      </c>
      <c r="B34" s="88">
        <v>4.2300000000000004</v>
      </c>
      <c r="C34" s="8">
        <v>0</v>
      </c>
      <c r="D34" s="45">
        <v>0</v>
      </c>
    </row>
    <row r="35" spans="1:4" ht="19" x14ac:dyDescent="0.25">
      <c r="A35" s="57" t="s">
        <v>70</v>
      </c>
      <c r="B35" s="89">
        <v>5.6</v>
      </c>
      <c r="C35" s="9">
        <v>0</v>
      </c>
      <c r="D35" s="46">
        <v>0</v>
      </c>
    </row>
    <row r="36" spans="1:4" ht="19" x14ac:dyDescent="0.25">
      <c r="A36" s="58" t="s">
        <v>71</v>
      </c>
      <c r="B36" s="90">
        <v>4.28</v>
      </c>
      <c r="C36" s="8">
        <v>0</v>
      </c>
      <c r="D36" s="45">
        <v>0</v>
      </c>
    </row>
    <row r="37" spans="1:4" ht="19" x14ac:dyDescent="0.25">
      <c r="A37" s="57" t="s">
        <v>72</v>
      </c>
      <c r="B37" s="91">
        <v>4.67</v>
      </c>
      <c r="C37" s="9">
        <v>0</v>
      </c>
      <c r="D37" s="46">
        <v>0</v>
      </c>
    </row>
    <row r="38" spans="1:4" ht="19" x14ac:dyDescent="0.25">
      <c r="A38" s="58" t="s">
        <v>73</v>
      </c>
      <c r="B38" s="92">
        <v>3.75</v>
      </c>
      <c r="C38" s="8">
        <v>0</v>
      </c>
      <c r="D38" s="45">
        <v>0</v>
      </c>
    </row>
    <row r="39" spans="1:4" ht="19" x14ac:dyDescent="0.25">
      <c r="A39" s="57" t="s">
        <v>74</v>
      </c>
      <c r="B39" s="93">
        <v>3.2</v>
      </c>
      <c r="C39" s="9">
        <v>0</v>
      </c>
      <c r="D39" s="46">
        <v>0</v>
      </c>
    </row>
    <row r="40" spans="1:4" ht="19" x14ac:dyDescent="0.25">
      <c r="A40" s="58" t="s">
        <v>75</v>
      </c>
      <c r="B40" s="94">
        <v>5.98</v>
      </c>
      <c r="C40" s="8">
        <v>0</v>
      </c>
      <c r="D40" s="45">
        <v>0</v>
      </c>
    </row>
    <row r="41" spans="1:4" ht="19" x14ac:dyDescent="0.25">
      <c r="A41" s="57" t="s">
        <v>76</v>
      </c>
      <c r="B41" s="95">
        <v>4.7</v>
      </c>
      <c r="C41" s="9">
        <v>0</v>
      </c>
      <c r="D41" s="46">
        <v>0</v>
      </c>
    </row>
    <row r="42" spans="1:4" ht="19" x14ac:dyDescent="0.25">
      <c r="A42" s="58" t="s">
        <v>77</v>
      </c>
      <c r="B42" s="96">
        <v>5.71</v>
      </c>
      <c r="C42" s="8">
        <v>0</v>
      </c>
      <c r="D42" s="45">
        <v>0</v>
      </c>
    </row>
    <row r="43" spans="1:4" ht="19" x14ac:dyDescent="0.25">
      <c r="A43" s="57" t="s">
        <v>78</v>
      </c>
      <c r="B43" s="97">
        <v>5.6</v>
      </c>
      <c r="C43" s="9">
        <v>0</v>
      </c>
      <c r="D43" s="46">
        <v>0</v>
      </c>
    </row>
    <row r="44" spans="1:4" ht="19" x14ac:dyDescent="0.25">
      <c r="A44" s="58" t="s">
        <v>79</v>
      </c>
      <c r="B44" s="98">
        <v>4.79</v>
      </c>
      <c r="C44" s="8">
        <v>0</v>
      </c>
      <c r="D44" s="45">
        <v>0</v>
      </c>
    </row>
    <row r="45" spans="1:4" ht="19" x14ac:dyDescent="0.25">
      <c r="A45" s="57" t="s">
        <v>80</v>
      </c>
      <c r="B45" s="99">
        <v>3.57</v>
      </c>
      <c r="C45" s="9">
        <v>0</v>
      </c>
      <c r="D45" s="46">
        <v>0</v>
      </c>
    </row>
    <row r="46" spans="1:4" ht="19" x14ac:dyDescent="0.25">
      <c r="A46" s="58" t="s">
        <v>81</v>
      </c>
      <c r="B46" s="100">
        <v>4.5</v>
      </c>
      <c r="C46" s="8">
        <v>0</v>
      </c>
      <c r="D46" s="45">
        <v>0</v>
      </c>
    </row>
    <row r="47" spans="1:4" ht="19" x14ac:dyDescent="0.25">
      <c r="A47" s="57" t="s">
        <v>82</v>
      </c>
      <c r="B47" s="101">
        <v>6.93</v>
      </c>
      <c r="C47" s="9">
        <v>0</v>
      </c>
      <c r="D47" s="46">
        <v>0</v>
      </c>
    </row>
    <row r="48" spans="1:4" ht="19" x14ac:dyDescent="0.25">
      <c r="A48" s="58" t="s">
        <v>83</v>
      </c>
      <c r="B48" s="102">
        <v>3.35</v>
      </c>
      <c r="C48" s="8">
        <v>0</v>
      </c>
      <c r="D48" s="45">
        <v>0</v>
      </c>
    </row>
    <row r="49" spans="1:4" ht="19" x14ac:dyDescent="0.25">
      <c r="A49" s="57" t="s">
        <v>84</v>
      </c>
      <c r="B49" s="103">
        <v>3.65</v>
      </c>
      <c r="C49" s="9">
        <v>0</v>
      </c>
      <c r="D49" s="46">
        <v>0</v>
      </c>
    </row>
    <row r="50" spans="1:4" ht="19" x14ac:dyDescent="0.25">
      <c r="A50" s="58" t="s">
        <v>85</v>
      </c>
      <c r="B50" s="104">
        <v>5.78</v>
      </c>
      <c r="C50" s="8">
        <v>0</v>
      </c>
      <c r="D50" s="45">
        <v>0</v>
      </c>
    </row>
    <row r="51" spans="1:4" ht="19" x14ac:dyDescent="0.25">
      <c r="A51" s="57" t="s">
        <v>86</v>
      </c>
      <c r="B51" s="105">
        <v>5.38</v>
      </c>
      <c r="C51" s="9">
        <v>0</v>
      </c>
      <c r="D51" s="46">
        <v>0</v>
      </c>
    </row>
    <row r="52" spans="1:4" ht="19" x14ac:dyDescent="0.25">
      <c r="A52" s="58" t="s">
        <v>87</v>
      </c>
      <c r="B52" s="106">
        <v>4.93</v>
      </c>
      <c r="C52" s="8">
        <v>0</v>
      </c>
      <c r="D52" s="45">
        <v>0</v>
      </c>
    </row>
    <row r="53" spans="1:4" ht="19" x14ac:dyDescent="0.25">
      <c r="A53" s="57" t="s">
        <v>88</v>
      </c>
      <c r="B53" s="68">
        <v>3.42</v>
      </c>
      <c r="C53" s="9">
        <v>0</v>
      </c>
      <c r="D53" s="46">
        <v>0</v>
      </c>
    </row>
    <row r="54" spans="1:4" ht="19" x14ac:dyDescent="0.25">
      <c r="A54" s="58" t="s">
        <v>89</v>
      </c>
      <c r="B54" s="107">
        <v>4.63</v>
      </c>
      <c r="C54" s="8">
        <v>0</v>
      </c>
      <c r="D54" s="45">
        <v>0</v>
      </c>
    </row>
    <row r="55" spans="1:4" ht="19" x14ac:dyDescent="0.25">
      <c r="A55" s="57" t="s">
        <v>90</v>
      </c>
      <c r="B55" s="77">
        <v>4.34</v>
      </c>
      <c r="C55" s="9">
        <v>0</v>
      </c>
      <c r="D55" s="46">
        <v>0</v>
      </c>
    </row>
    <row r="56" spans="1:4" ht="19" x14ac:dyDescent="0.25">
      <c r="A56" s="58" t="s">
        <v>91</v>
      </c>
      <c r="B56" s="71">
        <v>5.45</v>
      </c>
      <c r="C56" s="8">
        <v>0</v>
      </c>
      <c r="D56" s="45">
        <v>0</v>
      </c>
    </row>
    <row r="57" spans="1:4" ht="19" x14ac:dyDescent="0.25">
      <c r="A57" s="57" t="s">
        <v>92</v>
      </c>
      <c r="B57" s="108">
        <v>6.36</v>
      </c>
      <c r="C57" s="9">
        <v>0</v>
      </c>
      <c r="D57" s="46">
        <v>0</v>
      </c>
    </row>
    <row r="58" spans="1:4" ht="19" x14ac:dyDescent="0.25">
      <c r="A58" s="58" t="s">
        <v>93</v>
      </c>
      <c r="B58" s="109">
        <v>5.94</v>
      </c>
      <c r="C58" s="8">
        <v>0</v>
      </c>
      <c r="D58" s="45">
        <v>0</v>
      </c>
    </row>
    <row r="59" spans="1:4" ht="19" x14ac:dyDescent="0.25">
      <c r="A59" s="57" t="s">
        <v>94</v>
      </c>
      <c r="B59" s="110">
        <v>4.92</v>
      </c>
      <c r="C59" s="9">
        <v>0</v>
      </c>
      <c r="D59" s="46">
        <v>0</v>
      </c>
    </row>
    <row r="60" spans="1:4" ht="19" x14ac:dyDescent="0.25">
      <c r="A60" s="58" t="s">
        <v>95</v>
      </c>
      <c r="B60" s="111">
        <v>6.53</v>
      </c>
      <c r="C60" s="8">
        <v>0</v>
      </c>
      <c r="D60" s="45">
        <v>0</v>
      </c>
    </row>
    <row r="61" spans="1:4" ht="19" x14ac:dyDescent="0.25">
      <c r="A61" s="57" t="s">
        <v>96</v>
      </c>
      <c r="B61" s="112">
        <v>5.77</v>
      </c>
      <c r="C61" s="9">
        <v>0</v>
      </c>
      <c r="D61" s="46">
        <v>0</v>
      </c>
    </row>
    <row r="62" spans="1:4" ht="19" x14ac:dyDescent="0.25">
      <c r="A62" s="58" t="s">
        <v>97</v>
      </c>
      <c r="B62" s="113">
        <v>3.63</v>
      </c>
      <c r="C62" s="8">
        <v>0</v>
      </c>
      <c r="D62" s="45">
        <v>0</v>
      </c>
    </row>
    <row r="63" spans="1:4" ht="19" x14ac:dyDescent="0.25">
      <c r="A63" s="57" t="s">
        <v>98</v>
      </c>
      <c r="B63" s="114">
        <v>3.38</v>
      </c>
      <c r="C63" s="9">
        <v>0</v>
      </c>
      <c r="D63" s="46">
        <v>0</v>
      </c>
    </row>
    <row r="64" spans="1:4" ht="19" x14ac:dyDescent="0.25">
      <c r="A64" s="58" t="s">
        <v>99</v>
      </c>
      <c r="B64" s="115">
        <v>5.07</v>
      </c>
      <c r="C64" s="8">
        <v>0</v>
      </c>
      <c r="D64" s="45">
        <v>0</v>
      </c>
    </row>
    <row r="65" spans="1:4" ht="19" x14ac:dyDescent="0.25">
      <c r="A65" s="57" t="s">
        <v>100</v>
      </c>
      <c r="B65" s="106">
        <v>4.92</v>
      </c>
      <c r="C65" s="9">
        <v>0</v>
      </c>
      <c r="D65" s="46">
        <v>0</v>
      </c>
    </row>
    <row r="66" spans="1:4" ht="19" x14ac:dyDescent="0.25">
      <c r="A66" s="58" t="s">
        <v>101</v>
      </c>
      <c r="B66" s="116">
        <v>5.88</v>
      </c>
      <c r="C66" s="8">
        <v>0</v>
      </c>
      <c r="D66" s="45">
        <v>0</v>
      </c>
    </row>
    <row r="67" spans="1:4" ht="19" x14ac:dyDescent="0.25">
      <c r="A67" s="57" t="s">
        <v>102</v>
      </c>
      <c r="B67" s="117">
        <v>6.05</v>
      </c>
      <c r="C67" s="9">
        <v>0</v>
      </c>
      <c r="D67" s="46">
        <v>0</v>
      </c>
    </row>
    <row r="68" spans="1:4" ht="19" x14ac:dyDescent="0.25">
      <c r="A68" s="58" t="s">
        <v>103</v>
      </c>
      <c r="B68" s="118">
        <v>3.25</v>
      </c>
      <c r="C68" s="8">
        <v>0</v>
      </c>
      <c r="D68" s="45">
        <v>0</v>
      </c>
    </row>
    <row r="69" spans="1:4" ht="19" x14ac:dyDescent="0.25">
      <c r="A69" s="57" t="s">
        <v>104</v>
      </c>
      <c r="B69" s="119">
        <v>4.6100000000000003</v>
      </c>
      <c r="C69" s="9">
        <v>0</v>
      </c>
      <c r="D69" s="46">
        <v>0</v>
      </c>
    </row>
    <row r="70" spans="1:4" ht="19" x14ac:dyDescent="0.25">
      <c r="A70" s="58" t="s">
        <v>105</v>
      </c>
      <c r="B70" s="120">
        <v>3.84</v>
      </c>
      <c r="C70" s="8">
        <v>0</v>
      </c>
      <c r="D70" s="45">
        <v>0</v>
      </c>
    </row>
    <row r="71" spans="1:4" ht="19" x14ac:dyDescent="0.25">
      <c r="A71" s="57" t="s">
        <v>106</v>
      </c>
      <c r="B71" s="121">
        <v>4.75</v>
      </c>
      <c r="C71" s="9">
        <v>0</v>
      </c>
      <c r="D71" s="46">
        <v>0</v>
      </c>
    </row>
    <row r="72" spans="1:4" ht="19" x14ac:dyDescent="0.25">
      <c r="A72" s="58" t="s">
        <v>107</v>
      </c>
      <c r="B72" s="114">
        <v>3.38</v>
      </c>
      <c r="C72" s="8">
        <v>0</v>
      </c>
      <c r="D72" s="45">
        <v>0</v>
      </c>
    </row>
    <row r="73" spans="1:4" ht="19" x14ac:dyDescent="0.25">
      <c r="A73" s="57" t="s">
        <v>108</v>
      </c>
      <c r="B73" s="122">
        <v>5.13</v>
      </c>
      <c r="C73" s="9">
        <v>0</v>
      </c>
      <c r="D73" s="46">
        <v>0</v>
      </c>
    </row>
    <row r="74" spans="1:4" ht="19" x14ac:dyDescent="0.25">
      <c r="A74" s="58" t="s">
        <v>109</v>
      </c>
      <c r="B74" s="123">
        <v>4.54</v>
      </c>
      <c r="C74" s="8">
        <v>0</v>
      </c>
      <c r="D74" s="45">
        <v>0</v>
      </c>
    </row>
    <row r="75" spans="1:4" ht="19" x14ac:dyDescent="0.25">
      <c r="A75" s="57" t="s">
        <v>110</v>
      </c>
      <c r="B75" s="124">
        <v>6.13</v>
      </c>
      <c r="C75" s="9">
        <v>0</v>
      </c>
      <c r="D75" s="46">
        <v>0</v>
      </c>
    </row>
    <row r="76" spans="1:4" ht="19" x14ac:dyDescent="0.25">
      <c r="A76" s="58" t="s">
        <v>111</v>
      </c>
      <c r="B76" s="125">
        <v>4.3</v>
      </c>
      <c r="C76" s="8">
        <v>0</v>
      </c>
      <c r="D76" s="45">
        <v>0</v>
      </c>
    </row>
    <row r="77" spans="1:4" ht="19" x14ac:dyDescent="0.25">
      <c r="A77" s="57" t="s">
        <v>112</v>
      </c>
      <c r="B77" s="126">
        <v>5.37</v>
      </c>
      <c r="C77" s="9">
        <v>0</v>
      </c>
      <c r="D77" s="46">
        <v>0</v>
      </c>
    </row>
    <row r="78" spans="1:4" ht="19" x14ac:dyDescent="0.25">
      <c r="A78" s="58" t="s">
        <v>113</v>
      </c>
      <c r="B78" s="127">
        <v>5.14</v>
      </c>
      <c r="C78" s="8">
        <v>0</v>
      </c>
      <c r="D78" s="45">
        <v>0</v>
      </c>
    </row>
    <row r="79" spans="1:4" ht="19" x14ac:dyDescent="0.25">
      <c r="A79" s="57" t="s">
        <v>114</v>
      </c>
      <c r="B79" s="128">
        <v>3.97</v>
      </c>
      <c r="C79" s="9">
        <v>0</v>
      </c>
      <c r="D79" s="46">
        <v>0</v>
      </c>
    </row>
    <row r="80" spans="1:4" ht="19" x14ac:dyDescent="0.25">
      <c r="A80" s="58" t="s">
        <v>115</v>
      </c>
      <c r="B80" s="129">
        <v>6.12</v>
      </c>
      <c r="C80" s="8">
        <v>0</v>
      </c>
      <c r="D80" s="45">
        <v>0</v>
      </c>
    </row>
    <row r="81" spans="1:4" ht="19" x14ac:dyDescent="0.25">
      <c r="A81" s="57" t="s">
        <v>116</v>
      </c>
      <c r="B81" s="130">
        <v>5.49</v>
      </c>
      <c r="C81" s="9">
        <v>0</v>
      </c>
      <c r="D81" s="46">
        <v>0</v>
      </c>
    </row>
    <row r="82" spans="1:4" ht="19" x14ac:dyDescent="0.25">
      <c r="A82" s="58" t="s">
        <v>117</v>
      </c>
      <c r="B82" s="131">
        <v>5.97</v>
      </c>
      <c r="C82" s="8">
        <v>0</v>
      </c>
      <c r="D82" s="45">
        <v>0</v>
      </c>
    </row>
    <row r="83" spans="1:4" ht="19" x14ac:dyDescent="0.25">
      <c r="A83" s="57" t="s">
        <v>118</v>
      </c>
      <c r="B83" s="132">
        <v>5.68</v>
      </c>
      <c r="C83" s="9">
        <v>0</v>
      </c>
      <c r="D83" s="46">
        <v>0</v>
      </c>
    </row>
    <row r="84" spans="1:4" ht="19" x14ac:dyDescent="0.25">
      <c r="A84" s="58" t="s">
        <v>119</v>
      </c>
      <c r="B84" s="133">
        <v>3.93</v>
      </c>
      <c r="C84" s="8">
        <v>0</v>
      </c>
      <c r="D84" s="45">
        <v>0</v>
      </c>
    </row>
    <row r="85" spans="1:4" ht="19" x14ac:dyDescent="0.25">
      <c r="A85" s="57" t="s">
        <v>120</v>
      </c>
      <c r="B85" s="134">
        <v>5.82</v>
      </c>
      <c r="C85" s="9">
        <v>0</v>
      </c>
      <c r="D85" s="46">
        <v>0</v>
      </c>
    </row>
    <row r="86" spans="1:4" ht="19" x14ac:dyDescent="0.25">
      <c r="A86" s="58" t="s">
        <v>121</v>
      </c>
      <c r="B86" s="135">
        <v>5.58</v>
      </c>
      <c r="C86" s="8">
        <v>0</v>
      </c>
      <c r="D86" s="45">
        <v>0</v>
      </c>
    </row>
    <row r="87" spans="1:4" ht="19" x14ac:dyDescent="0.25">
      <c r="A87" s="57" t="s">
        <v>122</v>
      </c>
      <c r="B87" s="136">
        <v>4.03</v>
      </c>
      <c r="C87" s="9">
        <v>0</v>
      </c>
      <c r="D87" s="46">
        <v>0</v>
      </c>
    </row>
    <row r="88" spans="1:4" ht="19" x14ac:dyDescent="0.25">
      <c r="A88" s="58" t="s">
        <v>123</v>
      </c>
      <c r="B88" s="137">
        <v>7.1</v>
      </c>
      <c r="C88" s="8">
        <v>0</v>
      </c>
      <c r="D88" s="45">
        <v>0</v>
      </c>
    </row>
    <row r="89" spans="1:4" ht="19" x14ac:dyDescent="0.25">
      <c r="A89" s="57" t="s">
        <v>124</v>
      </c>
      <c r="B89" s="138">
        <v>6.28</v>
      </c>
      <c r="C89" s="9">
        <v>0</v>
      </c>
      <c r="D89" s="46">
        <v>0</v>
      </c>
    </row>
    <row r="90" spans="1:4" ht="19" x14ac:dyDescent="0.25">
      <c r="A90" s="58" t="s">
        <v>125</v>
      </c>
      <c r="B90" s="139">
        <v>3.47</v>
      </c>
      <c r="C90" s="8">
        <v>0</v>
      </c>
      <c r="D90" s="45">
        <v>0</v>
      </c>
    </row>
    <row r="91" spans="1:4" ht="19" x14ac:dyDescent="0.25">
      <c r="A91" s="57" t="s">
        <v>126</v>
      </c>
      <c r="B91" s="140">
        <v>5.42</v>
      </c>
      <c r="C91" s="9">
        <v>0</v>
      </c>
      <c r="D91" s="46">
        <v>0</v>
      </c>
    </row>
    <row r="92" spans="1:4" ht="19" x14ac:dyDescent="0.25">
      <c r="A92" s="58" t="s">
        <v>127</v>
      </c>
      <c r="B92" s="127">
        <v>5.14</v>
      </c>
      <c r="C92" s="8">
        <v>0</v>
      </c>
      <c r="D92" s="45">
        <v>0</v>
      </c>
    </row>
    <row r="93" spans="1:4" ht="19" x14ac:dyDescent="0.25">
      <c r="A93" s="57" t="s">
        <v>128</v>
      </c>
      <c r="B93" s="141">
        <v>4.6500000000000004</v>
      </c>
      <c r="C93" s="9">
        <v>0</v>
      </c>
      <c r="D93" s="46">
        <v>0</v>
      </c>
    </row>
    <row r="94" spans="1:4" ht="19" x14ac:dyDescent="0.25">
      <c r="A94" s="58" t="s">
        <v>129</v>
      </c>
      <c r="B94" s="142">
        <v>5.0999999999999996</v>
      </c>
      <c r="C94" s="8">
        <v>0</v>
      </c>
      <c r="D94" s="45">
        <v>0</v>
      </c>
    </row>
    <row r="95" spans="1:4" ht="19" x14ac:dyDescent="0.25">
      <c r="A95" s="57" t="s">
        <v>130</v>
      </c>
      <c r="B95" s="70">
        <v>6.3</v>
      </c>
      <c r="C95" s="9">
        <v>0</v>
      </c>
      <c r="D95" s="46">
        <v>0</v>
      </c>
    </row>
    <row r="96" spans="1:4" ht="19" x14ac:dyDescent="0.25">
      <c r="A96" s="58" t="s">
        <v>131</v>
      </c>
      <c r="B96" s="143">
        <v>4.6399999999999997</v>
      </c>
      <c r="C96" s="8">
        <v>0</v>
      </c>
      <c r="D96" s="45">
        <v>0</v>
      </c>
    </row>
    <row r="97" spans="1:4" ht="19" x14ac:dyDescent="0.25">
      <c r="A97" s="57" t="s">
        <v>132</v>
      </c>
      <c r="B97" s="104">
        <v>5.78</v>
      </c>
      <c r="C97" s="9">
        <v>0</v>
      </c>
      <c r="D97" s="46">
        <v>0</v>
      </c>
    </row>
    <row r="98" spans="1:4" ht="19" x14ac:dyDescent="0.25">
      <c r="A98" s="58" t="s">
        <v>133</v>
      </c>
      <c r="B98" s="144">
        <v>3.59</v>
      </c>
      <c r="C98" s="8">
        <v>0</v>
      </c>
      <c r="D98" s="45">
        <v>0</v>
      </c>
    </row>
    <row r="99" spans="1:4" ht="19" x14ac:dyDescent="0.25">
      <c r="A99" s="57" t="s">
        <v>134</v>
      </c>
      <c r="B99" s="145">
        <v>3.32</v>
      </c>
      <c r="C99" s="9">
        <v>0</v>
      </c>
      <c r="D99" s="46">
        <v>0</v>
      </c>
    </row>
    <row r="100" spans="1:4" ht="19" x14ac:dyDescent="0.25">
      <c r="A100" s="58" t="s">
        <v>135</v>
      </c>
      <c r="B100" s="146">
        <v>5.8</v>
      </c>
      <c r="C100" s="8">
        <v>0</v>
      </c>
      <c r="D100" s="45">
        <v>0</v>
      </c>
    </row>
    <row r="101" spans="1:4" ht="19" x14ac:dyDescent="0.25">
      <c r="A101" s="57" t="s">
        <v>136</v>
      </c>
      <c r="B101" s="147">
        <v>7.07</v>
      </c>
      <c r="C101" s="9">
        <v>0</v>
      </c>
      <c r="D101" s="46">
        <v>0</v>
      </c>
    </row>
    <row r="102" spans="1:4" ht="19" x14ac:dyDescent="0.25">
      <c r="A102" s="58" t="s">
        <v>137</v>
      </c>
      <c r="B102" s="148">
        <v>6.5</v>
      </c>
      <c r="C102" s="8">
        <v>0</v>
      </c>
      <c r="D102" s="45">
        <v>0</v>
      </c>
    </row>
    <row r="103" spans="1:4" ht="19" x14ac:dyDescent="0.25">
      <c r="A103" s="57" t="s">
        <v>138</v>
      </c>
      <c r="B103" s="149">
        <v>4.16</v>
      </c>
      <c r="C103" s="9">
        <v>0</v>
      </c>
      <c r="D103" s="46">
        <v>0</v>
      </c>
    </row>
    <row r="104" spans="1:4" ht="19" x14ac:dyDescent="0.25">
      <c r="A104" s="58" t="s">
        <v>139</v>
      </c>
      <c r="B104" s="114">
        <v>3.38</v>
      </c>
      <c r="C104" s="8">
        <v>0</v>
      </c>
      <c r="D104" s="45">
        <v>0</v>
      </c>
    </row>
    <row r="105" spans="1:4" ht="19" x14ac:dyDescent="0.25">
      <c r="A105" s="57" t="s">
        <v>140</v>
      </c>
      <c r="B105" s="150">
        <v>4.0199999999999996</v>
      </c>
      <c r="C105" s="9">
        <v>0</v>
      </c>
      <c r="D105" s="46">
        <v>0</v>
      </c>
    </row>
    <row r="106" spans="1:4" ht="19" x14ac:dyDescent="0.25">
      <c r="A106" s="58" t="s">
        <v>141</v>
      </c>
      <c r="B106" s="151">
        <v>6.65</v>
      </c>
      <c r="C106" s="8">
        <v>0</v>
      </c>
      <c r="D106" s="45">
        <v>0</v>
      </c>
    </row>
    <row r="107" spans="1:4" ht="19" x14ac:dyDescent="0.25">
      <c r="A107" s="57" t="s">
        <v>142</v>
      </c>
      <c r="B107" s="152">
        <v>4.5599999999999996</v>
      </c>
      <c r="C107" s="9">
        <v>0</v>
      </c>
      <c r="D107" s="46">
        <v>0</v>
      </c>
    </row>
    <row r="108" spans="1:4" ht="19" x14ac:dyDescent="0.25">
      <c r="A108" s="58" t="s">
        <v>143</v>
      </c>
      <c r="B108" s="76">
        <v>5.34</v>
      </c>
      <c r="C108" s="8">
        <v>0</v>
      </c>
      <c r="D108" s="45">
        <v>0</v>
      </c>
    </row>
    <row r="109" spans="1:4" ht="19" x14ac:dyDescent="0.25">
      <c r="A109" s="57" t="s">
        <v>144</v>
      </c>
      <c r="B109" s="153">
        <v>4.72</v>
      </c>
      <c r="C109" s="9">
        <v>0</v>
      </c>
      <c r="D109" s="46">
        <v>0</v>
      </c>
    </row>
    <row r="110" spans="1:4" ht="19" x14ac:dyDescent="0.25">
      <c r="A110" s="58" t="s">
        <v>145</v>
      </c>
      <c r="B110" s="154">
        <v>5.28</v>
      </c>
      <c r="C110" s="8">
        <v>0</v>
      </c>
      <c r="D110" s="45">
        <v>0</v>
      </c>
    </row>
    <row r="111" spans="1:4" ht="19" x14ac:dyDescent="0.25">
      <c r="A111" s="57" t="s">
        <v>146</v>
      </c>
      <c r="B111" s="146">
        <v>5.8</v>
      </c>
      <c r="C111" s="9">
        <v>0</v>
      </c>
      <c r="D111" s="46">
        <v>0</v>
      </c>
    </row>
    <row r="112" spans="1:4" ht="19" x14ac:dyDescent="0.25">
      <c r="A112" s="58" t="s">
        <v>147</v>
      </c>
      <c r="B112" s="155">
        <v>4.1500000000000004</v>
      </c>
      <c r="C112" s="8">
        <v>0</v>
      </c>
      <c r="D112" s="45">
        <v>0</v>
      </c>
    </row>
    <row r="113" spans="1:4" ht="19" x14ac:dyDescent="0.25">
      <c r="A113" s="57" t="s">
        <v>148</v>
      </c>
      <c r="B113" s="156">
        <v>3.43</v>
      </c>
      <c r="C113" s="9">
        <v>0</v>
      </c>
      <c r="D113" s="46">
        <v>0</v>
      </c>
    </row>
    <row r="114" spans="1:4" ht="19" x14ac:dyDescent="0.25">
      <c r="A114" s="58" t="s">
        <v>149</v>
      </c>
      <c r="B114" s="93">
        <v>3.2</v>
      </c>
      <c r="C114" s="8">
        <v>0</v>
      </c>
      <c r="D114" s="45">
        <v>0</v>
      </c>
    </row>
    <row r="115" spans="1:4" ht="19" x14ac:dyDescent="0.25">
      <c r="A115" s="57" t="s">
        <v>150</v>
      </c>
      <c r="B115" s="157">
        <v>4.05</v>
      </c>
      <c r="C115" s="9">
        <v>0</v>
      </c>
      <c r="D115" s="46">
        <v>0</v>
      </c>
    </row>
    <row r="116" spans="1:4" ht="19" x14ac:dyDescent="0.25">
      <c r="A116" s="58" t="s">
        <v>151</v>
      </c>
      <c r="B116" s="158">
        <v>5.96</v>
      </c>
      <c r="C116" s="8">
        <v>0</v>
      </c>
      <c r="D116" s="45">
        <v>0</v>
      </c>
    </row>
    <row r="117" spans="1:4" ht="19" x14ac:dyDescent="0.25">
      <c r="A117" s="57" t="s">
        <v>152</v>
      </c>
      <c r="B117" s="159">
        <v>5.47</v>
      </c>
      <c r="C117" s="9">
        <v>0</v>
      </c>
      <c r="D117" s="46">
        <v>0</v>
      </c>
    </row>
    <row r="118" spans="1:4" ht="19" x14ac:dyDescent="0.25">
      <c r="A118" s="58" t="s">
        <v>153</v>
      </c>
      <c r="B118" s="79">
        <v>4.42</v>
      </c>
      <c r="C118" s="8">
        <v>0</v>
      </c>
      <c r="D118" s="45">
        <v>0</v>
      </c>
    </row>
    <row r="119" spans="1:4" ht="19" x14ac:dyDescent="0.25">
      <c r="A119" s="57" t="s">
        <v>154</v>
      </c>
      <c r="B119" s="160">
        <v>5.4</v>
      </c>
      <c r="C119" s="9">
        <v>0</v>
      </c>
      <c r="D119" s="46">
        <v>0</v>
      </c>
    </row>
    <row r="120" spans="1:4" ht="19" x14ac:dyDescent="0.25">
      <c r="A120" s="58" t="s">
        <v>155</v>
      </c>
      <c r="B120" s="161">
        <v>5.04</v>
      </c>
      <c r="C120" s="8">
        <v>0</v>
      </c>
      <c r="D120" s="45">
        <v>0</v>
      </c>
    </row>
    <row r="121" spans="1:4" ht="19" x14ac:dyDescent="0.25">
      <c r="A121" s="57" t="s">
        <v>156</v>
      </c>
      <c r="B121" s="162">
        <v>5.64</v>
      </c>
      <c r="C121" s="9">
        <v>0</v>
      </c>
      <c r="D121" s="46">
        <v>0</v>
      </c>
    </row>
    <row r="122" spans="1:4" ht="19" x14ac:dyDescent="0.25">
      <c r="A122" s="58" t="s">
        <v>157</v>
      </c>
      <c r="B122" s="163">
        <v>3.04</v>
      </c>
      <c r="C122" s="8">
        <v>0</v>
      </c>
      <c r="D122" s="45">
        <v>0</v>
      </c>
    </row>
    <row r="123" spans="1:4" ht="19" x14ac:dyDescent="0.25">
      <c r="A123" s="57" t="s">
        <v>158</v>
      </c>
      <c r="B123" s="164">
        <v>3.79</v>
      </c>
      <c r="C123" s="9">
        <v>0</v>
      </c>
      <c r="D123" s="46">
        <v>0</v>
      </c>
    </row>
    <row r="124" spans="1:4" ht="19" x14ac:dyDescent="0.25">
      <c r="A124" s="58" t="s">
        <v>159</v>
      </c>
      <c r="B124" s="165">
        <v>3.48</v>
      </c>
      <c r="C124" s="8">
        <v>0</v>
      </c>
      <c r="D124" s="45">
        <v>0</v>
      </c>
    </row>
    <row r="125" spans="1:4" ht="19" x14ac:dyDescent="0.25">
      <c r="A125" s="57" t="s">
        <v>160</v>
      </c>
      <c r="B125" s="166">
        <v>5.22</v>
      </c>
      <c r="C125" s="9">
        <v>0</v>
      </c>
      <c r="D125" s="46">
        <v>0</v>
      </c>
    </row>
    <row r="126" spans="1:4" ht="19" x14ac:dyDescent="0.25">
      <c r="A126" s="58" t="s">
        <v>161</v>
      </c>
      <c r="B126" s="167">
        <v>3.57</v>
      </c>
      <c r="C126" s="8">
        <v>0</v>
      </c>
      <c r="D126" s="45">
        <v>0</v>
      </c>
    </row>
    <row r="127" spans="1:4" ht="19" x14ac:dyDescent="0.25">
      <c r="A127" s="57" t="s">
        <v>162</v>
      </c>
      <c r="B127" s="168">
        <v>3.7</v>
      </c>
      <c r="C127" s="9">
        <v>0</v>
      </c>
      <c r="D127" s="46">
        <v>0</v>
      </c>
    </row>
    <row r="128" spans="1:4" ht="19" x14ac:dyDescent="0.25">
      <c r="A128" s="58" t="s">
        <v>163</v>
      </c>
      <c r="B128" s="169">
        <v>5.1100000000000003</v>
      </c>
      <c r="C128" s="8">
        <v>0</v>
      </c>
      <c r="D128" s="45">
        <v>0</v>
      </c>
    </row>
    <row r="129" spans="1:4" ht="19" x14ac:dyDescent="0.25">
      <c r="A129" s="57" t="s">
        <v>164</v>
      </c>
      <c r="B129" s="137">
        <v>7.1</v>
      </c>
      <c r="C129" s="9">
        <v>0</v>
      </c>
      <c r="D129" s="46">
        <v>0</v>
      </c>
    </row>
    <row r="130" spans="1:4" ht="19" x14ac:dyDescent="0.25">
      <c r="A130" s="58" t="s">
        <v>165</v>
      </c>
      <c r="B130" s="170">
        <v>3.52</v>
      </c>
      <c r="C130" s="8">
        <v>0</v>
      </c>
      <c r="D130" s="45">
        <v>0</v>
      </c>
    </row>
    <row r="131" spans="1:4" ht="19" x14ac:dyDescent="0.25">
      <c r="A131" s="57" t="s">
        <v>166</v>
      </c>
      <c r="B131" s="171">
        <v>2.78</v>
      </c>
      <c r="C131" s="9">
        <v>0</v>
      </c>
      <c r="D131" s="46">
        <v>0</v>
      </c>
    </row>
    <row r="132" spans="1:4" ht="19" x14ac:dyDescent="0.25">
      <c r="A132" s="59" t="s">
        <v>167</v>
      </c>
      <c r="B132" s="172">
        <v>7.33</v>
      </c>
      <c r="C132" s="8">
        <v>0</v>
      </c>
      <c r="D132" s="45">
        <v>0</v>
      </c>
    </row>
    <row r="133" spans="1:4" ht="19" x14ac:dyDescent="0.25">
      <c r="A133" s="57" t="s">
        <v>168</v>
      </c>
      <c r="B133" s="173">
        <v>5.69</v>
      </c>
      <c r="C133" s="9">
        <v>0</v>
      </c>
      <c r="D133" s="46">
        <v>0</v>
      </c>
    </row>
    <row r="134" spans="1:4" ht="19" x14ac:dyDescent="0.25">
      <c r="A134" s="58" t="s">
        <v>169</v>
      </c>
      <c r="B134" s="63">
        <v>5.21</v>
      </c>
      <c r="C134" s="8">
        <v>0</v>
      </c>
      <c r="D134" s="45">
        <v>0</v>
      </c>
    </row>
    <row r="135" spans="1:4" ht="19" x14ac:dyDescent="0.25">
      <c r="A135" s="57" t="s">
        <v>170</v>
      </c>
      <c r="B135" s="174">
        <v>5.15</v>
      </c>
      <c r="C135" s="9">
        <v>0</v>
      </c>
      <c r="D135" s="46">
        <v>0</v>
      </c>
    </row>
    <row r="136" spans="1:4" ht="19" x14ac:dyDescent="0.25">
      <c r="A136" s="58" t="s">
        <v>171</v>
      </c>
      <c r="B136" s="175">
        <v>5.87</v>
      </c>
      <c r="C136" s="8">
        <v>0</v>
      </c>
      <c r="D136" s="45">
        <v>0</v>
      </c>
    </row>
    <row r="137" spans="1:4" ht="19" x14ac:dyDescent="0.25">
      <c r="A137" s="57" t="s">
        <v>172</v>
      </c>
      <c r="B137" s="176">
        <v>4.38</v>
      </c>
      <c r="C137" s="9">
        <v>0</v>
      </c>
      <c r="D137" s="46">
        <v>0</v>
      </c>
    </row>
    <row r="138" spans="1:4" ht="19" x14ac:dyDescent="0.25">
      <c r="A138" s="58" t="s">
        <v>173</v>
      </c>
      <c r="B138" s="177">
        <v>5.13</v>
      </c>
      <c r="C138" s="8">
        <v>0</v>
      </c>
      <c r="D138" s="45">
        <v>0</v>
      </c>
    </row>
    <row r="139" spans="1:4" ht="19" x14ac:dyDescent="0.25">
      <c r="A139" s="57" t="s">
        <v>174</v>
      </c>
      <c r="B139" s="178">
        <v>5.26</v>
      </c>
      <c r="C139" s="9">
        <v>0</v>
      </c>
      <c r="D139" s="46">
        <v>0</v>
      </c>
    </row>
    <row r="140" spans="1:4" ht="19" x14ac:dyDescent="0.25">
      <c r="A140" s="58" t="s">
        <v>175</v>
      </c>
      <c r="B140" s="179">
        <v>6.29</v>
      </c>
      <c r="C140" s="8">
        <v>0</v>
      </c>
      <c r="D140" s="45">
        <v>0</v>
      </c>
    </row>
    <row r="141" spans="1:4" ht="19" x14ac:dyDescent="0.25">
      <c r="A141" s="57" t="s">
        <v>176</v>
      </c>
      <c r="B141" s="180">
        <v>6.35</v>
      </c>
      <c r="C141" s="9">
        <v>0</v>
      </c>
      <c r="D141" s="46">
        <v>0</v>
      </c>
    </row>
    <row r="142" spans="1:4" ht="19" x14ac:dyDescent="0.25">
      <c r="A142" s="58" t="s">
        <v>177</v>
      </c>
      <c r="B142" s="181">
        <v>3.72</v>
      </c>
      <c r="C142" s="8">
        <v>0</v>
      </c>
      <c r="D142" s="45">
        <v>0</v>
      </c>
    </row>
    <row r="143" spans="1:4" ht="19" x14ac:dyDescent="0.25">
      <c r="A143" s="57" t="s">
        <v>178</v>
      </c>
      <c r="B143" s="145">
        <v>3.32</v>
      </c>
      <c r="C143" s="9">
        <v>0</v>
      </c>
      <c r="D143" s="46">
        <v>0</v>
      </c>
    </row>
    <row r="144" spans="1:4" ht="19" x14ac:dyDescent="0.25">
      <c r="A144" s="58" t="s">
        <v>179</v>
      </c>
      <c r="B144" s="182">
        <v>4.1900000000000004</v>
      </c>
      <c r="C144" s="8">
        <v>0</v>
      </c>
      <c r="D144" s="45">
        <v>0</v>
      </c>
    </row>
    <row r="145" spans="1:4" ht="19" x14ac:dyDescent="0.25">
      <c r="A145" s="57" t="s">
        <v>180</v>
      </c>
      <c r="B145" s="183">
        <v>3.91</v>
      </c>
      <c r="C145" s="9">
        <v>0</v>
      </c>
      <c r="D145" s="46">
        <v>0</v>
      </c>
    </row>
    <row r="146" spans="1:4" ht="19" x14ac:dyDescent="0.25">
      <c r="A146" s="58" t="s">
        <v>181</v>
      </c>
      <c r="B146" s="112">
        <v>5.77</v>
      </c>
      <c r="C146" s="8">
        <v>0</v>
      </c>
      <c r="D146" s="45">
        <v>0</v>
      </c>
    </row>
    <row r="147" spans="1:4" ht="19" x14ac:dyDescent="0.25">
      <c r="A147" s="57" t="s">
        <v>182</v>
      </c>
      <c r="B147" s="184">
        <v>4.32</v>
      </c>
      <c r="C147" s="9">
        <v>0</v>
      </c>
      <c r="D147" s="46">
        <v>0</v>
      </c>
    </row>
    <row r="148" spans="1:4" ht="19" x14ac:dyDescent="0.25">
      <c r="A148" s="58" t="s">
        <v>183</v>
      </c>
      <c r="B148" s="70">
        <v>6.3</v>
      </c>
      <c r="C148" s="8">
        <v>0</v>
      </c>
      <c r="D148" s="45">
        <v>0</v>
      </c>
    </row>
    <row r="149" spans="1:4" ht="19" x14ac:dyDescent="0.25">
      <c r="A149" s="57" t="s">
        <v>184</v>
      </c>
      <c r="B149" s="185">
        <v>4.95</v>
      </c>
      <c r="C149" s="9">
        <v>0</v>
      </c>
      <c r="D149" s="46">
        <v>0</v>
      </c>
    </row>
    <row r="150" spans="1:4" ht="19" x14ac:dyDescent="0.25">
      <c r="A150" s="60" t="s">
        <v>185</v>
      </c>
      <c r="B150" s="186">
        <v>6.14</v>
      </c>
      <c r="C150" s="10">
        <v>0</v>
      </c>
      <c r="D150" s="47">
        <v>0</v>
      </c>
    </row>
    <row r="151" spans="1:4" ht="19" x14ac:dyDescent="0.25">
      <c r="A151" s="61" t="s">
        <v>186</v>
      </c>
      <c r="B151" s="5"/>
      <c r="C151" s="6">
        <f>SUM(C4:C150)</f>
        <v>0</v>
      </c>
      <c r="D151" s="48">
        <f>SUM(D4:D150)</f>
        <v>0</v>
      </c>
    </row>
  </sheetData>
  <mergeCells count="1">
    <mergeCell ref="A1:D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235E4-9F37-5B48-85F8-BCAB6239D05B}">
  <dimension ref="A1:J151"/>
  <sheetViews>
    <sheetView workbookViewId="0">
      <selection activeCell="I17" sqref="I17"/>
    </sheetView>
  </sheetViews>
  <sheetFormatPr baseColWidth="10" defaultColWidth="11" defaultRowHeight="16" x14ac:dyDescent="0.2"/>
  <cols>
    <col min="1" max="1" width="23" bestFit="1" customWidth="1"/>
    <col min="2" max="2" width="32" bestFit="1" customWidth="1"/>
    <col min="3" max="3" width="33.6640625" bestFit="1" customWidth="1"/>
    <col min="4" max="4" width="42.6640625" bestFit="1" customWidth="1"/>
    <col min="5" max="5" width="16" bestFit="1" customWidth="1"/>
    <col min="7" max="7" width="29.33203125" bestFit="1" customWidth="1"/>
    <col min="8" max="8" width="13.6640625" bestFit="1" customWidth="1"/>
    <col min="9" max="9" width="22.5" bestFit="1" customWidth="1"/>
    <col min="10" max="10" width="12.33203125" bestFit="1" customWidth="1"/>
  </cols>
  <sheetData>
    <row r="1" spans="1:10" ht="17" customHeight="1" x14ac:dyDescent="0.2">
      <c r="A1" s="188" t="s">
        <v>8</v>
      </c>
      <c r="B1" s="189"/>
      <c r="C1" s="189"/>
      <c r="D1" s="189"/>
    </row>
    <row r="2" spans="1:10" ht="17" customHeight="1" thickBot="1" x14ac:dyDescent="0.25">
      <c r="A2" s="190"/>
      <c r="B2" s="191"/>
      <c r="C2" s="191"/>
      <c r="D2" s="191"/>
    </row>
    <row r="3" spans="1:10" ht="20" thickTop="1" x14ac:dyDescent="0.25">
      <c r="A3" s="12" t="s">
        <v>27</v>
      </c>
      <c r="B3" s="13" t="s">
        <v>28</v>
      </c>
      <c r="C3" s="14" t="s">
        <v>29</v>
      </c>
      <c r="D3" s="7" t="s">
        <v>30</v>
      </c>
    </row>
    <row r="4" spans="1:10" ht="20" thickBot="1" x14ac:dyDescent="0.3">
      <c r="A4" s="56" t="s">
        <v>31</v>
      </c>
      <c r="B4" s="62">
        <v>4.37</v>
      </c>
      <c r="C4" s="15">
        <v>0</v>
      </c>
      <c r="D4" s="45">
        <f>'Facility Risk - Amazon'!$C4/$C$151</f>
        <v>0</v>
      </c>
      <c r="E4" s="1"/>
      <c r="F4" s="3"/>
    </row>
    <row r="5" spans="1:10" ht="20" thickBot="1" x14ac:dyDescent="0.3">
      <c r="A5" s="57" t="s">
        <v>32</v>
      </c>
      <c r="B5" s="63">
        <v>5.21</v>
      </c>
      <c r="C5" s="9">
        <v>0</v>
      </c>
      <c r="D5" s="46">
        <f>'Facility Risk - Amazon'!$C5/$C$151</f>
        <v>0</v>
      </c>
      <c r="E5" s="1"/>
      <c r="F5" s="3"/>
      <c r="G5" s="32" t="s">
        <v>33</v>
      </c>
      <c r="H5" s="33"/>
      <c r="I5" s="33"/>
      <c r="J5" s="34"/>
    </row>
    <row r="6" spans="1:10" ht="20" thickBot="1" x14ac:dyDescent="0.3">
      <c r="A6" s="58" t="s">
        <v>34</v>
      </c>
      <c r="B6" s="64">
        <v>5.63</v>
      </c>
      <c r="C6" s="8">
        <v>0</v>
      </c>
      <c r="D6" s="45">
        <f>'Facility Risk - Amazon'!$C6/$C$151</f>
        <v>0</v>
      </c>
      <c r="E6" s="1"/>
      <c r="F6" s="3"/>
      <c r="G6" s="20"/>
      <c r="H6" s="21" t="s">
        <v>35</v>
      </c>
      <c r="I6" s="22" t="s">
        <v>36</v>
      </c>
      <c r="J6" s="23" t="s">
        <v>37</v>
      </c>
    </row>
    <row r="7" spans="1:10" ht="19" x14ac:dyDescent="0.25">
      <c r="A7" s="57" t="s">
        <v>38</v>
      </c>
      <c r="B7" s="65">
        <v>4.3600000000000003</v>
      </c>
      <c r="C7" s="9">
        <v>0</v>
      </c>
      <c r="D7" s="46">
        <f>'Facility Risk - Amazon'!$C7/$C$151</f>
        <v>0</v>
      </c>
      <c r="E7" s="1"/>
      <c r="F7" s="3"/>
      <c r="G7" s="24" t="s">
        <v>39</v>
      </c>
      <c r="H7" s="25" t="str">
        <f>INDEX(A4:A150,MATCH(MIN(D4:D150),D4:D150,0))</f>
        <v>Albania</v>
      </c>
      <c r="I7" s="25">
        <f>INDEX(B4:B150,MATCH(MIN(D4:D150),D4:D150,0))</f>
        <v>4.37</v>
      </c>
      <c r="J7" s="26">
        <f>INDEX(D4:D150,MATCH(MIN(D4:D150),D4:D150,0))</f>
        <v>0</v>
      </c>
    </row>
    <row r="8" spans="1:10" ht="20" thickBot="1" x14ac:dyDescent="0.3">
      <c r="A8" s="58" t="s">
        <v>40</v>
      </c>
      <c r="B8" s="66">
        <v>4.79</v>
      </c>
      <c r="C8" s="8">
        <v>0</v>
      </c>
      <c r="D8" s="45">
        <f>'Facility Risk - Amazon'!$C8/$C$151</f>
        <v>0</v>
      </c>
      <c r="E8" s="1"/>
      <c r="F8" s="3"/>
      <c r="G8" s="27" t="s">
        <v>41</v>
      </c>
      <c r="H8" s="28" t="str">
        <f>INDEX(A4:A150,MATCH(MAX(D4:D150),D4:D150,0))</f>
        <v>United States</v>
      </c>
      <c r="I8" s="28">
        <f>INDEX(B4:B150,MATCH(MAX(D4:D150),D4:D150,0))</f>
        <v>4.1900000000000004</v>
      </c>
      <c r="J8" s="31">
        <f>INDEX(D4:D150,MATCH(MAX(D4:D150),D4:D150,0))</f>
        <v>0.60815141197676736</v>
      </c>
    </row>
    <row r="9" spans="1:10" ht="23" thickBot="1" x14ac:dyDescent="0.35">
      <c r="A9" s="57" t="s">
        <v>42</v>
      </c>
      <c r="B9" s="67">
        <v>3.22</v>
      </c>
      <c r="C9" s="9">
        <v>1.3500000000000002E-2</v>
      </c>
      <c r="D9" s="46">
        <f>'Facility Risk - Amazon'!$C9/$C$151</f>
        <v>1.3518926497095936E-2</v>
      </c>
      <c r="E9" s="1"/>
      <c r="F9" s="3"/>
      <c r="G9" s="30" t="s">
        <v>43</v>
      </c>
      <c r="H9" s="29"/>
      <c r="I9" s="29"/>
      <c r="J9" s="187">
        <f>SUMPRODUCT(B4:B150,D4:D150)</f>
        <v>4.0365251351892653</v>
      </c>
    </row>
    <row r="10" spans="1:10" ht="19" x14ac:dyDescent="0.25">
      <c r="A10" s="58" t="s">
        <v>44</v>
      </c>
      <c r="B10" s="68">
        <v>3.41</v>
      </c>
      <c r="C10" s="8">
        <v>4.1999999999999997E-3</v>
      </c>
      <c r="D10" s="45">
        <f>'Facility Risk - Amazon'!$C10/$C$151</f>
        <v>4.205888243540957E-3</v>
      </c>
      <c r="E10" s="1"/>
      <c r="F10" s="3"/>
    </row>
    <row r="11" spans="1:10" ht="19" x14ac:dyDescent="0.25">
      <c r="A11" s="57" t="s">
        <v>45</v>
      </c>
      <c r="B11" s="63">
        <v>5.21</v>
      </c>
      <c r="C11" s="9">
        <v>0</v>
      </c>
      <c r="D11" s="46">
        <f>'Facility Risk - Amazon'!$C11/$C$151</f>
        <v>0</v>
      </c>
      <c r="E11" s="1"/>
      <c r="F11" s="3"/>
    </row>
    <row r="12" spans="1:10" ht="19" x14ac:dyDescent="0.25">
      <c r="A12" s="58" t="s">
        <v>46</v>
      </c>
      <c r="B12" s="69">
        <v>4.26</v>
      </c>
      <c r="C12" s="8">
        <v>0</v>
      </c>
      <c r="D12" s="45">
        <f>'Facility Risk - Amazon'!$C12/$C$151</f>
        <v>0</v>
      </c>
      <c r="E12" s="1"/>
      <c r="F12" s="3"/>
    </row>
    <row r="13" spans="1:10" ht="19" x14ac:dyDescent="0.25">
      <c r="A13" s="57" t="s">
        <v>47</v>
      </c>
      <c r="B13" s="70">
        <v>6.29</v>
      </c>
      <c r="C13" s="9">
        <v>0</v>
      </c>
      <c r="D13" s="46">
        <f>'Facility Risk - Amazon'!$C13/$C$151</f>
        <v>0</v>
      </c>
      <c r="E13" s="1"/>
      <c r="F13" s="3"/>
    </row>
    <row r="14" spans="1:10" ht="19" x14ac:dyDescent="0.25">
      <c r="A14" s="58" t="s">
        <v>48</v>
      </c>
      <c r="B14" s="71">
        <v>5.45</v>
      </c>
      <c r="C14" s="8">
        <v>0</v>
      </c>
      <c r="D14" s="45">
        <f>'Facility Risk - Amazon'!$C14/$C$151</f>
        <v>0</v>
      </c>
      <c r="E14" s="1"/>
      <c r="F14" s="3"/>
    </row>
    <row r="15" spans="1:10" ht="19" x14ac:dyDescent="0.25">
      <c r="A15" s="57" t="s">
        <v>49</v>
      </c>
      <c r="B15" s="72">
        <v>3.33</v>
      </c>
      <c r="C15" s="9">
        <v>1E-3</v>
      </c>
      <c r="D15" s="46">
        <f>'Facility Risk - Amazon'!$C15/$C$151</f>
        <v>1.001401962747847E-3</v>
      </c>
      <c r="E15" s="1"/>
      <c r="F15" s="3"/>
    </row>
    <row r="16" spans="1:10" ht="19" x14ac:dyDescent="0.25">
      <c r="A16" s="58" t="s">
        <v>50</v>
      </c>
      <c r="B16" s="73">
        <v>6</v>
      </c>
      <c r="C16" s="8">
        <v>0</v>
      </c>
      <c r="D16" s="45">
        <f>'Facility Risk - Amazon'!$C16/$C$151</f>
        <v>0</v>
      </c>
      <c r="E16" s="1"/>
      <c r="F16" s="3"/>
    </row>
    <row r="17" spans="1:6" ht="19" x14ac:dyDescent="0.25">
      <c r="A17" s="57" t="s">
        <v>51</v>
      </c>
      <c r="B17" s="74">
        <v>5.0199999999999996</v>
      </c>
      <c r="C17" s="9">
        <v>0</v>
      </c>
      <c r="D17" s="46">
        <f>'Facility Risk - Amazon'!$C17/$C$151</f>
        <v>0</v>
      </c>
      <c r="E17" s="1"/>
      <c r="F17" s="3"/>
    </row>
    <row r="18" spans="1:6" ht="19" x14ac:dyDescent="0.25">
      <c r="A18" s="58" t="s">
        <v>52</v>
      </c>
      <c r="B18" s="75">
        <v>5.41</v>
      </c>
      <c r="C18" s="8">
        <v>0</v>
      </c>
      <c r="D18" s="45">
        <f>'Facility Risk - Amazon'!$C18/$C$151</f>
        <v>0</v>
      </c>
      <c r="E18" s="1"/>
      <c r="F18" s="3"/>
    </row>
    <row r="19" spans="1:6" ht="19" x14ac:dyDescent="0.25">
      <c r="A19" s="57" t="s">
        <v>53</v>
      </c>
      <c r="B19" s="76">
        <v>5.34</v>
      </c>
      <c r="C19" s="9">
        <v>0</v>
      </c>
      <c r="D19" s="46">
        <f>'Facility Risk - Amazon'!$C19/$C$151</f>
        <v>0</v>
      </c>
      <c r="E19" s="1"/>
      <c r="F19" s="3"/>
    </row>
    <row r="20" spans="1:6" ht="19" x14ac:dyDescent="0.25">
      <c r="A20" s="58" t="s">
        <v>54</v>
      </c>
      <c r="B20" s="77">
        <v>4.34</v>
      </c>
      <c r="C20" s="8">
        <v>0</v>
      </c>
      <c r="D20" s="45">
        <f>'Facility Risk - Amazon'!$C20/$C$151</f>
        <v>0</v>
      </c>
      <c r="E20" s="1"/>
      <c r="F20" s="3"/>
    </row>
    <row r="21" spans="1:6" ht="19" x14ac:dyDescent="0.25">
      <c r="A21" s="57" t="s">
        <v>55</v>
      </c>
      <c r="B21" s="78">
        <v>5.35</v>
      </c>
      <c r="C21" s="9">
        <v>5.1999999999999998E-3</v>
      </c>
      <c r="D21" s="46">
        <f>'Facility Risk - Amazon'!$C21/$C$151</f>
        <v>5.2072902062888036E-3</v>
      </c>
      <c r="E21" s="1"/>
      <c r="F21" s="3"/>
    </row>
    <row r="22" spans="1:6" ht="19" x14ac:dyDescent="0.25">
      <c r="A22" s="58" t="s">
        <v>56</v>
      </c>
      <c r="B22" s="79">
        <v>4.43</v>
      </c>
      <c r="C22" s="8">
        <v>0</v>
      </c>
      <c r="D22" s="45">
        <f>'Facility Risk - Amazon'!$C22/$C$151</f>
        <v>0</v>
      </c>
      <c r="E22" s="1"/>
      <c r="F22" s="3"/>
    </row>
    <row r="23" spans="1:6" ht="19" x14ac:dyDescent="0.25">
      <c r="A23" s="57" t="s">
        <v>57</v>
      </c>
      <c r="B23" s="80">
        <v>6.55</v>
      </c>
      <c r="C23" s="9">
        <v>0</v>
      </c>
      <c r="D23" s="46">
        <f>'Facility Risk - Amazon'!$C23/$C$151</f>
        <v>0</v>
      </c>
      <c r="E23" s="1"/>
      <c r="F23" s="3"/>
    </row>
    <row r="24" spans="1:6" ht="19" x14ac:dyDescent="0.25">
      <c r="A24" s="58" t="s">
        <v>58</v>
      </c>
      <c r="B24" s="81">
        <v>6.33</v>
      </c>
      <c r="C24" s="8">
        <v>0</v>
      </c>
      <c r="D24" s="45">
        <f>'Facility Risk - Amazon'!$C24/$C$151</f>
        <v>0</v>
      </c>
      <c r="E24" s="1"/>
      <c r="F24" s="3"/>
    </row>
    <row r="25" spans="1:6" ht="19" x14ac:dyDescent="0.25">
      <c r="A25" s="57" t="s">
        <v>59</v>
      </c>
      <c r="B25" s="64">
        <v>5.64</v>
      </c>
      <c r="C25" s="9">
        <v>0</v>
      </c>
      <c r="D25" s="46">
        <f>'Facility Risk - Amazon'!$C25/$C$151</f>
        <v>0</v>
      </c>
      <c r="E25" s="1"/>
      <c r="F25" s="3"/>
    </row>
    <row r="26" spans="1:6" ht="19" x14ac:dyDescent="0.25">
      <c r="A26" s="58" t="s">
        <v>60</v>
      </c>
      <c r="B26" s="82">
        <v>6.83</v>
      </c>
      <c r="C26" s="8">
        <v>0</v>
      </c>
      <c r="D26" s="45">
        <f>'Facility Risk - Amazon'!$C26/$C$151</f>
        <v>0</v>
      </c>
      <c r="E26" s="1"/>
      <c r="F26" s="3"/>
    </row>
    <row r="27" spans="1:6" ht="19" x14ac:dyDescent="0.25">
      <c r="A27" s="57" t="s">
        <v>61</v>
      </c>
      <c r="B27" s="83">
        <v>3.44</v>
      </c>
      <c r="C27" s="9">
        <v>2.81E-2</v>
      </c>
      <c r="D27" s="46">
        <f>'Facility Risk - Amazon'!$C27/$C$151</f>
        <v>2.8139395153214498E-2</v>
      </c>
      <c r="E27" s="1"/>
      <c r="F27" s="3"/>
    </row>
    <row r="28" spans="1:6" ht="19" x14ac:dyDescent="0.25">
      <c r="A28" s="58" t="s">
        <v>62</v>
      </c>
      <c r="B28" s="84">
        <v>6.79</v>
      </c>
      <c r="C28" s="8">
        <v>0</v>
      </c>
      <c r="D28" s="45">
        <f>'Facility Risk - Amazon'!$C28/$C$151</f>
        <v>0</v>
      </c>
      <c r="E28" s="1"/>
      <c r="F28" s="3"/>
    </row>
    <row r="29" spans="1:6" ht="19" x14ac:dyDescent="0.25">
      <c r="A29" s="57" t="s">
        <v>63</v>
      </c>
      <c r="B29" s="82">
        <v>6.84</v>
      </c>
      <c r="C29" s="9">
        <v>0</v>
      </c>
      <c r="D29" s="46">
        <f>'Facility Risk - Amazon'!$C29/$C$151</f>
        <v>0</v>
      </c>
      <c r="E29" s="1"/>
      <c r="F29" s="3"/>
    </row>
    <row r="30" spans="1:6" ht="19" x14ac:dyDescent="0.25">
      <c r="A30" s="58" t="s">
        <v>64</v>
      </c>
      <c r="B30" s="65">
        <v>4.3600000000000003</v>
      </c>
      <c r="C30" s="8">
        <v>0</v>
      </c>
      <c r="D30" s="45">
        <f>'Facility Risk - Amazon'!$C30/$C$151</f>
        <v>0</v>
      </c>
      <c r="E30" s="1"/>
      <c r="F30" s="3"/>
    </row>
    <row r="31" spans="1:6" ht="19" x14ac:dyDescent="0.25">
      <c r="A31" s="57" t="s">
        <v>65</v>
      </c>
      <c r="B31" s="85">
        <v>4.26</v>
      </c>
      <c r="C31" s="9">
        <f>0.52%+0.1%</f>
        <v>6.1999999999999998E-3</v>
      </c>
      <c r="D31" s="46">
        <f>'Facility Risk - Amazon'!$C31/$C$151</f>
        <v>6.208692169036651E-3</v>
      </c>
      <c r="E31" s="50" t="s">
        <v>66</v>
      </c>
    </row>
    <row r="32" spans="1:6" ht="19" x14ac:dyDescent="0.25">
      <c r="A32" s="58" t="s">
        <v>67</v>
      </c>
      <c r="B32" s="86">
        <v>5.72</v>
      </c>
      <c r="C32" s="8">
        <v>0</v>
      </c>
      <c r="D32" s="45">
        <f>'Facility Risk - Amazon'!$C32/$C$151</f>
        <v>0</v>
      </c>
    </row>
    <row r="33" spans="1:4" ht="19" x14ac:dyDescent="0.25">
      <c r="A33" s="57" t="s">
        <v>68</v>
      </c>
      <c r="B33" s="87">
        <v>5.65</v>
      </c>
      <c r="C33" s="9">
        <v>0</v>
      </c>
      <c r="D33" s="46">
        <f>'Facility Risk - Amazon'!$C33/$C$151</f>
        <v>0</v>
      </c>
    </row>
    <row r="34" spans="1:4" ht="19" x14ac:dyDescent="0.25">
      <c r="A34" s="58" t="s">
        <v>69</v>
      </c>
      <c r="B34" s="88">
        <v>4.2300000000000004</v>
      </c>
      <c r="C34" s="8">
        <v>0</v>
      </c>
      <c r="D34" s="45">
        <f>'Facility Risk - Amazon'!$C34/$C$151</f>
        <v>0</v>
      </c>
    </row>
    <row r="35" spans="1:4" ht="19" x14ac:dyDescent="0.25">
      <c r="A35" s="57" t="s">
        <v>70</v>
      </c>
      <c r="B35" s="89">
        <v>5.6</v>
      </c>
      <c r="C35" s="9">
        <v>0</v>
      </c>
      <c r="D35" s="46">
        <f>'Facility Risk - Amazon'!$C35/$C$151</f>
        <v>0</v>
      </c>
    </row>
    <row r="36" spans="1:4" ht="19" x14ac:dyDescent="0.25">
      <c r="A36" s="58" t="s">
        <v>71</v>
      </c>
      <c r="B36" s="90">
        <v>4.28</v>
      </c>
      <c r="C36" s="8">
        <v>0</v>
      </c>
      <c r="D36" s="45">
        <f>'Facility Risk - Amazon'!$C36/$C$151</f>
        <v>0</v>
      </c>
    </row>
    <row r="37" spans="1:4" ht="19" x14ac:dyDescent="0.25">
      <c r="A37" s="57" t="s">
        <v>72</v>
      </c>
      <c r="B37" s="91">
        <v>4.67</v>
      </c>
      <c r="C37" s="9">
        <v>0</v>
      </c>
      <c r="D37" s="46">
        <f>'Facility Risk - Amazon'!$C37/$C$151</f>
        <v>0</v>
      </c>
    </row>
    <row r="38" spans="1:4" ht="19" x14ac:dyDescent="0.25">
      <c r="A38" s="58" t="s">
        <v>73</v>
      </c>
      <c r="B38" s="92">
        <v>3.75</v>
      </c>
      <c r="C38" s="8">
        <v>4.1999999999999997E-3</v>
      </c>
      <c r="D38" s="45">
        <f>'Facility Risk - Amazon'!$C38/$C$151</f>
        <v>4.205888243540957E-3</v>
      </c>
    </row>
    <row r="39" spans="1:4" ht="19" x14ac:dyDescent="0.25">
      <c r="A39" s="57" t="s">
        <v>74</v>
      </c>
      <c r="B39" s="93">
        <v>3.2</v>
      </c>
      <c r="C39" s="9">
        <v>0</v>
      </c>
      <c r="D39" s="46">
        <f>'Facility Risk - Amazon'!$C39/$C$151</f>
        <v>0</v>
      </c>
    </row>
    <row r="40" spans="1:4" ht="19" x14ac:dyDescent="0.25">
      <c r="A40" s="58" t="s">
        <v>75</v>
      </c>
      <c r="B40" s="94">
        <v>5.98</v>
      </c>
      <c r="C40" s="8">
        <v>0</v>
      </c>
      <c r="D40" s="45">
        <f>'Facility Risk - Amazon'!$C40/$C$151</f>
        <v>0</v>
      </c>
    </row>
    <row r="41" spans="1:4" ht="19" x14ac:dyDescent="0.25">
      <c r="A41" s="57" t="s">
        <v>76</v>
      </c>
      <c r="B41" s="95">
        <v>4.7</v>
      </c>
      <c r="C41" s="9">
        <v>0</v>
      </c>
      <c r="D41" s="46">
        <f>'Facility Risk - Amazon'!$C41/$C$151</f>
        <v>0</v>
      </c>
    </row>
    <row r="42" spans="1:4" ht="19" x14ac:dyDescent="0.25">
      <c r="A42" s="58" t="s">
        <v>77</v>
      </c>
      <c r="B42" s="96">
        <v>5.71</v>
      </c>
      <c r="C42" s="8">
        <v>0</v>
      </c>
      <c r="D42" s="45">
        <f>'Facility Risk - Amazon'!$C42/$C$151</f>
        <v>0</v>
      </c>
    </row>
    <row r="43" spans="1:4" ht="19" x14ac:dyDescent="0.25">
      <c r="A43" s="57" t="s">
        <v>78</v>
      </c>
      <c r="B43" s="97">
        <v>5.6</v>
      </c>
      <c r="C43" s="9">
        <v>3.0999999999999999E-3</v>
      </c>
      <c r="D43" s="46">
        <f>'Facility Risk - Amazon'!$C43/$C$151</f>
        <v>3.1043460845183255E-3</v>
      </c>
    </row>
    <row r="44" spans="1:4" ht="19" x14ac:dyDescent="0.25">
      <c r="A44" s="58" t="s">
        <v>79</v>
      </c>
      <c r="B44" s="98">
        <v>4.79</v>
      </c>
      <c r="C44" s="8">
        <v>0</v>
      </c>
      <c r="D44" s="45">
        <f>'Facility Risk - Amazon'!$C44/$C$151</f>
        <v>0</v>
      </c>
    </row>
    <row r="45" spans="1:4" ht="19" x14ac:dyDescent="0.25">
      <c r="A45" s="57" t="s">
        <v>80</v>
      </c>
      <c r="B45" s="99">
        <v>3.57</v>
      </c>
      <c r="C45" s="9">
        <v>0</v>
      </c>
      <c r="D45" s="46">
        <f>'Facility Risk - Amazon'!$C45/$C$151</f>
        <v>0</v>
      </c>
    </row>
    <row r="46" spans="1:4" ht="19" x14ac:dyDescent="0.25">
      <c r="A46" s="58" t="s">
        <v>81</v>
      </c>
      <c r="B46" s="100">
        <v>4.5</v>
      </c>
      <c r="C46" s="8">
        <v>0</v>
      </c>
      <c r="D46" s="45">
        <f>'Facility Risk - Amazon'!$C46/$C$151</f>
        <v>0</v>
      </c>
    </row>
    <row r="47" spans="1:4" ht="19" x14ac:dyDescent="0.25">
      <c r="A47" s="57" t="s">
        <v>82</v>
      </c>
      <c r="B47" s="101">
        <v>6.93</v>
      </c>
      <c r="C47" s="9">
        <v>0</v>
      </c>
      <c r="D47" s="46">
        <f>'Facility Risk - Amazon'!$C47/$C$151</f>
        <v>0</v>
      </c>
    </row>
    <row r="48" spans="1:4" ht="19" x14ac:dyDescent="0.25">
      <c r="A48" s="58" t="s">
        <v>83</v>
      </c>
      <c r="B48" s="102">
        <v>3.35</v>
      </c>
      <c r="C48" s="8">
        <v>0</v>
      </c>
      <c r="D48" s="45">
        <f>'Facility Risk - Amazon'!$C48/$C$151</f>
        <v>0</v>
      </c>
    </row>
    <row r="49" spans="1:4" ht="19" x14ac:dyDescent="0.25">
      <c r="A49" s="57" t="s">
        <v>84</v>
      </c>
      <c r="B49" s="103">
        <v>3.65</v>
      </c>
      <c r="C49" s="9">
        <v>1.67E-2</v>
      </c>
      <c r="D49" s="46">
        <f>'Facility Risk - Amazon'!$C49/$C$151</f>
        <v>1.6723412777889045E-2</v>
      </c>
    </row>
    <row r="50" spans="1:4" ht="19" x14ac:dyDescent="0.25">
      <c r="A50" s="58" t="s">
        <v>85</v>
      </c>
      <c r="B50" s="104">
        <v>5.78</v>
      </c>
      <c r="C50" s="8">
        <v>0</v>
      </c>
      <c r="D50" s="45">
        <f>'Facility Risk - Amazon'!$C50/$C$151</f>
        <v>0</v>
      </c>
    </row>
    <row r="51" spans="1:4" ht="19" x14ac:dyDescent="0.25">
      <c r="A51" s="57" t="s">
        <v>86</v>
      </c>
      <c r="B51" s="105">
        <v>5.38</v>
      </c>
      <c r="C51" s="9">
        <v>0</v>
      </c>
      <c r="D51" s="46">
        <f>'Facility Risk - Amazon'!$C51/$C$151</f>
        <v>0</v>
      </c>
    </row>
    <row r="52" spans="1:4" ht="19" x14ac:dyDescent="0.25">
      <c r="A52" s="58" t="s">
        <v>87</v>
      </c>
      <c r="B52" s="106">
        <v>4.93</v>
      </c>
      <c r="C52" s="8">
        <v>0</v>
      </c>
      <c r="D52" s="45">
        <f>'Facility Risk - Amazon'!$C52/$C$151</f>
        <v>0</v>
      </c>
    </row>
    <row r="53" spans="1:4" ht="19" x14ac:dyDescent="0.25">
      <c r="A53" s="57" t="s">
        <v>88</v>
      </c>
      <c r="B53" s="68">
        <v>3.42</v>
      </c>
      <c r="C53" s="9">
        <v>8.6500000000000007E-2</v>
      </c>
      <c r="D53" s="46">
        <f>'Facility Risk - Amazon'!$C53/$C$151</f>
        <v>8.6621269777688761E-2</v>
      </c>
    </row>
    <row r="54" spans="1:4" ht="19" x14ac:dyDescent="0.25">
      <c r="A54" s="58" t="s">
        <v>89</v>
      </c>
      <c r="B54" s="107">
        <v>4.63</v>
      </c>
      <c r="C54" s="8">
        <v>0</v>
      </c>
      <c r="D54" s="45">
        <f>'Facility Risk - Amazon'!$C54/$C$151</f>
        <v>0</v>
      </c>
    </row>
    <row r="55" spans="1:4" ht="19" x14ac:dyDescent="0.25">
      <c r="A55" s="57" t="s">
        <v>90</v>
      </c>
      <c r="B55" s="77">
        <v>4.34</v>
      </c>
      <c r="C55" s="9">
        <v>0</v>
      </c>
      <c r="D55" s="46">
        <f>'Facility Risk - Amazon'!$C55/$C$151</f>
        <v>0</v>
      </c>
    </row>
    <row r="56" spans="1:4" ht="19" x14ac:dyDescent="0.25">
      <c r="A56" s="58" t="s">
        <v>91</v>
      </c>
      <c r="B56" s="71">
        <v>5.45</v>
      </c>
      <c r="C56" s="8">
        <v>0</v>
      </c>
      <c r="D56" s="45">
        <f>'Facility Risk - Amazon'!$C56/$C$151</f>
        <v>0</v>
      </c>
    </row>
    <row r="57" spans="1:4" ht="19" x14ac:dyDescent="0.25">
      <c r="A57" s="57" t="s">
        <v>92</v>
      </c>
      <c r="B57" s="108">
        <v>6.36</v>
      </c>
      <c r="C57" s="9">
        <v>0</v>
      </c>
      <c r="D57" s="46">
        <f>'Facility Risk - Amazon'!$C57/$C$151</f>
        <v>0</v>
      </c>
    </row>
    <row r="58" spans="1:4" ht="19" x14ac:dyDescent="0.25">
      <c r="A58" s="58" t="s">
        <v>93</v>
      </c>
      <c r="B58" s="109">
        <v>5.94</v>
      </c>
      <c r="C58" s="8">
        <v>0</v>
      </c>
      <c r="D58" s="45">
        <f>'Facility Risk - Amazon'!$C58/$C$151</f>
        <v>0</v>
      </c>
    </row>
    <row r="59" spans="1:4" ht="19" x14ac:dyDescent="0.25">
      <c r="A59" s="57" t="s">
        <v>94</v>
      </c>
      <c r="B59" s="110">
        <v>4.92</v>
      </c>
      <c r="C59" s="9">
        <v>0</v>
      </c>
      <c r="D59" s="46">
        <f>'Facility Risk - Amazon'!$C59/$C$151</f>
        <v>0</v>
      </c>
    </row>
    <row r="60" spans="1:4" ht="19" x14ac:dyDescent="0.25">
      <c r="A60" s="58" t="s">
        <v>95</v>
      </c>
      <c r="B60" s="111">
        <v>6.53</v>
      </c>
      <c r="C60" s="8">
        <v>0</v>
      </c>
      <c r="D60" s="45">
        <f>'Facility Risk - Amazon'!$C60/$C$151</f>
        <v>0</v>
      </c>
    </row>
    <row r="61" spans="1:4" ht="19" x14ac:dyDescent="0.25">
      <c r="A61" s="57" t="s">
        <v>96</v>
      </c>
      <c r="B61" s="112">
        <v>5.77</v>
      </c>
      <c r="C61" s="9">
        <v>0</v>
      </c>
      <c r="D61" s="46">
        <f>'Facility Risk - Amazon'!$C61/$C$151</f>
        <v>0</v>
      </c>
    </row>
    <row r="62" spans="1:4" ht="19" x14ac:dyDescent="0.25">
      <c r="A62" s="58" t="s">
        <v>97</v>
      </c>
      <c r="B62" s="113">
        <v>3.63</v>
      </c>
      <c r="C62" s="8">
        <v>0</v>
      </c>
      <c r="D62" s="45">
        <f>'Facility Risk - Amazon'!$C62/$C$151</f>
        <v>0</v>
      </c>
    </row>
    <row r="63" spans="1:4" ht="19" x14ac:dyDescent="0.25">
      <c r="A63" s="57" t="s">
        <v>98</v>
      </c>
      <c r="B63" s="114">
        <v>3.38</v>
      </c>
      <c r="C63" s="9">
        <v>0</v>
      </c>
      <c r="D63" s="46">
        <f>'Facility Risk - Amazon'!$C63/$C$151</f>
        <v>0</v>
      </c>
    </row>
    <row r="64" spans="1:4" ht="19" x14ac:dyDescent="0.25">
      <c r="A64" s="58" t="s">
        <v>99</v>
      </c>
      <c r="B64" s="115">
        <v>5.07</v>
      </c>
      <c r="C64" s="8">
        <v>2.5000000000000001E-2</v>
      </c>
      <c r="D64" s="45">
        <f>'Facility Risk - Amazon'!$C64/$C$151</f>
        <v>2.5035049068696174E-2</v>
      </c>
    </row>
    <row r="65" spans="1:4" ht="19" x14ac:dyDescent="0.25">
      <c r="A65" s="57" t="s">
        <v>100</v>
      </c>
      <c r="B65" s="106">
        <v>4.92</v>
      </c>
      <c r="C65" s="9">
        <v>0</v>
      </c>
      <c r="D65" s="46">
        <f>'Facility Risk - Amazon'!$C65/$C$151</f>
        <v>0</v>
      </c>
    </row>
    <row r="66" spans="1:4" ht="19" x14ac:dyDescent="0.25">
      <c r="A66" s="58" t="s">
        <v>101</v>
      </c>
      <c r="B66" s="116">
        <v>5.88</v>
      </c>
      <c r="C66" s="8">
        <v>0</v>
      </c>
      <c r="D66" s="45">
        <f>'Facility Risk - Amazon'!$C66/$C$151</f>
        <v>0</v>
      </c>
    </row>
    <row r="67" spans="1:4" ht="19" x14ac:dyDescent="0.25">
      <c r="A67" s="57" t="s">
        <v>102</v>
      </c>
      <c r="B67" s="117">
        <v>6.05</v>
      </c>
      <c r="C67" s="9">
        <v>0</v>
      </c>
      <c r="D67" s="46">
        <f>'Facility Risk - Amazon'!$C67/$C$151</f>
        <v>0</v>
      </c>
    </row>
    <row r="68" spans="1:4" ht="19" x14ac:dyDescent="0.25">
      <c r="A68" s="58" t="s">
        <v>103</v>
      </c>
      <c r="B68" s="118">
        <v>3.25</v>
      </c>
      <c r="C68" s="8">
        <v>1E-3</v>
      </c>
      <c r="D68" s="45">
        <f>'Facility Risk - Amazon'!$C68/$C$151</f>
        <v>1.001401962747847E-3</v>
      </c>
    </row>
    <row r="69" spans="1:4" ht="19" x14ac:dyDescent="0.25">
      <c r="A69" s="57" t="s">
        <v>104</v>
      </c>
      <c r="B69" s="119">
        <v>4.6100000000000003</v>
      </c>
      <c r="C69" s="9">
        <v>1E-3</v>
      </c>
      <c r="D69" s="46">
        <f>'Facility Risk - Amazon'!$C69/$C$151</f>
        <v>1.001401962747847E-3</v>
      </c>
    </row>
    <row r="70" spans="1:4" ht="19" x14ac:dyDescent="0.25">
      <c r="A70" s="58" t="s">
        <v>105</v>
      </c>
      <c r="B70" s="120">
        <v>3.84</v>
      </c>
      <c r="C70" s="8">
        <v>1.3500000000000002E-2</v>
      </c>
      <c r="D70" s="45">
        <f>'Facility Risk - Amazon'!$C70/$C$151</f>
        <v>1.3518926497095936E-2</v>
      </c>
    </row>
    <row r="71" spans="1:4" ht="19" x14ac:dyDescent="0.25">
      <c r="A71" s="57" t="s">
        <v>106</v>
      </c>
      <c r="B71" s="121">
        <v>4.75</v>
      </c>
      <c r="C71" s="9">
        <v>0</v>
      </c>
      <c r="D71" s="46">
        <f>'Facility Risk - Amazon'!$C71/$C$151</f>
        <v>0</v>
      </c>
    </row>
    <row r="72" spans="1:4" ht="19" x14ac:dyDescent="0.25">
      <c r="A72" s="58" t="s">
        <v>107</v>
      </c>
      <c r="B72" s="114">
        <v>3.38</v>
      </c>
      <c r="C72" s="8">
        <v>3.5400000000000001E-2</v>
      </c>
      <c r="D72" s="45">
        <f>'Facility Risk - Amazon'!$C72/$C$151</f>
        <v>3.5449629481273781E-2</v>
      </c>
    </row>
    <row r="73" spans="1:4" ht="19" x14ac:dyDescent="0.25">
      <c r="A73" s="57" t="s">
        <v>108</v>
      </c>
      <c r="B73" s="122">
        <v>5.13</v>
      </c>
      <c r="C73" s="9">
        <v>0</v>
      </c>
      <c r="D73" s="46">
        <f>'Facility Risk - Amazon'!$C73/$C$151</f>
        <v>0</v>
      </c>
    </row>
    <row r="74" spans="1:4" ht="19" x14ac:dyDescent="0.25">
      <c r="A74" s="58" t="s">
        <v>109</v>
      </c>
      <c r="B74" s="123">
        <v>4.54</v>
      </c>
      <c r="C74" s="8">
        <v>0</v>
      </c>
      <c r="D74" s="45">
        <f>'Facility Risk - Amazon'!$C74/$C$151</f>
        <v>0</v>
      </c>
    </row>
    <row r="75" spans="1:4" ht="19" x14ac:dyDescent="0.25">
      <c r="A75" s="57" t="s">
        <v>110</v>
      </c>
      <c r="B75" s="124">
        <v>6.13</v>
      </c>
      <c r="C75" s="9">
        <v>0</v>
      </c>
      <c r="D75" s="46">
        <f>'Facility Risk - Amazon'!$C75/$C$151</f>
        <v>0</v>
      </c>
    </row>
    <row r="76" spans="1:4" ht="19" x14ac:dyDescent="0.25">
      <c r="A76" s="58" t="s">
        <v>111</v>
      </c>
      <c r="B76" s="125">
        <v>4.3</v>
      </c>
      <c r="C76" s="8">
        <v>0</v>
      </c>
      <c r="D76" s="45">
        <f>'Facility Risk - Amazon'!$C76/$C$151</f>
        <v>0</v>
      </c>
    </row>
    <row r="77" spans="1:4" ht="19" x14ac:dyDescent="0.25">
      <c r="A77" s="57" t="s">
        <v>112</v>
      </c>
      <c r="B77" s="126">
        <v>5.37</v>
      </c>
      <c r="C77" s="9">
        <v>0</v>
      </c>
      <c r="D77" s="46">
        <f>'Facility Risk - Amazon'!$C77/$C$151</f>
        <v>0</v>
      </c>
    </row>
    <row r="78" spans="1:4" ht="19" x14ac:dyDescent="0.25">
      <c r="A78" s="58" t="s">
        <v>113</v>
      </c>
      <c r="B78" s="127">
        <v>5.14</v>
      </c>
      <c r="C78" s="8">
        <v>0</v>
      </c>
      <c r="D78" s="45">
        <f>'Facility Risk - Amazon'!$C78/$C$151</f>
        <v>0</v>
      </c>
    </row>
    <row r="79" spans="1:4" ht="19" x14ac:dyDescent="0.25">
      <c r="A79" s="57" t="s">
        <v>114</v>
      </c>
      <c r="B79" s="128">
        <v>3.97</v>
      </c>
      <c r="C79" s="9">
        <v>0</v>
      </c>
      <c r="D79" s="46">
        <f>'Facility Risk - Amazon'!$C79/$C$151</f>
        <v>0</v>
      </c>
    </row>
    <row r="80" spans="1:4" ht="19" x14ac:dyDescent="0.25">
      <c r="A80" s="58" t="s">
        <v>115</v>
      </c>
      <c r="B80" s="129">
        <v>6.12</v>
      </c>
      <c r="C80" s="8">
        <v>0</v>
      </c>
      <c r="D80" s="45">
        <f>'Facility Risk - Amazon'!$C80/$C$151</f>
        <v>0</v>
      </c>
    </row>
    <row r="81" spans="1:4" ht="19" x14ac:dyDescent="0.25">
      <c r="A81" s="57" t="s">
        <v>116</v>
      </c>
      <c r="B81" s="130">
        <v>5.49</v>
      </c>
      <c r="C81" s="9">
        <v>0</v>
      </c>
      <c r="D81" s="46">
        <f>'Facility Risk - Amazon'!$C81/$C$151</f>
        <v>0</v>
      </c>
    </row>
    <row r="82" spans="1:4" ht="19" x14ac:dyDescent="0.25">
      <c r="A82" s="58" t="s">
        <v>117</v>
      </c>
      <c r="B82" s="131">
        <v>5.97</v>
      </c>
      <c r="C82" s="8">
        <v>0</v>
      </c>
      <c r="D82" s="45">
        <f>'Facility Risk - Amazon'!$C82/$C$151</f>
        <v>0</v>
      </c>
    </row>
    <row r="83" spans="1:4" ht="19" x14ac:dyDescent="0.25">
      <c r="A83" s="57" t="s">
        <v>118</v>
      </c>
      <c r="B83" s="132">
        <v>5.68</v>
      </c>
      <c r="C83" s="9">
        <v>0</v>
      </c>
      <c r="D83" s="46">
        <f>'Facility Risk - Amazon'!$C83/$C$151</f>
        <v>0</v>
      </c>
    </row>
    <row r="84" spans="1:4" ht="19" x14ac:dyDescent="0.25">
      <c r="A84" s="58" t="s">
        <v>119</v>
      </c>
      <c r="B84" s="133">
        <v>3.93</v>
      </c>
      <c r="C84" s="8">
        <v>0</v>
      </c>
      <c r="D84" s="45">
        <f>'Facility Risk - Amazon'!$C84/$C$151</f>
        <v>0</v>
      </c>
    </row>
    <row r="85" spans="1:4" ht="19" x14ac:dyDescent="0.25">
      <c r="A85" s="57" t="s">
        <v>120</v>
      </c>
      <c r="B85" s="134">
        <v>5.82</v>
      </c>
      <c r="C85" s="9">
        <v>0</v>
      </c>
      <c r="D85" s="46">
        <f>'Facility Risk - Amazon'!$C85/$C$151</f>
        <v>0</v>
      </c>
    </row>
    <row r="86" spans="1:4" ht="19" x14ac:dyDescent="0.25">
      <c r="A86" s="58" t="s">
        <v>121</v>
      </c>
      <c r="B86" s="135">
        <v>5.58</v>
      </c>
      <c r="C86" s="8">
        <v>0</v>
      </c>
      <c r="D86" s="45">
        <f>'Facility Risk - Amazon'!$C86/$C$151</f>
        <v>0</v>
      </c>
    </row>
    <row r="87" spans="1:4" ht="19" x14ac:dyDescent="0.25">
      <c r="A87" s="57" t="s">
        <v>122</v>
      </c>
      <c r="B87" s="136">
        <v>4.03</v>
      </c>
      <c r="C87" s="9">
        <v>0</v>
      </c>
      <c r="D87" s="46">
        <f>'Facility Risk - Amazon'!$C87/$C$151</f>
        <v>0</v>
      </c>
    </row>
    <row r="88" spans="1:4" ht="19" x14ac:dyDescent="0.25">
      <c r="A88" s="58" t="s">
        <v>123</v>
      </c>
      <c r="B88" s="137">
        <v>7.1</v>
      </c>
      <c r="C88" s="8">
        <v>0</v>
      </c>
      <c r="D88" s="45">
        <f>'Facility Risk - Amazon'!$C88/$C$151</f>
        <v>0</v>
      </c>
    </row>
    <row r="89" spans="1:4" ht="19" x14ac:dyDescent="0.25">
      <c r="A89" s="57" t="s">
        <v>124</v>
      </c>
      <c r="B89" s="138">
        <v>6.28</v>
      </c>
      <c r="C89" s="9">
        <v>0</v>
      </c>
      <c r="D89" s="46">
        <f>'Facility Risk - Amazon'!$C89/$C$151</f>
        <v>0</v>
      </c>
    </row>
    <row r="90" spans="1:4" ht="19" x14ac:dyDescent="0.25">
      <c r="A90" s="58" t="s">
        <v>125</v>
      </c>
      <c r="B90" s="139">
        <v>3.47</v>
      </c>
      <c r="C90" s="8">
        <v>0</v>
      </c>
      <c r="D90" s="45">
        <f>'Facility Risk - Amazon'!$C90/$C$151</f>
        <v>0</v>
      </c>
    </row>
    <row r="91" spans="1:4" ht="19" x14ac:dyDescent="0.25">
      <c r="A91" s="57" t="s">
        <v>126</v>
      </c>
      <c r="B91" s="140">
        <v>5.42</v>
      </c>
      <c r="C91" s="9">
        <v>2.4E-2</v>
      </c>
      <c r="D91" s="46">
        <f>'Facility Risk - Amazon'!$C91/$C$151</f>
        <v>2.4033647105948328E-2</v>
      </c>
    </row>
    <row r="92" spans="1:4" ht="19" x14ac:dyDescent="0.25">
      <c r="A92" s="58" t="s">
        <v>127</v>
      </c>
      <c r="B92" s="127">
        <v>5.14</v>
      </c>
      <c r="C92" s="8">
        <v>0</v>
      </c>
      <c r="D92" s="45">
        <f>'Facility Risk - Amazon'!$C92/$C$151</f>
        <v>0</v>
      </c>
    </row>
    <row r="93" spans="1:4" ht="19" x14ac:dyDescent="0.25">
      <c r="A93" s="57" t="s">
        <v>128</v>
      </c>
      <c r="B93" s="141">
        <v>4.6500000000000004</v>
      </c>
      <c r="C93" s="9">
        <v>0</v>
      </c>
      <c r="D93" s="46">
        <f>'Facility Risk - Amazon'!$C93/$C$151</f>
        <v>0</v>
      </c>
    </row>
    <row r="94" spans="1:4" ht="19" x14ac:dyDescent="0.25">
      <c r="A94" s="58" t="s">
        <v>129</v>
      </c>
      <c r="B94" s="142">
        <v>5.0999999999999996</v>
      </c>
      <c r="C94" s="8">
        <v>0</v>
      </c>
      <c r="D94" s="45">
        <f>'Facility Risk - Amazon'!$C94/$C$151</f>
        <v>0</v>
      </c>
    </row>
    <row r="95" spans="1:4" ht="19" x14ac:dyDescent="0.25">
      <c r="A95" s="57" t="s">
        <v>130</v>
      </c>
      <c r="B95" s="70">
        <v>6.3</v>
      </c>
      <c r="C95" s="9">
        <v>0</v>
      </c>
      <c r="D95" s="46">
        <f>'Facility Risk - Amazon'!$C95/$C$151</f>
        <v>0</v>
      </c>
    </row>
    <row r="96" spans="1:4" ht="19" x14ac:dyDescent="0.25">
      <c r="A96" s="58" t="s">
        <v>131</v>
      </c>
      <c r="B96" s="143">
        <v>4.6399999999999997</v>
      </c>
      <c r="C96" s="8">
        <v>0</v>
      </c>
      <c r="D96" s="45">
        <f>'Facility Risk - Amazon'!$C96/$C$151</f>
        <v>0</v>
      </c>
    </row>
    <row r="97" spans="1:4" ht="19" x14ac:dyDescent="0.25">
      <c r="A97" s="57" t="s">
        <v>132</v>
      </c>
      <c r="B97" s="104">
        <v>5.78</v>
      </c>
      <c r="C97" s="9">
        <v>0</v>
      </c>
      <c r="D97" s="46">
        <f>'Facility Risk - Amazon'!$C97/$C$151</f>
        <v>0</v>
      </c>
    </row>
    <row r="98" spans="1:4" ht="19" x14ac:dyDescent="0.25">
      <c r="A98" s="58" t="s">
        <v>133</v>
      </c>
      <c r="B98" s="144">
        <v>3.59</v>
      </c>
      <c r="C98" s="8">
        <v>0</v>
      </c>
      <c r="D98" s="45">
        <f>'Facility Risk - Amazon'!$C98/$C$151</f>
        <v>0</v>
      </c>
    </row>
    <row r="99" spans="1:4" ht="19" x14ac:dyDescent="0.25">
      <c r="A99" s="57" t="s">
        <v>134</v>
      </c>
      <c r="B99" s="145">
        <v>3.32</v>
      </c>
      <c r="C99" s="9">
        <v>0</v>
      </c>
      <c r="D99" s="46">
        <f>'Facility Risk - Amazon'!$C99/$C$151</f>
        <v>0</v>
      </c>
    </row>
    <row r="100" spans="1:4" ht="19" x14ac:dyDescent="0.25">
      <c r="A100" s="58" t="s">
        <v>135</v>
      </c>
      <c r="B100" s="146">
        <v>5.8</v>
      </c>
      <c r="C100" s="8">
        <v>0</v>
      </c>
      <c r="D100" s="45">
        <f>'Facility Risk - Amazon'!$C100/$C$151</f>
        <v>0</v>
      </c>
    </row>
    <row r="101" spans="1:4" ht="19" x14ac:dyDescent="0.25">
      <c r="A101" s="57" t="s">
        <v>136</v>
      </c>
      <c r="B101" s="147">
        <v>7.07</v>
      </c>
      <c r="C101" s="9">
        <v>0</v>
      </c>
      <c r="D101" s="46">
        <f>'Facility Risk - Amazon'!$C101/$C$151</f>
        <v>0</v>
      </c>
    </row>
    <row r="102" spans="1:4" ht="19" x14ac:dyDescent="0.25">
      <c r="A102" s="58" t="s">
        <v>137</v>
      </c>
      <c r="B102" s="148">
        <v>6.5</v>
      </c>
      <c r="C102" s="8">
        <v>0</v>
      </c>
      <c r="D102" s="45">
        <f>'Facility Risk - Amazon'!$C102/$C$151</f>
        <v>0</v>
      </c>
    </row>
    <row r="103" spans="1:4" ht="19" x14ac:dyDescent="0.25">
      <c r="A103" s="57" t="s">
        <v>138</v>
      </c>
      <c r="B103" s="149">
        <v>4.16</v>
      </c>
      <c r="C103" s="9">
        <v>0</v>
      </c>
      <c r="D103" s="46">
        <f>'Facility Risk - Amazon'!$C103/$C$151</f>
        <v>0</v>
      </c>
    </row>
    <row r="104" spans="1:4" ht="19" x14ac:dyDescent="0.25">
      <c r="A104" s="58" t="s">
        <v>139</v>
      </c>
      <c r="B104" s="114">
        <v>3.38</v>
      </c>
      <c r="C104" s="8">
        <v>0</v>
      </c>
      <c r="D104" s="45">
        <f>'Facility Risk - Amazon'!$C104/$C$151</f>
        <v>0</v>
      </c>
    </row>
    <row r="105" spans="1:4" ht="19" x14ac:dyDescent="0.25">
      <c r="A105" s="57" t="s">
        <v>140</v>
      </c>
      <c r="B105" s="150">
        <v>4.0199999999999996</v>
      </c>
      <c r="C105" s="9">
        <v>0</v>
      </c>
      <c r="D105" s="46">
        <f>'Facility Risk - Amazon'!$C105/$C$151</f>
        <v>0</v>
      </c>
    </row>
    <row r="106" spans="1:4" ht="19" x14ac:dyDescent="0.25">
      <c r="A106" s="58" t="s">
        <v>141</v>
      </c>
      <c r="B106" s="151">
        <v>6.65</v>
      </c>
      <c r="C106" s="8">
        <v>0</v>
      </c>
      <c r="D106" s="45">
        <f>'Facility Risk - Amazon'!$C106/$C$151</f>
        <v>0</v>
      </c>
    </row>
    <row r="107" spans="1:4" ht="19" x14ac:dyDescent="0.25">
      <c r="A107" s="57" t="s">
        <v>142</v>
      </c>
      <c r="B107" s="152">
        <v>4.5599999999999996</v>
      </c>
      <c r="C107" s="9">
        <v>0</v>
      </c>
      <c r="D107" s="46">
        <f>'Facility Risk - Amazon'!$C107/$C$151</f>
        <v>0</v>
      </c>
    </row>
    <row r="108" spans="1:4" ht="19" x14ac:dyDescent="0.25">
      <c r="A108" s="58" t="s">
        <v>143</v>
      </c>
      <c r="B108" s="76">
        <v>5.34</v>
      </c>
      <c r="C108" s="8">
        <v>0</v>
      </c>
      <c r="D108" s="45">
        <f>'Facility Risk - Amazon'!$C108/$C$151</f>
        <v>0</v>
      </c>
    </row>
    <row r="109" spans="1:4" ht="19" x14ac:dyDescent="0.25">
      <c r="A109" s="57" t="s">
        <v>144</v>
      </c>
      <c r="B109" s="153">
        <v>4.72</v>
      </c>
      <c r="C109" s="9">
        <v>0</v>
      </c>
      <c r="D109" s="46">
        <f>'Facility Risk - Amazon'!$C109/$C$151</f>
        <v>0</v>
      </c>
    </row>
    <row r="110" spans="1:4" ht="19" x14ac:dyDescent="0.25">
      <c r="A110" s="58" t="s">
        <v>145</v>
      </c>
      <c r="B110" s="154">
        <v>5.28</v>
      </c>
      <c r="C110" s="8">
        <v>0</v>
      </c>
      <c r="D110" s="45">
        <f>'Facility Risk - Amazon'!$C110/$C$151</f>
        <v>0</v>
      </c>
    </row>
    <row r="111" spans="1:4" ht="19" x14ac:dyDescent="0.25">
      <c r="A111" s="57" t="s">
        <v>146</v>
      </c>
      <c r="B111" s="146">
        <v>5.8</v>
      </c>
      <c r="C111" s="9">
        <v>0</v>
      </c>
      <c r="D111" s="46">
        <f>'Facility Risk - Amazon'!$C111/$C$151</f>
        <v>0</v>
      </c>
    </row>
    <row r="112" spans="1:4" ht="19" x14ac:dyDescent="0.25">
      <c r="A112" s="58" t="s">
        <v>147</v>
      </c>
      <c r="B112" s="155">
        <v>4.1500000000000004</v>
      </c>
      <c r="C112" s="8">
        <v>1.04E-2</v>
      </c>
      <c r="D112" s="45">
        <f>'Facility Risk - Amazon'!$C112/$C$151</f>
        <v>1.0414580412577607E-2</v>
      </c>
    </row>
    <row r="113" spans="1:4" ht="19" x14ac:dyDescent="0.25">
      <c r="A113" s="57" t="s">
        <v>148</v>
      </c>
      <c r="B113" s="156">
        <v>3.43</v>
      </c>
      <c r="C113" s="9">
        <v>0</v>
      </c>
      <c r="D113" s="46">
        <f>'Facility Risk - Amazon'!$C113/$C$151</f>
        <v>0</v>
      </c>
    </row>
    <row r="114" spans="1:4" ht="19" x14ac:dyDescent="0.25">
      <c r="A114" s="58" t="s">
        <v>149</v>
      </c>
      <c r="B114" s="93">
        <v>3.2</v>
      </c>
      <c r="C114" s="8">
        <v>0</v>
      </c>
      <c r="D114" s="45">
        <f>'Facility Risk - Amazon'!$C114/$C$151</f>
        <v>0</v>
      </c>
    </row>
    <row r="115" spans="1:4" ht="19" x14ac:dyDescent="0.25">
      <c r="A115" s="57" t="s">
        <v>150</v>
      </c>
      <c r="B115" s="157">
        <v>4.05</v>
      </c>
      <c r="C115" s="9">
        <v>0</v>
      </c>
      <c r="D115" s="46">
        <f>'Facility Risk - Amazon'!$C115/$C$151</f>
        <v>0</v>
      </c>
    </row>
    <row r="116" spans="1:4" ht="19" x14ac:dyDescent="0.25">
      <c r="A116" s="58" t="s">
        <v>151</v>
      </c>
      <c r="B116" s="158">
        <v>5.96</v>
      </c>
      <c r="C116" s="8">
        <v>0</v>
      </c>
      <c r="D116" s="45">
        <f>'Facility Risk - Amazon'!$C116/$C$151</f>
        <v>0</v>
      </c>
    </row>
    <row r="117" spans="1:4" ht="19" x14ac:dyDescent="0.25">
      <c r="A117" s="57" t="s">
        <v>152</v>
      </c>
      <c r="B117" s="159">
        <v>5.47</v>
      </c>
      <c r="C117" s="9">
        <v>0</v>
      </c>
      <c r="D117" s="46">
        <f>'Facility Risk - Amazon'!$C117/$C$151</f>
        <v>0</v>
      </c>
    </row>
    <row r="118" spans="1:4" ht="19" x14ac:dyDescent="0.25">
      <c r="A118" s="58" t="s">
        <v>153</v>
      </c>
      <c r="B118" s="79">
        <v>4.42</v>
      </c>
      <c r="C118" s="8">
        <v>1.2500000000000001E-2</v>
      </c>
      <c r="D118" s="45">
        <f>'Facility Risk - Amazon'!$C118/$C$151</f>
        <v>1.2517524534348087E-2</v>
      </c>
    </row>
    <row r="119" spans="1:4" ht="19" x14ac:dyDescent="0.25">
      <c r="A119" s="57" t="s">
        <v>154</v>
      </c>
      <c r="B119" s="160">
        <v>5.4</v>
      </c>
      <c r="C119" s="9">
        <v>0</v>
      </c>
      <c r="D119" s="46">
        <f>'Facility Risk - Amazon'!$C119/$C$151</f>
        <v>0</v>
      </c>
    </row>
    <row r="120" spans="1:4" ht="19" x14ac:dyDescent="0.25">
      <c r="A120" s="58" t="s">
        <v>155</v>
      </c>
      <c r="B120" s="161">
        <v>5.04</v>
      </c>
      <c r="C120" s="8">
        <v>0</v>
      </c>
      <c r="D120" s="45">
        <f>'Facility Risk - Amazon'!$C120/$C$151</f>
        <v>0</v>
      </c>
    </row>
    <row r="121" spans="1:4" ht="19" x14ac:dyDescent="0.25">
      <c r="A121" s="57" t="s">
        <v>156</v>
      </c>
      <c r="B121" s="162">
        <v>5.64</v>
      </c>
      <c r="C121" s="9">
        <v>0</v>
      </c>
      <c r="D121" s="46">
        <f>'Facility Risk - Amazon'!$C121/$C$151</f>
        <v>0</v>
      </c>
    </row>
    <row r="122" spans="1:4" ht="19" x14ac:dyDescent="0.25">
      <c r="A122" s="58" t="s">
        <v>157</v>
      </c>
      <c r="B122" s="163">
        <v>3.04</v>
      </c>
      <c r="C122" s="8">
        <v>1E-3</v>
      </c>
      <c r="D122" s="45">
        <f>'Facility Risk - Amazon'!$C122/$C$151</f>
        <v>1.001401962747847E-3</v>
      </c>
    </row>
    <row r="123" spans="1:4" ht="19" x14ac:dyDescent="0.25">
      <c r="A123" s="57" t="s">
        <v>158</v>
      </c>
      <c r="B123" s="164">
        <v>3.79</v>
      </c>
      <c r="C123" s="9">
        <v>1E-3</v>
      </c>
      <c r="D123" s="46">
        <f>'Facility Risk - Amazon'!$C123/$C$151</f>
        <v>1.001401962747847E-3</v>
      </c>
    </row>
    <row r="124" spans="1:4" ht="19" x14ac:dyDescent="0.25">
      <c r="A124" s="58" t="s">
        <v>159</v>
      </c>
      <c r="B124" s="165">
        <v>3.48</v>
      </c>
      <c r="C124" s="8">
        <v>0</v>
      </c>
      <c r="D124" s="45">
        <f>'Facility Risk - Amazon'!$C124/$C$151</f>
        <v>0</v>
      </c>
    </row>
    <row r="125" spans="1:4" ht="19" x14ac:dyDescent="0.25">
      <c r="A125" s="57" t="s">
        <v>160</v>
      </c>
      <c r="B125" s="166">
        <v>5.22</v>
      </c>
      <c r="C125" s="9">
        <v>1E-3</v>
      </c>
      <c r="D125" s="46">
        <f>'Facility Risk - Amazon'!$C125/$C$151</f>
        <v>1.001401962747847E-3</v>
      </c>
    </row>
    <row r="126" spans="1:4" ht="19" x14ac:dyDescent="0.25">
      <c r="A126" s="58" t="s">
        <v>161</v>
      </c>
      <c r="B126" s="167">
        <v>3.57</v>
      </c>
      <c r="C126" s="8">
        <v>0</v>
      </c>
      <c r="D126" s="45">
        <f>'Facility Risk - Amazon'!$C126/$C$151</f>
        <v>0</v>
      </c>
    </row>
    <row r="127" spans="1:4" ht="19" x14ac:dyDescent="0.25">
      <c r="A127" s="57" t="s">
        <v>162</v>
      </c>
      <c r="B127" s="168">
        <v>3.7</v>
      </c>
      <c r="C127" s="9">
        <v>2.92E-2</v>
      </c>
      <c r="D127" s="46">
        <f>'Facility Risk - Amazon'!$C127/$C$151</f>
        <v>2.924093731223713E-2</v>
      </c>
    </row>
    <row r="128" spans="1:4" ht="19" x14ac:dyDescent="0.25">
      <c r="A128" s="58" t="s">
        <v>163</v>
      </c>
      <c r="B128" s="169">
        <v>5.1100000000000003</v>
      </c>
      <c r="C128" s="8">
        <v>0</v>
      </c>
      <c r="D128" s="45">
        <f>'Facility Risk - Amazon'!$C128/$C$151</f>
        <v>0</v>
      </c>
    </row>
    <row r="129" spans="1:4" ht="19" x14ac:dyDescent="0.25">
      <c r="A129" s="57" t="s">
        <v>164</v>
      </c>
      <c r="B129" s="137">
        <v>7.1</v>
      </c>
      <c r="C129" s="9">
        <v>0</v>
      </c>
      <c r="D129" s="46">
        <f>'Facility Risk - Amazon'!$C129/$C$151</f>
        <v>0</v>
      </c>
    </row>
    <row r="130" spans="1:4" ht="19" x14ac:dyDescent="0.25">
      <c r="A130" s="58" t="s">
        <v>165</v>
      </c>
      <c r="B130" s="170">
        <v>3.52</v>
      </c>
      <c r="C130" s="8">
        <v>0</v>
      </c>
      <c r="D130" s="45">
        <f>'Facility Risk - Amazon'!$C130/$C$151</f>
        <v>0</v>
      </c>
    </row>
    <row r="131" spans="1:4" ht="19" x14ac:dyDescent="0.25">
      <c r="A131" s="57" t="s">
        <v>166</v>
      </c>
      <c r="B131" s="171">
        <v>2.78</v>
      </c>
      <c r="C131" s="9">
        <v>0</v>
      </c>
      <c r="D131" s="46">
        <f>'Facility Risk - Amazon'!$C131/$C$151</f>
        <v>0</v>
      </c>
    </row>
    <row r="132" spans="1:4" ht="19" x14ac:dyDescent="0.25">
      <c r="A132" s="59" t="s">
        <v>167</v>
      </c>
      <c r="B132" s="172">
        <v>7.33</v>
      </c>
      <c r="C132" s="8">
        <v>0</v>
      </c>
      <c r="D132" s="45">
        <f>'Facility Risk - Amazon'!$C132/$C$151</f>
        <v>0</v>
      </c>
    </row>
    <row r="133" spans="1:4" ht="19" x14ac:dyDescent="0.25">
      <c r="A133" s="57" t="s">
        <v>168</v>
      </c>
      <c r="B133" s="173">
        <v>5.69</v>
      </c>
      <c r="C133" s="9">
        <v>0</v>
      </c>
      <c r="D133" s="46">
        <f>'Facility Risk - Amazon'!$C133/$C$151</f>
        <v>0</v>
      </c>
    </row>
    <row r="134" spans="1:4" ht="19" x14ac:dyDescent="0.25">
      <c r="A134" s="58" t="s">
        <v>169</v>
      </c>
      <c r="B134" s="63">
        <v>5.21</v>
      </c>
      <c r="C134" s="8">
        <v>0</v>
      </c>
      <c r="D134" s="45">
        <f>'Facility Risk - Amazon'!$C134/$C$151</f>
        <v>0</v>
      </c>
    </row>
    <row r="135" spans="1:4" ht="19" x14ac:dyDescent="0.25">
      <c r="A135" s="57" t="s">
        <v>170</v>
      </c>
      <c r="B135" s="174">
        <v>5.15</v>
      </c>
      <c r="C135" s="9">
        <v>0</v>
      </c>
      <c r="D135" s="46">
        <f>'Facility Risk - Amazon'!$C135/$C$151</f>
        <v>0</v>
      </c>
    </row>
    <row r="136" spans="1:4" ht="19" x14ac:dyDescent="0.25">
      <c r="A136" s="58" t="s">
        <v>171</v>
      </c>
      <c r="B136" s="175">
        <v>5.87</v>
      </c>
      <c r="C136" s="8">
        <v>0</v>
      </c>
      <c r="D136" s="45">
        <f>'Facility Risk - Amazon'!$C136/$C$151</f>
        <v>0</v>
      </c>
    </row>
    <row r="137" spans="1:4" ht="19" x14ac:dyDescent="0.25">
      <c r="A137" s="57" t="s">
        <v>172</v>
      </c>
      <c r="B137" s="176">
        <v>4.38</v>
      </c>
      <c r="C137" s="9">
        <v>0</v>
      </c>
      <c r="D137" s="46">
        <f>'Facility Risk - Amazon'!$C137/$C$151</f>
        <v>0</v>
      </c>
    </row>
    <row r="138" spans="1:4" ht="19" x14ac:dyDescent="0.25">
      <c r="A138" s="58" t="s">
        <v>173</v>
      </c>
      <c r="B138" s="177">
        <v>5.13</v>
      </c>
      <c r="C138" s="8">
        <v>0</v>
      </c>
      <c r="D138" s="45">
        <f>'Facility Risk - Amazon'!$C138/$C$151</f>
        <v>0</v>
      </c>
    </row>
    <row r="139" spans="1:4" ht="19" x14ac:dyDescent="0.25">
      <c r="A139" s="57" t="s">
        <v>174</v>
      </c>
      <c r="B139" s="178">
        <v>5.26</v>
      </c>
      <c r="C139" s="9">
        <v>1E-3</v>
      </c>
      <c r="D139" s="46">
        <f>'Facility Risk - Amazon'!$C139/$C$151</f>
        <v>1.001401962747847E-3</v>
      </c>
    </row>
    <row r="140" spans="1:4" ht="19" x14ac:dyDescent="0.25">
      <c r="A140" s="58" t="s">
        <v>175</v>
      </c>
      <c r="B140" s="179">
        <v>6.29</v>
      </c>
      <c r="C140" s="8">
        <v>0</v>
      </c>
      <c r="D140" s="45">
        <f>'Facility Risk - Amazon'!$C140/$C$151</f>
        <v>0</v>
      </c>
    </row>
    <row r="141" spans="1:4" ht="19" x14ac:dyDescent="0.25">
      <c r="A141" s="57" t="s">
        <v>176</v>
      </c>
      <c r="B141" s="180">
        <v>6.35</v>
      </c>
      <c r="C141" s="9">
        <v>0</v>
      </c>
      <c r="D141" s="46">
        <f>'Facility Risk - Amazon'!$C141/$C$151</f>
        <v>0</v>
      </c>
    </row>
    <row r="142" spans="1:4" ht="19" x14ac:dyDescent="0.25">
      <c r="A142" s="58" t="s">
        <v>177</v>
      </c>
      <c r="B142" s="181">
        <v>3.72</v>
      </c>
      <c r="C142" s="8">
        <v>8.3000000000000001E-3</v>
      </c>
      <c r="D142" s="45">
        <f>'Facility Risk - Amazon'!$C142/$C$151</f>
        <v>8.3116362908071291E-3</v>
      </c>
    </row>
    <row r="143" spans="1:4" ht="19" x14ac:dyDescent="0.25">
      <c r="A143" s="57" t="s">
        <v>178</v>
      </c>
      <c r="B143" s="145">
        <v>3.32</v>
      </c>
      <c r="C143" s="9">
        <v>5.8299999999999998E-2</v>
      </c>
      <c r="D143" s="46">
        <f>'Facility Risk - Amazon'!$C143/$C$151</f>
        <v>5.8381734428199474E-2</v>
      </c>
    </row>
    <row r="144" spans="1:4" ht="19" x14ac:dyDescent="0.25">
      <c r="A144" s="58" t="s">
        <v>179</v>
      </c>
      <c r="B144" s="182">
        <v>4.1900000000000004</v>
      </c>
      <c r="C144" s="8">
        <v>0.60729999999999995</v>
      </c>
      <c r="D144" s="45">
        <f>'Facility Risk - Amazon'!$C144/$C$151</f>
        <v>0.60815141197676736</v>
      </c>
    </row>
    <row r="145" spans="1:4" ht="19" x14ac:dyDescent="0.25">
      <c r="A145" s="57" t="s">
        <v>180</v>
      </c>
      <c r="B145" s="183">
        <v>3.91</v>
      </c>
      <c r="C145" s="9">
        <v>0</v>
      </c>
      <c r="D145" s="46">
        <f>'Facility Risk - Amazon'!$C145/$C$151</f>
        <v>0</v>
      </c>
    </row>
    <row r="146" spans="1:4" ht="19" x14ac:dyDescent="0.25">
      <c r="A146" s="58" t="s">
        <v>181</v>
      </c>
      <c r="B146" s="112">
        <v>5.77</v>
      </c>
      <c r="C146" s="8">
        <v>0</v>
      </c>
      <c r="D146" s="45">
        <f>'Facility Risk - Amazon'!$C146/$C$151</f>
        <v>0</v>
      </c>
    </row>
    <row r="147" spans="1:4" ht="19" x14ac:dyDescent="0.25">
      <c r="A147" s="57" t="s">
        <v>182</v>
      </c>
      <c r="B147" s="184">
        <v>4.32</v>
      </c>
      <c r="C147" s="9">
        <v>0</v>
      </c>
      <c r="D147" s="46">
        <f>'Facility Risk - Amazon'!$C147/$C$151</f>
        <v>0</v>
      </c>
    </row>
    <row r="148" spans="1:4" ht="19" x14ac:dyDescent="0.25">
      <c r="A148" s="58" t="s">
        <v>183</v>
      </c>
      <c r="B148" s="70">
        <v>6.3</v>
      </c>
      <c r="C148" s="8">
        <v>0</v>
      </c>
      <c r="D148" s="45">
        <f>'Facility Risk - Amazon'!$C148/$C$151</f>
        <v>0</v>
      </c>
    </row>
    <row r="149" spans="1:4" ht="19" x14ac:dyDescent="0.25">
      <c r="A149" s="57" t="s">
        <v>184</v>
      </c>
      <c r="B149" s="185">
        <v>4.95</v>
      </c>
      <c r="C149" s="9">
        <v>0</v>
      </c>
      <c r="D149" s="46">
        <f>'Facility Risk - Amazon'!$C149/$C$151</f>
        <v>0</v>
      </c>
    </row>
    <row r="150" spans="1:4" ht="19" x14ac:dyDescent="0.25">
      <c r="A150" s="60" t="s">
        <v>185</v>
      </c>
      <c r="B150" s="186">
        <v>6.14</v>
      </c>
      <c r="C150" s="10">
        <v>0</v>
      </c>
      <c r="D150" s="45">
        <f>'Facility Risk - Amazon'!$C150/$C$151</f>
        <v>0</v>
      </c>
    </row>
    <row r="151" spans="1:4" ht="19" x14ac:dyDescent="0.25">
      <c r="A151" s="61" t="s">
        <v>186</v>
      </c>
      <c r="B151" s="5"/>
      <c r="C151" s="6">
        <f>SUM(C4:C150)</f>
        <v>0.99860000000000004</v>
      </c>
      <c r="D151" s="48">
        <f>SUM(D4:D150)</f>
        <v>0.99999999999999978</v>
      </c>
    </row>
  </sheetData>
  <mergeCells count="1">
    <mergeCell ref="A1:D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CE28F-00C3-3046-B1B3-DD960630761C}">
  <dimension ref="A1:J151"/>
  <sheetViews>
    <sheetView workbookViewId="0">
      <selection activeCell="I17" sqref="I17"/>
    </sheetView>
  </sheetViews>
  <sheetFormatPr baseColWidth="10" defaultColWidth="11" defaultRowHeight="16" x14ac:dyDescent="0.2"/>
  <cols>
    <col min="1" max="1" width="23" bestFit="1" customWidth="1"/>
    <col min="2" max="2" width="32" bestFit="1" customWidth="1"/>
    <col min="3" max="3" width="33.6640625" bestFit="1" customWidth="1"/>
    <col min="4" max="4" width="42.6640625" bestFit="1" customWidth="1"/>
    <col min="5" max="5" width="16" bestFit="1" customWidth="1"/>
    <col min="7" max="7" width="29.33203125" bestFit="1" customWidth="1"/>
    <col min="8" max="8" width="13.6640625" bestFit="1" customWidth="1"/>
    <col min="9" max="9" width="22.5" bestFit="1" customWidth="1"/>
    <col min="10" max="10" width="12.33203125" bestFit="1" customWidth="1"/>
  </cols>
  <sheetData>
    <row r="1" spans="1:10" ht="17" customHeight="1" x14ac:dyDescent="0.2">
      <c r="A1" s="188" t="s">
        <v>5</v>
      </c>
      <c r="B1" s="189"/>
      <c r="C1" s="189"/>
      <c r="D1" s="189"/>
    </row>
    <row r="2" spans="1:10" ht="17" customHeight="1" thickBot="1" x14ac:dyDescent="0.25">
      <c r="A2" s="190"/>
      <c r="B2" s="191"/>
      <c r="C2" s="191"/>
      <c r="D2" s="191"/>
    </row>
    <row r="3" spans="1:10" ht="20" thickTop="1" x14ac:dyDescent="0.25">
      <c r="A3" s="12" t="s">
        <v>27</v>
      </c>
      <c r="B3" s="13" t="s">
        <v>28</v>
      </c>
      <c r="C3" s="14" t="s">
        <v>29</v>
      </c>
      <c r="D3" s="7" t="s">
        <v>30</v>
      </c>
    </row>
    <row r="4" spans="1:10" ht="20" thickBot="1" x14ac:dyDescent="0.3">
      <c r="A4" s="56" t="s">
        <v>31</v>
      </c>
      <c r="B4" s="62">
        <v>4.37</v>
      </c>
      <c r="C4" s="15">
        <v>0</v>
      </c>
      <c r="D4" s="45">
        <f>'Facility Risk - Ford'!$C4/$C$151</f>
        <v>0</v>
      </c>
    </row>
    <row r="5" spans="1:10" ht="20" thickBot="1" x14ac:dyDescent="0.3">
      <c r="A5" s="57" t="s">
        <v>32</v>
      </c>
      <c r="B5" s="63">
        <v>5.21</v>
      </c>
      <c r="C5" s="9">
        <v>0</v>
      </c>
      <c r="D5" s="46">
        <f>'Facility Risk - Ford'!$C5/$C$151</f>
        <v>0</v>
      </c>
      <c r="G5" s="32" t="s">
        <v>33</v>
      </c>
      <c r="H5" s="33"/>
      <c r="I5" s="33"/>
      <c r="J5" s="34"/>
    </row>
    <row r="6" spans="1:10" ht="20" thickBot="1" x14ac:dyDescent="0.3">
      <c r="A6" s="58" t="s">
        <v>34</v>
      </c>
      <c r="B6" s="64">
        <v>5.63</v>
      </c>
      <c r="C6" s="8">
        <v>0</v>
      </c>
      <c r="D6" s="45">
        <f>'Facility Risk - Ford'!$C6/$C$151</f>
        <v>0</v>
      </c>
      <c r="G6" s="20"/>
      <c r="H6" s="21" t="s">
        <v>35</v>
      </c>
      <c r="I6" s="22" t="s">
        <v>36</v>
      </c>
      <c r="J6" s="23" t="s">
        <v>37</v>
      </c>
    </row>
    <row r="7" spans="1:10" ht="19" x14ac:dyDescent="0.25">
      <c r="A7" s="57" t="s">
        <v>38</v>
      </c>
      <c r="B7" s="65">
        <v>4.3600000000000003</v>
      </c>
      <c r="C7" s="9">
        <v>1.23E-2</v>
      </c>
      <c r="D7" s="46">
        <f>'Facility Risk - Ford'!$C7/$C$151</f>
        <v>1.2940557601262495E-2</v>
      </c>
      <c r="G7" s="24" t="s">
        <v>39</v>
      </c>
      <c r="H7" s="25" t="str">
        <f>INDEX(A4:A150,MATCH(MIN(D4:D150),D4:D150,0))</f>
        <v>Albania</v>
      </c>
      <c r="I7" s="25">
        <f>INDEX(B4:B150,MATCH(MIN(D4:D150),D4:D150,0))</f>
        <v>4.37</v>
      </c>
      <c r="J7" s="26">
        <f>INDEX(D4:D150,MATCH(MIN(D4:D150),D4:D150,0))</f>
        <v>0</v>
      </c>
    </row>
    <row r="8" spans="1:10" ht="20" thickBot="1" x14ac:dyDescent="0.3">
      <c r="A8" s="58" t="s">
        <v>40</v>
      </c>
      <c r="B8" s="66">
        <v>4.79</v>
      </c>
      <c r="C8" s="8">
        <v>0</v>
      </c>
      <c r="D8" s="45">
        <f>'Facility Risk - Ford'!$C8/$C$151</f>
        <v>0</v>
      </c>
      <c r="G8" s="27" t="s">
        <v>41</v>
      </c>
      <c r="H8" s="28" t="str">
        <f>INDEX(A4:A150,MATCH(MAX(D4:D150),D4:D150,0))</f>
        <v>United States</v>
      </c>
      <c r="I8" s="28">
        <f>INDEX(B4:B150,MATCH(MAX(D4:D150),D4:D150,0))</f>
        <v>4.1900000000000004</v>
      </c>
      <c r="J8" s="31">
        <f>INDEX(D4:D150,MATCH(MAX(D4:D150),D4:D150,0))</f>
        <v>0.51951604418726993</v>
      </c>
    </row>
    <row r="9" spans="1:10" ht="23" thickBot="1" x14ac:dyDescent="0.35">
      <c r="A9" s="57" t="s">
        <v>42</v>
      </c>
      <c r="B9" s="67">
        <v>3.22</v>
      </c>
      <c r="C9" s="9">
        <v>0</v>
      </c>
      <c r="D9" s="46">
        <f>'Facility Risk - Ford'!$C9/$C$151</f>
        <v>0</v>
      </c>
      <c r="G9" s="30" t="s">
        <v>43</v>
      </c>
      <c r="H9" s="29"/>
      <c r="I9" s="29"/>
      <c r="J9" s="187">
        <f>SUMPRODUCT(B4:B150,D4:D150)</f>
        <v>4.2394476591267756</v>
      </c>
    </row>
    <row r="10" spans="1:10" ht="19" x14ac:dyDescent="0.25">
      <c r="A10" s="58" t="s">
        <v>44</v>
      </c>
      <c r="B10" s="68">
        <v>3.41</v>
      </c>
      <c r="C10" s="8">
        <v>0</v>
      </c>
      <c r="D10" s="45">
        <f>'Facility Risk - Ford'!$C10/$C$151</f>
        <v>0</v>
      </c>
    </row>
    <row r="11" spans="1:10" ht="19" x14ac:dyDescent="0.25">
      <c r="A11" s="57" t="s">
        <v>45</v>
      </c>
      <c r="B11" s="63">
        <v>5.21</v>
      </c>
      <c r="C11" s="9">
        <v>0</v>
      </c>
      <c r="D11" s="46">
        <f>'Facility Risk - Ford'!$C11/$C$151</f>
        <v>0</v>
      </c>
    </row>
    <row r="12" spans="1:10" ht="19" x14ac:dyDescent="0.25">
      <c r="A12" s="58" t="s">
        <v>46</v>
      </c>
      <c r="B12" s="69">
        <v>4.26</v>
      </c>
      <c r="C12" s="8">
        <v>0</v>
      </c>
      <c r="D12" s="45">
        <f>'Facility Risk - Ford'!$C12/$C$151</f>
        <v>0</v>
      </c>
    </row>
    <row r="13" spans="1:10" ht="19" x14ac:dyDescent="0.25">
      <c r="A13" s="57" t="s">
        <v>47</v>
      </c>
      <c r="B13" s="70">
        <v>6.29</v>
      </c>
      <c r="C13" s="9">
        <v>0</v>
      </c>
      <c r="D13" s="46">
        <f>'Facility Risk - Ford'!$C13/$C$151</f>
        <v>0</v>
      </c>
    </row>
    <row r="14" spans="1:10" ht="19" x14ac:dyDescent="0.25">
      <c r="A14" s="58" t="s">
        <v>48</v>
      </c>
      <c r="B14" s="71">
        <v>5.45</v>
      </c>
      <c r="C14" s="8">
        <v>0</v>
      </c>
      <c r="D14" s="45">
        <f>'Facility Risk - Ford'!$C14/$C$151</f>
        <v>0</v>
      </c>
    </row>
    <row r="15" spans="1:10" ht="19" x14ac:dyDescent="0.25">
      <c r="A15" s="57" t="s">
        <v>49</v>
      </c>
      <c r="B15" s="72">
        <v>3.33</v>
      </c>
      <c r="C15" s="9">
        <v>0</v>
      </c>
      <c r="D15" s="46">
        <f>'Facility Risk - Ford'!$C15/$C$151</f>
        <v>0</v>
      </c>
    </row>
    <row r="16" spans="1:10" ht="19" x14ac:dyDescent="0.25">
      <c r="A16" s="58" t="s">
        <v>50</v>
      </c>
      <c r="B16" s="73">
        <v>6</v>
      </c>
      <c r="C16" s="8">
        <v>0</v>
      </c>
      <c r="D16" s="45">
        <f>'Facility Risk - Ford'!$C16/$C$151</f>
        <v>0</v>
      </c>
    </row>
    <row r="17" spans="1:5" ht="19" x14ac:dyDescent="0.25">
      <c r="A17" s="57" t="s">
        <v>51</v>
      </c>
      <c r="B17" s="74">
        <v>5.0199999999999996</v>
      </c>
      <c r="C17" s="9">
        <v>0</v>
      </c>
      <c r="D17" s="46">
        <f>'Facility Risk - Ford'!$C17/$C$151</f>
        <v>0</v>
      </c>
    </row>
    <row r="18" spans="1:5" ht="19" x14ac:dyDescent="0.25">
      <c r="A18" s="58" t="s">
        <v>52</v>
      </c>
      <c r="B18" s="75">
        <v>5.41</v>
      </c>
      <c r="C18" s="8">
        <v>0</v>
      </c>
      <c r="D18" s="45">
        <f>'Facility Risk - Ford'!$C18/$C$151</f>
        <v>0</v>
      </c>
    </row>
    <row r="19" spans="1:5" ht="19" x14ac:dyDescent="0.25">
      <c r="A19" s="57" t="s">
        <v>53</v>
      </c>
      <c r="B19" s="76">
        <v>5.34</v>
      </c>
      <c r="C19" s="9">
        <v>0</v>
      </c>
      <c r="D19" s="46">
        <f>'Facility Risk - Ford'!$C19/$C$151</f>
        <v>0</v>
      </c>
    </row>
    <row r="20" spans="1:5" ht="19" x14ac:dyDescent="0.25">
      <c r="A20" s="58" t="s">
        <v>54</v>
      </c>
      <c r="B20" s="77">
        <v>4.34</v>
      </c>
      <c r="C20" s="8">
        <v>0</v>
      </c>
      <c r="D20" s="45">
        <f>'Facility Risk - Ford'!$C20/$C$151</f>
        <v>0</v>
      </c>
    </row>
    <row r="21" spans="1:5" ht="19" x14ac:dyDescent="0.25">
      <c r="A21" s="57" t="s">
        <v>55</v>
      </c>
      <c r="B21" s="78">
        <v>5.35</v>
      </c>
      <c r="C21" s="9">
        <v>0</v>
      </c>
      <c r="D21" s="46">
        <f>'Facility Risk - Ford'!$C21/$C$151</f>
        <v>0</v>
      </c>
    </row>
    <row r="22" spans="1:5" ht="19" x14ac:dyDescent="0.25">
      <c r="A22" s="58" t="s">
        <v>56</v>
      </c>
      <c r="B22" s="79">
        <v>4.43</v>
      </c>
      <c r="C22" s="8">
        <v>0</v>
      </c>
      <c r="D22" s="45">
        <f>'Facility Risk - Ford'!$C22/$C$151</f>
        <v>0</v>
      </c>
    </row>
    <row r="23" spans="1:5" ht="19" x14ac:dyDescent="0.25">
      <c r="A23" s="57" t="s">
        <v>57</v>
      </c>
      <c r="B23" s="80">
        <v>6.55</v>
      </c>
      <c r="C23" s="9">
        <v>0</v>
      </c>
      <c r="D23" s="46">
        <f>'Facility Risk - Ford'!$C23/$C$151</f>
        <v>0</v>
      </c>
    </row>
    <row r="24" spans="1:5" ht="19" x14ac:dyDescent="0.25">
      <c r="A24" s="58" t="s">
        <v>58</v>
      </c>
      <c r="B24" s="81">
        <v>6.33</v>
      </c>
      <c r="C24" s="8">
        <v>0</v>
      </c>
      <c r="D24" s="45">
        <f>'Facility Risk - Ford'!$C24/$C$151</f>
        <v>0</v>
      </c>
    </row>
    <row r="25" spans="1:5" ht="19" x14ac:dyDescent="0.25">
      <c r="A25" s="57" t="s">
        <v>59</v>
      </c>
      <c r="B25" s="64">
        <v>5.64</v>
      </c>
      <c r="C25" s="9">
        <v>1.23E-2</v>
      </c>
      <c r="D25" s="46">
        <f>'Facility Risk - Ford'!$C25/$C$151</f>
        <v>1.2940557601262495E-2</v>
      </c>
    </row>
    <row r="26" spans="1:5" ht="19" x14ac:dyDescent="0.25">
      <c r="A26" s="58" t="s">
        <v>60</v>
      </c>
      <c r="B26" s="82">
        <v>6.83</v>
      </c>
      <c r="C26" s="8">
        <v>0</v>
      </c>
      <c r="D26" s="45">
        <f>'Facility Risk - Ford'!$C26/$C$151</f>
        <v>0</v>
      </c>
    </row>
    <row r="27" spans="1:5" ht="19" x14ac:dyDescent="0.25">
      <c r="A27" s="57" t="s">
        <v>61</v>
      </c>
      <c r="B27" s="83">
        <v>3.44</v>
      </c>
      <c r="C27" s="9">
        <v>7.4099999999999999E-2</v>
      </c>
      <c r="D27" s="46">
        <f>'Facility Risk - Ford'!$C27/$C$151</f>
        <v>7.7958968963703315E-2</v>
      </c>
    </row>
    <row r="28" spans="1:5" ht="19" x14ac:dyDescent="0.25">
      <c r="A28" s="58" t="s">
        <v>62</v>
      </c>
      <c r="B28" s="84">
        <v>6.79</v>
      </c>
      <c r="C28" s="8">
        <v>0</v>
      </c>
      <c r="D28" s="45">
        <f>'Facility Risk - Ford'!$C28/$C$151</f>
        <v>0</v>
      </c>
    </row>
    <row r="29" spans="1:5" ht="19" x14ac:dyDescent="0.25">
      <c r="A29" s="57" t="s">
        <v>63</v>
      </c>
      <c r="B29" s="82">
        <v>6.84</v>
      </c>
      <c r="C29" s="9">
        <v>0</v>
      </c>
      <c r="D29" s="46">
        <f>'Facility Risk - Ford'!$C29/$C$151</f>
        <v>0</v>
      </c>
    </row>
    <row r="30" spans="1:5" ht="19" x14ac:dyDescent="0.25">
      <c r="A30" s="58" t="s">
        <v>64</v>
      </c>
      <c r="B30" s="65">
        <v>4.3600000000000003</v>
      </c>
      <c r="C30" s="8">
        <v>0</v>
      </c>
      <c r="D30" s="45">
        <f>'Facility Risk - Ford'!$C30/$C$151</f>
        <v>0</v>
      </c>
    </row>
    <row r="31" spans="1:5" ht="19" x14ac:dyDescent="0.25">
      <c r="A31" s="57" t="s">
        <v>65</v>
      </c>
      <c r="B31" s="85">
        <v>4.26</v>
      </c>
      <c r="C31" s="9">
        <v>0.1235</v>
      </c>
      <c r="D31" s="46">
        <f>'Facility Risk - Ford'!$C31/$C$151</f>
        <v>0.12993161493950553</v>
      </c>
      <c r="E31" s="50" t="s">
        <v>66</v>
      </c>
    </row>
    <row r="32" spans="1:5" ht="19" x14ac:dyDescent="0.25">
      <c r="A32" s="58" t="s">
        <v>67</v>
      </c>
      <c r="B32" s="86">
        <v>5.72</v>
      </c>
      <c r="C32" s="8">
        <v>0</v>
      </c>
      <c r="D32" s="45">
        <f>'Facility Risk - Ford'!$C32/$C$151</f>
        <v>0</v>
      </c>
    </row>
    <row r="33" spans="1:4" ht="19" x14ac:dyDescent="0.25">
      <c r="A33" s="57" t="s">
        <v>68</v>
      </c>
      <c r="B33" s="87">
        <v>5.65</v>
      </c>
      <c r="C33" s="9">
        <v>0</v>
      </c>
      <c r="D33" s="46">
        <f>'Facility Risk - Ford'!$C33/$C$151</f>
        <v>0</v>
      </c>
    </row>
    <row r="34" spans="1:4" ht="19" x14ac:dyDescent="0.25">
      <c r="A34" s="58" t="s">
        <v>69</v>
      </c>
      <c r="B34" s="88">
        <v>4.2300000000000004</v>
      </c>
      <c r="C34" s="8">
        <v>0</v>
      </c>
      <c r="D34" s="45">
        <f>'Facility Risk - Ford'!$C34/$C$151</f>
        <v>0</v>
      </c>
    </row>
    <row r="35" spans="1:4" ht="19" x14ac:dyDescent="0.25">
      <c r="A35" s="57" t="s">
        <v>70</v>
      </c>
      <c r="B35" s="89">
        <v>5.6</v>
      </c>
      <c r="C35" s="9">
        <v>0</v>
      </c>
      <c r="D35" s="46">
        <f>'Facility Risk - Ford'!$C35/$C$151</f>
        <v>0</v>
      </c>
    </row>
    <row r="36" spans="1:4" ht="19" x14ac:dyDescent="0.25">
      <c r="A36" s="58" t="s">
        <v>71</v>
      </c>
      <c r="B36" s="90">
        <v>4.28</v>
      </c>
      <c r="C36" s="8">
        <v>0</v>
      </c>
      <c r="D36" s="45">
        <f>'Facility Risk - Ford'!$C36/$C$151</f>
        <v>0</v>
      </c>
    </row>
    <row r="37" spans="1:4" ht="19" x14ac:dyDescent="0.25">
      <c r="A37" s="57" t="s">
        <v>72</v>
      </c>
      <c r="B37" s="91">
        <v>4.67</v>
      </c>
      <c r="C37" s="9">
        <v>0</v>
      </c>
      <c r="D37" s="46">
        <f>'Facility Risk - Ford'!$C37/$C$151</f>
        <v>0</v>
      </c>
    </row>
    <row r="38" spans="1:4" ht="19" x14ac:dyDescent="0.25">
      <c r="A38" s="58" t="s">
        <v>73</v>
      </c>
      <c r="B38" s="92">
        <v>3.75</v>
      </c>
      <c r="C38" s="8">
        <v>0</v>
      </c>
      <c r="D38" s="45">
        <f>'Facility Risk - Ford'!$C38/$C$151</f>
        <v>0</v>
      </c>
    </row>
    <row r="39" spans="1:4" ht="19" x14ac:dyDescent="0.25">
      <c r="A39" s="57" t="s">
        <v>74</v>
      </c>
      <c r="B39" s="93">
        <v>3.2</v>
      </c>
      <c r="C39" s="9">
        <v>0</v>
      </c>
      <c r="D39" s="46">
        <f>'Facility Risk - Ford'!$C39/$C$151</f>
        <v>0</v>
      </c>
    </row>
    <row r="40" spans="1:4" ht="19" x14ac:dyDescent="0.25">
      <c r="A40" s="58" t="s">
        <v>75</v>
      </c>
      <c r="B40" s="94">
        <v>5.98</v>
      </c>
      <c r="C40" s="8">
        <v>0</v>
      </c>
      <c r="D40" s="45">
        <f>'Facility Risk - Ford'!$C40/$C$151</f>
        <v>0</v>
      </c>
    </row>
    <row r="41" spans="1:4" ht="19" x14ac:dyDescent="0.25">
      <c r="A41" s="57" t="s">
        <v>76</v>
      </c>
      <c r="B41" s="95">
        <v>4.7</v>
      </c>
      <c r="C41" s="9">
        <v>0</v>
      </c>
      <c r="D41" s="46">
        <f>'Facility Risk - Ford'!$C41/$C$151</f>
        <v>0</v>
      </c>
    </row>
    <row r="42" spans="1:4" ht="19" x14ac:dyDescent="0.25">
      <c r="A42" s="58" t="s">
        <v>77</v>
      </c>
      <c r="B42" s="96">
        <v>5.71</v>
      </c>
      <c r="C42" s="8">
        <v>0</v>
      </c>
      <c r="D42" s="45">
        <f>'Facility Risk - Ford'!$C42/$C$151</f>
        <v>0</v>
      </c>
    </row>
    <row r="43" spans="1:4" ht="19" x14ac:dyDescent="0.25">
      <c r="A43" s="57" t="s">
        <v>78</v>
      </c>
      <c r="B43" s="97">
        <v>5.6</v>
      </c>
      <c r="C43" s="9">
        <v>0</v>
      </c>
      <c r="D43" s="46">
        <f>'Facility Risk - Ford'!$C43/$C$151</f>
        <v>0</v>
      </c>
    </row>
    <row r="44" spans="1:4" ht="19" x14ac:dyDescent="0.25">
      <c r="A44" s="58" t="s">
        <v>79</v>
      </c>
      <c r="B44" s="98">
        <v>4.79</v>
      </c>
      <c r="C44" s="8">
        <v>0</v>
      </c>
      <c r="D44" s="45">
        <f>'Facility Risk - Ford'!$C44/$C$151</f>
        <v>0</v>
      </c>
    </row>
    <row r="45" spans="1:4" ht="19" x14ac:dyDescent="0.25">
      <c r="A45" s="57" t="s">
        <v>80</v>
      </c>
      <c r="B45" s="99">
        <v>3.57</v>
      </c>
      <c r="C45" s="9">
        <v>0</v>
      </c>
      <c r="D45" s="46">
        <f>'Facility Risk - Ford'!$C45/$C$151</f>
        <v>0</v>
      </c>
    </row>
    <row r="46" spans="1:4" ht="19" x14ac:dyDescent="0.25">
      <c r="A46" s="58" t="s">
        <v>81</v>
      </c>
      <c r="B46" s="100">
        <v>4.5</v>
      </c>
      <c r="C46" s="8">
        <v>0</v>
      </c>
      <c r="D46" s="45">
        <f>'Facility Risk - Ford'!$C46/$C$151</f>
        <v>0</v>
      </c>
    </row>
    <row r="47" spans="1:4" ht="19" x14ac:dyDescent="0.25">
      <c r="A47" s="57" t="s">
        <v>82</v>
      </c>
      <c r="B47" s="101">
        <v>6.93</v>
      </c>
      <c r="C47" s="9">
        <v>0</v>
      </c>
      <c r="D47" s="46">
        <f>'Facility Risk - Ford'!$C47/$C$151</f>
        <v>0</v>
      </c>
    </row>
    <row r="48" spans="1:4" ht="19" x14ac:dyDescent="0.25">
      <c r="A48" s="58" t="s">
        <v>83</v>
      </c>
      <c r="B48" s="102">
        <v>3.35</v>
      </c>
      <c r="C48" s="8">
        <v>0</v>
      </c>
      <c r="D48" s="45">
        <f>'Facility Risk - Ford'!$C48/$C$151</f>
        <v>0</v>
      </c>
    </row>
    <row r="49" spans="1:4" ht="19" x14ac:dyDescent="0.25">
      <c r="A49" s="57" t="s">
        <v>84</v>
      </c>
      <c r="B49" s="103">
        <v>3.65</v>
      </c>
      <c r="C49" s="9">
        <v>1.23E-2</v>
      </c>
      <c r="D49" s="46">
        <f>'Facility Risk - Ford'!$C49/$C$151</f>
        <v>1.2940557601262495E-2</v>
      </c>
    </row>
    <row r="50" spans="1:4" ht="19" x14ac:dyDescent="0.25">
      <c r="A50" s="58" t="s">
        <v>85</v>
      </c>
      <c r="B50" s="104">
        <v>5.78</v>
      </c>
      <c r="C50" s="8">
        <v>0</v>
      </c>
      <c r="D50" s="45">
        <f>'Facility Risk - Ford'!$C50/$C$151</f>
        <v>0</v>
      </c>
    </row>
    <row r="51" spans="1:4" ht="19" x14ac:dyDescent="0.25">
      <c r="A51" s="57" t="s">
        <v>86</v>
      </c>
      <c r="B51" s="105">
        <v>5.38</v>
      </c>
      <c r="C51" s="9">
        <v>0</v>
      </c>
      <c r="D51" s="46">
        <f>'Facility Risk - Ford'!$C51/$C$151</f>
        <v>0</v>
      </c>
    </row>
    <row r="52" spans="1:4" ht="19" x14ac:dyDescent="0.25">
      <c r="A52" s="58" t="s">
        <v>87</v>
      </c>
      <c r="B52" s="106">
        <v>4.93</v>
      </c>
      <c r="C52" s="8">
        <v>0</v>
      </c>
      <c r="D52" s="45">
        <f>'Facility Risk - Ford'!$C52/$C$151</f>
        <v>0</v>
      </c>
    </row>
    <row r="53" spans="1:4" ht="19" x14ac:dyDescent="0.25">
      <c r="A53" s="57" t="s">
        <v>88</v>
      </c>
      <c r="B53" s="68">
        <v>3.42</v>
      </c>
      <c r="C53" s="9">
        <v>7.4099999999999999E-2</v>
      </c>
      <c r="D53" s="46">
        <f>'Facility Risk - Ford'!$C53/$C$151</f>
        <v>7.7958968963703315E-2</v>
      </c>
    </row>
    <row r="54" spans="1:4" ht="19" x14ac:dyDescent="0.25">
      <c r="A54" s="58" t="s">
        <v>89</v>
      </c>
      <c r="B54" s="107">
        <v>4.63</v>
      </c>
      <c r="C54" s="8">
        <v>0</v>
      </c>
      <c r="D54" s="45">
        <f>'Facility Risk - Ford'!$C54/$C$151</f>
        <v>0</v>
      </c>
    </row>
    <row r="55" spans="1:4" ht="19" x14ac:dyDescent="0.25">
      <c r="A55" s="57" t="s">
        <v>90</v>
      </c>
      <c r="B55" s="77">
        <v>4.34</v>
      </c>
      <c r="C55" s="9">
        <v>0</v>
      </c>
      <c r="D55" s="46">
        <f>'Facility Risk - Ford'!$C55/$C$151</f>
        <v>0</v>
      </c>
    </row>
    <row r="56" spans="1:4" ht="19" x14ac:dyDescent="0.25">
      <c r="A56" s="58" t="s">
        <v>91</v>
      </c>
      <c r="B56" s="71">
        <v>5.45</v>
      </c>
      <c r="C56" s="8">
        <v>0</v>
      </c>
      <c r="D56" s="45">
        <f>'Facility Risk - Ford'!$C56/$C$151</f>
        <v>0</v>
      </c>
    </row>
    <row r="57" spans="1:4" ht="19" x14ac:dyDescent="0.25">
      <c r="A57" s="57" t="s">
        <v>92</v>
      </c>
      <c r="B57" s="108">
        <v>6.36</v>
      </c>
      <c r="C57" s="9">
        <v>0</v>
      </c>
      <c r="D57" s="46">
        <f>'Facility Risk - Ford'!$C57/$C$151</f>
        <v>0</v>
      </c>
    </row>
    <row r="58" spans="1:4" ht="19" x14ac:dyDescent="0.25">
      <c r="A58" s="58" t="s">
        <v>93</v>
      </c>
      <c r="B58" s="109">
        <v>5.94</v>
      </c>
      <c r="C58" s="8">
        <v>0</v>
      </c>
      <c r="D58" s="45">
        <f>'Facility Risk - Ford'!$C58/$C$151</f>
        <v>0</v>
      </c>
    </row>
    <row r="59" spans="1:4" ht="19" x14ac:dyDescent="0.25">
      <c r="A59" s="57" t="s">
        <v>94</v>
      </c>
      <c r="B59" s="110">
        <v>4.92</v>
      </c>
      <c r="C59" s="9">
        <v>0</v>
      </c>
      <c r="D59" s="46">
        <f>'Facility Risk - Ford'!$C59/$C$151</f>
        <v>0</v>
      </c>
    </row>
    <row r="60" spans="1:4" ht="19" x14ac:dyDescent="0.25">
      <c r="A60" s="58" t="s">
        <v>95</v>
      </c>
      <c r="B60" s="111">
        <v>6.53</v>
      </c>
      <c r="C60" s="8">
        <v>0</v>
      </c>
      <c r="D60" s="45">
        <f>'Facility Risk - Ford'!$C60/$C$151</f>
        <v>0</v>
      </c>
    </row>
    <row r="61" spans="1:4" ht="19" x14ac:dyDescent="0.25">
      <c r="A61" s="57" t="s">
        <v>96</v>
      </c>
      <c r="B61" s="112">
        <v>5.77</v>
      </c>
      <c r="C61" s="9">
        <v>0</v>
      </c>
      <c r="D61" s="46">
        <f>'Facility Risk - Ford'!$C61/$C$151</f>
        <v>0</v>
      </c>
    </row>
    <row r="62" spans="1:4" ht="19" x14ac:dyDescent="0.25">
      <c r="A62" s="58" t="s">
        <v>97</v>
      </c>
      <c r="B62" s="113">
        <v>3.63</v>
      </c>
      <c r="C62" s="8">
        <v>0</v>
      </c>
      <c r="D62" s="45">
        <f>'Facility Risk - Ford'!$C62/$C$151</f>
        <v>0</v>
      </c>
    </row>
    <row r="63" spans="1:4" ht="19" x14ac:dyDescent="0.25">
      <c r="A63" s="57" t="s">
        <v>98</v>
      </c>
      <c r="B63" s="114">
        <v>3.38</v>
      </c>
      <c r="C63" s="9">
        <v>0</v>
      </c>
      <c r="D63" s="46">
        <f>'Facility Risk - Ford'!$C63/$C$151</f>
        <v>0</v>
      </c>
    </row>
    <row r="64" spans="1:4" ht="19" x14ac:dyDescent="0.25">
      <c r="A64" s="58" t="s">
        <v>99</v>
      </c>
      <c r="B64" s="115">
        <v>5.07</v>
      </c>
      <c r="C64" s="8">
        <v>0</v>
      </c>
      <c r="D64" s="45">
        <f>'Facility Risk - Ford'!$C64/$C$151</f>
        <v>0</v>
      </c>
    </row>
    <row r="65" spans="1:4" ht="19" x14ac:dyDescent="0.25">
      <c r="A65" s="57" t="s">
        <v>100</v>
      </c>
      <c r="B65" s="106">
        <v>4.92</v>
      </c>
      <c r="C65" s="9">
        <v>0</v>
      </c>
      <c r="D65" s="46">
        <f>'Facility Risk - Ford'!$C65/$C$151</f>
        <v>0</v>
      </c>
    </row>
    <row r="66" spans="1:4" ht="19" x14ac:dyDescent="0.25">
      <c r="A66" s="58" t="s">
        <v>101</v>
      </c>
      <c r="B66" s="116">
        <v>5.88</v>
      </c>
      <c r="C66" s="8">
        <v>0</v>
      </c>
      <c r="D66" s="45">
        <f>'Facility Risk - Ford'!$C66/$C$151</f>
        <v>0</v>
      </c>
    </row>
    <row r="67" spans="1:4" ht="19" x14ac:dyDescent="0.25">
      <c r="A67" s="57" t="s">
        <v>102</v>
      </c>
      <c r="B67" s="117">
        <v>6.05</v>
      </c>
      <c r="C67" s="9">
        <v>0</v>
      </c>
      <c r="D67" s="46">
        <f>'Facility Risk - Ford'!$C67/$C$151</f>
        <v>0</v>
      </c>
    </row>
    <row r="68" spans="1:4" ht="19" x14ac:dyDescent="0.25">
      <c r="A68" s="58" t="s">
        <v>103</v>
      </c>
      <c r="B68" s="118">
        <v>3.25</v>
      </c>
      <c r="C68" s="8">
        <v>0</v>
      </c>
      <c r="D68" s="45">
        <f>'Facility Risk - Ford'!$C68/$C$151</f>
        <v>0</v>
      </c>
    </row>
    <row r="69" spans="1:4" ht="19" x14ac:dyDescent="0.25">
      <c r="A69" s="57" t="s">
        <v>104</v>
      </c>
      <c r="B69" s="119">
        <v>4.6100000000000003</v>
      </c>
      <c r="C69" s="9">
        <v>0</v>
      </c>
      <c r="D69" s="46">
        <f>'Facility Risk - Ford'!$C69/$C$151</f>
        <v>0</v>
      </c>
    </row>
    <row r="70" spans="1:4" ht="19" x14ac:dyDescent="0.25">
      <c r="A70" s="58" t="s">
        <v>105</v>
      </c>
      <c r="B70" s="120">
        <v>3.84</v>
      </c>
      <c r="C70" s="8">
        <v>0</v>
      </c>
      <c r="D70" s="45">
        <f>'Facility Risk - Ford'!$C70/$C$151</f>
        <v>0</v>
      </c>
    </row>
    <row r="71" spans="1:4" ht="19" x14ac:dyDescent="0.25">
      <c r="A71" s="57" t="s">
        <v>106</v>
      </c>
      <c r="B71" s="121">
        <v>4.75</v>
      </c>
      <c r="C71" s="9">
        <v>0</v>
      </c>
      <c r="D71" s="46">
        <f>'Facility Risk - Ford'!$C71/$C$151</f>
        <v>0</v>
      </c>
    </row>
    <row r="72" spans="1:4" ht="19" x14ac:dyDescent="0.25">
      <c r="A72" s="58" t="s">
        <v>107</v>
      </c>
      <c r="B72" s="114">
        <v>3.38</v>
      </c>
      <c r="C72" s="8">
        <v>0</v>
      </c>
      <c r="D72" s="45">
        <f>'Facility Risk - Ford'!$C72/$C$151</f>
        <v>0</v>
      </c>
    </row>
    <row r="73" spans="1:4" ht="19" x14ac:dyDescent="0.25">
      <c r="A73" s="57" t="s">
        <v>108</v>
      </c>
      <c r="B73" s="122">
        <v>5.13</v>
      </c>
      <c r="C73" s="9">
        <v>0</v>
      </c>
      <c r="D73" s="46">
        <f>'Facility Risk - Ford'!$C73/$C$151</f>
        <v>0</v>
      </c>
    </row>
    <row r="74" spans="1:4" ht="19" x14ac:dyDescent="0.25">
      <c r="A74" s="58" t="s">
        <v>109</v>
      </c>
      <c r="B74" s="123">
        <v>4.54</v>
      </c>
      <c r="C74" s="8">
        <v>0</v>
      </c>
      <c r="D74" s="45">
        <f>'Facility Risk - Ford'!$C74/$C$151</f>
        <v>0</v>
      </c>
    </row>
    <row r="75" spans="1:4" ht="19" x14ac:dyDescent="0.25">
      <c r="A75" s="57" t="s">
        <v>110</v>
      </c>
      <c r="B75" s="124">
        <v>6.13</v>
      </c>
      <c r="C75" s="9">
        <v>0</v>
      </c>
      <c r="D75" s="46">
        <f>'Facility Risk - Ford'!$C75/$C$151</f>
        <v>0</v>
      </c>
    </row>
    <row r="76" spans="1:4" ht="19" x14ac:dyDescent="0.25">
      <c r="A76" s="58" t="s">
        <v>111</v>
      </c>
      <c r="B76" s="125">
        <v>4.3</v>
      </c>
      <c r="C76" s="8">
        <v>0</v>
      </c>
      <c r="D76" s="45">
        <f>'Facility Risk - Ford'!$C76/$C$151</f>
        <v>0</v>
      </c>
    </row>
    <row r="77" spans="1:4" ht="19" x14ac:dyDescent="0.25">
      <c r="A77" s="57" t="s">
        <v>112</v>
      </c>
      <c r="B77" s="126">
        <v>5.37</v>
      </c>
      <c r="C77" s="9">
        <v>0</v>
      </c>
      <c r="D77" s="46">
        <f>'Facility Risk - Ford'!$C77/$C$151</f>
        <v>0</v>
      </c>
    </row>
    <row r="78" spans="1:4" ht="19" x14ac:dyDescent="0.25">
      <c r="A78" s="58" t="s">
        <v>113</v>
      </c>
      <c r="B78" s="127">
        <v>5.14</v>
      </c>
      <c r="C78" s="8">
        <v>0</v>
      </c>
      <c r="D78" s="45">
        <f>'Facility Risk - Ford'!$C78/$C$151</f>
        <v>0</v>
      </c>
    </row>
    <row r="79" spans="1:4" ht="19" x14ac:dyDescent="0.25">
      <c r="A79" s="57" t="s">
        <v>114</v>
      </c>
      <c r="B79" s="128">
        <v>3.97</v>
      </c>
      <c r="C79" s="9">
        <v>0</v>
      </c>
      <c r="D79" s="46">
        <f>'Facility Risk - Ford'!$C79/$C$151</f>
        <v>0</v>
      </c>
    </row>
    <row r="80" spans="1:4" ht="19" x14ac:dyDescent="0.25">
      <c r="A80" s="58" t="s">
        <v>115</v>
      </c>
      <c r="B80" s="129">
        <v>6.12</v>
      </c>
      <c r="C80" s="8">
        <v>0</v>
      </c>
      <c r="D80" s="45">
        <f>'Facility Risk - Ford'!$C80/$C$151</f>
        <v>0</v>
      </c>
    </row>
    <row r="81" spans="1:4" ht="19" x14ac:dyDescent="0.25">
      <c r="A81" s="57" t="s">
        <v>116</v>
      </c>
      <c r="B81" s="130">
        <v>5.49</v>
      </c>
      <c r="C81" s="9">
        <v>0</v>
      </c>
      <c r="D81" s="46">
        <f>'Facility Risk - Ford'!$C81/$C$151</f>
        <v>0</v>
      </c>
    </row>
    <row r="82" spans="1:4" ht="19" x14ac:dyDescent="0.25">
      <c r="A82" s="58" t="s">
        <v>117</v>
      </c>
      <c r="B82" s="131">
        <v>5.97</v>
      </c>
      <c r="C82" s="8">
        <v>0</v>
      </c>
      <c r="D82" s="45">
        <f>'Facility Risk - Ford'!$C82/$C$151</f>
        <v>0</v>
      </c>
    </row>
    <row r="83" spans="1:4" ht="19" x14ac:dyDescent="0.25">
      <c r="A83" s="57" t="s">
        <v>118</v>
      </c>
      <c r="B83" s="132">
        <v>5.68</v>
      </c>
      <c r="C83" s="9">
        <v>0</v>
      </c>
      <c r="D83" s="46">
        <f>'Facility Risk - Ford'!$C83/$C$151</f>
        <v>0</v>
      </c>
    </row>
    <row r="84" spans="1:4" ht="19" x14ac:dyDescent="0.25">
      <c r="A84" s="58" t="s">
        <v>119</v>
      </c>
      <c r="B84" s="133">
        <v>3.93</v>
      </c>
      <c r="C84" s="8">
        <v>0</v>
      </c>
      <c r="D84" s="45">
        <f>'Facility Risk - Ford'!$C84/$C$151</f>
        <v>0</v>
      </c>
    </row>
    <row r="85" spans="1:4" ht="19" x14ac:dyDescent="0.25">
      <c r="A85" s="57" t="s">
        <v>120</v>
      </c>
      <c r="B85" s="134">
        <v>5.82</v>
      </c>
      <c r="C85" s="9">
        <v>0</v>
      </c>
      <c r="D85" s="46">
        <f>'Facility Risk - Ford'!$C85/$C$151</f>
        <v>0</v>
      </c>
    </row>
    <row r="86" spans="1:4" ht="19" x14ac:dyDescent="0.25">
      <c r="A86" s="58" t="s">
        <v>121</v>
      </c>
      <c r="B86" s="135">
        <v>5.58</v>
      </c>
      <c r="C86" s="8">
        <v>0</v>
      </c>
      <c r="D86" s="45">
        <f>'Facility Risk - Ford'!$C86/$C$151</f>
        <v>0</v>
      </c>
    </row>
    <row r="87" spans="1:4" ht="19" x14ac:dyDescent="0.25">
      <c r="A87" s="57" t="s">
        <v>122</v>
      </c>
      <c r="B87" s="136">
        <v>4.03</v>
      </c>
      <c r="C87" s="9">
        <v>0</v>
      </c>
      <c r="D87" s="46">
        <f>'Facility Risk - Ford'!$C87/$C$151</f>
        <v>0</v>
      </c>
    </row>
    <row r="88" spans="1:4" ht="19" x14ac:dyDescent="0.25">
      <c r="A88" s="58" t="s">
        <v>123</v>
      </c>
      <c r="B88" s="137">
        <v>7.1</v>
      </c>
      <c r="C88" s="8">
        <v>0</v>
      </c>
      <c r="D88" s="45">
        <f>'Facility Risk - Ford'!$C88/$C$151</f>
        <v>0</v>
      </c>
    </row>
    <row r="89" spans="1:4" ht="19" x14ac:dyDescent="0.25">
      <c r="A89" s="57" t="s">
        <v>124</v>
      </c>
      <c r="B89" s="138">
        <v>6.28</v>
      </c>
      <c r="C89" s="9">
        <v>0</v>
      </c>
      <c r="D89" s="46">
        <f>'Facility Risk - Ford'!$C89/$C$151</f>
        <v>0</v>
      </c>
    </row>
    <row r="90" spans="1:4" ht="19" x14ac:dyDescent="0.25">
      <c r="A90" s="58" t="s">
        <v>125</v>
      </c>
      <c r="B90" s="139">
        <v>3.47</v>
      </c>
      <c r="C90" s="8">
        <v>0</v>
      </c>
      <c r="D90" s="45">
        <f>'Facility Risk - Ford'!$C90/$C$151</f>
        <v>0</v>
      </c>
    </row>
    <row r="91" spans="1:4" ht="19" x14ac:dyDescent="0.25">
      <c r="A91" s="57" t="s">
        <v>126</v>
      </c>
      <c r="B91" s="140">
        <v>5.42</v>
      </c>
      <c r="C91" s="9">
        <v>4.9399999999999999E-2</v>
      </c>
      <c r="D91" s="46">
        <f>'Facility Risk - Ford'!$C91/$C$151</f>
        <v>5.1972645975802215E-2</v>
      </c>
    </row>
    <row r="92" spans="1:4" ht="19" x14ac:dyDescent="0.25">
      <c r="A92" s="58" t="s">
        <v>127</v>
      </c>
      <c r="B92" s="127">
        <v>5.14</v>
      </c>
      <c r="C92" s="8">
        <v>0</v>
      </c>
      <c r="D92" s="45">
        <f>'Facility Risk - Ford'!$C92/$C$151</f>
        <v>0</v>
      </c>
    </row>
    <row r="93" spans="1:4" ht="19" x14ac:dyDescent="0.25">
      <c r="A93" s="57" t="s">
        <v>128</v>
      </c>
      <c r="B93" s="141">
        <v>4.6500000000000004</v>
      </c>
      <c r="C93" s="9">
        <v>0</v>
      </c>
      <c r="D93" s="46">
        <f>'Facility Risk - Ford'!$C93/$C$151</f>
        <v>0</v>
      </c>
    </row>
    <row r="94" spans="1:4" ht="19" x14ac:dyDescent="0.25">
      <c r="A94" s="58" t="s">
        <v>129</v>
      </c>
      <c r="B94" s="142">
        <v>5.0999999999999996</v>
      </c>
      <c r="C94" s="8">
        <v>0</v>
      </c>
      <c r="D94" s="45">
        <f>'Facility Risk - Ford'!$C94/$C$151</f>
        <v>0</v>
      </c>
    </row>
    <row r="95" spans="1:4" ht="19" x14ac:dyDescent="0.25">
      <c r="A95" s="57" t="s">
        <v>130</v>
      </c>
      <c r="B95" s="70">
        <v>6.3</v>
      </c>
      <c r="C95" s="9">
        <v>0</v>
      </c>
      <c r="D95" s="46">
        <f>'Facility Risk - Ford'!$C95/$C$151</f>
        <v>0</v>
      </c>
    </row>
    <row r="96" spans="1:4" ht="19" x14ac:dyDescent="0.25">
      <c r="A96" s="58" t="s">
        <v>131</v>
      </c>
      <c r="B96" s="143">
        <v>4.6399999999999997</v>
      </c>
      <c r="C96" s="8">
        <v>0</v>
      </c>
      <c r="D96" s="45">
        <f>'Facility Risk - Ford'!$C96/$C$151</f>
        <v>0</v>
      </c>
    </row>
    <row r="97" spans="1:4" ht="19" x14ac:dyDescent="0.25">
      <c r="A97" s="57" t="s">
        <v>132</v>
      </c>
      <c r="B97" s="104">
        <v>5.78</v>
      </c>
      <c r="C97" s="9">
        <v>0</v>
      </c>
      <c r="D97" s="46">
        <f>'Facility Risk - Ford'!$C97/$C$151</f>
        <v>0</v>
      </c>
    </row>
    <row r="98" spans="1:4" ht="19" x14ac:dyDescent="0.25">
      <c r="A98" s="58" t="s">
        <v>133</v>
      </c>
      <c r="B98" s="144">
        <v>3.59</v>
      </c>
      <c r="C98" s="8">
        <v>0</v>
      </c>
      <c r="D98" s="45">
        <f>'Facility Risk - Ford'!$C98/$C$151</f>
        <v>0</v>
      </c>
    </row>
    <row r="99" spans="1:4" ht="19" x14ac:dyDescent="0.25">
      <c r="A99" s="57" t="s">
        <v>134</v>
      </c>
      <c r="B99" s="145">
        <v>3.32</v>
      </c>
      <c r="C99" s="9">
        <v>0</v>
      </c>
      <c r="D99" s="46">
        <f>'Facility Risk - Ford'!$C99/$C$151</f>
        <v>0</v>
      </c>
    </row>
    <row r="100" spans="1:4" ht="19" x14ac:dyDescent="0.25">
      <c r="A100" s="58" t="s">
        <v>135</v>
      </c>
      <c r="B100" s="146">
        <v>5.8</v>
      </c>
      <c r="C100" s="8">
        <v>0</v>
      </c>
      <c r="D100" s="45">
        <f>'Facility Risk - Ford'!$C100/$C$151</f>
        <v>0</v>
      </c>
    </row>
    <row r="101" spans="1:4" ht="19" x14ac:dyDescent="0.25">
      <c r="A101" s="57" t="s">
        <v>136</v>
      </c>
      <c r="B101" s="147">
        <v>7.07</v>
      </c>
      <c r="C101" s="9">
        <v>0</v>
      </c>
      <c r="D101" s="46">
        <f>'Facility Risk - Ford'!$C101/$C$151</f>
        <v>0</v>
      </c>
    </row>
    <row r="102" spans="1:4" ht="19" x14ac:dyDescent="0.25">
      <c r="A102" s="58" t="s">
        <v>137</v>
      </c>
      <c r="B102" s="148">
        <v>6.5</v>
      </c>
      <c r="C102" s="8">
        <v>0</v>
      </c>
      <c r="D102" s="45">
        <f>'Facility Risk - Ford'!$C102/$C$151</f>
        <v>0</v>
      </c>
    </row>
    <row r="103" spans="1:4" ht="19" x14ac:dyDescent="0.25">
      <c r="A103" s="57" t="s">
        <v>138</v>
      </c>
      <c r="B103" s="149">
        <v>4.16</v>
      </c>
      <c r="C103" s="9">
        <v>0</v>
      </c>
      <c r="D103" s="46">
        <f>'Facility Risk - Ford'!$C103/$C$151</f>
        <v>0</v>
      </c>
    </row>
    <row r="104" spans="1:4" ht="19" x14ac:dyDescent="0.25">
      <c r="A104" s="58" t="s">
        <v>139</v>
      </c>
      <c r="B104" s="114">
        <v>3.38</v>
      </c>
      <c r="C104" s="8">
        <v>0</v>
      </c>
      <c r="D104" s="45">
        <f>'Facility Risk - Ford'!$C104/$C$151</f>
        <v>0</v>
      </c>
    </row>
    <row r="105" spans="1:4" ht="19" x14ac:dyDescent="0.25">
      <c r="A105" s="57" t="s">
        <v>140</v>
      </c>
      <c r="B105" s="150">
        <v>4.0199999999999996</v>
      </c>
      <c r="C105" s="9">
        <v>0</v>
      </c>
      <c r="D105" s="46">
        <f>'Facility Risk - Ford'!$C105/$C$151</f>
        <v>0</v>
      </c>
    </row>
    <row r="106" spans="1:4" ht="19" x14ac:dyDescent="0.25">
      <c r="A106" s="58" t="s">
        <v>141</v>
      </c>
      <c r="B106" s="151">
        <v>6.65</v>
      </c>
      <c r="C106" s="8">
        <v>0</v>
      </c>
      <c r="D106" s="45">
        <f>'Facility Risk - Ford'!$C106/$C$151</f>
        <v>0</v>
      </c>
    </row>
    <row r="107" spans="1:4" ht="19" x14ac:dyDescent="0.25">
      <c r="A107" s="57" t="s">
        <v>142</v>
      </c>
      <c r="B107" s="152">
        <v>4.5599999999999996</v>
      </c>
      <c r="C107" s="9">
        <v>0</v>
      </c>
      <c r="D107" s="46">
        <f>'Facility Risk - Ford'!$C107/$C$151</f>
        <v>0</v>
      </c>
    </row>
    <row r="108" spans="1:4" ht="19" x14ac:dyDescent="0.25">
      <c r="A108" s="58" t="s">
        <v>143</v>
      </c>
      <c r="B108" s="76">
        <v>5.34</v>
      </c>
      <c r="C108" s="8">
        <v>0</v>
      </c>
      <c r="D108" s="45">
        <f>'Facility Risk - Ford'!$C108/$C$151</f>
        <v>0</v>
      </c>
    </row>
    <row r="109" spans="1:4" ht="19" x14ac:dyDescent="0.25">
      <c r="A109" s="57" t="s">
        <v>144</v>
      </c>
      <c r="B109" s="153">
        <v>4.72</v>
      </c>
      <c r="C109" s="9">
        <v>0</v>
      </c>
      <c r="D109" s="46">
        <f>'Facility Risk - Ford'!$C109/$C$151</f>
        <v>0</v>
      </c>
    </row>
    <row r="110" spans="1:4" ht="19" x14ac:dyDescent="0.25">
      <c r="A110" s="58" t="s">
        <v>145</v>
      </c>
      <c r="B110" s="154">
        <v>5.28</v>
      </c>
      <c r="C110" s="8">
        <v>0</v>
      </c>
      <c r="D110" s="45">
        <f>'Facility Risk - Ford'!$C110/$C$151</f>
        <v>0</v>
      </c>
    </row>
    <row r="111" spans="1:4" ht="19" x14ac:dyDescent="0.25">
      <c r="A111" s="57" t="s">
        <v>146</v>
      </c>
      <c r="B111" s="146">
        <v>5.8</v>
      </c>
      <c r="C111" s="9">
        <v>0</v>
      </c>
      <c r="D111" s="46">
        <f>'Facility Risk - Ford'!$C111/$C$151</f>
        <v>0</v>
      </c>
    </row>
    <row r="112" spans="1:4" ht="19" x14ac:dyDescent="0.25">
      <c r="A112" s="58" t="s">
        <v>147</v>
      </c>
      <c r="B112" s="155">
        <v>4.1500000000000004</v>
      </c>
      <c r="C112" s="8">
        <v>0</v>
      </c>
      <c r="D112" s="45">
        <f>'Facility Risk - Ford'!$C112/$C$151</f>
        <v>0</v>
      </c>
    </row>
    <row r="113" spans="1:4" ht="19" x14ac:dyDescent="0.25">
      <c r="A113" s="57" t="s">
        <v>148</v>
      </c>
      <c r="B113" s="156">
        <v>3.43</v>
      </c>
      <c r="C113" s="9">
        <v>0</v>
      </c>
      <c r="D113" s="46">
        <f>'Facility Risk - Ford'!$C113/$C$151</f>
        <v>0</v>
      </c>
    </row>
    <row r="114" spans="1:4" ht="19" x14ac:dyDescent="0.25">
      <c r="A114" s="58" t="s">
        <v>149</v>
      </c>
      <c r="B114" s="93">
        <v>3.2</v>
      </c>
      <c r="C114" s="8">
        <v>0</v>
      </c>
      <c r="D114" s="45">
        <f>'Facility Risk - Ford'!$C114/$C$151</f>
        <v>0</v>
      </c>
    </row>
    <row r="115" spans="1:4" ht="19" x14ac:dyDescent="0.25">
      <c r="A115" s="57" t="s">
        <v>150</v>
      </c>
      <c r="B115" s="157">
        <v>4.05</v>
      </c>
      <c r="C115" s="9">
        <v>1.23E-2</v>
      </c>
      <c r="D115" s="46">
        <f>'Facility Risk - Ford'!$C115/$C$151</f>
        <v>1.2940557601262495E-2</v>
      </c>
    </row>
    <row r="116" spans="1:4" ht="19" x14ac:dyDescent="0.25">
      <c r="A116" s="58" t="s">
        <v>151</v>
      </c>
      <c r="B116" s="158">
        <v>5.96</v>
      </c>
      <c r="C116" s="8">
        <v>0</v>
      </c>
      <c r="D116" s="45">
        <f>'Facility Risk - Ford'!$C116/$C$151</f>
        <v>0</v>
      </c>
    </row>
    <row r="117" spans="1:4" ht="19" x14ac:dyDescent="0.25">
      <c r="A117" s="57" t="s">
        <v>152</v>
      </c>
      <c r="B117" s="159">
        <v>5.47</v>
      </c>
      <c r="C117" s="9">
        <v>0</v>
      </c>
      <c r="D117" s="46">
        <f>'Facility Risk - Ford'!$C117/$C$151</f>
        <v>0</v>
      </c>
    </row>
    <row r="118" spans="1:4" ht="19" x14ac:dyDescent="0.25">
      <c r="A118" s="58" t="s">
        <v>153</v>
      </c>
      <c r="B118" s="79">
        <v>4.42</v>
      </c>
      <c r="C118" s="8">
        <v>0</v>
      </c>
      <c r="D118" s="45">
        <f>'Facility Risk - Ford'!$C118/$C$151</f>
        <v>0</v>
      </c>
    </row>
    <row r="119" spans="1:4" ht="19" x14ac:dyDescent="0.25">
      <c r="A119" s="57" t="s">
        <v>154</v>
      </c>
      <c r="B119" s="160">
        <v>5.4</v>
      </c>
      <c r="C119" s="9">
        <v>0</v>
      </c>
      <c r="D119" s="46">
        <f>'Facility Risk - Ford'!$C119/$C$151</f>
        <v>0</v>
      </c>
    </row>
    <row r="120" spans="1:4" ht="19" x14ac:dyDescent="0.25">
      <c r="A120" s="58" t="s">
        <v>155</v>
      </c>
      <c r="B120" s="161">
        <v>5.04</v>
      </c>
      <c r="C120" s="8">
        <v>0</v>
      </c>
      <c r="D120" s="45">
        <f>'Facility Risk - Ford'!$C120/$C$151</f>
        <v>0</v>
      </c>
    </row>
    <row r="121" spans="1:4" ht="19" x14ac:dyDescent="0.25">
      <c r="A121" s="57" t="s">
        <v>156</v>
      </c>
      <c r="B121" s="162">
        <v>5.64</v>
      </c>
      <c r="C121" s="9">
        <v>0</v>
      </c>
      <c r="D121" s="46">
        <f>'Facility Risk - Ford'!$C121/$C$151</f>
        <v>0</v>
      </c>
    </row>
    <row r="122" spans="1:4" ht="19" x14ac:dyDescent="0.25">
      <c r="A122" s="58" t="s">
        <v>157</v>
      </c>
      <c r="B122" s="163">
        <v>3.04</v>
      </c>
      <c r="C122" s="8">
        <v>0</v>
      </c>
      <c r="D122" s="45">
        <f>'Facility Risk - Ford'!$C122/$C$151</f>
        <v>0</v>
      </c>
    </row>
    <row r="123" spans="1:4" ht="19" x14ac:dyDescent="0.25">
      <c r="A123" s="57" t="s">
        <v>158</v>
      </c>
      <c r="B123" s="164">
        <v>3.79</v>
      </c>
      <c r="C123" s="9">
        <v>0</v>
      </c>
      <c r="D123" s="46">
        <f>'Facility Risk - Ford'!$C123/$C$151</f>
        <v>0</v>
      </c>
    </row>
    <row r="124" spans="1:4" ht="19" x14ac:dyDescent="0.25">
      <c r="A124" s="58" t="s">
        <v>159</v>
      </c>
      <c r="B124" s="165">
        <v>3.48</v>
      </c>
      <c r="C124" s="8">
        <v>0</v>
      </c>
      <c r="D124" s="45">
        <f>'Facility Risk - Ford'!$C124/$C$151</f>
        <v>0</v>
      </c>
    </row>
    <row r="125" spans="1:4" ht="19" x14ac:dyDescent="0.25">
      <c r="A125" s="57" t="s">
        <v>160</v>
      </c>
      <c r="B125" s="166">
        <v>5.22</v>
      </c>
      <c r="C125" s="9">
        <v>2.47E-2</v>
      </c>
      <c r="D125" s="46">
        <f>'Facility Risk - Ford'!$C125/$C$151</f>
        <v>2.5986322987901107E-2</v>
      </c>
    </row>
    <row r="126" spans="1:4" ht="19" x14ac:dyDescent="0.25">
      <c r="A126" s="58" t="s">
        <v>161</v>
      </c>
      <c r="B126" s="167">
        <v>3.57</v>
      </c>
      <c r="C126" s="8">
        <v>0</v>
      </c>
      <c r="D126" s="45">
        <f>'Facility Risk - Ford'!$C126/$C$151</f>
        <v>0</v>
      </c>
    </row>
    <row r="127" spans="1:4" ht="19" x14ac:dyDescent="0.25">
      <c r="A127" s="57" t="s">
        <v>162</v>
      </c>
      <c r="B127" s="168">
        <v>3.7</v>
      </c>
      <c r="C127" s="9">
        <v>0</v>
      </c>
      <c r="D127" s="46">
        <f>'Facility Risk - Ford'!$C127/$C$151</f>
        <v>0</v>
      </c>
    </row>
    <row r="128" spans="1:4" ht="19" x14ac:dyDescent="0.25">
      <c r="A128" s="58" t="s">
        <v>163</v>
      </c>
      <c r="B128" s="169">
        <v>5.1100000000000003</v>
      </c>
      <c r="C128" s="8">
        <v>0</v>
      </c>
      <c r="D128" s="45">
        <f>'Facility Risk - Ford'!$C128/$C$151</f>
        <v>0</v>
      </c>
    </row>
    <row r="129" spans="1:4" ht="19" x14ac:dyDescent="0.25">
      <c r="A129" s="57" t="s">
        <v>164</v>
      </c>
      <c r="B129" s="137">
        <v>7.1</v>
      </c>
      <c r="C129" s="9">
        <v>0</v>
      </c>
      <c r="D129" s="46">
        <f>'Facility Risk - Ford'!$C129/$C$151</f>
        <v>0</v>
      </c>
    </row>
    <row r="130" spans="1:4" ht="19" x14ac:dyDescent="0.25">
      <c r="A130" s="58" t="s">
        <v>165</v>
      </c>
      <c r="B130" s="170">
        <v>3.52</v>
      </c>
      <c r="C130" s="8">
        <v>0</v>
      </c>
      <c r="D130" s="45">
        <f>'Facility Risk - Ford'!$C130/$C$151</f>
        <v>0</v>
      </c>
    </row>
    <row r="131" spans="1:4" ht="19" x14ac:dyDescent="0.25">
      <c r="A131" s="57" t="s">
        <v>166</v>
      </c>
      <c r="B131" s="171">
        <v>2.78</v>
      </c>
      <c r="C131" s="9">
        <v>0</v>
      </c>
      <c r="D131" s="46">
        <f>'Facility Risk - Ford'!$C131/$C$151</f>
        <v>0</v>
      </c>
    </row>
    <row r="132" spans="1:4" ht="19" x14ac:dyDescent="0.25">
      <c r="A132" s="59" t="s">
        <v>167</v>
      </c>
      <c r="B132" s="172">
        <v>7.33</v>
      </c>
      <c r="C132" s="8">
        <v>0</v>
      </c>
      <c r="D132" s="45">
        <f>'Facility Risk - Ford'!$C132/$C$151</f>
        <v>0</v>
      </c>
    </row>
    <row r="133" spans="1:4" ht="19" x14ac:dyDescent="0.25">
      <c r="A133" s="57" t="s">
        <v>168</v>
      </c>
      <c r="B133" s="173">
        <v>5.69</v>
      </c>
      <c r="C133" s="9">
        <v>0</v>
      </c>
      <c r="D133" s="46">
        <f>'Facility Risk - Ford'!$C133/$C$151</f>
        <v>0</v>
      </c>
    </row>
    <row r="134" spans="1:4" ht="19" x14ac:dyDescent="0.25">
      <c r="A134" s="58" t="s">
        <v>169</v>
      </c>
      <c r="B134" s="63">
        <v>5.21</v>
      </c>
      <c r="C134" s="8">
        <v>2.47E-2</v>
      </c>
      <c r="D134" s="45">
        <f>'Facility Risk - Ford'!$C134/$C$151</f>
        <v>2.5986322987901107E-2</v>
      </c>
    </row>
    <row r="135" spans="1:4" ht="19" x14ac:dyDescent="0.25">
      <c r="A135" s="57" t="s">
        <v>170</v>
      </c>
      <c r="B135" s="174">
        <v>5.15</v>
      </c>
      <c r="C135" s="9">
        <v>0</v>
      </c>
      <c r="D135" s="46">
        <f>'Facility Risk - Ford'!$C135/$C$151</f>
        <v>0</v>
      </c>
    </row>
    <row r="136" spans="1:4" ht="19" x14ac:dyDescent="0.25">
      <c r="A136" s="58" t="s">
        <v>171</v>
      </c>
      <c r="B136" s="175">
        <v>5.87</v>
      </c>
      <c r="C136" s="8">
        <v>0</v>
      </c>
      <c r="D136" s="45">
        <f>'Facility Risk - Ford'!$C136/$C$151</f>
        <v>0</v>
      </c>
    </row>
    <row r="137" spans="1:4" ht="19" x14ac:dyDescent="0.25">
      <c r="A137" s="57" t="s">
        <v>172</v>
      </c>
      <c r="B137" s="176">
        <v>4.38</v>
      </c>
      <c r="C137" s="9">
        <v>0</v>
      </c>
      <c r="D137" s="46">
        <f>'Facility Risk - Ford'!$C137/$C$151</f>
        <v>0</v>
      </c>
    </row>
    <row r="138" spans="1:4" ht="19" x14ac:dyDescent="0.25">
      <c r="A138" s="58" t="s">
        <v>173</v>
      </c>
      <c r="B138" s="177">
        <v>5.13</v>
      </c>
      <c r="C138" s="8">
        <v>0</v>
      </c>
      <c r="D138" s="45">
        <f>'Facility Risk - Ford'!$C138/$C$151</f>
        <v>0</v>
      </c>
    </row>
    <row r="139" spans="1:4" ht="19" x14ac:dyDescent="0.25">
      <c r="A139" s="57" t="s">
        <v>174</v>
      </c>
      <c r="B139" s="178">
        <v>5.26</v>
      </c>
      <c r="C139" s="9">
        <v>2.47E-2</v>
      </c>
      <c r="D139" s="46">
        <f>'Facility Risk - Ford'!$C139/$C$151</f>
        <v>2.5986322987901107E-2</v>
      </c>
    </row>
    <row r="140" spans="1:4" ht="19" x14ac:dyDescent="0.25">
      <c r="A140" s="58" t="s">
        <v>175</v>
      </c>
      <c r="B140" s="179">
        <v>6.29</v>
      </c>
      <c r="C140" s="8">
        <v>0</v>
      </c>
      <c r="D140" s="45">
        <f>'Facility Risk - Ford'!$C140/$C$151</f>
        <v>0</v>
      </c>
    </row>
    <row r="141" spans="1:4" ht="19" x14ac:dyDescent="0.25">
      <c r="A141" s="57" t="s">
        <v>176</v>
      </c>
      <c r="B141" s="180">
        <v>6.35</v>
      </c>
      <c r="C141" s="9">
        <v>0</v>
      </c>
      <c r="D141" s="46">
        <f>'Facility Risk - Ford'!$C141/$C$151</f>
        <v>0</v>
      </c>
    </row>
    <row r="142" spans="1:4" ht="19" x14ac:dyDescent="0.25">
      <c r="A142" s="58" t="s">
        <v>177</v>
      </c>
      <c r="B142" s="181">
        <v>3.72</v>
      </c>
      <c r="C142" s="8">
        <v>0</v>
      </c>
      <c r="D142" s="45">
        <f>'Facility Risk - Ford'!$C142/$C$151</f>
        <v>0</v>
      </c>
    </row>
    <row r="143" spans="1:4" ht="19" x14ac:dyDescent="0.25">
      <c r="A143" s="57" t="s">
        <v>178</v>
      </c>
      <c r="B143" s="145">
        <v>3.32</v>
      </c>
      <c r="C143" s="9">
        <v>0</v>
      </c>
      <c r="D143" s="46">
        <f>'Facility Risk - Ford'!$C143/$C$151</f>
        <v>0</v>
      </c>
    </row>
    <row r="144" spans="1:4" ht="19" x14ac:dyDescent="0.25">
      <c r="A144" s="58" t="s">
        <v>179</v>
      </c>
      <c r="B144" s="182">
        <v>4.1900000000000004</v>
      </c>
      <c r="C144" s="8">
        <v>0.49380000000000002</v>
      </c>
      <c r="D144" s="45">
        <f>'Facility Risk - Ford'!$C144/$C$151</f>
        <v>0.51951604418726993</v>
      </c>
    </row>
    <row r="145" spans="1:4" ht="19" x14ac:dyDescent="0.25">
      <c r="A145" s="57" t="s">
        <v>180</v>
      </c>
      <c r="B145" s="183">
        <v>3.91</v>
      </c>
      <c r="C145" s="9">
        <v>0</v>
      </c>
      <c r="D145" s="46">
        <f>'Facility Risk - Ford'!$C145/$C$151</f>
        <v>0</v>
      </c>
    </row>
    <row r="146" spans="1:4" ht="19" x14ac:dyDescent="0.25">
      <c r="A146" s="58" t="s">
        <v>181</v>
      </c>
      <c r="B146" s="112">
        <v>5.77</v>
      </c>
      <c r="C146" s="8">
        <v>0</v>
      </c>
      <c r="D146" s="45">
        <f>'Facility Risk - Ford'!$C146/$C$151</f>
        <v>0</v>
      </c>
    </row>
    <row r="147" spans="1:4" ht="19" x14ac:dyDescent="0.25">
      <c r="A147" s="57" t="s">
        <v>182</v>
      </c>
      <c r="B147" s="184">
        <v>4.32</v>
      </c>
      <c r="C147" s="9">
        <v>1.23E-2</v>
      </c>
      <c r="D147" s="46">
        <f>'Facility Risk - Ford'!$C147/$C$151</f>
        <v>1.2940557601262495E-2</v>
      </c>
    </row>
    <row r="148" spans="1:4" ht="19" x14ac:dyDescent="0.25">
      <c r="A148" s="58" t="s">
        <v>183</v>
      </c>
      <c r="B148" s="70">
        <v>6.3</v>
      </c>
      <c r="C148" s="8">
        <v>0</v>
      </c>
      <c r="D148" s="45">
        <f>'Facility Risk - Ford'!$C148/$C$151</f>
        <v>0</v>
      </c>
    </row>
    <row r="149" spans="1:4" ht="19" x14ac:dyDescent="0.25">
      <c r="A149" s="57" t="s">
        <v>184</v>
      </c>
      <c r="B149" s="185">
        <v>4.95</v>
      </c>
      <c r="C149" s="9">
        <v>0</v>
      </c>
      <c r="D149" s="46">
        <f>'Facility Risk - Ford'!$C149/$C$151</f>
        <v>0</v>
      </c>
    </row>
    <row r="150" spans="1:4" ht="19" x14ac:dyDescent="0.25">
      <c r="A150" s="60" t="s">
        <v>185</v>
      </c>
      <c r="B150" s="186">
        <v>6.14</v>
      </c>
      <c r="C150" s="10">
        <v>0</v>
      </c>
      <c r="D150" s="47">
        <f>'Facility Risk - Ford'!$C150/$C$151</f>
        <v>0</v>
      </c>
    </row>
    <row r="151" spans="1:4" ht="19" x14ac:dyDescent="0.25">
      <c r="A151" s="61" t="s">
        <v>186</v>
      </c>
      <c r="B151" s="5"/>
      <c r="C151" s="6">
        <f>SUM(C4:C150)</f>
        <v>0.9504999999999999</v>
      </c>
      <c r="D151" s="48">
        <f>SUM(D4:D150)</f>
        <v>1</v>
      </c>
    </row>
  </sheetData>
  <mergeCells count="1">
    <mergeCell ref="A1:D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60888-27C3-074B-9937-BE9C0FFFAED1}">
  <dimension ref="A1:J151"/>
  <sheetViews>
    <sheetView workbookViewId="0">
      <selection activeCell="I17" sqref="I17"/>
    </sheetView>
  </sheetViews>
  <sheetFormatPr baseColWidth="10" defaultColWidth="11" defaultRowHeight="16" x14ac:dyDescent="0.2"/>
  <cols>
    <col min="1" max="1" width="23" bestFit="1" customWidth="1"/>
    <col min="2" max="2" width="32" bestFit="1" customWidth="1"/>
    <col min="3" max="3" width="33.6640625" bestFit="1" customWidth="1"/>
    <col min="4" max="4" width="42.6640625" bestFit="1" customWidth="1"/>
    <col min="5" max="5" width="16" bestFit="1" customWidth="1"/>
    <col min="7" max="7" width="29.33203125" bestFit="1" customWidth="1"/>
    <col min="8" max="8" width="8.5" bestFit="1" customWidth="1"/>
    <col min="9" max="9" width="22.5" bestFit="1" customWidth="1"/>
    <col min="10" max="10" width="12.33203125" bestFit="1" customWidth="1"/>
  </cols>
  <sheetData>
    <row r="1" spans="1:10" ht="17" customHeight="1" x14ac:dyDescent="0.2">
      <c r="A1" s="188" t="s">
        <v>24</v>
      </c>
      <c r="B1" s="189"/>
      <c r="C1" s="189"/>
      <c r="D1" s="189"/>
    </row>
    <row r="2" spans="1:10" ht="17" customHeight="1" thickBot="1" x14ac:dyDescent="0.25">
      <c r="A2" s="190"/>
      <c r="B2" s="191"/>
      <c r="C2" s="191"/>
      <c r="D2" s="191"/>
    </row>
    <row r="3" spans="1:10" ht="20" thickTop="1" x14ac:dyDescent="0.25">
      <c r="A3" s="12" t="s">
        <v>27</v>
      </c>
      <c r="B3" s="13" t="s">
        <v>28</v>
      </c>
      <c r="C3" s="14" t="s">
        <v>29</v>
      </c>
      <c r="D3" s="7" t="s">
        <v>30</v>
      </c>
    </row>
    <row r="4" spans="1:10" ht="20" thickBot="1" x14ac:dyDescent="0.3">
      <c r="A4" s="56" t="s">
        <v>31</v>
      </c>
      <c r="B4" s="62">
        <v>4.37</v>
      </c>
      <c r="C4" s="15">
        <v>0</v>
      </c>
      <c r="D4" s="45">
        <v>0</v>
      </c>
    </row>
    <row r="5" spans="1:10" ht="20" thickBot="1" x14ac:dyDescent="0.3">
      <c r="A5" s="57" t="s">
        <v>32</v>
      </c>
      <c r="B5" s="63">
        <v>5.21</v>
      </c>
      <c r="C5" s="9">
        <v>0</v>
      </c>
      <c r="D5" s="46">
        <v>0</v>
      </c>
      <c r="G5" s="32" t="s">
        <v>33</v>
      </c>
      <c r="H5" s="33"/>
      <c r="I5" s="33"/>
      <c r="J5" s="34"/>
    </row>
    <row r="6" spans="1:10" ht="20" thickBot="1" x14ac:dyDescent="0.3">
      <c r="A6" s="58" t="s">
        <v>34</v>
      </c>
      <c r="B6" s="64">
        <v>5.63</v>
      </c>
      <c r="C6" s="8">
        <v>0</v>
      </c>
      <c r="D6" s="45">
        <v>0</v>
      </c>
      <c r="G6" s="20"/>
      <c r="H6" s="21" t="s">
        <v>35</v>
      </c>
      <c r="I6" s="22" t="s">
        <v>36</v>
      </c>
      <c r="J6" s="23" t="s">
        <v>37</v>
      </c>
    </row>
    <row r="7" spans="1:10" ht="19" x14ac:dyDescent="0.25">
      <c r="A7" s="57" t="s">
        <v>38</v>
      </c>
      <c r="B7" s="65">
        <v>4.3600000000000003</v>
      </c>
      <c r="C7" s="9">
        <v>0</v>
      </c>
      <c r="D7" s="46">
        <v>0</v>
      </c>
      <c r="G7" s="24" t="s">
        <v>39</v>
      </c>
      <c r="H7" s="25" t="str">
        <f>INDEX(A4:A150,MATCH(MIN(D4:D150),D4:D150,0))</f>
        <v>Albania</v>
      </c>
      <c r="I7" s="25">
        <f>INDEX(B4:B150,MATCH(MIN(D4:D150),D4:D150,0))</f>
        <v>4.37</v>
      </c>
      <c r="J7" s="26">
        <f>INDEX(D4:D150,MATCH(MIN(D4:D150),D4:D150,0))</f>
        <v>0</v>
      </c>
    </row>
    <row r="8" spans="1:10" ht="20" thickBot="1" x14ac:dyDescent="0.3">
      <c r="A8" s="58" t="s">
        <v>40</v>
      </c>
      <c r="B8" s="66">
        <v>4.79</v>
      </c>
      <c r="C8" s="8">
        <v>0</v>
      </c>
      <c r="D8" s="45">
        <v>0</v>
      </c>
      <c r="G8" s="27" t="s">
        <v>41</v>
      </c>
      <c r="H8" s="28" t="str">
        <f>INDEX(A4:A150,MATCH(MAX(D4:D150),D4:D150,0))</f>
        <v>Albania</v>
      </c>
      <c r="I8" s="28">
        <f>INDEX(B4:B150,MATCH(MAX(D4:D150),D4:D150,0))</f>
        <v>4.37</v>
      </c>
      <c r="J8" s="31">
        <f>INDEX(D4:D150,MATCH(MAX(D4:D150),D4:D150,0))</f>
        <v>0</v>
      </c>
    </row>
    <row r="9" spans="1:10" ht="23" thickBot="1" x14ac:dyDescent="0.35">
      <c r="A9" s="57" t="s">
        <v>42</v>
      </c>
      <c r="B9" s="67">
        <v>3.22</v>
      </c>
      <c r="C9" s="9">
        <v>0</v>
      </c>
      <c r="D9" s="46">
        <v>0</v>
      </c>
      <c r="G9" s="30" t="s">
        <v>43</v>
      </c>
      <c r="H9" s="29"/>
      <c r="I9" s="29"/>
      <c r="J9" s="187">
        <f>SUMPRODUCT(B4:B150,D4:D150)</f>
        <v>0</v>
      </c>
    </row>
    <row r="10" spans="1:10" ht="19" x14ac:dyDescent="0.25">
      <c r="A10" s="58" t="s">
        <v>44</v>
      </c>
      <c r="B10" s="68">
        <v>3.41</v>
      </c>
      <c r="C10" s="8">
        <v>0</v>
      </c>
      <c r="D10" s="45">
        <v>0</v>
      </c>
    </row>
    <row r="11" spans="1:10" ht="19" x14ac:dyDescent="0.25">
      <c r="A11" s="57" t="s">
        <v>45</v>
      </c>
      <c r="B11" s="63">
        <v>5.21</v>
      </c>
      <c r="C11" s="9">
        <v>0</v>
      </c>
      <c r="D11" s="46">
        <v>0</v>
      </c>
    </row>
    <row r="12" spans="1:10" ht="19" x14ac:dyDescent="0.25">
      <c r="A12" s="58" t="s">
        <v>46</v>
      </c>
      <c r="B12" s="69">
        <v>4.26</v>
      </c>
      <c r="C12" s="8">
        <v>0</v>
      </c>
      <c r="D12" s="45">
        <v>0</v>
      </c>
    </row>
    <row r="13" spans="1:10" ht="19" x14ac:dyDescent="0.25">
      <c r="A13" s="57" t="s">
        <v>47</v>
      </c>
      <c r="B13" s="70">
        <v>6.29</v>
      </c>
      <c r="C13" s="9">
        <v>0</v>
      </c>
      <c r="D13" s="46">
        <v>0</v>
      </c>
    </row>
    <row r="14" spans="1:10" ht="19" x14ac:dyDescent="0.25">
      <c r="A14" s="58" t="s">
        <v>48</v>
      </c>
      <c r="B14" s="71">
        <v>5.45</v>
      </c>
      <c r="C14" s="8">
        <v>0</v>
      </c>
      <c r="D14" s="45">
        <v>0</v>
      </c>
    </row>
    <row r="15" spans="1:10" ht="19" x14ac:dyDescent="0.25">
      <c r="A15" s="57" t="s">
        <v>49</v>
      </c>
      <c r="B15" s="72">
        <v>3.33</v>
      </c>
      <c r="C15" s="9">
        <v>0</v>
      </c>
      <c r="D15" s="46">
        <v>0</v>
      </c>
    </row>
    <row r="16" spans="1:10" ht="19" x14ac:dyDescent="0.25">
      <c r="A16" s="58" t="s">
        <v>50</v>
      </c>
      <c r="B16" s="73">
        <v>6</v>
      </c>
      <c r="C16" s="8">
        <v>0</v>
      </c>
      <c r="D16" s="45">
        <v>0</v>
      </c>
    </row>
    <row r="17" spans="1:5" ht="19" x14ac:dyDescent="0.25">
      <c r="A17" s="57" t="s">
        <v>51</v>
      </c>
      <c r="B17" s="74">
        <v>5.0199999999999996</v>
      </c>
      <c r="C17" s="9">
        <v>0</v>
      </c>
      <c r="D17" s="46">
        <v>0</v>
      </c>
    </row>
    <row r="18" spans="1:5" ht="19" x14ac:dyDescent="0.25">
      <c r="A18" s="58" t="s">
        <v>52</v>
      </c>
      <c r="B18" s="75">
        <v>5.41</v>
      </c>
      <c r="C18" s="8">
        <v>0</v>
      </c>
      <c r="D18" s="45">
        <v>0</v>
      </c>
    </row>
    <row r="19" spans="1:5" ht="19" x14ac:dyDescent="0.25">
      <c r="A19" s="57" t="s">
        <v>53</v>
      </c>
      <c r="B19" s="76">
        <v>5.34</v>
      </c>
      <c r="C19" s="9">
        <v>0</v>
      </c>
      <c r="D19" s="46">
        <v>0</v>
      </c>
    </row>
    <row r="20" spans="1:5" ht="19" x14ac:dyDescent="0.25">
      <c r="A20" s="58" t="s">
        <v>54</v>
      </c>
      <c r="B20" s="77">
        <v>4.34</v>
      </c>
      <c r="C20" s="8">
        <v>0</v>
      </c>
      <c r="D20" s="45">
        <v>0</v>
      </c>
    </row>
    <row r="21" spans="1:5" ht="19" x14ac:dyDescent="0.25">
      <c r="A21" s="57" t="s">
        <v>55</v>
      </c>
      <c r="B21" s="78">
        <v>5.35</v>
      </c>
      <c r="C21" s="9">
        <v>0</v>
      </c>
      <c r="D21" s="46">
        <v>0</v>
      </c>
    </row>
    <row r="22" spans="1:5" ht="19" x14ac:dyDescent="0.25">
      <c r="A22" s="58" t="s">
        <v>56</v>
      </c>
      <c r="B22" s="79">
        <v>4.43</v>
      </c>
      <c r="C22" s="8">
        <v>0</v>
      </c>
      <c r="D22" s="45">
        <v>0</v>
      </c>
    </row>
    <row r="23" spans="1:5" ht="19" x14ac:dyDescent="0.25">
      <c r="A23" s="57" t="s">
        <v>57</v>
      </c>
      <c r="B23" s="80">
        <v>6.55</v>
      </c>
      <c r="C23" s="9">
        <v>0</v>
      </c>
      <c r="D23" s="46">
        <v>0</v>
      </c>
    </row>
    <row r="24" spans="1:5" ht="19" x14ac:dyDescent="0.25">
      <c r="A24" s="58" t="s">
        <v>58</v>
      </c>
      <c r="B24" s="81">
        <v>6.33</v>
      </c>
      <c r="C24" s="8">
        <v>0</v>
      </c>
      <c r="D24" s="45">
        <v>0</v>
      </c>
    </row>
    <row r="25" spans="1:5" ht="19" x14ac:dyDescent="0.25">
      <c r="A25" s="57" t="s">
        <v>59</v>
      </c>
      <c r="B25" s="64">
        <v>5.64</v>
      </c>
      <c r="C25" s="9">
        <v>0</v>
      </c>
      <c r="D25" s="46">
        <v>0</v>
      </c>
    </row>
    <row r="26" spans="1:5" ht="19" x14ac:dyDescent="0.25">
      <c r="A26" s="58" t="s">
        <v>60</v>
      </c>
      <c r="B26" s="82">
        <v>6.83</v>
      </c>
      <c r="C26" s="8">
        <v>0</v>
      </c>
      <c r="D26" s="45">
        <v>0</v>
      </c>
    </row>
    <row r="27" spans="1:5" ht="19" x14ac:dyDescent="0.25">
      <c r="A27" s="57" t="s">
        <v>61</v>
      </c>
      <c r="B27" s="83">
        <v>3.44</v>
      </c>
      <c r="C27" s="9">
        <v>0</v>
      </c>
      <c r="D27" s="46">
        <v>0</v>
      </c>
    </row>
    <row r="28" spans="1:5" ht="19" x14ac:dyDescent="0.25">
      <c r="A28" s="58" t="s">
        <v>62</v>
      </c>
      <c r="B28" s="84">
        <v>6.79</v>
      </c>
      <c r="C28" s="8">
        <v>0</v>
      </c>
      <c r="D28" s="45">
        <v>0</v>
      </c>
    </row>
    <row r="29" spans="1:5" ht="19" x14ac:dyDescent="0.25">
      <c r="A29" s="57" t="s">
        <v>63</v>
      </c>
      <c r="B29" s="82">
        <v>6.84</v>
      </c>
      <c r="C29" s="9">
        <v>0</v>
      </c>
      <c r="D29" s="46">
        <v>0</v>
      </c>
    </row>
    <row r="30" spans="1:5" ht="19" x14ac:dyDescent="0.25">
      <c r="A30" s="58" t="s">
        <v>64</v>
      </c>
      <c r="B30" s="65">
        <v>4.3600000000000003</v>
      </c>
      <c r="C30" s="8">
        <v>0</v>
      </c>
      <c r="D30" s="45">
        <v>0</v>
      </c>
    </row>
    <row r="31" spans="1:5" ht="19" x14ac:dyDescent="0.25">
      <c r="A31" s="57" t="s">
        <v>65</v>
      </c>
      <c r="B31" s="85">
        <v>4.26</v>
      </c>
      <c r="C31" s="9">
        <v>0</v>
      </c>
      <c r="D31" s="46">
        <v>0</v>
      </c>
      <c r="E31" s="50" t="s">
        <v>66</v>
      </c>
    </row>
    <row r="32" spans="1:5" ht="19" x14ac:dyDescent="0.25">
      <c r="A32" s="58" t="s">
        <v>67</v>
      </c>
      <c r="B32" s="86">
        <v>5.72</v>
      </c>
      <c r="C32" s="8">
        <v>0</v>
      </c>
      <c r="D32" s="45">
        <v>0</v>
      </c>
    </row>
    <row r="33" spans="1:4" ht="19" x14ac:dyDescent="0.25">
      <c r="A33" s="57" t="s">
        <v>68</v>
      </c>
      <c r="B33" s="87">
        <v>5.65</v>
      </c>
      <c r="C33" s="9">
        <v>0</v>
      </c>
      <c r="D33" s="46">
        <v>0</v>
      </c>
    </row>
    <row r="34" spans="1:4" ht="19" x14ac:dyDescent="0.25">
      <c r="A34" s="58" t="s">
        <v>69</v>
      </c>
      <c r="B34" s="88">
        <v>4.2300000000000004</v>
      </c>
      <c r="C34" s="8">
        <v>0</v>
      </c>
      <c r="D34" s="45">
        <v>0</v>
      </c>
    </row>
    <row r="35" spans="1:4" ht="19" x14ac:dyDescent="0.25">
      <c r="A35" s="57" t="s">
        <v>70</v>
      </c>
      <c r="B35" s="89">
        <v>5.6</v>
      </c>
      <c r="C35" s="9">
        <v>0</v>
      </c>
      <c r="D35" s="46">
        <v>0</v>
      </c>
    </row>
    <row r="36" spans="1:4" ht="19" x14ac:dyDescent="0.25">
      <c r="A36" s="58" t="s">
        <v>71</v>
      </c>
      <c r="B36" s="90">
        <v>4.28</v>
      </c>
      <c r="C36" s="8">
        <v>0</v>
      </c>
      <c r="D36" s="45">
        <v>0</v>
      </c>
    </row>
    <row r="37" spans="1:4" ht="19" x14ac:dyDescent="0.25">
      <c r="A37" s="57" t="s">
        <v>72</v>
      </c>
      <c r="B37" s="91">
        <v>4.67</v>
      </c>
      <c r="C37" s="9">
        <v>0</v>
      </c>
      <c r="D37" s="46">
        <v>0</v>
      </c>
    </row>
    <row r="38" spans="1:4" ht="19" x14ac:dyDescent="0.25">
      <c r="A38" s="58" t="s">
        <v>73</v>
      </c>
      <c r="B38" s="92">
        <v>3.75</v>
      </c>
      <c r="C38" s="8">
        <v>0</v>
      </c>
      <c r="D38" s="45">
        <v>0</v>
      </c>
    </row>
    <row r="39" spans="1:4" ht="19" x14ac:dyDescent="0.25">
      <c r="A39" s="57" t="s">
        <v>74</v>
      </c>
      <c r="B39" s="93">
        <v>3.2</v>
      </c>
      <c r="C39" s="9">
        <v>0</v>
      </c>
      <c r="D39" s="46">
        <v>0</v>
      </c>
    </row>
    <row r="40" spans="1:4" ht="19" x14ac:dyDescent="0.25">
      <c r="A40" s="58" t="s">
        <v>75</v>
      </c>
      <c r="B40" s="94">
        <v>5.98</v>
      </c>
      <c r="C40" s="8">
        <v>0</v>
      </c>
      <c r="D40" s="45">
        <v>0</v>
      </c>
    </row>
    <row r="41" spans="1:4" ht="19" x14ac:dyDescent="0.25">
      <c r="A41" s="57" t="s">
        <v>76</v>
      </c>
      <c r="B41" s="95">
        <v>4.7</v>
      </c>
      <c r="C41" s="9">
        <v>0</v>
      </c>
      <c r="D41" s="46">
        <v>0</v>
      </c>
    </row>
    <row r="42" spans="1:4" ht="19" x14ac:dyDescent="0.25">
      <c r="A42" s="58" t="s">
        <v>77</v>
      </c>
      <c r="B42" s="96">
        <v>5.71</v>
      </c>
      <c r="C42" s="8">
        <v>0</v>
      </c>
      <c r="D42" s="45">
        <v>0</v>
      </c>
    </row>
    <row r="43" spans="1:4" ht="19" x14ac:dyDescent="0.25">
      <c r="A43" s="57" t="s">
        <v>78</v>
      </c>
      <c r="B43" s="97">
        <v>5.6</v>
      </c>
      <c r="C43" s="9">
        <v>0</v>
      </c>
      <c r="D43" s="46">
        <v>0</v>
      </c>
    </row>
    <row r="44" spans="1:4" ht="19" x14ac:dyDescent="0.25">
      <c r="A44" s="58" t="s">
        <v>79</v>
      </c>
      <c r="B44" s="98">
        <v>4.79</v>
      </c>
      <c r="C44" s="8">
        <v>0</v>
      </c>
      <c r="D44" s="45">
        <v>0</v>
      </c>
    </row>
    <row r="45" spans="1:4" ht="19" x14ac:dyDescent="0.25">
      <c r="A45" s="57" t="s">
        <v>80</v>
      </c>
      <c r="B45" s="99">
        <v>3.57</v>
      </c>
      <c r="C45" s="9">
        <v>0</v>
      </c>
      <c r="D45" s="46">
        <v>0</v>
      </c>
    </row>
    <row r="46" spans="1:4" ht="19" x14ac:dyDescent="0.25">
      <c r="A46" s="58" t="s">
        <v>81</v>
      </c>
      <c r="B46" s="100">
        <v>4.5</v>
      </c>
      <c r="C46" s="8">
        <v>0</v>
      </c>
      <c r="D46" s="45">
        <v>0</v>
      </c>
    </row>
    <row r="47" spans="1:4" ht="19" x14ac:dyDescent="0.25">
      <c r="A47" s="57" t="s">
        <v>82</v>
      </c>
      <c r="B47" s="101">
        <v>6.93</v>
      </c>
      <c r="C47" s="9">
        <v>0</v>
      </c>
      <c r="D47" s="46">
        <v>0</v>
      </c>
    </row>
    <row r="48" spans="1:4" ht="19" x14ac:dyDescent="0.25">
      <c r="A48" s="58" t="s">
        <v>83</v>
      </c>
      <c r="B48" s="102">
        <v>3.35</v>
      </c>
      <c r="C48" s="8">
        <v>0</v>
      </c>
      <c r="D48" s="45">
        <v>0</v>
      </c>
    </row>
    <row r="49" spans="1:4" ht="19" x14ac:dyDescent="0.25">
      <c r="A49" s="57" t="s">
        <v>84</v>
      </c>
      <c r="B49" s="103">
        <v>3.65</v>
      </c>
      <c r="C49" s="9">
        <v>0</v>
      </c>
      <c r="D49" s="46">
        <v>0</v>
      </c>
    </row>
    <row r="50" spans="1:4" ht="19" x14ac:dyDescent="0.25">
      <c r="A50" s="58" t="s">
        <v>85</v>
      </c>
      <c r="B50" s="104">
        <v>5.78</v>
      </c>
      <c r="C50" s="8">
        <v>0</v>
      </c>
      <c r="D50" s="45">
        <v>0</v>
      </c>
    </row>
    <row r="51" spans="1:4" ht="19" x14ac:dyDescent="0.25">
      <c r="A51" s="57" t="s">
        <v>86</v>
      </c>
      <c r="B51" s="105">
        <v>5.38</v>
      </c>
      <c r="C51" s="9">
        <v>0</v>
      </c>
      <c r="D51" s="46">
        <v>0</v>
      </c>
    </row>
    <row r="52" spans="1:4" ht="19" x14ac:dyDescent="0.25">
      <c r="A52" s="58" t="s">
        <v>87</v>
      </c>
      <c r="B52" s="106">
        <v>4.93</v>
      </c>
      <c r="C52" s="8">
        <v>0</v>
      </c>
      <c r="D52" s="45">
        <v>0</v>
      </c>
    </row>
    <row r="53" spans="1:4" ht="19" x14ac:dyDescent="0.25">
      <c r="A53" s="57" t="s">
        <v>88</v>
      </c>
      <c r="B53" s="68">
        <v>3.42</v>
      </c>
      <c r="C53" s="9">
        <v>0</v>
      </c>
      <c r="D53" s="46">
        <v>0</v>
      </c>
    </row>
    <row r="54" spans="1:4" ht="19" x14ac:dyDescent="0.25">
      <c r="A54" s="58" t="s">
        <v>89</v>
      </c>
      <c r="B54" s="107">
        <v>4.63</v>
      </c>
      <c r="C54" s="8">
        <v>0</v>
      </c>
      <c r="D54" s="45">
        <v>0</v>
      </c>
    </row>
    <row r="55" spans="1:4" ht="19" x14ac:dyDescent="0.25">
      <c r="A55" s="57" t="s">
        <v>90</v>
      </c>
      <c r="B55" s="77">
        <v>4.34</v>
      </c>
      <c r="C55" s="9">
        <v>0</v>
      </c>
      <c r="D55" s="46">
        <v>0</v>
      </c>
    </row>
    <row r="56" spans="1:4" ht="19" x14ac:dyDescent="0.25">
      <c r="A56" s="58" t="s">
        <v>91</v>
      </c>
      <c r="B56" s="71">
        <v>5.45</v>
      </c>
      <c r="C56" s="8">
        <v>0</v>
      </c>
      <c r="D56" s="45">
        <v>0</v>
      </c>
    </row>
    <row r="57" spans="1:4" ht="19" x14ac:dyDescent="0.25">
      <c r="A57" s="57" t="s">
        <v>92</v>
      </c>
      <c r="B57" s="108">
        <v>6.36</v>
      </c>
      <c r="C57" s="9">
        <v>0</v>
      </c>
      <c r="D57" s="46">
        <v>0</v>
      </c>
    </row>
    <row r="58" spans="1:4" ht="19" x14ac:dyDescent="0.25">
      <c r="A58" s="58" t="s">
        <v>93</v>
      </c>
      <c r="B58" s="109">
        <v>5.94</v>
      </c>
      <c r="C58" s="8">
        <v>0</v>
      </c>
      <c r="D58" s="45">
        <v>0</v>
      </c>
    </row>
    <row r="59" spans="1:4" ht="19" x14ac:dyDescent="0.25">
      <c r="A59" s="57" t="s">
        <v>94</v>
      </c>
      <c r="B59" s="110">
        <v>4.92</v>
      </c>
      <c r="C59" s="9">
        <v>0</v>
      </c>
      <c r="D59" s="46">
        <v>0</v>
      </c>
    </row>
    <row r="60" spans="1:4" ht="19" x14ac:dyDescent="0.25">
      <c r="A60" s="58" t="s">
        <v>95</v>
      </c>
      <c r="B60" s="111">
        <v>6.53</v>
      </c>
      <c r="C60" s="8">
        <v>0</v>
      </c>
      <c r="D60" s="45">
        <v>0</v>
      </c>
    </row>
    <row r="61" spans="1:4" ht="19" x14ac:dyDescent="0.25">
      <c r="A61" s="57" t="s">
        <v>96</v>
      </c>
      <c r="B61" s="112">
        <v>5.77</v>
      </c>
      <c r="C61" s="9">
        <v>0</v>
      </c>
      <c r="D61" s="46">
        <v>0</v>
      </c>
    </row>
    <row r="62" spans="1:4" ht="19" x14ac:dyDescent="0.25">
      <c r="A62" s="58" t="s">
        <v>97</v>
      </c>
      <c r="B62" s="113">
        <v>3.63</v>
      </c>
      <c r="C62" s="8">
        <v>0</v>
      </c>
      <c r="D62" s="45">
        <v>0</v>
      </c>
    </row>
    <row r="63" spans="1:4" ht="19" x14ac:dyDescent="0.25">
      <c r="A63" s="57" t="s">
        <v>98</v>
      </c>
      <c r="B63" s="114">
        <v>3.38</v>
      </c>
      <c r="C63" s="9">
        <v>0</v>
      </c>
      <c r="D63" s="46">
        <v>0</v>
      </c>
    </row>
    <row r="64" spans="1:4" ht="19" x14ac:dyDescent="0.25">
      <c r="A64" s="58" t="s">
        <v>99</v>
      </c>
      <c r="B64" s="115">
        <v>5.07</v>
      </c>
      <c r="C64" s="8">
        <v>0</v>
      </c>
      <c r="D64" s="45">
        <v>0</v>
      </c>
    </row>
    <row r="65" spans="1:4" ht="19" x14ac:dyDescent="0.25">
      <c r="A65" s="57" t="s">
        <v>100</v>
      </c>
      <c r="B65" s="106">
        <v>4.92</v>
      </c>
      <c r="C65" s="9">
        <v>0</v>
      </c>
      <c r="D65" s="46">
        <v>0</v>
      </c>
    </row>
    <row r="66" spans="1:4" ht="19" x14ac:dyDescent="0.25">
      <c r="A66" s="58" t="s">
        <v>101</v>
      </c>
      <c r="B66" s="116">
        <v>5.88</v>
      </c>
      <c r="C66" s="8">
        <v>0</v>
      </c>
      <c r="D66" s="45">
        <v>0</v>
      </c>
    </row>
    <row r="67" spans="1:4" ht="19" x14ac:dyDescent="0.25">
      <c r="A67" s="57" t="s">
        <v>102</v>
      </c>
      <c r="B67" s="117">
        <v>6.05</v>
      </c>
      <c r="C67" s="9">
        <v>0</v>
      </c>
      <c r="D67" s="46">
        <v>0</v>
      </c>
    </row>
    <row r="68" spans="1:4" ht="19" x14ac:dyDescent="0.25">
      <c r="A68" s="58" t="s">
        <v>103</v>
      </c>
      <c r="B68" s="118">
        <v>3.25</v>
      </c>
      <c r="C68" s="8">
        <v>0</v>
      </c>
      <c r="D68" s="45">
        <v>0</v>
      </c>
    </row>
    <row r="69" spans="1:4" ht="19" x14ac:dyDescent="0.25">
      <c r="A69" s="57" t="s">
        <v>104</v>
      </c>
      <c r="B69" s="119">
        <v>4.6100000000000003</v>
      </c>
      <c r="C69" s="9">
        <v>0</v>
      </c>
      <c r="D69" s="46">
        <v>0</v>
      </c>
    </row>
    <row r="70" spans="1:4" ht="19" x14ac:dyDescent="0.25">
      <c r="A70" s="58" t="s">
        <v>105</v>
      </c>
      <c r="B70" s="120">
        <v>3.84</v>
      </c>
      <c r="C70" s="8">
        <v>0</v>
      </c>
      <c r="D70" s="45">
        <v>0</v>
      </c>
    </row>
    <row r="71" spans="1:4" ht="19" x14ac:dyDescent="0.25">
      <c r="A71" s="57" t="s">
        <v>106</v>
      </c>
      <c r="B71" s="121">
        <v>4.75</v>
      </c>
      <c r="C71" s="9">
        <v>0</v>
      </c>
      <c r="D71" s="46">
        <v>0</v>
      </c>
    </row>
    <row r="72" spans="1:4" ht="19" x14ac:dyDescent="0.25">
      <c r="A72" s="58" t="s">
        <v>107</v>
      </c>
      <c r="B72" s="114">
        <v>3.38</v>
      </c>
      <c r="C72" s="8">
        <v>0</v>
      </c>
      <c r="D72" s="45">
        <v>0</v>
      </c>
    </row>
    <row r="73" spans="1:4" ht="19" x14ac:dyDescent="0.25">
      <c r="A73" s="57" t="s">
        <v>108</v>
      </c>
      <c r="B73" s="122">
        <v>5.13</v>
      </c>
      <c r="C73" s="9">
        <v>0</v>
      </c>
      <c r="D73" s="46">
        <v>0</v>
      </c>
    </row>
    <row r="74" spans="1:4" ht="19" x14ac:dyDescent="0.25">
      <c r="A74" s="58" t="s">
        <v>109</v>
      </c>
      <c r="B74" s="123">
        <v>4.54</v>
      </c>
      <c r="C74" s="8">
        <v>0</v>
      </c>
      <c r="D74" s="45">
        <v>0</v>
      </c>
    </row>
    <row r="75" spans="1:4" ht="19" x14ac:dyDescent="0.25">
      <c r="A75" s="57" t="s">
        <v>110</v>
      </c>
      <c r="B75" s="124">
        <v>6.13</v>
      </c>
      <c r="C75" s="9">
        <v>0</v>
      </c>
      <c r="D75" s="46">
        <v>0</v>
      </c>
    </row>
    <row r="76" spans="1:4" ht="19" x14ac:dyDescent="0.25">
      <c r="A76" s="58" t="s">
        <v>111</v>
      </c>
      <c r="B76" s="125">
        <v>4.3</v>
      </c>
      <c r="C76" s="8">
        <v>0</v>
      </c>
      <c r="D76" s="45">
        <v>0</v>
      </c>
    </row>
    <row r="77" spans="1:4" ht="19" x14ac:dyDescent="0.25">
      <c r="A77" s="57" t="s">
        <v>112</v>
      </c>
      <c r="B77" s="126">
        <v>5.37</v>
      </c>
      <c r="C77" s="9">
        <v>0</v>
      </c>
      <c r="D77" s="46">
        <v>0</v>
      </c>
    </row>
    <row r="78" spans="1:4" ht="19" x14ac:dyDescent="0.25">
      <c r="A78" s="58" t="s">
        <v>113</v>
      </c>
      <c r="B78" s="127">
        <v>5.14</v>
      </c>
      <c r="C78" s="8">
        <v>0</v>
      </c>
      <c r="D78" s="45">
        <v>0</v>
      </c>
    </row>
    <row r="79" spans="1:4" ht="19" x14ac:dyDescent="0.25">
      <c r="A79" s="57" t="s">
        <v>114</v>
      </c>
      <c r="B79" s="128">
        <v>3.97</v>
      </c>
      <c r="C79" s="9">
        <v>0</v>
      </c>
      <c r="D79" s="46">
        <v>0</v>
      </c>
    </row>
    <row r="80" spans="1:4" ht="19" x14ac:dyDescent="0.25">
      <c r="A80" s="58" t="s">
        <v>115</v>
      </c>
      <c r="B80" s="129">
        <v>6.12</v>
      </c>
      <c r="C80" s="8">
        <v>0</v>
      </c>
      <c r="D80" s="45">
        <v>0</v>
      </c>
    </row>
    <row r="81" spans="1:4" ht="19" x14ac:dyDescent="0.25">
      <c r="A81" s="57" t="s">
        <v>116</v>
      </c>
      <c r="B81" s="130">
        <v>5.49</v>
      </c>
      <c r="C81" s="9">
        <v>0</v>
      </c>
      <c r="D81" s="46">
        <v>0</v>
      </c>
    </row>
    <row r="82" spans="1:4" ht="19" x14ac:dyDescent="0.25">
      <c r="A82" s="58" t="s">
        <v>117</v>
      </c>
      <c r="B82" s="131">
        <v>5.97</v>
      </c>
      <c r="C82" s="8">
        <v>0</v>
      </c>
      <c r="D82" s="45">
        <v>0</v>
      </c>
    </row>
    <row r="83" spans="1:4" ht="19" x14ac:dyDescent="0.25">
      <c r="A83" s="57" t="s">
        <v>118</v>
      </c>
      <c r="B83" s="132">
        <v>5.68</v>
      </c>
      <c r="C83" s="9">
        <v>0</v>
      </c>
      <c r="D83" s="46">
        <v>0</v>
      </c>
    </row>
    <row r="84" spans="1:4" ht="19" x14ac:dyDescent="0.25">
      <c r="A84" s="58" t="s">
        <v>119</v>
      </c>
      <c r="B84" s="133">
        <v>3.93</v>
      </c>
      <c r="C84" s="8">
        <v>0</v>
      </c>
      <c r="D84" s="45">
        <v>0</v>
      </c>
    </row>
    <row r="85" spans="1:4" ht="19" x14ac:dyDescent="0.25">
      <c r="A85" s="57" t="s">
        <v>120</v>
      </c>
      <c r="B85" s="134">
        <v>5.82</v>
      </c>
      <c r="C85" s="9">
        <v>0</v>
      </c>
      <c r="D85" s="46">
        <v>0</v>
      </c>
    </row>
    <row r="86" spans="1:4" ht="19" x14ac:dyDescent="0.25">
      <c r="A86" s="58" t="s">
        <v>121</v>
      </c>
      <c r="B86" s="135">
        <v>5.58</v>
      </c>
      <c r="C86" s="8">
        <v>0</v>
      </c>
      <c r="D86" s="45">
        <v>0</v>
      </c>
    </row>
    <row r="87" spans="1:4" ht="19" x14ac:dyDescent="0.25">
      <c r="A87" s="57" t="s">
        <v>122</v>
      </c>
      <c r="B87" s="136">
        <v>4.03</v>
      </c>
      <c r="C87" s="9">
        <v>0</v>
      </c>
      <c r="D87" s="46">
        <v>0</v>
      </c>
    </row>
    <row r="88" spans="1:4" ht="19" x14ac:dyDescent="0.25">
      <c r="A88" s="58" t="s">
        <v>123</v>
      </c>
      <c r="B88" s="137">
        <v>7.1</v>
      </c>
      <c r="C88" s="8">
        <v>0</v>
      </c>
      <c r="D88" s="45">
        <v>0</v>
      </c>
    </row>
    <row r="89" spans="1:4" ht="19" x14ac:dyDescent="0.25">
      <c r="A89" s="57" t="s">
        <v>124</v>
      </c>
      <c r="B89" s="138">
        <v>6.28</v>
      </c>
      <c r="C89" s="9">
        <v>0</v>
      </c>
      <c r="D89" s="46">
        <v>0</v>
      </c>
    </row>
    <row r="90" spans="1:4" ht="19" x14ac:dyDescent="0.25">
      <c r="A90" s="58" t="s">
        <v>125</v>
      </c>
      <c r="B90" s="139">
        <v>3.47</v>
      </c>
      <c r="C90" s="8">
        <v>0</v>
      </c>
      <c r="D90" s="45">
        <v>0</v>
      </c>
    </row>
    <row r="91" spans="1:4" ht="19" x14ac:dyDescent="0.25">
      <c r="A91" s="57" t="s">
        <v>126</v>
      </c>
      <c r="B91" s="140">
        <v>5.42</v>
      </c>
      <c r="C91" s="9">
        <v>0</v>
      </c>
      <c r="D91" s="46">
        <v>0</v>
      </c>
    </row>
    <row r="92" spans="1:4" ht="19" x14ac:dyDescent="0.25">
      <c r="A92" s="58" t="s">
        <v>127</v>
      </c>
      <c r="B92" s="127">
        <v>5.14</v>
      </c>
      <c r="C92" s="8">
        <v>0</v>
      </c>
      <c r="D92" s="45">
        <v>0</v>
      </c>
    </row>
    <row r="93" spans="1:4" ht="19" x14ac:dyDescent="0.25">
      <c r="A93" s="57" t="s">
        <v>128</v>
      </c>
      <c r="B93" s="141">
        <v>4.6500000000000004</v>
      </c>
      <c r="C93" s="9">
        <v>0</v>
      </c>
      <c r="D93" s="46">
        <v>0</v>
      </c>
    </row>
    <row r="94" spans="1:4" ht="19" x14ac:dyDescent="0.25">
      <c r="A94" s="58" t="s">
        <v>129</v>
      </c>
      <c r="B94" s="142">
        <v>5.0999999999999996</v>
      </c>
      <c r="C94" s="8">
        <v>0</v>
      </c>
      <c r="D94" s="45">
        <v>0</v>
      </c>
    </row>
    <row r="95" spans="1:4" ht="19" x14ac:dyDescent="0.25">
      <c r="A95" s="57" t="s">
        <v>130</v>
      </c>
      <c r="B95" s="70">
        <v>6.3</v>
      </c>
      <c r="C95" s="9">
        <v>0</v>
      </c>
      <c r="D95" s="46">
        <v>0</v>
      </c>
    </row>
    <row r="96" spans="1:4" ht="19" x14ac:dyDescent="0.25">
      <c r="A96" s="58" t="s">
        <v>131</v>
      </c>
      <c r="B96" s="143">
        <v>4.6399999999999997</v>
      </c>
      <c r="C96" s="8">
        <v>0</v>
      </c>
      <c r="D96" s="45">
        <v>0</v>
      </c>
    </row>
    <row r="97" spans="1:4" ht="19" x14ac:dyDescent="0.25">
      <c r="A97" s="57" t="s">
        <v>132</v>
      </c>
      <c r="B97" s="104">
        <v>5.78</v>
      </c>
      <c r="C97" s="9">
        <v>0</v>
      </c>
      <c r="D97" s="46">
        <v>0</v>
      </c>
    </row>
    <row r="98" spans="1:4" ht="19" x14ac:dyDescent="0.25">
      <c r="A98" s="58" t="s">
        <v>133</v>
      </c>
      <c r="B98" s="144">
        <v>3.59</v>
      </c>
      <c r="C98" s="8">
        <v>0</v>
      </c>
      <c r="D98" s="45">
        <v>0</v>
      </c>
    </row>
    <row r="99" spans="1:4" ht="19" x14ac:dyDescent="0.25">
      <c r="A99" s="57" t="s">
        <v>134</v>
      </c>
      <c r="B99" s="145">
        <v>3.32</v>
      </c>
      <c r="C99" s="9">
        <v>0</v>
      </c>
      <c r="D99" s="46">
        <v>0</v>
      </c>
    </row>
    <row r="100" spans="1:4" ht="19" x14ac:dyDescent="0.25">
      <c r="A100" s="58" t="s">
        <v>135</v>
      </c>
      <c r="B100" s="146">
        <v>5.8</v>
      </c>
      <c r="C100" s="8">
        <v>0</v>
      </c>
      <c r="D100" s="45">
        <v>0</v>
      </c>
    </row>
    <row r="101" spans="1:4" ht="19" x14ac:dyDescent="0.25">
      <c r="A101" s="57" t="s">
        <v>136</v>
      </c>
      <c r="B101" s="147">
        <v>7.07</v>
      </c>
      <c r="C101" s="9">
        <v>0</v>
      </c>
      <c r="D101" s="46">
        <v>0</v>
      </c>
    </row>
    <row r="102" spans="1:4" ht="19" x14ac:dyDescent="0.25">
      <c r="A102" s="58" t="s">
        <v>137</v>
      </c>
      <c r="B102" s="148">
        <v>6.5</v>
      </c>
      <c r="C102" s="8">
        <v>0</v>
      </c>
      <c r="D102" s="45">
        <v>0</v>
      </c>
    </row>
    <row r="103" spans="1:4" ht="19" x14ac:dyDescent="0.25">
      <c r="A103" s="57" t="s">
        <v>138</v>
      </c>
      <c r="B103" s="149">
        <v>4.16</v>
      </c>
      <c r="C103" s="9">
        <v>0</v>
      </c>
      <c r="D103" s="46">
        <v>0</v>
      </c>
    </row>
    <row r="104" spans="1:4" ht="19" x14ac:dyDescent="0.25">
      <c r="A104" s="58" t="s">
        <v>139</v>
      </c>
      <c r="B104" s="114">
        <v>3.38</v>
      </c>
      <c r="C104" s="8">
        <v>0</v>
      </c>
      <c r="D104" s="45">
        <v>0</v>
      </c>
    </row>
    <row r="105" spans="1:4" ht="19" x14ac:dyDescent="0.25">
      <c r="A105" s="57" t="s">
        <v>140</v>
      </c>
      <c r="B105" s="150">
        <v>4.0199999999999996</v>
      </c>
      <c r="C105" s="9">
        <v>0</v>
      </c>
      <c r="D105" s="46">
        <v>0</v>
      </c>
    </row>
    <row r="106" spans="1:4" ht="19" x14ac:dyDescent="0.25">
      <c r="A106" s="58" t="s">
        <v>141</v>
      </c>
      <c r="B106" s="151">
        <v>6.65</v>
      </c>
      <c r="C106" s="8">
        <v>0</v>
      </c>
      <c r="D106" s="45">
        <v>0</v>
      </c>
    </row>
    <row r="107" spans="1:4" ht="19" x14ac:dyDescent="0.25">
      <c r="A107" s="57" t="s">
        <v>142</v>
      </c>
      <c r="B107" s="152">
        <v>4.5599999999999996</v>
      </c>
      <c r="C107" s="9">
        <v>0</v>
      </c>
      <c r="D107" s="46">
        <v>0</v>
      </c>
    </row>
    <row r="108" spans="1:4" ht="19" x14ac:dyDescent="0.25">
      <c r="A108" s="58" t="s">
        <v>143</v>
      </c>
      <c r="B108" s="76">
        <v>5.34</v>
      </c>
      <c r="C108" s="8">
        <v>0</v>
      </c>
      <c r="D108" s="45">
        <v>0</v>
      </c>
    </row>
    <row r="109" spans="1:4" ht="19" x14ac:dyDescent="0.25">
      <c r="A109" s="57" t="s">
        <v>144</v>
      </c>
      <c r="B109" s="153">
        <v>4.72</v>
      </c>
      <c r="C109" s="9">
        <v>0</v>
      </c>
      <c r="D109" s="46">
        <v>0</v>
      </c>
    </row>
    <row r="110" spans="1:4" ht="19" x14ac:dyDescent="0.25">
      <c r="A110" s="58" t="s">
        <v>145</v>
      </c>
      <c r="B110" s="154">
        <v>5.28</v>
      </c>
      <c r="C110" s="8">
        <v>0</v>
      </c>
      <c r="D110" s="45">
        <v>0</v>
      </c>
    </row>
    <row r="111" spans="1:4" ht="19" x14ac:dyDescent="0.25">
      <c r="A111" s="57" t="s">
        <v>146</v>
      </c>
      <c r="B111" s="146">
        <v>5.8</v>
      </c>
      <c r="C111" s="9">
        <v>0</v>
      </c>
      <c r="D111" s="46">
        <v>0</v>
      </c>
    </row>
    <row r="112" spans="1:4" ht="19" x14ac:dyDescent="0.25">
      <c r="A112" s="58" t="s">
        <v>147</v>
      </c>
      <c r="B112" s="155">
        <v>4.1500000000000004</v>
      </c>
      <c r="C112" s="8">
        <v>0</v>
      </c>
      <c r="D112" s="45">
        <v>0</v>
      </c>
    </row>
    <row r="113" spans="1:4" ht="19" x14ac:dyDescent="0.25">
      <c r="A113" s="57" t="s">
        <v>148</v>
      </c>
      <c r="B113" s="156">
        <v>3.43</v>
      </c>
      <c r="C113" s="9">
        <v>0</v>
      </c>
      <c r="D113" s="46">
        <v>0</v>
      </c>
    </row>
    <row r="114" spans="1:4" ht="19" x14ac:dyDescent="0.25">
      <c r="A114" s="58" t="s">
        <v>149</v>
      </c>
      <c r="B114" s="93">
        <v>3.2</v>
      </c>
      <c r="C114" s="8">
        <v>0</v>
      </c>
      <c r="D114" s="45">
        <v>0</v>
      </c>
    </row>
    <row r="115" spans="1:4" ht="19" x14ac:dyDescent="0.25">
      <c r="A115" s="57" t="s">
        <v>150</v>
      </c>
      <c r="B115" s="157">
        <v>4.05</v>
      </c>
      <c r="C115" s="9">
        <v>0</v>
      </c>
      <c r="D115" s="46">
        <v>0</v>
      </c>
    </row>
    <row r="116" spans="1:4" ht="19" x14ac:dyDescent="0.25">
      <c r="A116" s="58" t="s">
        <v>151</v>
      </c>
      <c r="B116" s="158">
        <v>5.96</v>
      </c>
      <c r="C116" s="8">
        <v>0</v>
      </c>
      <c r="D116" s="45">
        <v>0</v>
      </c>
    </row>
    <row r="117" spans="1:4" ht="19" x14ac:dyDescent="0.25">
      <c r="A117" s="57" t="s">
        <v>152</v>
      </c>
      <c r="B117" s="159">
        <v>5.47</v>
      </c>
      <c r="C117" s="9">
        <v>0</v>
      </c>
      <c r="D117" s="46">
        <v>0</v>
      </c>
    </row>
    <row r="118" spans="1:4" ht="19" x14ac:dyDescent="0.25">
      <c r="A118" s="58" t="s">
        <v>153</v>
      </c>
      <c r="B118" s="79">
        <v>4.42</v>
      </c>
      <c r="C118" s="8">
        <v>0</v>
      </c>
      <c r="D118" s="45">
        <v>0</v>
      </c>
    </row>
    <row r="119" spans="1:4" ht="19" x14ac:dyDescent="0.25">
      <c r="A119" s="57" t="s">
        <v>154</v>
      </c>
      <c r="B119" s="160">
        <v>5.4</v>
      </c>
      <c r="C119" s="9">
        <v>0</v>
      </c>
      <c r="D119" s="46">
        <v>0</v>
      </c>
    </row>
    <row r="120" spans="1:4" ht="19" x14ac:dyDescent="0.25">
      <c r="A120" s="58" t="s">
        <v>155</v>
      </c>
      <c r="B120" s="161">
        <v>5.04</v>
      </c>
      <c r="C120" s="8">
        <v>0</v>
      </c>
      <c r="D120" s="45">
        <v>0</v>
      </c>
    </row>
    <row r="121" spans="1:4" ht="19" x14ac:dyDescent="0.25">
      <c r="A121" s="57" t="s">
        <v>156</v>
      </c>
      <c r="B121" s="162">
        <v>5.64</v>
      </c>
      <c r="C121" s="9">
        <v>0</v>
      </c>
      <c r="D121" s="46">
        <v>0</v>
      </c>
    </row>
    <row r="122" spans="1:4" ht="19" x14ac:dyDescent="0.25">
      <c r="A122" s="58" t="s">
        <v>157</v>
      </c>
      <c r="B122" s="163">
        <v>3.04</v>
      </c>
      <c r="C122" s="8">
        <v>0</v>
      </c>
      <c r="D122" s="45">
        <v>0</v>
      </c>
    </row>
    <row r="123" spans="1:4" ht="19" x14ac:dyDescent="0.25">
      <c r="A123" s="57" t="s">
        <v>158</v>
      </c>
      <c r="B123" s="164">
        <v>3.79</v>
      </c>
      <c r="C123" s="9">
        <v>0</v>
      </c>
      <c r="D123" s="46">
        <v>0</v>
      </c>
    </row>
    <row r="124" spans="1:4" ht="19" x14ac:dyDescent="0.25">
      <c r="A124" s="58" t="s">
        <v>159</v>
      </c>
      <c r="B124" s="165">
        <v>3.48</v>
      </c>
      <c r="C124" s="8">
        <v>0</v>
      </c>
      <c r="D124" s="45">
        <v>0</v>
      </c>
    </row>
    <row r="125" spans="1:4" ht="19" x14ac:dyDescent="0.25">
      <c r="A125" s="57" t="s">
        <v>160</v>
      </c>
      <c r="B125" s="166">
        <v>5.22</v>
      </c>
      <c r="C125" s="9">
        <v>0</v>
      </c>
      <c r="D125" s="46">
        <v>0</v>
      </c>
    </row>
    <row r="126" spans="1:4" ht="19" x14ac:dyDescent="0.25">
      <c r="A126" s="58" t="s">
        <v>161</v>
      </c>
      <c r="B126" s="167">
        <v>3.57</v>
      </c>
      <c r="C126" s="8">
        <v>0</v>
      </c>
      <c r="D126" s="45">
        <v>0</v>
      </c>
    </row>
    <row r="127" spans="1:4" ht="19" x14ac:dyDescent="0.25">
      <c r="A127" s="57" t="s">
        <v>162</v>
      </c>
      <c r="B127" s="168">
        <v>3.7</v>
      </c>
      <c r="C127" s="9">
        <v>0</v>
      </c>
      <c r="D127" s="46">
        <v>0</v>
      </c>
    </row>
    <row r="128" spans="1:4" ht="19" x14ac:dyDescent="0.25">
      <c r="A128" s="58" t="s">
        <v>163</v>
      </c>
      <c r="B128" s="169">
        <v>5.1100000000000003</v>
      </c>
      <c r="C128" s="8">
        <v>0</v>
      </c>
      <c r="D128" s="45">
        <v>0</v>
      </c>
    </row>
    <row r="129" spans="1:4" ht="19" x14ac:dyDescent="0.25">
      <c r="A129" s="57" t="s">
        <v>164</v>
      </c>
      <c r="B129" s="137">
        <v>7.1</v>
      </c>
      <c r="C129" s="9">
        <v>0</v>
      </c>
      <c r="D129" s="46">
        <v>0</v>
      </c>
    </row>
    <row r="130" spans="1:4" ht="19" x14ac:dyDescent="0.25">
      <c r="A130" s="58" t="s">
        <v>165</v>
      </c>
      <c r="B130" s="170">
        <v>3.52</v>
      </c>
      <c r="C130" s="8">
        <v>0</v>
      </c>
      <c r="D130" s="45">
        <v>0</v>
      </c>
    </row>
    <row r="131" spans="1:4" ht="19" x14ac:dyDescent="0.25">
      <c r="A131" s="57" t="s">
        <v>166</v>
      </c>
      <c r="B131" s="171">
        <v>2.78</v>
      </c>
      <c r="C131" s="9">
        <v>0</v>
      </c>
      <c r="D131" s="46">
        <v>0</v>
      </c>
    </row>
    <row r="132" spans="1:4" ht="19" x14ac:dyDescent="0.25">
      <c r="A132" s="59" t="s">
        <v>167</v>
      </c>
      <c r="B132" s="172">
        <v>7.33</v>
      </c>
      <c r="C132" s="8">
        <v>0</v>
      </c>
      <c r="D132" s="45">
        <v>0</v>
      </c>
    </row>
    <row r="133" spans="1:4" ht="19" x14ac:dyDescent="0.25">
      <c r="A133" s="57" t="s">
        <v>168</v>
      </c>
      <c r="B133" s="173">
        <v>5.69</v>
      </c>
      <c r="C133" s="9">
        <v>0</v>
      </c>
      <c r="D133" s="46">
        <v>0</v>
      </c>
    </row>
    <row r="134" spans="1:4" ht="19" x14ac:dyDescent="0.25">
      <c r="A134" s="58" t="s">
        <v>169</v>
      </c>
      <c r="B134" s="63">
        <v>5.21</v>
      </c>
      <c r="C134" s="8">
        <v>0</v>
      </c>
      <c r="D134" s="45">
        <v>0</v>
      </c>
    </row>
    <row r="135" spans="1:4" ht="19" x14ac:dyDescent="0.25">
      <c r="A135" s="57" t="s">
        <v>170</v>
      </c>
      <c r="B135" s="174">
        <v>5.15</v>
      </c>
      <c r="C135" s="9">
        <v>0</v>
      </c>
      <c r="D135" s="46">
        <v>0</v>
      </c>
    </row>
    <row r="136" spans="1:4" ht="19" x14ac:dyDescent="0.25">
      <c r="A136" s="58" t="s">
        <v>171</v>
      </c>
      <c r="B136" s="175">
        <v>5.87</v>
      </c>
      <c r="C136" s="8">
        <v>0</v>
      </c>
      <c r="D136" s="45">
        <v>0</v>
      </c>
    </row>
    <row r="137" spans="1:4" ht="19" x14ac:dyDescent="0.25">
      <c r="A137" s="57" t="s">
        <v>172</v>
      </c>
      <c r="B137" s="176">
        <v>4.38</v>
      </c>
      <c r="C137" s="9">
        <v>0</v>
      </c>
      <c r="D137" s="46">
        <v>0</v>
      </c>
    </row>
    <row r="138" spans="1:4" ht="19" x14ac:dyDescent="0.25">
      <c r="A138" s="58" t="s">
        <v>173</v>
      </c>
      <c r="B138" s="177">
        <v>5.13</v>
      </c>
      <c r="C138" s="8">
        <v>0</v>
      </c>
      <c r="D138" s="45">
        <v>0</v>
      </c>
    </row>
    <row r="139" spans="1:4" ht="19" x14ac:dyDescent="0.25">
      <c r="A139" s="57" t="s">
        <v>174</v>
      </c>
      <c r="B139" s="178">
        <v>5.26</v>
      </c>
      <c r="C139" s="9">
        <v>0</v>
      </c>
      <c r="D139" s="46">
        <v>0</v>
      </c>
    </row>
    <row r="140" spans="1:4" ht="19" x14ac:dyDescent="0.25">
      <c r="A140" s="58" t="s">
        <v>175</v>
      </c>
      <c r="B140" s="179">
        <v>6.29</v>
      </c>
      <c r="C140" s="8">
        <v>0</v>
      </c>
      <c r="D140" s="45">
        <v>0</v>
      </c>
    </row>
    <row r="141" spans="1:4" ht="19" x14ac:dyDescent="0.25">
      <c r="A141" s="57" t="s">
        <v>176</v>
      </c>
      <c r="B141" s="180">
        <v>6.35</v>
      </c>
      <c r="C141" s="9">
        <v>0</v>
      </c>
      <c r="D141" s="46">
        <v>0</v>
      </c>
    </row>
    <row r="142" spans="1:4" ht="19" x14ac:dyDescent="0.25">
      <c r="A142" s="58" t="s">
        <v>177</v>
      </c>
      <c r="B142" s="181">
        <v>3.72</v>
      </c>
      <c r="C142" s="8">
        <v>0</v>
      </c>
      <c r="D142" s="45">
        <v>0</v>
      </c>
    </row>
    <row r="143" spans="1:4" ht="19" x14ac:dyDescent="0.25">
      <c r="A143" s="57" t="s">
        <v>178</v>
      </c>
      <c r="B143" s="145">
        <v>3.32</v>
      </c>
      <c r="C143" s="9">
        <v>0</v>
      </c>
      <c r="D143" s="46">
        <v>0</v>
      </c>
    </row>
    <row r="144" spans="1:4" ht="19" x14ac:dyDescent="0.25">
      <c r="A144" s="58" t="s">
        <v>179</v>
      </c>
      <c r="B144" s="182">
        <v>4.1900000000000004</v>
      </c>
      <c r="C144" s="8">
        <v>0</v>
      </c>
      <c r="D144" s="45">
        <v>0</v>
      </c>
    </row>
    <row r="145" spans="1:4" ht="19" x14ac:dyDescent="0.25">
      <c r="A145" s="57" t="s">
        <v>180</v>
      </c>
      <c r="B145" s="183">
        <v>3.91</v>
      </c>
      <c r="C145" s="9">
        <v>0</v>
      </c>
      <c r="D145" s="46">
        <v>0</v>
      </c>
    </row>
    <row r="146" spans="1:4" ht="19" x14ac:dyDescent="0.25">
      <c r="A146" s="58" t="s">
        <v>181</v>
      </c>
      <c r="B146" s="112">
        <v>5.77</v>
      </c>
      <c r="C146" s="8">
        <v>0</v>
      </c>
      <c r="D146" s="45">
        <v>0</v>
      </c>
    </row>
    <row r="147" spans="1:4" ht="19" x14ac:dyDescent="0.25">
      <c r="A147" s="57" t="s">
        <v>182</v>
      </c>
      <c r="B147" s="184">
        <v>4.32</v>
      </c>
      <c r="C147" s="9">
        <v>0</v>
      </c>
      <c r="D147" s="46">
        <v>0</v>
      </c>
    </row>
    <row r="148" spans="1:4" ht="19" x14ac:dyDescent="0.25">
      <c r="A148" s="58" t="s">
        <v>183</v>
      </c>
      <c r="B148" s="70">
        <v>6.3</v>
      </c>
      <c r="C148" s="8">
        <v>0</v>
      </c>
      <c r="D148" s="45">
        <v>0</v>
      </c>
    </row>
    <row r="149" spans="1:4" ht="19" x14ac:dyDescent="0.25">
      <c r="A149" s="57" t="s">
        <v>184</v>
      </c>
      <c r="B149" s="185">
        <v>4.95</v>
      </c>
      <c r="C149" s="9">
        <v>0</v>
      </c>
      <c r="D149" s="46">
        <v>0</v>
      </c>
    </row>
    <row r="150" spans="1:4" ht="19" x14ac:dyDescent="0.25">
      <c r="A150" s="60" t="s">
        <v>185</v>
      </c>
      <c r="B150" s="186">
        <v>6.14</v>
      </c>
      <c r="C150" s="10">
        <v>0</v>
      </c>
      <c r="D150" s="47">
        <v>0</v>
      </c>
    </row>
    <row r="151" spans="1:4" ht="19" x14ac:dyDescent="0.25">
      <c r="A151" s="61" t="s">
        <v>186</v>
      </c>
      <c r="B151" s="5"/>
      <c r="C151" s="6">
        <f>SUM(C4:C150)</f>
        <v>0</v>
      </c>
      <c r="D151" s="48">
        <f>SUM(D4:D150)</f>
        <v>0</v>
      </c>
    </row>
  </sheetData>
  <mergeCells count="1">
    <mergeCell ref="A1:D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5946D-1CE7-9545-9658-142045AC2E09}">
  <dimension ref="A1:J151"/>
  <sheetViews>
    <sheetView workbookViewId="0">
      <selection activeCell="I17" sqref="I17"/>
    </sheetView>
  </sheetViews>
  <sheetFormatPr baseColWidth="10" defaultColWidth="11" defaultRowHeight="16" x14ac:dyDescent="0.2"/>
  <cols>
    <col min="1" max="1" width="23" bestFit="1" customWidth="1"/>
    <col min="2" max="2" width="32" bestFit="1" customWidth="1"/>
    <col min="3" max="3" width="33.6640625" bestFit="1" customWidth="1"/>
    <col min="4" max="4" width="42.6640625" bestFit="1" customWidth="1"/>
    <col min="5" max="5" width="16" bestFit="1" customWidth="1"/>
    <col min="7" max="7" width="29.33203125" bestFit="1" customWidth="1"/>
    <col min="8" max="8" width="8.5" bestFit="1" customWidth="1"/>
    <col min="9" max="9" width="22.5" bestFit="1" customWidth="1"/>
    <col min="10" max="10" width="12.33203125" bestFit="1" customWidth="1"/>
  </cols>
  <sheetData>
    <row r="1" spans="1:10" ht="17" customHeight="1" x14ac:dyDescent="0.2">
      <c r="A1" s="188" t="s">
        <v>10</v>
      </c>
      <c r="B1" s="189"/>
      <c r="C1" s="189"/>
      <c r="D1" s="189"/>
    </row>
    <row r="2" spans="1:10" ht="17" customHeight="1" thickBot="1" x14ac:dyDescent="0.25">
      <c r="A2" s="190"/>
      <c r="B2" s="191"/>
      <c r="C2" s="191"/>
      <c r="D2" s="191"/>
    </row>
    <row r="3" spans="1:10" ht="20" thickTop="1" x14ac:dyDescent="0.25">
      <c r="A3" s="12" t="s">
        <v>27</v>
      </c>
      <c r="B3" s="13" t="s">
        <v>28</v>
      </c>
      <c r="C3" s="14" t="s">
        <v>29</v>
      </c>
      <c r="D3" s="7" t="s">
        <v>30</v>
      </c>
    </row>
    <row r="4" spans="1:10" ht="20" thickBot="1" x14ac:dyDescent="0.3">
      <c r="A4" s="56" t="s">
        <v>31</v>
      </c>
      <c r="B4" s="62">
        <v>4.37</v>
      </c>
      <c r="C4" s="15">
        <v>0</v>
      </c>
      <c r="D4" s="45">
        <v>0</v>
      </c>
    </row>
    <row r="5" spans="1:10" ht="20" thickBot="1" x14ac:dyDescent="0.3">
      <c r="A5" s="57" t="s">
        <v>32</v>
      </c>
      <c r="B5" s="63">
        <v>5.21</v>
      </c>
      <c r="C5" s="9">
        <v>0</v>
      </c>
      <c r="D5" s="46">
        <v>0</v>
      </c>
      <c r="G5" s="32" t="s">
        <v>33</v>
      </c>
      <c r="H5" s="33"/>
      <c r="I5" s="33"/>
      <c r="J5" s="34"/>
    </row>
    <row r="6" spans="1:10" ht="20" thickBot="1" x14ac:dyDescent="0.3">
      <c r="A6" s="58" t="s">
        <v>34</v>
      </c>
      <c r="B6" s="64">
        <v>5.63</v>
      </c>
      <c r="C6" s="8">
        <v>0</v>
      </c>
      <c r="D6" s="45">
        <v>0</v>
      </c>
      <c r="G6" s="20"/>
      <c r="H6" s="21" t="s">
        <v>35</v>
      </c>
      <c r="I6" s="22" t="s">
        <v>36</v>
      </c>
      <c r="J6" s="23" t="s">
        <v>37</v>
      </c>
    </row>
    <row r="7" spans="1:10" ht="19" x14ac:dyDescent="0.25">
      <c r="A7" s="57" t="s">
        <v>38</v>
      </c>
      <c r="B7" s="65">
        <v>4.3600000000000003</v>
      </c>
      <c r="C7" s="9">
        <v>0</v>
      </c>
      <c r="D7" s="46">
        <v>0</v>
      </c>
      <c r="G7" s="24" t="s">
        <v>39</v>
      </c>
      <c r="H7" s="25" t="str">
        <f>INDEX(A4:A150,MATCH(MIN(D4:D150),D4:D150,0))</f>
        <v>Albania</v>
      </c>
      <c r="I7" s="25">
        <f>INDEX(B4:B150,MATCH(MIN(D4:D150),D4:D150,0))</f>
        <v>4.37</v>
      </c>
      <c r="J7" s="26">
        <f>INDEX(D4:D150,MATCH(MIN(D4:D150),D4:D150,0))</f>
        <v>0</v>
      </c>
    </row>
    <row r="8" spans="1:10" ht="20" thickBot="1" x14ac:dyDescent="0.3">
      <c r="A8" s="58" t="s">
        <v>40</v>
      </c>
      <c r="B8" s="66">
        <v>4.79</v>
      </c>
      <c r="C8" s="8">
        <v>0</v>
      </c>
      <c r="D8" s="45">
        <v>0</v>
      </c>
      <c r="G8" s="27" t="s">
        <v>41</v>
      </c>
      <c r="H8" s="28" t="str">
        <f>INDEX(A4:A150,MATCH(MAX(D4:D150),D4:D150,0))</f>
        <v>Albania</v>
      </c>
      <c r="I8" s="28">
        <f>INDEX(B4:B150,MATCH(MAX(D4:D150),D4:D150,0))</f>
        <v>4.37</v>
      </c>
      <c r="J8" s="31">
        <f>INDEX(D4:D150,MATCH(MAX(D4:D150),D4:D150,0))</f>
        <v>0</v>
      </c>
    </row>
    <row r="9" spans="1:10" ht="23" thickBot="1" x14ac:dyDescent="0.35">
      <c r="A9" s="57" t="s">
        <v>42</v>
      </c>
      <c r="B9" s="67">
        <v>3.22</v>
      </c>
      <c r="C9" s="9">
        <v>0</v>
      </c>
      <c r="D9" s="46">
        <v>0</v>
      </c>
      <c r="G9" s="30" t="s">
        <v>43</v>
      </c>
      <c r="H9" s="29"/>
      <c r="I9" s="29"/>
      <c r="J9" s="187">
        <f>SUMPRODUCT(B4:B150,D4:D150)</f>
        <v>0</v>
      </c>
    </row>
    <row r="10" spans="1:10" ht="19" x14ac:dyDescent="0.25">
      <c r="A10" s="58" t="s">
        <v>44</v>
      </c>
      <c r="B10" s="68">
        <v>3.41</v>
      </c>
      <c r="C10" s="8">
        <v>0</v>
      </c>
      <c r="D10" s="45">
        <v>0</v>
      </c>
    </row>
    <row r="11" spans="1:10" ht="19" x14ac:dyDescent="0.25">
      <c r="A11" s="57" t="s">
        <v>45</v>
      </c>
      <c r="B11" s="63">
        <v>5.21</v>
      </c>
      <c r="C11" s="9">
        <v>0</v>
      </c>
      <c r="D11" s="46">
        <v>0</v>
      </c>
    </row>
    <row r="12" spans="1:10" ht="19" x14ac:dyDescent="0.25">
      <c r="A12" s="58" t="s">
        <v>46</v>
      </c>
      <c r="B12" s="69">
        <v>4.26</v>
      </c>
      <c r="C12" s="8">
        <v>0</v>
      </c>
      <c r="D12" s="45">
        <v>0</v>
      </c>
    </row>
    <row r="13" spans="1:10" ht="19" x14ac:dyDescent="0.25">
      <c r="A13" s="57" t="s">
        <v>47</v>
      </c>
      <c r="B13" s="70">
        <v>6.29</v>
      </c>
      <c r="C13" s="9">
        <v>0</v>
      </c>
      <c r="D13" s="46">
        <v>0</v>
      </c>
    </row>
    <row r="14" spans="1:10" ht="19" x14ac:dyDescent="0.25">
      <c r="A14" s="58" t="s">
        <v>48</v>
      </c>
      <c r="B14" s="71">
        <v>5.45</v>
      </c>
      <c r="C14" s="8">
        <v>0</v>
      </c>
      <c r="D14" s="45">
        <v>0</v>
      </c>
    </row>
    <row r="15" spans="1:10" ht="19" x14ac:dyDescent="0.25">
      <c r="A15" s="57" t="s">
        <v>49</v>
      </c>
      <c r="B15" s="72">
        <v>3.33</v>
      </c>
      <c r="C15" s="9">
        <v>0</v>
      </c>
      <c r="D15" s="46">
        <v>0</v>
      </c>
    </row>
    <row r="16" spans="1:10" ht="19" x14ac:dyDescent="0.25">
      <c r="A16" s="58" t="s">
        <v>50</v>
      </c>
      <c r="B16" s="73">
        <v>6</v>
      </c>
      <c r="C16" s="8">
        <v>0</v>
      </c>
      <c r="D16" s="45">
        <v>0</v>
      </c>
    </row>
    <row r="17" spans="1:5" ht="19" x14ac:dyDescent="0.25">
      <c r="A17" s="57" t="s">
        <v>51</v>
      </c>
      <c r="B17" s="74">
        <v>5.0199999999999996</v>
      </c>
      <c r="C17" s="9">
        <v>0</v>
      </c>
      <c r="D17" s="46">
        <v>0</v>
      </c>
    </row>
    <row r="18" spans="1:5" ht="19" x14ac:dyDescent="0.25">
      <c r="A18" s="58" t="s">
        <v>52</v>
      </c>
      <c r="B18" s="75">
        <v>5.41</v>
      </c>
      <c r="C18" s="8">
        <v>0</v>
      </c>
      <c r="D18" s="45">
        <v>0</v>
      </c>
    </row>
    <row r="19" spans="1:5" ht="19" x14ac:dyDescent="0.25">
      <c r="A19" s="57" t="s">
        <v>53</v>
      </c>
      <c r="B19" s="76">
        <v>5.34</v>
      </c>
      <c r="C19" s="9">
        <v>0</v>
      </c>
      <c r="D19" s="46">
        <v>0</v>
      </c>
    </row>
    <row r="20" spans="1:5" ht="19" x14ac:dyDescent="0.25">
      <c r="A20" s="58" t="s">
        <v>54</v>
      </c>
      <c r="B20" s="77">
        <v>4.34</v>
      </c>
      <c r="C20" s="8">
        <v>0</v>
      </c>
      <c r="D20" s="45">
        <v>0</v>
      </c>
    </row>
    <row r="21" spans="1:5" ht="19" x14ac:dyDescent="0.25">
      <c r="A21" s="57" t="s">
        <v>55</v>
      </c>
      <c r="B21" s="78">
        <v>5.35</v>
      </c>
      <c r="C21" s="9">
        <v>0</v>
      </c>
      <c r="D21" s="46">
        <v>0</v>
      </c>
    </row>
    <row r="22" spans="1:5" ht="19" x14ac:dyDescent="0.25">
      <c r="A22" s="58" t="s">
        <v>56</v>
      </c>
      <c r="B22" s="79">
        <v>4.43</v>
      </c>
      <c r="C22" s="8">
        <v>0</v>
      </c>
      <c r="D22" s="45">
        <v>0</v>
      </c>
    </row>
    <row r="23" spans="1:5" ht="19" x14ac:dyDescent="0.25">
      <c r="A23" s="57" t="s">
        <v>57</v>
      </c>
      <c r="B23" s="80">
        <v>6.55</v>
      </c>
      <c r="C23" s="9">
        <v>0</v>
      </c>
      <c r="D23" s="46">
        <v>0</v>
      </c>
    </row>
    <row r="24" spans="1:5" ht="19" x14ac:dyDescent="0.25">
      <c r="A24" s="58" t="s">
        <v>58</v>
      </c>
      <c r="B24" s="81">
        <v>6.33</v>
      </c>
      <c r="C24" s="8">
        <v>0</v>
      </c>
      <c r="D24" s="45">
        <v>0</v>
      </c>
    </row>
    <row r="25" spans="1:5" ht="19" x14ac:dyDescent="0.25">
      <c r="A25" s="57" t="s">
        <v>59</v>
      </c>
      <c r="B25" s="64">
        <v>5.64</v>
      </c>
      <c r="C25" s="9">
        <v>0</v>
      </c>
      <c r="D25" s="46">
        <v>0</v>
      </c>
    </row>
    <row r="26" spans="1:5" ht="19" x14ac:dyDescent="0.25">
      <c r="A26" s="58" t="s">
        <v>60</v>
      </c>
      <c r="B26" s="82">
        <v>6.83</v>
      </c>
      <c r="C26" s="8">
        <v>0</v>
      </c>
      <c r="D26" s="45">
        <v>0</v>
      </c>
    </row>
    <row r="27" spans="1:5" ht="19" x14ac:dyDescent="0.25">
      <c r="A27" s="57" t="s">
        <v>61</v>
      </c>
      <c r="B27" s="83">
        <v>3.44</v>
      </c>
      <c r="C27" s="9">
        <v>0</v>
      </c>
      <c r="D27" s="46">
        <v>0</v>
      </c>
    </row>
    <row r="28" spans="1:5" ht="19" x14ac:dyDescent="0.25">
      <c r="A28" s="58" t="s">
        <v>62</v>
      </c>
      <c r="B28" s="84">
        <v>6.79</v>
      </c>
      <c r="C28" s="8">
        <v>0</v>
      </c>
      <c r="D28" s="45">
        <v>0</v>
      </c>
    </row>
    <row r="29" spans="1:5" ht="19" x14ac:dyDescent="0.25">
      <c r="A29" s="57" t="s">
        <v>63</v>
      </c>
      <c r="B29" s="82">
        <v>6.84</v>
      </c>
      <c r="C29" s="9">
        <v>0</v>
      </c>
      <c r="D29" s="46">
        <v>0</v>
      </c>
    </row>
    <row r="30" spans="1:5" ht="19" x14ac:dyDescent="0.25">
      <c r="A30" s="58" t="s">
        <v>64</v>
      </c>
      <c r="B30" s="65">
        <v>4.3600000000000003</v>
      </c>
      <c r="C30" s="8">
        <v>0</v>
      </c>
      <c r="D30" s="45">
        <v>0</v>
      </c>
    </row>
    <row r="31" spans="1:5" ht="19" x14ac:dyDescent="0.25">
      <c r="A31" s="57" t="s">
        <v>65</v>
      </c>
      <c r="B31" s="85">
        <v>4.26</v>
      </c>
      <c r="C31" s="9">
        <v>0</v>
      </c>
      <c r="D31" s="46">
        <v>0</v>
      </c>
      <c r="E31" s="50" t="s">
        <v>66</v>
      </c>
    </row>
    <row r="32" spans="1:5" ht="19" x14ac:dyDescent="0.25">
      <c r="A32" s="58" t="s">
        <v>67</v>
      </c>
      <c r="B32" s="86">
        <v>5.72</v>
      </c>
      <c r="C32" s="8">
        <v>0</v>
      </c>
      <c r="D32" s="45">
        <v>0</v>
      </c>
    </row>
    <row r="33" spans="1:4" ht="19" x14ac:dyDescent="0.25">
      <c r="A33" s="57" t="s">
        <v>68</v>
      </c>
      <c r="B33" s="87">
        <v>5.65</v>
      </c>
      <c r="C33" s="9">
        <v>0</v>
      </c>
      <c r="D33" s="46">
        <v>0</v>
      </c>
    </row>
    <row r="34" spans="1:4" ht="19" x14ac:dyDescent="0.25">
      <c r="A34" s="58" t="s">
        <v>69</v>
      </c>
      <c r="B34" s="88">
        <v>4.2300000000000004</v>
      </c>
      <c r="C34" s="8">
        <v>0</v>
      </c>
      <c r="D34" s="45">
        <v>0</v>
      </c>
    </row>
    <row r="35" spans="1:4" ht="19" x14ac:dyDescent="0.25">
      <c r="A35" s="57" t="s">
        <v>70</v>
      </c>
      <c r="B35" s="89">
        <v>5.6</v>
      </c>
      <c r="C35" s="9">
        <v>0</v>
      </c>
      <c r="D35" s="46">
        <v>0</v>
      </c>
    </row>
    <row r="36" spans="1:4" ht="19" x14ac:dyDescent="0.25">
      <c r="A36" s="58" t="s">
        <v>71</v>
      </c>
      <c r="B36" s="90">
        <v>4.28</v>
      </c>
      <c r="C36" s="8">
        <v>0</v>
      </c>
      <c r="D36" s="45">
        <v>0</v>
      </c>
    </row>
    <row r="37" spans="1:4" ht="19" x14ac:dyDescent="0.25">
      <c r="A37" s="57" t="s">
        <v>72</v>
      </c>
      <c r="B37" s="91">
        <v>4.67</v>
      </c>
      <c r="C37" s="9">
        <v>0</v>
      </c>
      <c r="D37" s="46">
        <v>0</v>
      </c>
    </row>
    <row r="38" spans="1:4" ht="19" x14ac:dyDescent="0.25">
      <c r="A38" s="58" t="s">
        <v>73</v>
      </c>
      <c r="B38" s="92">
        <v>3.75</v>
      </c>
      <c r="C38" s="8">
        <v>0</v>
      </c>
      <c r="D38" s="45">
        <v>0</v>
      </c>
    </row>
    <row r="39" spans="1:4" ht="19" x14ac:dyDescent="0.25">
      <c r="A39" s="57" t="s">
        <v>74</v>
      </c>
      <c r="B39" s="93">
        <v>3.2</v>
      </c>
      <c r="C39" s="9">
        <v>0</v>
      </c>
      <c r="D39" s="46">
        <v>0</v>
      </c>
    </row>
    <row r="40" spans="1:4" ht="19" x14ac:dyDescent="0.25">
      <c r="A40" s="58" t="s">
        <v>75</v>
      </c>
      <c r="B40" s="94">
        <v>5.98</v>
      </c>
      <c r="C40" s="8">
        <v>0</v>
      </c>
      <c r="D40" s="45">
        <v>0</v>
      </c>
    </row>
    <row r="41" spans="1:4" ht="19" x14ac:dyDescent="0.25">
      <c r="A41" s="57" t="s">
        <v>76</v>
      </c>
      <c r="B41" s="95">
        <v>4.7</v>
      </c>
      <c r="C41" s="9">
        <v>0</v>
      </c>
      <c r="D41" s="46">
        <v>0</v>
      </c>
    </row>
    <row r="42" spans="1:4" ht="19" x14ac:dyDescent="0.25">
      <c r="A42" s="58" t="s">
        <v>77</v>
      </c>
      <c r="B42" s="96">
        <v>5.71</v>
      </c>
      <c r="C42" s="8">
        <v>0</v>
      </c>
      <c r="D42" s="45">
        <v>0</v>
      </c>
    </row>
    <row r="43" spans="1:4" ht="19" x14ac:dyDescent="0.25">
      <c r="A43" s="57" t="s">
        <v>78</v>
      </c>
      <c r="B43" s="97">
        <v>5.6</v>
      </c>
      <c r="C43" s="9">
        <v>0</v>
      </c>
      <c r="D43" s="46">
        <v>0</v>
      </c>
    </row>
    <row r="44" spans="1:4" ht="19" x14ac:dyDescent="0.25">
      <c r="A44" s="58" t="s">
        <v>79</v>
      </c>
      <c r="B44" s="98">
        <v>4.79</v>
      </c>
      <c r="C44" s="8">
        <v>0</v>
      </c>
      <c r="D44" s="45">
        <v>0</v>
      </c>
    </row>
    <row r="45" spans="1:4" ht="19" x14ac:dyDescent="0.25">
      <c r="A45" s="57" t="s">
        <v>80</v>
      </c>
      <c r="B45" s="99">
        <v>3.57</v>
      </c>
      <c r="C45" s="9">
        <v>0</v>
      </c>
      <c r="D45" s="46">
        <v>0</v>
      </c>
    </row>
    <row r="46" spans="1:4" ht="19" x14ac:dyDescent="0.25">
      <c r="A46" s="58" t="s">
        <v>81</v>
      </c>
      <c r="B46" s="100">
        <v>4.5</v>
      </c>
      <c r="C46" s="8">
        <v>0</v>
      </c>
      <c r="D46" s="45">
        <v>0</v>
      </c>
    </row>
    <row r="47" spans="1:4" ht="19" x14ac:dyDescent="0.25">
      <c r="A47" s="57" t="s">
        <v>82</v>
      </c>
      <c r="B47" s="101">
        <v>6.93</v>
      </c>
      <c r="C47" s="9">
        <v>0</v>
      </c>
      <c r="D47" s="46">
        <v>0</v>
      </c>
    </row>
    <row r="48" spans="1:4" ht="19" x14ac:dyDescent="0.25">
      <c r="A48" s="58" t="s">
        <v>83</v>
      </c>
      <c r="B48" s="102">
        <v>3.35</v>
      </c>
      <c r="C48" s="8">
        <v>0</v>
      </c>
      <c r="D48" s="45">
        <v>0</v>
      </c>
    </row>
    <row r="49" spans="1:4" ht="19" x14ac:dyDescent="0.25">
      <c r="A49" s="57" t="s">
        <v>84</v>
      </c>
      <c r="B49" s="103">
        <v>3.65</v>
      </c>
      <c r="C49" s="9">
        <v>0</v>
      </c>
      <c r="D49" s="46">
        <v>0</v>
      </c>
    </row>
    <row r="50" spans="1:4" ht="19" x14ac:dyDescent="0.25">
      <c r="A50" s="58" t="s">
        <v>85</v>
      </c>
      <c r="B50" s="104">
        <v>5.78</v>
      </c>
      <c r="C50" s="8">
        <v>0</v>
      </c>
      <c r="D50" s="45">
        <v>0</v>
      </c>
    </row>
    <row r="51" spans="1:4" ht="19" x14ac:dyDescent="0.25">
      <c r="A51" s="57" t="s">
        <v>86</v>
      </c>
      <c r="B51" s="105">
        <v>5.38</v>
      </c>
      <c r="C51" s="9">
        <v>0</v>
      </c>
      <c r="D51" s="46">
        <v>0</v>
      </c>
    </row>
    <row r="52" spans="1:4" ht="19" x14ac:dyDescent="0.25">
      <c r="A52" s="58" t="s">
        <v>87</v>
      </c>
      <c r="B52" s="106">
        <v>4.93</v>
      </c>
      <c r="C52" s="8">
        <v>0</v>
      </c>
      <c r="D52" s="45">
        <v>0</v>
      </c>
    </row>
    <row r="53" spans="1:4" ht="19" x14ac:dyDescent="0.25">
      <c r="A53" s="57" t="s">
        <v>88</v>
      </c>
      <c r="B53" s="68">
        <v>3.42</v>
      </c>
      <c r="C53" s="9">
        <v>0</v>
      </c>
      <c r="D53" s="46">
        <v>0</v>
      </c>
    </row>
    <row r="54" spans="1:4" ht="19" x14ac:dyDescent="0.25">
      <c r="A54" s="58" t="s">
        <v>89</v>
      </c>
      <c r="B54" s="107">
        <v>4.63</v>
      </c>
      <c r="C54" s="8">
        <v>0</v>
      </c>
      <c r="D54" s="45">
        <v>0</v>
      </c>
    </row>
    <row r="55" spans="1:4" ht="19" x14ac:dyDescent="0.25">
      <c r="A55" s="57" t="s">
        <v>90</v>
      </c>
      <c r="B55" s="77">
        <v>4.34</v>
      </c>
      <c r="C55" s="9">
        <v>0</v>
      </c>
      <c r="D55" s="46">
        <v>0</v>
      </c>
    </row>
    <row r="56" spans="1:4" ht="19" x14ac:dyDescent="0.25">
      <c r="A56" s="58" t="s">
        <v>91</v>
      </c>
      <c r="B56" s="71">
        <v>5.45</v>
      </c>
      <c r="C56" s="8">
        <v>0</v>
      </c>
      <c r="D56" s="45">
        <v>0</v>
      </c>
    </row>
    <row r="57" spans="1:4" ht="19" x14ac:dyDescent="0.25">
      <c r="A57" s="57" t="s">
        <v>92</v>
      </c>
      <c r="B57" s="108">
        <v>6.36</v>
      </c>
      <c r="C57" s="9">
        <v>0</v>
      </c>
      <c r="D57" s="46">
        <v>0</v>
      </c>
    </row>
    <row r="58" spans="1:4" ht="19" x14ac:dyDescent="0.25">
      <c r="A58" s="58" t="s">
        <v>93</v>
      </c>
      <c r="B58" s="109">
        <v>5.94</v>
      </c>
      <c r="C58" s="8">
        <v>0</v>
      </c>
      <c r="D58" s="45">
        <v>0</v>
      </c>
    </row>
    <row r="59" spans="1:4" ht="19" x14ac:dyDescent="0.25">
      <c r="A59" s="57" t="s">
        <v>94</v>
      </c>
      <c r="B59" s="110">
        <v>4.92</v>
      </c>
      <c r="C59" s="9">
        <v>0</v>
      </c>
      <c r="D59" s="46">
        <v>0</v>
      </c>
    </row>
    <row r="60" spans="1:4" ht="19" x14ac:dyDescent="0.25">
      <c r="A60" s="58" t="s">
        <v>95</v>
      </c>
      <c r="B60" s="111">
        <v>6.53</v>
      </c>
      <c r="C60" s="8">
        <v>0</v>
      </c>
      <c r="D60" s="45">
        <v>0</v>
      </c>
    </row>
    <row r="61" spans="1:4" ht="19" x14ac:dyDescent="0.25">
      <c r="A61" s="57" t="s">
        <v>96</v>
      </c>
      <c r="B61" s="112">
        <v>5.77</v>
      </c>
      <c r="C61" s="9">
        <v>0</v>
      </c>
      <c r="D61" s="46">
        <v>0</v>
      </c>
    </row>
    <row r="62" spans="1:4" ht="19" x14ac:dyDescent="0.25">
      <c r="A62" s="58" t="s">
        <v>97</v>
      </c>
      <c r="B62" s="113">
        <v>3.63</v>
      </c>
      <c r="C62" s="8">
        <v>0</v>
      </c>
      <c r="D62" s="45">
        <v>0</v>
      </c>
    </row>
    <row r="63" spans="1:4" ht="19" x14ac:dyDescent="0.25">
      <c r="A63" s="57" t="s">
        <v>98</v>
      </c>
      <c r="B63" s="114">
        <v>3.38</v>
      </c>
      <c r="C63" s="9">
        <v>0</v>
      </c>
      <c r="D63" s="46">
        <v>0</v>
      </c>
    </row>
    <row r="64" spans="1:4" ht="19" x14ac:dyDescent="0.25">
      <c r="A64" s="58" t="s">
        <v>99</v>
      </c>
      <c r="B64" s="115">
        <v>5.07</v>
      </c>
      <c r="C64" s="8">
        <v>0</v>
      </c>
      <c r="D64" s="45">
        <v>0</v>
      </c>
    </row>
    <row r="65" spans="1:4" ht="19" x14ac:dyDescent="0.25">
      <c r="A65" s="57" t="s">
        <v>100</v>
      </c>
      <c r="B65" s="106">
        <v>4.92</v>
      </c>
      <c r="C65" s="9">
        <v>0</v>
      </c>
      <c r="D65" s="46">
        <v>0</v>
      </c>
    </row>
    <row r="66" spans="1:4" ht="19" x14ac:dyDescent="0.25">
      <c r="A66" s="58" t="s">
        <v>101</v>
      </c>
      <c r="B66" s="116">
        <v>5.88</v>
      </c>
      <c r="C66" s="8">
        <v>0</v>
      </c>
      <c r="D66" s="45">
        <v>0</v>
      </c>
    </row>
    <row r="67" spans="1:4" ht="19" x14ac:dyDescent="0.25">
      <c r="A67" s="57" t="s">
        <v>102</v>
      </c>
      <c r="B67" s="117">
        <v>6.05</v>
      </c>
      <c r="C67" s="9">
        <v>0</v>
      </c>
      <c r="D67" s="46">
        <v>0</v>
      </c>
    </row>
    <row r="68" spans="1:4" ht="19" x14ac:dyDescent="0.25">
      <c r="A68" s="58" t="s">
        <v>103</v>
      </c>
      <c r="B68" s="118">
        <v>3.25</v>
      </c>
      <c r="C68" s="8">
        <v>0</v>
      </c>
      <c r="D68" s="45">
        <v>0</v>
      </c>
    </row>
    <row r="69" spans="1:4" ht="19" x14ac:dyDescent="0.25">
      <c r="A69" s="57" t="s">
        <v>104</v>
      </c>
      <c r="B69" s="119">
        <v>4.6100000000000003</v>
      </c>
      <c r="C69" s="9">
        <v>0</v>
      </c>
      <c r="D69" s="46">
        <v>0</v>
      </c>
    </row>
    <row r="70" spans="1:4" ht="19" x14ac:dyDescent="0.25">
      <c r="A70" s="58" t="s">
        <v>105</v>
      </c>
      <c r="B70" s="120">
        <v>3.84</v>
      </c>
      <c r="C70" s="8">
        <v>0</v>
      </c>
      <c r="D70" s="45">
        <v>0</v>
      </c>
    </row>
    <row r="71" spans="1:4" ht="19" x14ac:dyDescent="0.25">
      <c r="A71" s="57" t="s">
        <v>106</v>
      </c>
      <c r="B71" s="121">
        <v>4.75</v>
      </c>
      <c r="C71" s="9">
        <v>0</v>
      </c>
      <c r="D71" s="46">
        <v>0</v>
      </c>
    </row>
    <row r="72" spans="1:4" ht="19" x14ac:dyDescent="0.25">
      <c r="A72" s="58" t="s">
        <v>107</v>
      </c>
      <c r="B72" s="114">
        <v>3.38</v>
      </c>
      <c r="C72" s="8">
        <v>0</v>
      </c>
      <c r="D72" s="45">
        <v>0</v>
      </c>
    </row>
    <row r="73" spans="1:4" ht="19" x14ac:dyDescent="0.25">
      <c r="A73" s="57" t="s">
        <v>108</v>
      </c>
      <c r="B73" s="122">
        <v>5.13</v>
      </c>
      <c r="C73" s="9">
        <v>0</v>
      </c>
      <c r="D73" s="46">
        <v>0</v>
      </c>
    </row>
    <row r="74" spans="1:4" ht="19" x14ac:dyDescent="0.25">
      <c r="A74" s="58" t="s">
        <v>109</v>
      </c>
      <c r="B74" s="123">
        <v>4.54</v>
      </c>
      <c r="C74" s="8">
        <v>0</v>
      </c>
      <c r="D74" s="45">
        <v>0</v>
      </c>
    </row>
    <row r="75" spans="1:4" ht="19" x14ac:dyDescent="0.25">
      <c r="A75" s="57" t="s">
        <v>110</v>
      </c>
      <c r="B75" s="124">
        <v>6.13</v>
      </c>
      <c r="C75" s="9">
        <v>0</v>
      </c>
      <c r="D75" s="46">
        <v>0</v>
      </c>
    </row>
    <row r="76" spans="1:4" ht="19" x14ac:dyDescent="0.25">
      <c r="A76" s="58" t="s">
        <v>111</v>
      </c>
      <c r="B76" s="125">
        <v>4.3</v>
      </c>
      <c r="C76" s="8">
        <v>0</v>
      </c>
      <c r="D76" s="45">
        <v>0</v>
      </c>
    </row>
    <row r="77" spans="1:4" ht="19" x14ac:dyDescent="0.25">
      <c r="A77" s="57" t="s">
        <v>112</v>
      </c>
      <c r="B77" s="126">
        <v>5.37</v>
      </c>
      <c r="C77" s="9">
        <v>0</v>
      </c>
      <c r="D77" s="46">
        <v>0</v>
      </c>
    </row>
    <row r="78" spans="1:4" ht="19" x14ac:dyDescent="0.25">
      <c r="A78" s="58" t="s">
        <v>113</v>
      </c>
      <c r="B78" s="127">
        <v>5.14</v>
      </c>
      <c r="C78" s="8">
        <v>0</v>
      </c>
      <c r="D78" s="45">
        <v>0</v>
      </c>
    </row>
    <row r="79" spans="1:4" ht="19" x14ac:dyDescent="0.25">
      <c r="A79" s="57" t="s">
        <v>114</v>
      </c>
      <c r="B79" s="128">
        <v>3.97</v>
      </c>
      <c r="C79" s="9">
        <v>0</v>
      </c>
      <c r="D79" s="46">
        <v>0</v>
      </c>
    </row>
    <row r="80" spans="1:4" ht="19" x14ac:dyDescent="0.25">
      <c r="A80" s="58" t="s">
        <v>115</v>
      </c>
      <c r="B80" s="129">
        <v>6.12</v>
      </c>
      <c r="C80" s="8">
        <v>0</v>
      </c>
      <c r="D80" s="45">
        <v>0</v>
      </c>
    </row>
    <row r="81" spans="1:4" ht="19" x14ac:dyDescent="0.25">
      <c r="A81" s="57" t="s">
        <v>116</v>
      </c>
      <c r="B81" s="130">
        <v>5.49</v>
      </c>
      <c r="C81" s="9">
        <v>0</v>
      </c>
      <c r="D81" s="46">
        <v>0</v>
      </c>
    </row>
    <row r="82" spans="1:4" ht="19" x14ac:dyDescent="0.25">
      <c r="A82" s="58" t="s">
        <v>117</v>
      </c>
      <c r="B82" s="131">
        <v>5.97</v>
      </c>
      <c r="C82" s="8">
        <v>0</v>
      </c>
      <c r="D82" s="45">
        <v>0</v>
      </c>
    </row>
    <row r="83" spans="1:4" ht="19" x14ac:dyDescent="0.25">
      <c r="A83" s="57" t="s">
        <v>118</v>
      </c>
      <c r="B83" s="132">
        <v>5.68</v>
      </c>
      <c r="C83" s="9">
        <v>0</v>
      </c>
      <c r="D83" s="46">
        <v>0</v>
      </c>
    </row>
    <row r="84" spans="1:4" ht="19" x14ac:dyDescent="0.25">
      <c r="A84" s="58" t="s">
        <v>119</v>
      </c>
      <c r="B84" s="133">
        <v>3.93</v>
      </c>
      <c r="C84" s="8">
        <v>0</v>
      </c>
      <c r="D84" s="45">
        <v>0</v>
      </c>
    </row>
    <row r="85" spans="1:4" ht="19" x14ac:dyDescent="0.25">
      <c r="A85" s="57" t="s">
        <v>120</v>
      </c>
      <c r="B85" s="134">
        <v>5.82</v>
      </c>
      <c r="C85" s="9">
        <v>0</v>
      </c>
      <c r="D85" s="46">
        <v>0</v>
      </c>
    </row>
    <row r="86" spans="1:4" ht="19" x14ac:dyDescent="0.25">
      <c r="A86" s="58" t="s">
        <v>121</v>
      </c>
      <c r="B86" s="135">
        <v>5.58</v>
      </c>
      <c r="C86" s="8">
        <v>0</v>
      </c>
      <c r="D86" s="45">
        <v>0</v>
      </c>
    </row>
    <row r="87" spans="1:4" ht="19" x14ac:dyDescent="0.25">
      <c r="A87" s="57" t="s">
        <v>122</v>
      </c>
      <c r="B87" s="136">
        <v>4.03</v>
      </c>
      <c r="C87" s="9">
        <v>0</v>
      </c>
      <c r="D87" s="46">
        <v>0</v>
      </c>
    </row>
    <row r="88" spans="1:4" ht="19" x14ac:dyDescent="0.25">
      <c r="A88" s="58" t="s">
        <v>123</v>
      </c>
      <c r="B88" s="137">
        <v>7.1</v>
      </c>
      <c r="C88" s="8">
        <v>0</v>
      </c>
      <c r="D88" s="45">
        <v>0</v>
      </c>
    </row>
    <row r="89" spans="1:4" ht="19" x14ac:dyDescent="0.25">
      <c r="A89" s="57" t="s">
        <v>124</v>
      </c>
      <c r="B89" s="138">
        <v>6.28</v>
      </c>
      <c r="C89" s="9">
        <v>0</v>
      </c>
      <c r="D89" s="46">
        <v>0</v>
      </c>
    </row>
    <row r="90" spans="1:4" ht="19" x14ac:dyDescent="0.25">
      <c r="A90" s="58" t="s">
        <v>125</v>
      </c>
      <c r="B90" s="139">
        <v>3.47</v>
      </c>
      <c r="C90" s="8">
        <v>0</v>
      </c>
      <c r="D90" s="45">
        <v>0</v>
      </c>
    </row>
    <row r="91" spans="1:4" ht="19" x14ac:dyDescent="0.25">
      <c r="A91" s="57" t="s">
        <v>126</v>
      </c>
      <c r="B91" s="140">
        <v>5.42</v>
      </c>
      <c r="C91" s="9">
        <v>0</v>
      </c>
      <c r="D91" s="46">
        <v>0</v>
      </c>
    </row>
    <row r="92" spans="1:4" ht="19" x14ac:dyDescent="0.25">
      <c r="A92" s="58" t="s">
        <v>127</v>
      </c>
      <c r="B92" s="127">
        <v>5.14</v>
      </c>
      <c r="C92" s="8">
        <v>0</v>
      </c>
      <c r="D92" s="45">
        <v>0</v>
      </c>
    </row>
    <row r="93" spans="1:4" ht="19" x14ac:dyDescent="0.25">
      <c r="A93" s="57" t="s">
        <v>128</v>
      </c>
      <c r="B93" s="141">
        <v>4.6500000000000004</v>
      </c>
      <c r="C93" s="9">
        <v>0</v>
      </c>
      <c r="D93" s="46">
        <v>0</v>
      </c>
    </row>
    <row r="94" spans="1:4" ht="19" x14ac:dyDescent="0.25">
      <c r="A94" s="58" t="s">
        <v>129</v>
      </c>
      <c r="B94" s="142">
        <v>5.0999999999999996</v>
      </c>
      <c r="C94" s="8">
        <v>0</v>
      </c>
      <c r="D94" s="45">
        <v>0</v>
      </c>
    </row>
    <row r="95" spans="1:4" ht="19" x14ac:dyDescent="0.25">
      <c r="A95" s="57" t="s">
        <v>130</v>
      </c>
      <c r="B95" s="70">
        <v>6.3</v>
      </c>
      <c r="C95" s="9">
        <v>0</v>
      </c>
      <c r="D95" s="46">
        <v>0</v>
      </c>
    </row>
    <row r="96" spans="1:4" ht="19" x14ac:dyDescent="0.25">
      <c r="A96" s="58" t="s">
        <v>131</v>
      </c>
      <c r="B96" s="143">
        <v>4.6399999999999997</v>
      </c>
      <c r="C96" s="8">
        <v>0</v>
      </c>
      <c r="D96" s="45">
        <v>0</v>
      </c>
    </row>
    <row r="97" spans="1:4" ht="19" x14ac:dyDescent="0.25">
      <c r="A97" s="57" t="s">
        <v>132</v>
      </c>
      <c r="B97" s="104">
        <v>5.78</v>
      </c>
      <c r="C97" s="9">
        <v>0</v>
      </c>
      <c r="D97" s="46">
        <v>0</v>
      </c>
    </row>
    <row r="98" spans="1:4" ht="19" x14ac:dyDescent="0.25">
      <c r="A98" s="58" t="s">
        <v>133</v>
      </c>
      <c r="B98" s="144">
        <v>3.59</v>
      </c>
      <c r="C98" s="8">
        <v>0</v>
      </c>
      <c r="D98" s="45">
        <v>0</v>
      </c>
    </row>
    <row r="99" spans="1:4" ht="19" x14ac:dyDescent="0.25">
      <c r="A99" s="57" t="s">
        <v>134</v>
      </c>
      <c r="B99" s="145">
        <v>3.32</v>
      </c>
      <c r="C99" s="9">
        <v>0</v>
      </c>
      <c r="D99" s="46">
        <v>0</v>
      </c>
    </row>
    <row r="100" spans="1:4" ht="19" x14ac:dyDescent="0.25">
      <c r="A100" s="58" t="s">
        <v>135</v>
      </c>
      <c r="B100" s="146">
        <v>5.8</v>
      </c>
      <c r="C100" s="8">
        <v>0</v>
      </c>
      <c r="D100" s="45">
        <v>0</v>
      </c>
    </row>
    <row r="101" spans="1:4" ht="19" x14ac:dyDescent="0.25">
      <c r="A101" s="57" t="s">
        <v>136</v>
      </c>
      <c r="B101" s="147">
        <v>7.07</v>
      </c>
      <c r="C101" s="9">
        <v>0</v>
      </c>
      <c r="D101" s="46">
        <v>0</v>
      </c>
    </row>
    <row r="102" spans="1:4" ht="19" x14ac:dyDescent="0.25">
      <c r="A102" s="58" t="s">
        <v>137</v>
      </c>
      <c r="B102" s="148">
        <v>6.5</v>
      </c>
      <c r="C102" s="8">
        <v>0</v>
      </c>
      <c r="D102" s="45">
        <v>0</v>
      </c>
    </row>
    <row r="103" spans="1:4" ht="19" x14ac:dyDescent="0.25">
      <c r="A103" s="57" t="s">
        <v>138</v>
      </c>
      <c r="B103" s="149">
        <v>4.16</v>
      </c>
      <c r="C103" s="9">
        <v>0</v>
      </c>
      <c r="D103" s="46">
        <v>0</v>
      </c>
    </row>
    <row r="104" spans="1:4" ht="19" x14ac:dyDescent="0.25">
      <c r="A104" s="58" t="s">
        <v>139</v>
      </c>
      <c r="B104" s="114">
        <v>3.38</v>
      </c>
      <c r="C104" s="8">
        <v>0</v>
      </c>
      <c r="D104" s="45">
        <v>0</v>
      </c>
    </row>
    <row r="105" spans="1:4" ht="19" x14ac:dyDescent="0.25">
      <c r="A105" s="57" t="s">
        <v>140</v>
      </c>
      <c r="B105" s="150">
        <v>4.0199999999999996</v>
      </c>
      <c r="C105" s="9">
        <v>0</v>
      </c>
      <c r="D105" s="46">
        <v>0</v>
      </c>
    </row>
    <row r="106" spans="1:4" ht="19" x14ac:dyDescent="0.25">
      <c r="A106" s="58" t="s">
        <v>141</v>
      </c>
      <c r="B106" s="151">
        <v>6.65</v>
      </c>
      <c r="C106" s="8">
        <v>0</v>
      </c>
      <c r="D106" s="45">
        <v>0</v>
      </c>
    </row>
    <row r="107" spans="1:4" ht="19" x14ac:dyDescent="0.25">
      <c r="A107" s="57" t="s">
        <v>142</v>
      </c>
      <c r="B107" s="152">
        <v>4.5599999999999996</v>
      </c>
      <c r="C107" s="9">
        <v>0</v>
      </c>
      <c r="D107" s="46">
        <v>0</v>
      </c>
    </row>
    <row r="108" spans="1:4" ht="19" x14ac:dyDescent="0.25">
      <c r="A108" s="58" t="s">
        <v>143</v>
      </c>
      <c r="B108" s="76">
        <v>5.34</v>
      </c>
      <c r="C108" s="8">
        <v>0</v>
      </c>
      <c r="D108" s="45">
        <v>0</v>
      </c>
    </row>
    <row r="109" spans="1:4" ht="19" x14ac:dyDescent="0.25">
      <c r="A109" s="57" t="s">
        <v>144</v>
      </c>
      <c r="B109" s="153">
        <v>4.72</v>
      </c>
      <c r="C109" s="9">
        <v>0</v>
      </c>
      <c r="D109" s="46">
        <v>0</v>
      </c>
    </row>
    <row r="110" spans="1:4" ht="19" x14ac:dyDescent="0.25">
      <c r="A110" s="58" t="s">
        <v>145</v>
      </c>
      <c r="B110" s="154">
        <v>5.28</v>
      </c>
      <c r="C110" s="8">
        <v>0</v>
      </c>
      <c r="D110" s="45">
        <v>0</v>
      </c>
    </row>
    <row r="111" spans="1:4" ht="19" x14ac:dyDescent="0.25">
      <c r="A111" s="57" t="s">
        <v>146</v>
      </c>
      <c r="B111" s="146">
        <v>5.8</v>
      </c>
      <c r="C111" s="9">
        <v>0</v>
      </c>
      <c r="D111" s="46">
        <v>0</v>
      </c>
    </row>
    <row r="112" spans="1:4" ht="19" x14ac:dyDescent="0.25">
      <c r="A112" s="58" t="s">
        <v>147</v>
      </c>
      <c r="B112" s="155">
        <v>4.1500000000000004</v>
      </c>
      <c r="C112" s="8">
        <v>0</v>
      </c>
      <c r="D112" s="45">
        <v>0</v>
      </c>
    </row>
    <row r="113" spans="1:4" ht="19" x14ac:dyDescent="0.25">
      <c r="A113" s="57" t="s">
        <v>148</v>
      </c>
      <c r="B113" s="156">
        <v>3.43</v>
      </c>
      <c r="C113" s="9">
        <v>0</v>
      </c>
      <c r="D113" s="46">
        <v>0</v>
      </c>
    </row>
    <row r="114" spans="1:4" ht="19" x14ac:dyDescent="0.25">
      <c r="A114" s="58" t="s">
        <v>149</v>
      </c>
      <c r="B114" s="93">
        <v>3.2</v>
      </c>
      <c r="C114" s="8">
        <v>0</v>
      </c>
      <c r="D114" s="45">
        <v>0</v>
      </c>
    </row>
    <row r="115" spans="1:4" ht="19" x14ac:dyDescent="0.25">
      <c r="A115" s="57" t="s">
        <v>150</v>
      </c>
      <c r="B115" s="157">
        <v>4.05</v>
      </c>
      <c r="C115" s="9">
        <v>0</v>
      </c>
      <c r="D115" s="46">
        <v>0</v>
      </c>
    </row>
    <row r="116" spans="1:4" ht="19" x14ac:dyDescent="0.25">
      <c r="A116" s="58" t="s">
        <v>151</v>
      </c>
      <c r="B116" s="158">
        <v>5.96</v>
      </c>
      <c r="C116" s="8">
        <v>0</v>
      </c>
      <c r="D116" s="45">
        <v>0</v>
      </c>
    </row>
    <row r="117" spans="1:4" ht="19" x14ac:dyDescent="0.25">
      <c r="A117" s="57" t="s">
        <v>152</v>
      </c>
      <c r="B117" s="159">
        <v>5.47</v>
      </c>
      <c r="C117" s="9">
        <v>0</v>
      </c>
      <c r="D117" s="46">
        <v>0</v>
      </c>
    </row>
    <row r="118" spans="1:4" ht="19" x14ac:dyDescent="0.25">
      <c r="A118" s="58" t="s">
        <v>153</v>
      </c>
      <c r="B118" s="79">
        <v>4.42</v>
      </c>
      <c r="C118" s="8">
        <v>0</v>
      </c>
      <c r="D118" s="45">
        <v>0</v>
      </c>
    </row>
    <row r="119" spans="1:4" ht="19" x14ac:dyDescent="0.25">
      <c r="A119" s="57" t="s">
        <v>154</v>
      </c>
      <c r="B119" s="160">
        <v>5.4</v>
      </c>
      <c r="C119" s="9">
        <v>0</v>
      </c>
      <c r="D119" s="46">
        <v>0</v>
      </c>
    </row>
    <row r="120" spans="1:4" ht="19" x14ac:dyDescent="0.25">
      <c r="A120" s="58" t="s">
        <v>155</v>
      </c>
      <c r="B120" s="161">
        <v>5.04</v>
      </c>
      <c r="C120" s="8">
        <v>0</v>
      </c>
      <c r="D120" s="45">
        <v>0</v>
      </c>
    </row>
    <row r="121" spans="1:4" ht="19" x14ac:dyDescent="0.25">
      <c r="A121" s="57" t="s">
        <v>156</v>
      </c>
      <c r="B121" s="162">
        <v>5.64</v>
      </c>
      <c r="C121" s="9">
        <v>0</v>
      </c>
      <c r="D121" s="46">
        <v>0</v>
      </c>
    </row>
    <row r="122" spans="1:4" ht="19" x14ac:dyDescent="0.25">
      <c r="A122" s="58" t="s">
        <v>157</v>
      </c>
      <c r="B122" s="163">
        <v>3.04</v>
      </c>
      <c r="C122" s="8">
        <v>0</v>
      </c>
      <c r="D122" s="45">
        <v>0</v>
      </c>
    </row>
    <row r="123" spans="1:4" ht="19" x14ac:dyDescent="0.25">
      <c r="A123" s="57" t="s">
        <v>158</v>
      </c>
      <c r="B123" s="164">
        <v>3.79</v>
      </c>
      <c r="C123" s="9">
        <v>0</v>
      </c>
      <c r="D123" s="46">
        <v>0</v>
      </c>
    </row>
    <row r="124" spans="1:4" ht="19" x14ac:dyDescent="0.25">
      <c r="A124" s="58" t="s">
        <v>159</v>
      </c>
      <c r="B124" s="165">
        <v>3.48</v>
      </c>
      <c r="C124" s="8">
        <v>0</v>
      </c>
      <c r="D124" s="45">
        <v>0</v>
      </c>
    </row>
    <row r="125" spans="1:4" ht="19" x14ac:dyDescent="0.25">
      <c r="A125" s="57" t="s">
        <v>160</v>
      </c>
      <c r="B125" s="166">
        <v>5.22</v>
      </c>
      <c r="C125" s="9">
        <v>0</v>
      </c>
      <c r="D125" s="46">
        <v>0</v>
      </c>
    </row>
    <row r="126" spans="1:4" ht="19" x14ac:dyDescent="0.25">
      <c r="A126" s="58" t="s">
        <v>161</v>
      </c>
      <c r="B126" s="167">
        <v>3.57</v>
      </c>
      <c r="C126" s="8">
        <v>0</v>
      </c>
      <c r="D126" s="45">
        <v>0</v>
      </c>
    </row>
    <row r="127" spans="1:4" ht="19" x14ac:dyDescent="0.25">
      <c r="A127" s="57" t="s">
        <v>162</v>
      </c>
      <c r="B127" s="168">
        <v>3.7</v>
      </c>
      <c r="C127" s="9">
        <v>0</v>
      </c>
      <c r="D127" s="46">
        <v>0</v>
      </c>
    </row>
    <row r="128" spans="1:4" ht="19" x14ac:dyDescent="0.25">
      <c r="A128" s="58" t="s">
        <v>163</v>
      </c>
      <c r="B128" s="169">
        <v>5.1100000000000003</v>
      </c>
      <c r="C128" s="8">
        <v>0</v>
      </c>
      <c r="D128" s="45">
        <v>0</v>
      </c>
    </row>
    <row r="129" spans="1:4" ht="19" x14ac:dyDescent="0.25">
      <c r="A129" s="57" t="s">
        <v>164</v>
      </c>
      <c r="B129" s="137">
        <v>7.1</v>
      </c>
      <c r="C129" s="9">
        <v>0</v>
      </c>
      <c r="D129" s="46">
        <v>0</v>
      </c>
    </row>
    <row r="130" spans="1:4" ht="19" x14ac:dyDescent="0.25">
      <c r="A130" s="58" t="s">
        <v>165</v>
      </c>
      <c r="B130" s="170">
        <v>3.52</v>
      </c>
      <c r="C130" s="8">
        <v>0</v>
      </c>
      <c r="D130" s="45">
        <v>0</v>
      </c>
    </row>
    <row r="131" spans="1:4" ht="19" x14ac:dyDescent="0.25">
      <c r="A131" s="57" t="s">
        <v>166</v>
      </c>
      <c r="B131" s="171">
        <v>2.78</v>
      </c>
      <c r="C131" s="9">
        <v>0</v>
      </c>
      <c r="D131" s="46">
        <v>0</v>
      </c>
    </row>
    <row r="132" spans="1:4" ht="19" x14ac:dyDescent="0.25">
      <c r="A132" s="59" t="s">
        <v>167</v>
      </c>
      <c r="B132" s="172">
        <v>7.33</v>
      </c>
      <c r="C132" s="8">
        <v>0</v>
      </c>
      <c r="D132" s="45">
        <v>0</v>
      </c>
    </row>
    <row r="133" spans="1:4" ht="19" x14ac:dyDescent="0.25">
      <c r="A133" s="57" t="s">
        <v>168</v>
      </c>
      <c r="B133" s="173">
        <v>5.69</v>
      </c>
      <c r="C133" s="9">
        <v>0</v>
      </c>
      <c r="D133" s="46">
        <v>0</v>
      </c>
    </row>
    <row r="134" spans="1:4" ht="19" x14ac:dyDescent="0.25">
      <c r="A134" s="58" t="s">
        <v>169</v>
      </c>
      <c r="B134" s="63">
        <v>5.21</v>
      </c>
      <c r="C134" s="8">
        <v>0</v>
      </c>
      <c r="D134" s="45">
        <v>0</v>
      </c>
    </row>
    <row r="135" spans="1:4" ht="19" x14ac:dyDescent="0.25">
      <c r="A135" s="57" t="s">
        <v>170</v>
      </c>
      <c r="B135" s="174">
        <v>5.15</v>
      </c>
      <c r="C135" s="9">
        <v>0</v>
      </c>
      <c r="D135" s="46">
        <v>0</v>
      </c>
    </row>
    <row r="136" spans="1:4" ht="19" x14ac:dyDescent="0.25">
      <c r="A136" s="58" t="s">
        <v>171</v>
      </c>
      <c r="B136" s="175">
        <v>5.87</v>
      </c>
      <c r="C136" s="8">
        <v>0</v>
      </c>
      <c r="D136" s="45">
        <v>0</v>
      </c>
    </row>
    <row r="137" spans="1:4" ht="19" x14ac:dyDescent="0.25">
      <c r="A137" s="57" t="s">
        <v>172</v>
      </c>
      <c r="B137" s="176">
        <v>4.38</v>
      </c>
      <c r="C137" s="9">
        <v>0</v>
      </c>
      <c r="D137" s="46">
        <v>0</v>
      </c>
    </row>
    <row r="138" spans="1:4" ht="19" x14ac:dyDescent="0.25">
      <c r="A138" s="58" t="s">
        <v>173</v>
      </c>
      <c r="B138" s="177">
        <v>5.13</v>
      </c>
      <c r="C138" s="8">
        <v>0</v>
      </c>
      <c r="D138" s="45">
        <v>0</v>
      </c>
    </row>
    <row r="139" spans="1:4" ht="19" x14ac:dyDescent="0.25">
      <c r="A139" s="57" t="s">
        <v>174</v>
      </c>
      <c r="B139" s="178">
        <v>5.26</v>
      </c>
      <c r="C139" s="9">
        <v>0</v>
      </c>
      <c r="D139" s="46">
        <v>0</v>
      </c>
    </row>
    <row r="140" spans="1:4" ht="19" x14ac:dyDescent="0.25">
      <c r="A140" s="58" t="s">
        <v>175</v>
      </c>
      <c r="B140" s="179">
        <v>6.29</v>
      </c>
      <c r="C140" s="8">
        <v>0</v>
      </c>
      <c r="D140" s="45">
        <v>0</v>
      </c>
    </row>
    <row r="141" spans="1:4" ht="19" x14ac:dyDescent="0.25">
      <c r="A141" s="57" t="s">
        <v>176</v>
      </c>
      <c r="B141" s="180">
        <v>6.35</v>
      </c>
      <c r="C141" s="9">
        <v>0</v>
      </c>
      <c r="D141" s="46">
        <v>0</v>
      </c>
    </row>
    <row r="142" spans="1:4" ht="19" x14ac:dyDescent="0.25">
      <c r="A142" s="58" t="s">
        <v>177</v>
      </c>
      <c r="B142" s="181">
        <v>3.72</v>
      </c>
      <c r="C142" s="8">
        <v>0</v>
      </c>
      <c r="D142" s="45">
        <v>0</v>
      </c>
    </row>
    <row r="143" spans="1:4" ht="19" x14ac:dyDescent="0.25">
      <c r="A143" s="57" t="s">
        <v>178</v>
      </c>
      <c r="B143" s="145">
        <v>3.32</v>
      </c>
      <c r="C143" s="9">
        <v>0</v>
      </c>
      <c r="D143" s="46">
        <v>0</v>
      </c>
    </row>
    <row r="144" spans="1:4" ht="19" x14ac:dyDescent="0.25">
      <c r="A144" s="58" t="s">
        <v>179</v>
      </c>
      <c r="B144" s="182">
        <v>4.1900000000000004</v>
      </c>
      <c r="C144" s="8">
        <v>0</v>
      </c>
      <c r="D144" s="45">
        <v>0</v>
      </c>
    </row>
    <row r="145" spans="1:4" ht="19" x14ac:dyDescent="0.25">
      <c r="A145" s="57" t="s">
        <v>180</v>
      </c>
      <c r="B145" s="183">
        <v>3.91</v>
      </c>
      <c r="C145" s="9">
        <v>0</v>
      </c>
      <c r="D145" s="46">
        <v>0</v>
      </c>
    </row>
    <row r="146" spans="1:4" ht="19" x14ac:dyDescent="0.25">
      <c r="A146" s="58" t="s">
        <v>181</v>
      </c>
      <c r="B146" s="112">
        <v>5.77</v>
      </c>
      <c r="C146" s="8">
        <v>0</v>
      </c>
      <c r="D146" s="45">
        <v>0</v>
      </c>
    </row>
    <row r="147" spans="1:4" ht="19" x14ac:dyDescent="0.25">
      <c r="A147" s="57" t="s">
        <v>182</v>
      </c>
      <c r="B147" s="184">
        <v>4.32</v>
      </c>
      <c r="C147" s="9">
        <v>0</v>
      </c>
      <c r="D147" s="46">
        <v>0</v>
      </c>
    </row>
    <row r="148" spans="1:4" ht="19" x14ac:dyDescent="0.25">
      <c r="A148" s="58" t="s">
        <v>183</v>
      </c>
      <c r="B148" s="70">
        <v>6.3</v>
      </c>
      <c r="C148" s="8">
        <v>0</v>
      </c>
      <c r="D148" s="45">
        <v>0</v>
      </c>
    </row>
    <row r="149" spans="1:4" ht="19" x14ac:dyDescent="0.25">
      <c r="A149" s="57" t="s">
        <v>184</v>
      </c>
      <c r="B149" s="185">
        <v>4.95</v>
      </c>
      <c r="C149" s="9">
        <v>0</v>
      </c>
      <c r="D149" s="46">
        <v>0</v>
      </c>
    </row>
    <row r="150" spans="1:4" ht="19" x14ac:dyDescent="0.25">
      <c r="A150" s="60" t="s">
        <v>185</v>
      </c>
      <c r="B150" s="186">
        <v>6.14</v>
      </c>
      <c r="C150" s="10">
        <v>0</v>
      </c>
      <c r="D150" s="47">
        <v>0</v>
      </c>
    </row>
    <row r="151" spans="1:4" ht="19" x14ac:dyDescent="0.25">
      <c r="A151" s="61" t="s">
        <v>186</v>
      </c>
      <c r="B151" s="5"/>
      <c r="C151" s="6">
        <f>SUM(C4:C150)</f>
        <v>0</v>
      </c>
      <c r="D151" s="48">
        <f>SUM(D4:D150)</f>
        <v>0</v>
      </c>
    </row>
  </sheetData>
  <mergeCells count="1">
    <mergeCell ref="A1:D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FF04F-6031-CE43-8A3F-8A575F63923D}">
  <dimension ref="A1:J151"/>
  <sheetViews>
    <sheetView workbookViewId="0">
      <selection activeCell="I17" sqref="I17"/>
    </sheetView>
  </sheetViews>
  <sheetFormatPr baseColWidth="10" defaultColWidth="11" defaultRowHeight="16" x14ac:dyDescent="0.2"/>
  <cols>
    <col min="1" max="1" width="23" bestFit="1" customWidth="1"/>
    <col min="2" max="2" width="32" bestFit="1" customWidth="1"/>
    <col min="3" max="3" width="33.6640625" bestFit="1" customWidth="1"/>
    <col min="4" max="4" width="42.6640625" bestFit="1" customWidth="1"/>
    <col min="5" max="5" width="16" bestFit="1" customWidth="1"/>
    <col min="7" max="7" width="29.33203125" bestFit="1" customWidth="1"/>
    <col min="8" max="8" width="8.5" bestFit="1" customWidth="1"/>
    <col min="9" max="9" width="22.5" bestFit="1" customWidth="1"/>
    <col min="10" max="10" width="12.33203125" bestFit="1" customWidth="1"/>
  </cols>
  <sheetData>
    <row r="1" spans="1:10" ht="17" customHeight="1" x14ac:dyDescent="0.2">
      <c r="A1" s="188" t="s">
        <v>12</v>
      </c>
      <c r="B1" s="189"/>
      <c r="C1" s="189"/>
      <c r="D1" s="189"/>
    </row>
    <row r="2" spans="1:10" ht="17" customHeight="1" thickBot="1" x14ac:dyDescent="0.25">
      <c r="A2" s="190"/>
      <c r="B2" s="191"/>
      <c r="C2" s="191"/>
      <c r="D2" s="191"/>
    </row>
    <row r="3" spans="1:10" ht="20" thickTop="1" x14ac:dyDescent="0.25">
      <c r="A3" s="12" t="s">
        <v>27</v>
      </c>
      <c r="B3" s="13" t="s">
        <v>28</v>
      </c>
      <c r="C3" s="14" t="s">
        <v>29</v>
      </c>
      <c r="D3" s="7" t="s">
        <v>30</v>
      </c>
    </row>
    <row r="4" spans="1:10" ht="20" thickBot="1" x14ac:dyDescent="0.3">
      <c r="A4" s="56" t="s">
        <v>31</v>
      </c>
      <c r="B4" s="62">
        <v>4.37</v>
      </c>
      <c r="C4" s="15">
        <v>0</v>
      </c>
      <c r="D4" s="45">
        <f>'Facility Risk - LVMH'!$C4/$C$151</f>
        <v>0</v>
      </c>
    </row>
    <row r="5" spans="1:10" ht="20" thickBot="1" x14ac:dyDescent="0.3">
      <c r="A5" s="57" t="s">
        <v>32</v>
      </c>
      <c r="B5" s="63">
        <v>5.21</v>
      </c>
      <c r="C5" s="9">
        <v>0</v>
      </c>
      <c r="D5" s="46">
        <f>'Facility Risk - LVMH'!$C5/$C$151</f>
        <v>0</v>
      </c>
      <c r="G5" s="32" t="s">
        <v>33</v>
      </c>
      <c r="H5" s="33"/>
      <c r="I5" s="33"/>
      <c r="J5" s="34"/>
    </row>
    <row r="6" spans="1:10" ht="20" thickBot="1" x14ac:dyDescent="0.3">
      <c r="A6" s="58" t="s">
        <v>34</v>
      </c>
      <c r="B6" s="64">
        <v>5.63</v>
      </c>
      <c r="C6" s="8">
        <v>0</v>
      </c>
      <c r="D6" s="45">
        <f>'Facility Risk - LVMH'!$C6/$C$151</f>
        <v>0</v>
      </c>
      <c r="G6" s="20"/>
      <c r="H6" s="21" t="s">
        <v>35</v>
      </c>
      <c r="I6" s="22" t="s">
        <v>36</v>
      </c>
      <c r="J6" s="23" t="s">
        <v>37</v>
      </c>
    </row>
    <row r="7" spans="1:10" ht="19" x14ac:dyDescent="0.25">
      <c r="A7" s="57" t="s">
        <v>38</v>
      </c>
      <c r="B7" s="65">
        <v>4.3600000000000003</v>
      </c>
      <c r="C7" s="9">
        <v>2.1299999999999999E-2</v>
      </c>
      <c r="D7" s="46">
        <f>'Facility Risk - LVMH'!$C7/$C$151</f>
        <v>2.1293611916425072E-2</v>
      </c>
      <c r="G7" s="24" t="s">
        <v>39</v>
      </c>
      <c r="H7" s="25" t="str">
        <f>INDEX(A4:A150,MATCH(MIN(D4:D150),D4:D150,0))</f>
        <v>Albania</v>
      </c>
      <c r="I7" s="25">
        <f>INDEX(B4:B150,MATCH(MIN(D4:D150),D4:D150,0))</f>
        <v>4.37</v>
      </c>
      <c r="J7" s="26">
        <f>INDEX(D4:D150,MATCH(MIN(D4:D150),D4:D150,0))</f>
        <v>0</v>
      </c>
    </row>
    <row r="8" spans="1:10" ht="20" thickBot="1" x14ac:dyDescent="0.3">
      <c r="A8" s="58" t="s">
        <v>40</v>
      </c>
      <c r="B8" s="66">
        <v>4.79</v>
      </c>
      <c r="C8" s="8">
        <v>0</v>
      </c>
      <c r="D8" s="45">
        <f>'Facility Risk - LVMH'!$C8/$C$151</f>
        <v>0</v>
      </c>
      <c r="G8" s="27" t="s">
        <v>41</v>
      </c>
      <c r="H8" s="28" t="str">
        <f>INDEX(A4:A150,MATCH(MAX(D4:D150),D4:D150,0))</f>
        <v>France</v>
      </c>
      <c r="I8" s="28">
        <f>INDEX(B4:B150,MATCH(MAX(D4:D150),D4:D150,0))</f>
        <v>3.65</v>
      </c>
      <c r="J8" s="31">
        <f>INDEX(D4:D150,MATCH(MAX(D4:D150),D4:D150,0))</f>
        <v>0.40417874637608719</v>
      </c>
    </row>
    <row r="9" spans="1:10" ht="23" thickBot="1" x14ac:dyDescent="0.35">
      <c r="A9" s="57" t="s">
        <v>42</v>
      </c>
      <c r="B9" s="67">
        <v>3.22</v>
      </c>
      <c r="C9" s="9">
        <v>2.1299999999999999E-2</v>
      </c>
      <c r="D9" s="46">
        <f>'Facility Risk - LVMH'!$C9/$C$151</f>
        <v>2.1293611916425072E-2</v>
      </c>
      <c r="G9" s="30" t="s">
        <v>43</v>
      </c>
      <c r="H9" s="29"/>
      <c r="I9" s="29"/>
      <c r="J9" s="187">
        <f>SUMPRODUCT(B4:B150,D4:D150)</f>
        <v>3.7645546336099174</v>
      </c>
    </row>
    <row r="10" spans="1:10" ht="19" x14ac:dyDescent="0.25">
      <c r="A10" s="58" t="s">
        <v>44</v>
      </c>
      <c r="B10" s="68">
        <v>3.41</v>
      </c>
      <c r="C10" s="8">
        <v>0</v>
      </c>
      <c r="D10" s="45">
        <f>'Facility Risk - LVMH'!$C10/$C$151</f>
        <v>0</v>
      </c>
    </row>
    <row r="11" spans="1:10" ht="19" x14ac:dyDescent="0.25">
      <c r="A11" s="57" t="s">
        <v>45</v>
      </c>
      <c r="B11" s="63">
        <v>5.21</v>
      </c>
      <c r="C11" s="9">
        <v>0</v>
      </c>
      <c r="D11" s="46">
        <f>'Facility Risk - LVMH'!$C11/$C$151</f>
        <v>0</v>
      </c>
    </row>
    <row r="12" spans="1:10" ht="19" x14ac:dyDescent="0.25">
      <c r="A12" s="58" t="s">
        <v>46</v>
      </c>
      <c r="B12" s="69">
        <v>4.26</v>
      </c>
      <c r="C12" s="8">
        <v>0</v>
      </c>
      <c r="D12" s="45">
        <f>'Facility Risk - LVMH'!$C12/$C$151</f>
        <v>0</v>
      </c>
    </row>
    <row r="13" spans="1:10" ht="19" x14ac:dyDescent="0.25">
      <c r="A13" s="57" t="s">
        <v>47</v>
      </c>
      <c r="B13" s="70">
        <v>6.29</v>
      </c>
      <c r="C13" s="9">
        <v>0</v>
      </c>
      <c r="D13" s="46">
        <f>'Facility Risk - LVMH'!$C13/$C$151</f>
        <v>0</v>
      </c>
    </row>
    <row r="14" spans="1:10" ht="19" x14ac:dyDescent="0.25">
      <c r="A14" s="58" t="s">
        <v>48</v>
      </c>
      <c r="B14" s="71">
        <v>5.45</v>
      </c>
      <c r="C14" s="8">
        <v>0</v>
      </c>
      <c r="D14" s="45">
        <f>'Facility Risk - LVMH'!$C14/$C$151</f>
        <v>0</v>
      </c>
    </row>
    <row r="15" spans="1:10" ht="19" x14ac:dyDescent="0.25">
      <c r="A15" s="57" t="s">
        <v>49</v>
      </c>
      <c r="B15" s="72">
        <v>3.33</v>
      </c>
      <c r="C15" s="9">
        <v>0</v>
      </c>
      <c r="D15" s="46">
        <f>'Facility Risk - LVMH'!$C15/$C$151</f>
        <v>0</v>
      </c>
    </row>
    <row r="16" spans="1:10" ht="19" x14ac:dyDescent="0.25">
      <c r="A16" s="58" t="s">
        <v>50</v>
      </c>
      <c r="B16" s="73">
        <v>6</v>
      </c>
      <c r="C16" s="8">
        <v>0</v>
      </c>
      <c r="D16" s="45">
        <f>'Facility Risk - LVMH'!$C16/$C$151</f>
        <v>0</v>
      </c>
    </row>
    <row r="17" spans="1:5" ht="19" x14ac:dyDescent="0.25">
      <c r="A17" s="57" t="s">
        <v>51</v>
      </c>
      <c r="B17" s="74">
        <v>5.0199999999999996</v>
      </c>
      <c r="C17" s="9">
        <v>0</v>
      </c>
      <c r="D17" s="46">
        <f>'Facility Risk - LVMH'!$C17/$C$151</f>
        <v>0</v>
      </c>
    </row>
    <row r="18" spans="1:5" ht="19" x14ac:dyDescent="0.25">
      <c r="A18" s="58" t="s">
        <v>52</v>
      </c>
      <c r="B18" s="75">
        <v>5.41</v>
      </c>
      <c r="C18" s="8">
        <v>0</v>
      </c>
      <c r="D18" s="45">
        <f>'Facility Risk - LVMH'!$C18/$C$151</f>
        <v>0</v>
      </c>
    </row>
    <row r="19" spans="1:5" ht="19" x14ac:dyDescent="0.25">
      <c r="A19" s="57" t="s">
        <v>53</v>
      </c>
      <c r="B19" s="76">
        <v>5.34</v>
      </c>
      <c r="C19" s="9">
        <v>0</v>
      </c>
      <c r="D19" s="46">
        <f>'Facility Risk - LVMH'!$C19/$C$151</f>
        <v>0</v>
      </c>
    </row>
    <row r="20" spans="1:5" ht="19" x14ac:dyDescent="0.25">
      <c r="A20" s="58" t="s">
        <v>54</v>
      </c>
      <c r="B20" s="77">
        <v>4.34</v>
      </c>
      <c r="C20" s="8">
        <v>0</v>
      </c>
      <c r="D20" s="45">
        <f>'Facility Risk - LVMH'!$C20/$C$151</f>
        <v>0</v>
      </c>
    </row>
    <row r="21" spans="1:5" ht="19" x14ac:dyDescent="0.25">
      <c r="A21" s="57" t="s">
        <v>55</v>
      </c>
      <c r="B21" s="78">
        <v>5.35</v>
      </c>
      <c r="C21" s="9">
        <v>2.1299999999999999E-2</v>
      </c>
      <c r="D21" s="46">
        <f>'Facility Risk - LVMH'!$C21/$C$151</f>
        <v>2.1293611916425072E-2</v>
      </c>
    </row>
    <row r="22" spans="1:5" ht="19" x14ac:dyDescent="0.25">
      <c r="A22" s="58" t="s">
        <v>56</v>
      </c>
      <c r="B22" s="79">
        <v>4.43</v>
      </c>
      <c r="C22" s="8">
        <v>0</v>
      </c>
      <c r="D22" s="45">
        <f>'Facility Risk - LVMH'!$C22/$C$151</f>
        <v>0</v>
      </c>
    </row>
    <row r="23" spans="1:5" ht="19" x14ac:dyDescent="0.25">
      <c r="A23" s="57" t="s">
        <v>57</v>
      </c>
      <c r="B23" s="80">
        <v>6.55</v>
      </c>
      <c r="C23" s="9">
        <v>0</v>
      </c>
      <c r="D23" s="46">
        <f>'Facility Risk - LVMH'!$C23/$C$151</f>
        <v>0</v>
      </c>
    </row>
    <row r="24" spans="1:5" ht="19" x14ac:dyDescent="0.25">
      <c r="A24" s="58" t="s">
        <v>58</v>
      </c>
      <c r="B24" s="81">
        <v>6.33</v>
      </c>
      <c r="C24" s="8">
        <v>0</v>
      </c>
      <c r="D24" s="45">
        <f>'Facility Risk - LVMH'!$C24/$C$151</f>
        <v>0</v>
      </c>
    </row>
    <row r="25" spans="1:5" ht="19" x14ac:dyDescent="0.25">
      <c r="A25" s="57" t="s">
        <v>59</v>
      </c>
      <c r="B25" s="64">
        <v>5.64</v>
      </c>
      <c r="C25" s="9">
        <v>0</v>
      </c>
      <c r="D25" s="46">
        <f>'Facility Risk - LVMH'!$C25/$C$151</f>
        <v>0</v>
      </c>
    </row>
    <row r="26" spans="1:5" ht="19" x14ac:dyDescent="0.25">
      <c r="A26" s="58" t="s">
        <v>60</v>
      </c>
      <c r="B26" s="82">
        <v>6.83</v>
      </c>
      <c r="C26" s="8">
        <v>0</v>
      </c>
      <c r="D26" s="45">
        <f>'Facility Risk - LVMH'!$C26/$C$151</f>
        <v>0</v>
      </c>
    </row>
    <row r="27" spans="1:5" ht="19" x14ac:dyDescent="0.25">
      <c r="A27" s="57" t="s">
        <v>61</v>
      </c>
      <c r="B27" s="83">
        <v>3.44</v>
      </c>
      <c r="C27" s="9">
        <v>0</v>
      </c>
      <c r="D27" s="46">
        <f>'Facility Risk - LVMH'!$C27/$C$151</f>
        <v>0</v>
      </c>
    </row>
    <row r="28" spans="1:5" ht="19" x14ac:dyDescent="0.25">
      <c r="A28" s="58" t="s">
        <v>62</v>
      </c>
      <c r="B28" s="84">
        <v>6.79</v>
      </c>
      <c r="C28" s="8">
        <v>0</v>
      </c>
      <c r="D28" s="45">
        <f>'Facility Risk - LVMH'!$C28/$C$151</f>
        <v>0</v>
      </c>
    </row>
    <row r="29" spans="1:5" ht="19" x14ac:dyDescent="0.25">
      <c r="A29" s="57" t="s">
        <v>63</v>
      </c>
      <c r="B29" s="82">
        <v>6.84</v>
      </c>
      <c r="C29" s="9">
        <v>0</v>
      </c>
      <c r="D29" s="46">
        <f>'Facility Risk - LVMH'!$C29/$C$151</f>
        <v>0</v>
      </c>
    </row>
    <row r="30" spans="1:5" ht="19" x14ac:dyDescent="0.25">
      <c r="A30" s="58" t="s">
        <v>64</v>
      </c>
      <c r="B30" s="65">
        <v>4.3600000000000003</v>
      </c>
      <c r="C30" s="8">
        <v>0</v>
      </c>
      <c r="D30" s="45">
        <f>'Facility Risk - LVMH'!$C30/$C$151</f>
        <v>0</v>
      </c>
    </row>
    <row r="31" spans="1:5" ht="19" x14ac:dyDescent="0.25">
      <c r="A31" s="57" t="s">
        <v>65</v>
      </c>
      <c r="B31" s="85">
        <v>4.26</v>
      </c>
      <c r="C31" s="9">
        <v>4.2599999999999999E-2</v>
      </c>
      <c r="D31" s="46">
        <f>'Facility Risk - LVMH'!$C31/$C$151</f>
        <v>4.2587223832850143E-2</v>
      </c>
      <c r="E31" s="50" t="s">
        <v>66</v>
      </c>
    </row>
    <row r="32" spans="1:5" ht="19" x14ac:dyDescent="0.25">
      <c r="A32" s="58" t="s">
        <v>67</v>
      </c>
      <c r="B32" s="86">
        <v>5.72</v>
      </c>
      <c r="C32" s="8">
        <v>0</v>
      </c>
      <c r="D32" s="45">
        <f>'Facility Risk - LVMH'!$C32/$C$151</f>
        <v>0</v>
      </c>
    </row>
    <row r="33" spans="1:4" ht="19" x14ac:dyDescent="0.25">
      <c r="A33" s="57" t="s">
        <v>68</v>
      </c>
      <c r="B33" s="87">
        <v>5.65</v>
      </c>
      <c r="C33" s="9">
        <v>0</v>
      </c>
      <c r="D33" s="46">
        <f>'Facility Risk - LVMH'!$C33/$C$151</f>
        <v>0</v>
      </c>
    </row>
    <row r="34" spans="1:4" ht="19" x14ac:dyDescent="0.25">
      <c r="A34" s="58" t="s">
        <v>69</v>
      </c>
      <c r="B34" s="88">
        <v>4.2300000000000004</v>
      </c>
      <c r="C34" s="8">
        <v>0</v>
      </c>
      <c r="D34" s="45">
        <f>'Facility Risk - LVMH'!$C34/$C$151</f>
        <v>0</v>
      </c>
    </row>
    <row r="35" spans="1:4" ht="19" x14ac:dyDescent="0.25">
      <c r="A35" s="57" t="s">
        <v>70</v>
      </c>
      <c r="B35" s="89">
        <v>5.6</v>
      </c>
      <c r="C35" s="9">
        <v>0</v>
      </c>
      <c r="D35" s="46">
        <f>'Facility Risk - LVMH'!$C35/$C$151</f>
        <v>0</v>
      </c>
    </row>
    <row r="36" spans="1:4" ht="19" x14ac:dyDescent="0.25">
      <c r="A36" s="58" t="s">
        <v>71</v>
      </c>
      <c r="B36" s="90">
        <v>4.28</v>
      </c>
      <c r="C36" s="8">
        <v>0</v>
      </c>
      <c r="D36" s="45">
        <f>'Facility Risk - LVMH'!$C36/$C$151</f>
        <v>0</v>
      </c>
    </row>
    <row r="37" spans="1:4" ht="19" x14ac:dyDescent="0.25">
      <c r="A37" s="57" t="s">
        <v>72</v>
      </c>
      <c r="B37" s="91">
        <v>4.67</v>
      </c>
      <c r="C37" s="9">
        <v>0</v>
      </c>
      <c r="D37" s="46">
        <f>'Facility Risk - LVMH'!$C37/$C$151</f>
        <v>0</v>
      </c>
    </row>
    <row r="38" spans="1:4" ht="19" x14ac:dyDescent="0.25">
      <c r="A38" s="58" t="s">
        <v>73</v>
      </c>
      <c r="B38" s="92">
        <v>3.75</v>
      </c>
      <c r="C38" s="8">
        <v>0</v>
      </c>
      <c r="D38" s="45">
        <f>'Facility Risk - LVMH'!$C38/$C$151</f>
        <v>0</v>
      </c>
    </row>
    <row r="39" spans="1:4" ht="19" x14ac:dyDescent="0.25">
      <c r="A39" s="57" t="s">
        <v>74</v>
      </c>
      <c r="B39" s="93">
        <v>3.2</v>
      </c>
      <c r="C39" s="9">
        <v>0</v>
      </c>
      <c r="D39" s="46">
        <f>'Facility Risk - LVMH'!$C39/$C$151</f>
        <v>0</v>
      </c>
    </row>
    <row r="40" spans="1:4" ht="19" x14ac:dyDescent="0.25">
      <c r="A40" s="58" t="s">
        <v>75</v>
      </c>
      <c r="B40" s="94">
        <v>5.98</v>
      </c>
      <c r="C40" s="8">
        <v>0</v>
      </c>
      <c r="D40" s="45">
        <f>'Facility Risk - LVMH'!$C40/$C$151</f>
        <v>0</v>
      </c>
    </row>
    <row r="41" spans="1:4" ht="19" x14ac:dyDescent="0.25">
      <c r="A41" s="57" t="s">
        <v>76</v>
      </c>
      <c r="B41" s="95">
        <v>4.7</v>
      </c>
      <c r="C41" s="9">
        <v>0</v>
      </c>
      <c r="D41" s="46">
        <f>'Facility Risk - LVMH'!$C41/$C$151</f>
        <v>0</v>
      </c>
    </row>
    <row r="42" spans="1:4" ht="19" x14ac:dyDescent="0.25">
      <c r="A42" s="58" t="s">
        <v>77</v>
      </c>
      <c r="B42" s="96">
        <v>5.71</v>
      </c>
      <c r="C42" s="8">
        <v>0</v>
      </c>
      <c r="D42" s="45">
        <f>'Facility Risk - LVMH'!$C42/$C$151</f>
        <v>0</v>
      </c>
    </row>
    <row r="43" spans="1:4" ht="19" x14ac:dyDescent="0.25">
      <c r="A43" s="57" t="s">
        <v>78</v>
      </c>
      <c r="B43" s="97">
        <v>5.6</v>
      </c>
      <c r="C43" s="9">
        <v>0</v>
      </c>
      <c r="D43" s="46">
        <f>'Facility Risk - LVMH'!$C43/$C$151</f>
        <v>0</v>
      </c>
    </row>
    <row r="44" spans="1:4" ht="19" x14ac:dyDescent="0.25">
      <c r="A44" s="58" t="s">
        <v>79</v>
      </c>
      <c r="B44" s="98">
        <v>4.79</v>
      </c>
      <c r="C44" s="8">
        <v>0</v>
      </c>
      <c r="D44" s="45">
        <f>'Facility Risk - LVMH'!$C44/$C$151</f>
        <v>0</v>
      </c>
    </row>
    <row r="45" spans="1:4" ht="19" x14ac:dyDescent="0.25">
      <c r="A45" s="57" t="s">
        <v>80</v>
      </c>
      <c r="B45" s="99">
        <v>3.57</v>
      </c>
      <c r="C45" s="9">
        <v>0</v>
      </c>
      <c r="D45" s="46">
        <f>'Facility Risk - LVMH'!$C45/$C$151</f>
        <v>0</v>
      </c>
    </row>
    <row r="46" spans="1:4" ht="19" x14ac:dyDescent="0.25">
      <c r="A46" s="58" t="s">
        <v>81</v>
      </c>
      <c r="B46" s="100">
        <v>4.5</v>
      </c>
      <c r="C46" s="8">
        <v>0</v>
      </c>
      <c r="D46" s="45">
        <f>'Facility Risk - LVMH'!$C46/$C$151</f>
        <v>0</v>
      </c>
    </row>
    <row r="47" spans="1:4" ht="19" x14ac:dyDescent="0.25">
      <c r="A47" s="57" t="s">
        <v>82</v>
      </c>
      <c r="B47" s="101">
        <v>6.93</v>
      </c>
      <c r="C47" s="9">
        <v>0</v>
      </c>
      <c r="D47" s="46">
        <f>'Facility Risk - LVMH'!$C47/$C$151</f>
        <v>0</v>
      </c>
    </row>
    <row r="48" spans="1:4" ht="19" x14ac:dyDescent="0.25">
      <c r="A48" s="58" t="s">
        <v>83</v>
      </c>
      <c r="B48" s="102">
        <v>3.35</v>
      </c>
      <c r="C48" s="8">
        <v>0</v>
      </c>
      <c r="D48" s="45">
        <f>'Facility Risk - LVMH'!$C48/$C$151</f>
        <v>0</v>
      </c>
    </row>
    <row r="49" spans="1:4" ht="19" x14ac:dyDescent="0.25">
      <c r="A49" s="57" t="s">
        <v>84</v>
      </c>
      <c r="B49" s="103">
        <v>3.65</v>
      </c>
      <c r="C49" s="9">
        <v>0.40429999999999999</v>
      </c>
      <c r="D49" s="46">
        <f>'Facility Risk - LVMH'!$C49/$C$151</f>
        <v>0.40417874637608719</v>
      </c>
    </row>
    <row r="50" spans="1:4" ht="19" x14ac:dyDescent="0.25">
      <c r="A50" s="58" t="s">
        <v>85</v>
      </c>
      <c r="B50" s="104">
        <v>5.78</v>
      </c>
      <c r="C50" s="8">
        <v>0</v>
      </c>
      <c r="D50" s="45">
        <f>'Facility Risk - LVMH'!$C50/$C$151</f>
        <v>0</v>
      </c>
    </row>
    <row r="51" spans="1:4" ht="19" x14ac:dyDescent="0.25">
      <c r="A51" s="57" t="s">
        <v>86</v>
      </c>
      <c r="B51" s="105">
        <v>5.38</v>
      </c>
      <c r="C51" s="9">
        <v>0</v>
      </c>
      <c r="D51" s="46">
        <f>'Facility Risk - LVMH'!$C51/$C$151</f>
        <v>0</v>
      </c>
    </row>
    <row r="52" spans="1:4" ht="19" x14ac:dyDescent="0.25">
      <c r="A52" s="58" t="s">
        <v>87</v>
      </c>
      <c r="B52" s="106">
        <v>4.93</v>
      </c>
      <c r="C52" s="8">
        <v>0</v>
      </c>
      <c r="D52" s="45">
        <f>'Facility Risk - LVMH'!$C52/$C$151</f>
        <v>0</v>
      </c>
    </row>
    <row r="53" spans="1:4" ht="19" x14ac:dyDescent="0.25">
      <c r="A53" s="57" t="s">
        <v>88</v>
      </c>
      <c r="B53" s="68">
        <v>3.42</v>
      </c>
      <c r="C53" s="9">
        <v>0</v>
      </c>
      <c r="D53" s="46">
        <f>'Facility Risk - LVMH'!$C53/$C$151</f>
        <v>0</v>
      </c>
    </row>
    <row r="54" spans="1:4" ht="19" x14ac:dyDescent="0.25">
      <c r="A54" s="58" t="s">
        <v>89</v>
      </c>
      <c r="B54" s="107">
        <v>4.63</v>
      </c>
      <c r="C54" s="8">
        <v>0</v>
      </c>
      <c r="D54" s="45">
        <f>'Facility Risk - LVMH'!$C54/$C$151</f>
        <v>0</v>
      </c>
    </row>
    <row r="55" spans="1:4" ht="19" x14ac:dyDescent="0.25">
      <c r="A55" s="57" t="s">
        <v>90</v>
      </c>
      <c r="B55" s="77">
        <v>4.34</v>
      </c>
      <c r="C55" s="9">
        <v>0</v>
      </c>
      <c r="D55" s="46">
        <f>'Facility Risk - LVMH'!$C55/$C$151</f>
        <v>0</v>
      </c>
    </row>
    <row r="56" spans="1:4" ht="19" x14ac:dyDescent="0.25">
      <c r="A56" s="58" t="s">
        <v>91</v>
      </c>
      <c r="B56" s="71">
        <v>5.45</v>
      </c>
      <c r="C56" s="8">
        <v>0</v>
      </c>
      <c r="D56" s="45">
        <f>'Facility Risk - LVMH'!$C56/$C$151</f>
        <v>0</v>
      </c>
    </row>
    <row r="57" spans="1:4" ht="19" x14ac:dyDescent="0.25">
      <c r="A57" s="57" t="s">
        <v>92</v>
      </c>
      <c r="B57" s="108">
        <v>6.36</v>
      </c>
      <c r="C57" s="9">
        <v>0</v>
      </c>
      <c r="D57" s="46">
        <f>'Facility Risk - LVMH'!$C57/$C$151</f>
        <v>0</v>
      </c>
    </row>
    <row r="58" spans="1:4" ht="19" x14ac:dyDescent="0.25">
      <c r="A58" s="58" t="s">
        <v>93</v>
      </c>
      <c r="B58" s="109">
        <v>5.94</v>
      </c>
      <c r="C58" s="8">
        <v>0</v>
      </c>
      <c r="D58" s="45">
        <f>'Facility Risk - LVMH'!$C58/$C$151</f>
        <v>0</v>
      </c>
    </row>
    <row r="59" spans="1:4" ht="19" x14ac:dyDescent="0.25">
      <c r="A59" s="57" t="s">
        <v>94</v>
      </c>
      <c r="B59" s="110">
        <v>4.92</v>
      </c>
      <c r="C59" s="9">
        <v>0</v>
      </c>
      <c r="D59" s="46">
        <f>'Facility Risk - LVMH'!$C59/$C$151</f>
        <v>0</v>
      </c>
    </row>
    <row r="60" spans="1:4" ht="19" x14ac:dyDescent="0.25">
      <c r="A60" s="58" t="s">
        <v>95</v>
      </c>
      <c r="B60" s="111">
        <v>6.53</v>
      </c>
      <c r="C60" s="8">
        <v>0</v>
      </c>
      <c r="D60" s="45">
        <f>'Facility Risk - LVMH'!$C60/$C$151</f>
        <v>0</v>
      </c>
    </row>
    <row r="61" spans="1:4" ht="19" x14ac:dyDescent="0.25">
      <c r="A61" s="57" t="s">
        <v>96</v>
      </c>
      <c r="B61" s="112">
        <v>5.77</v>
      </c>
      <c r="C61" s="9">
        <v>0</v>
      </c>
      <c r="D61" s="46">
        <f>'Facility Risk - LVMH'!$C61/$C$151</f>
        <v>0</v>
      </c>
    </row>
    <row r="62" spans="1:4" ht="19" x14ac:dyDescent="0.25">
      <c r="A62" s="58" t="s">
        <v>97</v>
      </c>
      <c r="B62" s="113">
        <v>3.63</v>
      </c>
      <c r="C62" s="8">
        <v>0</v>
      </c>
      <c r="D62" s="45">
        <f>'Facility Risk - LVMH'!$C62/$C$151</f>
        <v>0</v>
      </c>
    </row>
    <row r="63" spans="1:4" ht="19" x14ac:dyDescent="0.25">
      <c r="A63" s="57" t="s">
        <v>98</v>
      </c>
      <c r="B63" s="114">
        <v>3.38</v>
      </c>
      <c r="C63" s="9">
        <v>0</v>
      </c>
      <c r="D63" s="46">
        <f>'Facility Risk - LVMH'!$C63/$C$151</f>
        <v>0</v>
      </c>
    </row>
    <row r="64" spans="1:4" ht="19" x14ac:dyDescent="0.25">
      <c r="A64" s="58" t="s">
        <v>99</v>
      </c>
      <c r="B64" s="115">
        <v>5.07</v>
      </c>
      <c r="C64" s="8">
        <v>2.1299999999999999E-2</v>
      </c>
      <c r="D64" s="45">
        <f>'Facility Risk - LVMH'!$C64/$C$151</f>
        <v>2.1293611916425072E-2</v>
      </c>
    </row>
    <row r="65" spans="1:4" ht="19" x14ac:dyDescent="0.25">
      <c r="A65" s="57" t="s">
        <v>100</v>
      </c>
      <c r="B65" s="106">
        <v>4.92</v>
      </c>
      <c r="C65" s="9">
        <v>0</v>
      </c>
      <c r="D65" s="46">
        <f>'Facility Risk - LVMH'!$C65/$C$151</f>
        <v>0</v>
      </c>
    </row>
    <row r="66" spans="1:4" ht="19" x14ac:dyDescent="0.25">
      <c r="A66" s="58" t="s">
        <v>101</v>
      </c>
      <c r="B66" s="116">
        <v>5.88</v>
      </c>
      <c r="C66" s="8">
        <v>0</v>
      </c>
      <c r="D66" s="45">
        <f>'Facility Risk - LVMH'!$C66/$C$151</f>
        <v>0</v>
      </c>
    </row>
    <row r="67" spans="1:4" ht="19" x14ac:dyDescent="0.25">
      <c r="A67" s="57" t="s">
        <v>102</v>
      </c>
      <c r="B67" s="117">
        <v>6.05</v>
      </c>
      <c r="C67" s="9">
        <v>0</v>
      </c>
      <c r="D67" s="46">
        <f>'Facility Risk - LVMH'!$C67/$C$151</f>
        <v>0</v>
      </c>
    </row>
    <row r="68" spans="1:4" ht="19" x14ac:dyDescent="0.25">
      <c r="A68" s="58" t="s">
        <v>103</v>
      </c>
      <c r="B68" s="118">
        <v>3.25</v>
      </c>
      <c r="C68" s="8">
        <v>0</v>
      </c>
      <c r="D68" s="45">
        <f>'Facility Risk - LVMH'!$C68/$C$151</f>
        <v>0</v>
      </c>
    </row>
    <row r="69" spans="1:4" ht="19" x14ac:dyDescent="0.25">
      <c r="A69" s="57" t="s">
        <v>104</v>
      </c>
      <c r="B69" s="119">
        <v>4.6100000000000003</v>
      </c>
      <c r="C69" s="9">
        <v>0</v>
      </c>
      <c r="D69" s="46">
        <f>'Facility Risk - LVMH'!$C69/$C$151</f>
        <v>0</v>
      </c>
    </row>
    <row r="70" spans="1:4" ht="19" x14ac:dyDescent="0.25">
      <c r="A70" s="58" t="s">
        <v>105</v>
      </c>
      <c r="B70" s="120">
        <v>3.84</v>
      </c>
      <c r="C70" s="8">
        <v>0.17019999999999999</v>
      </c>
      <c r="D70" s="45">
        <f>'Facility Risk - LVMH'!$C70/$C$151</f>
        <v>0.17014895531340599</v>
      </c>
    </row>
    <row r="71" spans="1:4" ht="19" x14ac:dyDescent="0.25">
      <c r="A71" s="57" t="s">
        <v>106</v>
      </c>
      <c r="B71" s="121">
        <v>4.75</v>
      </c>
      <c r="C71" s="9">
        <v>0</v>
      </c>
      <c r="D71" s="46">
        <f>'Facility Risk - LVMH'!$C71/$C$151</f>
        <v>0</v>
      </c>
    </row>
    <row r="72" spans="1:4" ht="19" x14ac:dyDescent="0.25">
      <c r="A72" s="58" t="s">
        <v>107</v>
      </c>
      <c r="B72" s="114">
        <v>3.38</v>
      </c>
      <c r="C72" s="8">
        <v>0</v>
      </c>
      <c r="D72" s="45">
        <f>'Facility Risk - LVMH'!$C72/$C$151</f>
        <v>0</v>
      </c>
    </row>
    <row r="73" spans="1:4" ht="19" x14ac:dyDescent="0.25">
      <c r="A73" s="57" t="s">
        <v>108</v>
      </c>
      <c r="B73" s="122">
        <v>5.13</v>
      </c>
      <c r="C73" s="9">
        <v>0</v>
      </c>
      <c r="D73" s="46">
        <f>'Facility Risk - LVMH'!$C73/$C$151</f>
        <v>0</v>
      </c>
    </row>
    <row r="74" spans="1:4" ht="19" x14ac:dyDescent="0.25">
      <c r="A74" s="58" t="s">
        <v>109</v>
      </c>
      <c r="B74" s="123">
        <v>4.54</v>
      </c>
      <c r="C74" s="8">
        <v>0</v>
      </c>
      <c r="D74" s="45">
        <f>'Facility Risk - LVMH'!$C74/$C$151</f>
        <v>0</v>
      </c>
    </row>
    <row r="75" spans="1:4" ht="19" x14ac:dyDescent="0.25">
      <c r="A75" s="57" t="s">
        <v>110</v>
      </c>
      <c r="B75" s="124">
        <v>6.13</v>
      </c>
      <c r="C75" s="9">
        <v>0</v>
      </c>
      <c r="D75" s="46">
        <f>'Facility Risk - LVMH'!$C75/$C$151</f>
        <v>0</v>
      </c>
    </row>
    <row r="76" spans="1:4" ht="19" x14ac:dyDescent="0.25">
      <c r="A76" s="58" t="s">
        <v>111</v>
      </c>
      <c r="B76" s="125">
        <v>4.3</v>
      </c>
      <c r="C76" s="8">
        <v>0</v>
      </c>
      <c r="D76" s="45">
        <f>'Facility Risk - LVMH'!$C76/$C$151</f>
        <v>0</v>
      </c>
    </row>
    <row r="77" spans="1:4" ht="19" x14ac:dyDescent="0.25">
      <c r="A77" s="57" t="s">
        <v>112</v>
      </c>
      <c r="B77" s="126">
        <v>5.37</v>
      </c>
      <c r="C77" s="9">
        <v>0</v>
      </c>
      <c r="D77" s="46">
        <f>'Facility Risk - LVMH'!$C77/$C$151</f>
        <v>0</v>
      </c>
    </row>
    <row r="78" spans="1:4" ht="19" x14ac:dyDescent="0.25">
      <c r="A78" s="58" t="s">
        <v>113</v>
      </c>
      <c r="B78" s="127">
        <v>5.14</v>
      </c>
      <c r="C78" s="8">
        <v>0</v>
      </c>
      <c r="D78" s="45">
        <f>'Facility Risk - LVMH'!$C78/$C$151</f>
        <v>0</v>
      </c>
    </row>
    <row r="79" spans="1:4" ht="19" x14ac:dyDescent="0.25">
      <c r="A79" s="57" t="s">
        <v>114</v>
      </c>
      <c r="B79" s="128">
        <v>3.97</v>
      </c>
      <c r="C79" s="9">
        <v>0</v>
      </c>
      <c r="D79" s="46">
        <f>'Facility Risk - LVMH'!$C79/$C$151</f>
        <v>0</v>
      </c>
    </row>
    <row r="80" spans="1:4" ht="19" x14ac:dyDescent="0.25">
      <c r="A80" s="58" t="s">
        <v>115</v>
      </c>
      <c r="B80" s="129">
        <v>6.12</v>
      </c>
      <c r="C80" s="8">
        <v>0</v>
      </c>
      <c r="D80" s="45">
        <f>'Facility Risk - LVMH'!$C80/$C$151</f>
        <v>0</v>
      </c>
    </row>
    <row r="81" spans="1:4" ht="19" x14ac:dyDescent="0.25">
      <c r="A81" s="57" t="s">
        <v>116</v>
      </c>
      <c r="B81" s="130">
        <v>5.49</v>
      </c>
      <c r="C81" s="9">
        <v>0</v>
      </c>
      <c r="D81" s="46">
        <f>'Facility Risk - LVMH'!$C81/$C$151</f>
        <v>0</v>
      </c>
    </row>
    <row r="82" spans="1:4" ht="19" x14ac:dyDescent="0.25">
      <c r="A82" s="58" t="s">
        <v>117</v>
      </c>
      <c r="B82" s="131">
        <v>5.97</v>
      </c>
      <c r="C82" s="8">
        <v>0</v>
      </c>
      <c r="D82" s="45">
        <f>'Facility Risk - LVMH'!$C82/$C$151</f>
        <v>0</v>
      </c>
    </row>
    <row r="83" spans="1:4" ht="19" x14ac:dyDescent="0.25">
      <c r="A83" s="57" t="s">
        <v>118</v>
      </c>
      <c r="B83" s="132">
        <v>5.68</v>
      </c>
      <c r="C83" s="9">
        <v>0</v>
      </c>
      <c r="D83" s="46">
        <f>'Facility Risk - LVMH'!$C83/$C$151</f>
        <v>0</v>
      </c>
    </row>
    <row r="84" spans="1:4" ht="19" x14ac:dyDescent="0.25">
      <c r="A84" s="58" t="s">
        <v>119</v>
      </c>
      <c r="B84" s="133">
        <v>3.93</v>
      </c>
      <c r="C84" s="8">
        <v>0</v>
      </c>
      <c r="D84" s="45">
        <f>'Facility Risk - LVMH'!$C84/$C$151</f>
        <v>0</v>
      </c>
    </row>
    <row r="85" spans="1:4" ht="19" x14ac:dyDescent="0.25">
      <c r="A85" s="57" t="s">
        <v>120</v>
      </c>
      <c r="B85" s="134">
        <v>5.82</v>
      </c>
      <c r="C85" s="9">
        <v>0</v>
      </c>
      <c r="D85" s="46">
        <f>'Facility Risk - LVMH'!$C85/$C$151</f>
        <v>0</v>
      </c>
    </row>
    <row r="86" spans="1:4" ht="19" x14ac:dyDescent="0.25">
      <c r="A86" s="58" t="s">
        <v>121</v>
      </c>
      <c r="B86" s="135">
        <v>5.58</v>
      </c>
      <c r="C86" s="8">
        <v>0</v>
      </c>
      <c r="D86" s="45">
        <f>'Facility Risk - LVMH'!$C86/$C$151</f>
        <v>0</v>
      </c>
    </row>
    <row r="87" spans="1:4" ht="19" x14ac:dyDescent="0.25">
      <c r="A87" s="57" t="s">
        <v>122</v>
      </c>
      <c r="B87" s="136">
        <v>4.03</v>
      </c>
      <c r="C87" s="9">
        <v>0</v>
      </c>
      <c r="D87" s="46">
        <f>'Facility Risk - LVMH'!$C87/$C$151</f>
        <v>0</v>
      </c>
    </row>
    <row r="88" spans="1:4" ht="19" x14ac:dyDescent="0.25">
      <c r="A88" s="58" t="s">
        <v>123</v>
      </c>
      <c r="B88" s="137">
        <v>7.1</v>
      </c>
      <c r="C88" s="8">
        <v>0</v>
      </c>
      <c r="D88" s="45">
        <f>'Facility Risk - LVMH'!$C88/$C$151</f>
        <v>0</v>
      </c>
    </row>
    <row r="89" spans="1:4" ht="19" x14ac:dyDescent="0.25">
      <c r="A89" s="57" t="s">
        <v>124</v>
      </c>
      <c r="B89" s="138">
        <v>6.28</v>
      </c>
      <c r="C89" s="9">
        <v>0</v>
      </c>
      <c r="D89" s="46">
        <f>'Facility Risk - LVMH'!$C89/$C$151</f>
        <v>0</v>
      </c>
    </row>
    <row r="90" spans="1:4" ht="19" x14ac:dyDescent="0.25">
      <c r="A90" s="58" t="s">
        <v>125</v>
      </c>
      <c r="B90" s="139">
        <v>3.47</v>
      </c>
      <c r="C90" s="8">
        <v>0</v>
      </c>
      <c r="D90" s="45">
        <f>'Facility Risk - LVMH'!$C90/$C$151</f>
        <v>0</v>
      </c>
    </row>
    <row r="91" spans="1:4" ht="19" x14ac:dyDescent="0.25">
      <c r="A91" s="57" t="s">
        <v>126</v>
      </c>
      <c r="B91" s="140">
        <v>5.42</v>
      </c>
      <c r="C91" s="9">
        <v>0</v>
      </c>
      <c r="D91" s="46">
        <f>'Facility Risk - LVMH'!$C91/$C$151</f>
        <v>0</v>
      </c>
    </row>
    <row r="92" spans="1:4" ht="19" x14ac:dyDescent="0.25">
      <c r="A92" s="58" t="s">
        <v>127</v>
      </c>
      <c r="B92" s="127">
        <v>5.14</v>
      </c>
      <c r="C92" s="8">
        <v>0</v>
      </c>
      <c r="D92" s="45">
        <f>'Facility Risk - LVMH'!$C92/$C$151</f>
        <v>0</v>
      </c>
    </row>
    <row r="93" spans="1:4" ht="19" x14ac:dyDescent="0.25">
      <c r="A93" s="57" t="s">
        <v>128</v>
      </c>
      <c r="B93" s="141">
        <v>4.6500000000000004</v>
      </c>
      <c r="C93" s="9">
        <v>2.1299999999999999E-2</v>
      </c>
      <c r="D93" s="46">
        <f>'Facility Risk - LVMH'!$C93/$C$151</f>
        <v>2.1293611916425072E-2</v>
      </c>
    </row>
    <row r="94" spans="1:4" ht="19" x14ac:dyDescent="0.25">
      <c r="A94" s="58" t="s">
        <v>129</v>
      </c>
      <c r="B94" s="142">
        <v>5.0999999999999996</v>
      </c>
      <c r="C94" s="8">
        <v>0</v>
      </c>
      <c r="D94" s="45">
        <f>'Facility Risk - LVMH'!$C94/$C$151</f>
        <v>0</v>
      </c>
    </row>
    <row r="95" spans="1:4" ht="19" x14ac:dyDescent="0.25">
      <c r="A95" s="57" t="s">
        <v>130</v>
      </c>
      <c r="B95" s="70">
        <v>6.3</v>
      </c>
      <c r="C95" s="9">
        <v>0</v>
      </c>
      <c r="D95" s="46">
        <f>'Facility Risk - LVMH'!$C95/$C$151</f>
        <v>0</v>
      </c>
    </row>
    <row r="96" spans="1:4" ht="19" x14ac:dyDescent="0.25">
      <c r="A96" s="58" t="s">
        <v>131</v>
      </c>
      <c r="B96" s="143">
        <v>4.6399999999999997</v>
      </c>
      <c r="C96" s="8">
        <v>0</v>
      </c>
      <c r="D96" s="45">
        <f>'Facility Risk - LVMH'!$C96/$C$151</f>
        <v>0</v>
      </c>
    </row>
    <row r="97" spans="1:4" ht="19" x14ac:dyDescent="0.25">
      <c r="A97" s="57" t="s">
        <v>132</v>
      </c>
      <c r="B97" s="104">
        <v>5.78</v>
      </c>
      <c r="C97" s="9">
        <v>0</v>
      </c>
      <c r="D97" s="46">
        <f>'Facility Risk - LVMH'!$C97/$C$151</f>
        <v>0</v>
      </c>
    </row>
    <row r="98" spans="1:4" ht="19" x14ac:dyDescent="0.25">
      <c r="A98" s="58" t="s">
        <v>133</v>
      </c>
      <c r="B98" s="144">
        <v>3.59</v>
      </c>
      <c r="C98" s="8">
        <v>0</v>
      </c>
      <c r="D98" s="45">
        <f>'Facility Risk - LVMH'!$C98/$C$151</f>
        <v>0</v>
      </c>
    </row>
    <row r="99" spans="1:4" ht="19" x14ac:dyDescent="0.25">
      <c r="A99" s="57" t="s">
        <v>134</v>
      </c>
      <c r="B99" s="145">
        <v>3.32</v>
      </c>
      <c r="C99" s="9">
        <v>4.2599999999999999E-2</v>
      </c>
      <c r="D99" s="46">
        <f>'Facility Risk - LVMH'!$C99/$C$151</f>
        <v>4.2587223832850143E-2</v>
      </c>
    </row>
    <row r="100" spans="1:4" ht="19" x14ac:dyDescent="0.25">
      <c r="A100" s="58" t="s">
        <v>135</v>
      </c>
      <c r="B100" s="146">
        <v>5.8</v>
      </c>
      <c r="C100" s="8">
        <v>0</v>
      </c>
      <c r="D100" s="45">
        <f>'Facility Risk - LVMH'!$C100/$C$151</f>
        <v>0</v>
      </c>
    </row>
    <row r="101" spans="1:4" ht="19" x14ac:dyDescent="0.25">
      <c r="A101" s="57" t="s">
        <v>136</v>
      </c>
      <c r="B101" s="147">
        <v>7.07</v>
      </c>
      <c r="C101" s="9">
        <v>0</v>
      </c>
      <c r="D101" s="46">
        <f>'Facility Risk - LVMH'!$C101/$C$151</f>
        <v>0</v>
      </c>
    </row>
    <row r="102" spans="1:4" ht="19" x14ac:dyDescent="0.25">
      <c r="A102" s="58" t="s">
        <v>137</v>
      </c>
      <c r="B102" s="148">
        <v>6.5</v>
      </c>
      <c r="C102" s="8">
        <v>0</v>
      </c>
      <c r="D102" s="45">
        <f>'Facility Risk - LVMH'!$C102/$C$151</f>
        <v>0</v>
      </c>
    </row>
    <row r="103" spans="1:4" ht="19" x14ac:dyDescent="0.25">
      <c r="A103" s="57" t="s">
        <v>138</v>
      </c>
      <c r="B103" s="149">
        <v>4.16</v>
      </c>
      <c r="C103" s="9">
        <v>0</v>
      </c>
      <c r="D103" s="46">
        <f>'Facility Risk - LVMH'!$C103/$C$151</f>
        <v>0</v>
      </c>
    </row>
    <row r="104" spans="1:4" ht="19" x14ac:dyDescent="0.25">
      <c r="A104" s="58" t="s">
        <v>139</v>
      </c>
      <c r="B104" s="114">
        <v>3.38</v>
      </c>
      <c r="C104" s="8">
        <v>0</v>
      </c>
      <c r="D104" s="45">
        <f>'Facility Risk - LVMH'!$C104/$C$151</f>
        <v>0</v>
      </c>
    </row>
    <row r="105" spans="1:4" ht="19" x14ac:dyDescent="0.25">
      <c r="A105" s="57" t="s">
        <v>140</v>
      </c>
      <c r="B105" s="150">
        <v>4.0199999999999996</v>
      </c>
      <c r="C105" s="9">
        <v>0</v>
      </c>
      <c r="D105" s="46">
        <f>'Facility Risk - LVMH'!$C105/$C$151</f>
        <v>0</v>
      </c>
    </row>
    <row r="106" spans="1:4" ht="19" x14ac:dyDescent="0.25">
      <c r="A106" s="58" t="s">
        <v>141</v>
      </c>
      <c r="B106" s="151">
        <v>6.65</v>
      </c>
      <c r="C106" s="8">
        <v>0</v>
      </c>
      <c r="D106" s="45">
        <f>'Facility Risk - LVMH'!$C106/$C$151</f>
        <v>0</v>
      </c>
    </row>
    <row r="107" spans="1:4" ht="19" x14ac:dyDescent="0.25">
      <c r="A107" s="57" t="s">
        <v>142</v>
      </c>
      <c r="B107" s="152">
        <v>4.5599999999999996</v>
      </c>
      <c r="C107" s="9">
        <v>0</v>
      </c>
      <c r="D107" s="46">
        <f>'Facility Risk - LVMH'!$C107/$C$151</f>
        <v>0</v>
      </c>
    </row>
    <row r="108" spans="1:4" ht="19" x14ac:dyDescent="0.25">
      <c r="A108" s="58" t="s">
        <v>143</v>
      </c>
      <c r="B108" s="76">
        <v>5.34</v>
      </c>
      <c r="C108" s="8">
        <v>0</v>
      </c>
      <c r="D108" s="45">
        <f>'Facility Risk - LVMH'!$C108/$C$151</f>
        <v>0</v>
      </c>
    </row>
    <row r="109" spans="1:4" ht="19" x14ac:dyDescent="0.25">
      <c r="A109" s="57" t="s">
        <v>144</v>
      </c>
      <c r="B109" s="153">
        <v>4.72</v>
      </c>
      <c r="C109" s="9">
        <v>0</v>
      </c>
      <c r="D109" s="46">
        <f>'Facility Risk - LVMH'!$C109/$C$151</f>
        <v>0</v>
      </c>
    </row>
    <row r="110" spans="1:4" ht="19" x14ac:dyDescent="0.25">
      <c r="A110" s="58" t="s">
        <v>145</v>
      </c>
      <c r="B110" s="154">
        <v>5.28</v>
      </c>
      <c r="C110" s="8">
        <v>0</v>
      </c>
      <c r="D110" s="45">
        <f>'Facility Risk - LVMH'!$C110/$C$151</f>
        <v>0</v>
      </c>
    </row>
    <row r="111" spans="1:4" ht="19" x14ac:dyDescent="0.25">
      <c r="A111" s="57" t="s">
        <v>146</v>
      </c>
      <c r="B111" s="146">
        <v>5.8</v>
      </c>
      <c r="C111" s="9">
        <v>0</v>
      </c>
      <c r="D111" s="46">
        <f>'Facility Risk - LVMH'!$C111/$C$151</f>
        <v>0</v>
      </c>
    </row>
    <row r="112" spans="1:4" ht="19" x14ac:dyDescent="0.25">
      <c r="A112" s="58" t="s">
        <v>147</v>
      </c>
      <c r="B112" s="155">
        <v>4.1500000000000004</v>
      </c>
      <c r="C112" s="8">
        <v>2.1299999999999999E-2</v>
      </c>
      <c r="D112" s="45">
        <f>'Facility Risk - LVMH'!$C112/$C$151</f>
        <v>2.1293611916425072E-2</v>
      </c>
    </row>
    <row r="113" spans="1:4" ht="19" x14ac:dyDescent="0.25">
      <c r="A113" s="57" t="s">
        <v>148</v>
      </c>
      <c r="B113" s="156">
        <v>3.43</v>
      </c>
      <c r="C113" s="9">
        <v>0</v>
      </c>
      <c r="D113" s="46">
        <f>'Facility Risk - LVMH'!$C113/$C$151</f>
        <v>0</v>
      </c>
    </row>
    <row r="114" spans="1:4" ht="19" x14ac:dyDescent="0.25">
      <c r="A114" s="58" t="s">
        <v>149</v>
      </c>
      <c r="B114" s="93">
        <v>3.2</v>
      </c>
      <c r="C114" s="8">
        <v>0</v>
      </c>
      <c r="D114" s="45">
        <f>'Facility Risk - LVMH'!$C114/$C$151</f>
        <v>0</v>
      </c>
    </row>
    <row r="115" spans="1:4" ht="19" x14ac:dyDescent="0.25">
      <c r="A115" s="57" t="s">
        <v>150</v>
      </c>
      <c r="B115" s="157">
        <v>4.05</v>
      </c>
      <c r="C115" s="9">
        <v>0</v>
      </c>
      <c r="D115" s="46">
        <f>'Facility Risk - LVMH'!$C115/$C$151</f>
        <v>0</v>
      </c>
    </row>
    <row r="116" spans="1:4" ht="19" x14ac:dyDescent="0.25">
      <c r="A116" s="58" t="s">
        <v>151</v>
      </c>
      <c r="B116" s="158">
        <v>5.96</v>
      </c>
      <c r="C116" s="8">
        <v>0</v>
      </c>
      <c r="D116" s="45">
        <f>'Facility Risk - LVMH'!$C116/$C$151</f>
        <v>0</v>
      </c>
    </row>
    <row r="117" spans="1:4" ht="19" x14ac:dyDescent="0.25">
      <c r="A117" s="57" t="s">
        <v>152</v>
      </c>
      <c r="B117" s="159">
        <v>5.47</v>
      </c>
      <c r="C117" s="9">
        <v>0</v>
      </c>
      <c r="D117" s="46">
        <f>'Facility Risk - LVMH'!$C117/$C$151</f>
        <v>0</v>
      </c>
    </row>
    <row r="118" spans="1:4" ht="19" x14ac:dyDescent="0.25">
      <c r="A118" s="58" t="s">
        <v>153</v>
      </c>
      <c r="B118" s="79">
        <v>4.42</v>
      </c>
      <c r="C118" s="8">
        <v>0</v>
      </c>
      <c r="D118" s="45">
        <f>'Facility Risk - LVMH'!$C118/$C$151</f>
        <v>0</v>
      </c>
    </row>
    <row r="119" spans="1:4" ht="19" x14ac:dyDescent="0.25">
      <c r="A119" s="57" t="s">
        <v>154</v>
      </c>
      <c r="B119" s="160">
        <v>5.4</v>
      </c>
      <c r="C119" s="9">
        <v>0</v>
      </c>
      <c r="D119" s="46">
        <f>'Facility Risk - LVMH'!$C119/$C$151</f>
        <v>0</v>
      </c>
    </row>
    <row r="120" spans="1:4" ht="19" x14ac:dyDescent="0.25">
      <c r="A120" s="58" t="s">
        <v>155</v>
      </c>
      <c r="B120" s="161">
        <v>5.04</v>
      </c>
      <c r="C120" s="8">
        <v>0</v>
      </c>
      <c r="D120" s="45">
        <f>'Facility Risk - LVMH'!$C120/$C$151</f>
        <v>0</v>
      </c>
    </row>
    <row r="121" spans="1:4" ht="19" x14ac:dyDescent="0.25">
      <c r="A121" s="57" t="s">
        <v>156</v>
      </c>
      <c r="B121" s="162">
        <v>5.64</v>
      </c>
      <c r="C121" s="9">
        <v>0</v>
      </c>
      <c r="D121" s="46">
        <f>'Facility Risk - LVMH'!$C121/$C$151</f>
        <v>0</v>
      </c>
    </row>
    <row r="122" spans="1:4" ht="19" x14ac:dyDescent="0.25">
      <c r="A122" s="58" t="s">
        <v>157</v>
      </c>
      <c r="B122" s="163">
        <v>3.04</v>
      </c>
      <c r="C122" s="8">
        <v>0</v>
      </c>
      <c r="D122" s="45">
        <f>'Facility Risk - LVMH'!$C122/$C$151</f>
        <v>0</v>
      </c>
    </row>
    <row r="123" spans="1:4" ht="19" x14ac:dyDescent="0.25">
      <c r="A123" s="57" t="s">
        <v>158</v>
      </c>
      <c r="B123" s="164">
        <v>3.79</v>
      </c>
      <c r="C123" s="9">
        <v>0</v>
      </c>
      <c r="D123" s="46">
        <f>'Facility Risk - LVMH'!$C123/$C$151</f>
        <v>0</v>
      </c>
    </row>
    <row r="124" spans="1:4" ht="19" x14ac:dyDescent="0.25">
      <c r="A124" s="58" t="s">
        <v>159</v>
      </c>
      <c r="B124" s="165">
        <v>3.48</v>
      </c>
      <c r="C124" s="8">
        <v>0</v>
      </c>
      <c r="D124" s="45">
        <f>'Facility Risk - LVMH'!$C124/$C$151</f>
        <v>0</v>
      </c>
    </row>
    <row r="125" spans="1:4" ht="19" x14ac:dyDescent="0.25">
      <c r="A125" s="57" t="s">
        <v>160</v>
      </c>
      <c r="B125" s="166">
        <v>5.22</v>
      </c>
      <c r="C125" s="9">
        <v>0</v>
      </c>
      <c r="D125" s="46">
        <f>'Facility Risk - LVMH'!$C125/$C$151</f>
        <v>0</v>
      </c>
    </row>
    <row r="126" spans="1:4" ht="19" x14ac:dyDescent="0.25">
      <c r="A126" s="58" t="s">
        <v>161</v>
      </c>
      <c r="B126" s="167">
        <v>3.57</v>
      </c>
      <c r="C126" s="8">
        <v>0</v>
      </c>
      <c r="D126" s="45">
        <f>'Facility Risk - LVMH'!$C126/$C$151</f>
        <v>0</v>
      </c>
    </row>
    <row r="127" spans="1:4" ht="19" x14ac:dyDescent="0.25">
      <c r="A127" s="57" t="s">
        <v>162</v>
      </c>
      <c r="B127" s="168">
        <v>3.7</v>
      </c>
      <c r="C127" s="9">
        <v>2.1299999999999999E-2</v>
      </c>
      <c r="D127" s="46">
        <f>'Facility Risk - LVMH'!$C127/$C$151</f>
        <v>2.1293611916425072E-2</v>
      </c>
    </row>
    <row r="128" spans="1:4" ht="19" x14ac:dyDescent="0.25">
      <c r="A128" s="58" t="s">
        <v>163</v>
      </c>
      <c r="B128" s="169">
        <v>5.1100000000000003</v>
      </c>
      <c r="C128" s="8">
        <v>0</v>
      </c>
      <c r="D128" s="45">
        <f>'Facility Risk - LVMH'!$C128/$C$151</f>
        <v>0</v>
      </c>
    </row>
    <row r="129" spans="1:4" ht="19" x14ac:dyDescent="0.25">
      <c r="A129" s="57" t="s">
        <v>164</v>
      </c>
      <c r="B129" s="137">
        <v>7.1</v>
      </c>
      <c r="C129" s="9">
        <v>0</v>
      </c>
      <c r="D129" s="46">
        <f>'Facility Risk - LVMH'!$C129/$C$151</f>
        <v>0</v>
      </c>
    </row>
    <row r="130" spans="1:4" ht="19" x14ac:dyDescent="0.25">
      <c r="A130" s="58" t="s">
        <v>165</v>
      </c>
      <c r="B130" s="170">
        <v>3.52</v>
      </c>
      <c r="C130" s="8">
        <v>0</v>
      </c>
      <c r="D130" s="45">
        <f>'Facility Risk - LVMH'!$C130/$C$151</f>
        <v>0</v>
      </c>
    </row>
    <row r="131" spans="1:4" ht="19" x14ac:dyDescent="0.25">
      <c r="A131" s="57" t="s">
        <v>166</v>
      </c>
      <c r="B131" s="171">
        <v>2.78</v>
      </c>
      <c r="C131" s="9">
        <v>8.5099999999999995E-2</v>
      </c>
      <c r="D131" s="46">
        <f>'Facility Risk - LVMH'!$C131/$C$151</f>
        <v>8.5074477656702993E-2</v>
      </c>
    </row>
    <row r="132" spans="1:4" ht="19" x14ac:dyDescent="0.25">
      <c r="A132" s="59" t="s">
        <v>167</v>
      </c>
      <c r="B132" s="172">
        <v>7.33</v>
      </c>
      <c r="C132" s="8">
        <v>0</v>
      </c>
      <c r="D132" s="45">
        <f>'Facility Risk - LVMH'!$C132/$C$151</f>
        <v>0</v>
      </c>
    </row>
    <row r="133" spans="1:4" ht="19" x14ac:dyDescent="0.25">
      <c r="A133" s="57" t="s">
        <v>168</v>
      </c>
      <c r="B133" s="173">
        <v>5.69</v>
      </c>
      <c r="C133" s="9">
        <v>0</v>
      </c>
      <c r="D133" s="46">
        <f>'Facility Risk - LVMH'!$C133/$C$151</f>
        <v>0</v>
      </c>
    </row>
    <row r="134" spans="1:4" ht="19" x14ac:dyDescent="0.25">
      <c r="A134" s="58" t="s">
        <v>169</v>
      </c>
      <c r="B134" s="63">
        <v>5.21</v>
      </c>
      <c r="C134" s="8">
        <v>0</v>
      </c>
      <c r="D134" s="45">
        <f>'Facility Risk - LVMH'!$C134/$C$151</f>
        <v>0</v>
      </c>
    </row>
    <row r="135" spans="1:4" ht="19" x14ac:dyDescent="0.25">
      <c r="A135" s="57" t="s">
        <v>170</v>
      </c>
      <c r="B135" s="174">
        <v>5.15</v>
      </c>
      <c r="C135" s="9">
        <v>0</v>
      </c>
      <c r="D135" s="46">
        <f>'Facility Risk - LVMH'!$C135/$C$151</f>
        <v>0</v>
      </c>
    </row>
    <row r="136" spans="1:4" ht="19" x14ac:dyDescent="0.25">
      <c r="A136" s="58" t="s">
        <v>171</v>
      </c>
      <c r="B136" s="175">
        <v>5.87</v>
      </c>
      <c r="C136" s="8">
        <v>0</v>
      </c>
      <c r="D136" s="45">
        <f>'Facility Risk - LVMH'!$C136/$C$151</f>
        <v>0</v>
      </c>
    </row>
    <row r="137" spans="1:4" ht="19" x14ac:dyDescent="0.25">
      <c r="A137" s="57" t="s">
        <v>172</v>
      </c>
      <c r="B137" s="176">
        <v>4.38</v>
      </c>
      <c r="C137" s="9">
        <v>0</v>
      </c>
      <c r="D137" s="46">
        <f>'Facility Risk - LVMH'!$C137/$C$151</f>
        <v>0</v>
      </c>
    </row>
    <row r="138" spans="1:4" ht="19" x14ac:dyDescent="0.25">
      <c r="A138" s="58" t="s">
        <v>173</v>
      </c>
      <c r="B138" s="177">
        <v>5.13</v>
      </c>
      <c r="C138" s="8">
        <v>0</v>
      </c>
      <c r="D138" s="45">
        <f>'Facility Risk - LVMH'!$C138/$C$151</f>
        <v>0</v>
      </c>
    </row>
    <row r="139" spans="1:4" ht="19" x14ac:dyDescent="0.25">
      <c r="A139" s="57" t="s">
        <v>174</v>
      </c>
      <c r="B139" s="178">
        <v>5.26</v>
      </c>
      <c r="C139" s="9">
        <v>0</v>
      </c>
      <c r="D139" s="46">
        <f>'Facility Risk - LVMH'!$C139/$C$151</f>
        <v>0</v>
      </c>
    </row>
    <row r="140" spans="1:4" ht="19" x14ac:dyDescent="0.25">
      <c r="A140" s="58" t="s">
        <v>175</v>
      </c>
      <c r="B140" s="179">
        <v>6.29</v>
      </c>
      <c r="C140" s="8">
        <v>0</v>
      </c>
      <c r="D140" s="45">
        <f>'Facility Risk - LVMH'!$C140/$C$151</f>
        <v>0</v>
      </c>
    </row>
    <row r="141" spans="1:4" ht="19" x14ac:dyDescent="0.25">
      <c r="A141" s="57" t="s">
        <v>176</v>
      </c>
      <c r="B141" s="180">
        <v>6.35</v>
      </c>
      <c r="C141" s="9">
        <v>0</v>
      </c>
      <c r="D141" s="46">
        <f>'Facility Risk - LVMH'!$C141/$C$151</f>
        <v>0</v>
      </c>
    </row>
    <row r="142" spans="1:4" ht="19" x14ac:dyDescent="0.25">
      <c r="A142" s="58" t="s">
        <v>177</v>
      </c>
      <c r="B142" s="181">
        <v>3.72</v>
      </c>
      <c r="C142" s="8">
        <v>0</v>
      </c>
      <c r="D142" s="45">
        <f>'Facility Risk - LVMH'!$C142/$C$151</f>
        <v>0</v>
      </c>
    </row>
    <row r="143" spans="1:4" ht="19" x14ac:dyDescent="0.25">
      <c r="A143" s="57" t="s">
        <v>178</v>
      </c>
      <c r="B143" s="145">
        <v>3.32</v>
      </c>
      <c r="C143" s="9">
        <v>2.1299999999999999E-2</v>
      </c>
      <c r="D143" s="46">
        <f>'Facility Risk - LVMH'!$C143/$C$151</f>
        <v>2.1293611916425072E-2</v>
      </c>
    </row>
    <row r="144" spans="1:4" ht="19" x14ac:dyDescent="0.25">
      <c r="A144" s="58" t="s">
        <v>179</v>
      </c>
      <c r="B144" s="182">
        <v>4.1900000000000004</v>
      </c>
      <c r="C144" s="8">
        <v>8.5099999999999995E-2</v>
      </c>
      <c r="D144" s="45">
        <f>'Facility Risk - LVMH'!$C144/$C$151</f>
        <v>8.5074477656702993E-2</v>
      </c>
    </row>
    <row r="145" spans="1:4" ht="19" x14ac:dyDescent="0.25">
      <c r="A145" s="57" t="s">
        <v>180</v>
      </c>
      <c r="B145" s="183">
        <v>3.91</v>
      </c>
      <c r="C145" s="9">
        <v>0</v>
      </c>
      <c r="D145" s="46">
        <f>'Facility Risk - LVMH'!$C145/$C$151</f>
        <v>0</v>
      </c>
    </row>
    <row r="146" spans="1:4" ht="19" x14ac:dyDescent="0.25">
      <c r="A146" s="58" t="s">
        <v>181</v>
      </c>
      <c r="B146" s="112">
        <v>5.77</v>
      </c>
      <c r="C146" s="8">
        <v>0</v>
      </c>
      <c r="D146" s="45">
        <f>'Facility Risk - LVMH'!$C146/$C$151</f>
        <v>0</v>
      </c>
    </row>
    <row r="147" spans="1:4" ht="19" x14ac:dyDescent="0.25">
      <c r="A147" s="57" t="s">
        <v>182</v>
      </c>
      <c r="B147" s="184">
        <v>4.32</v>
      </c>
      <c r="C147" s="9">
        <v>0</v>
      </c>
      <c r="D147" s="46">
        <f>'Facility Risk - LVMH'!$C147/$C$151</f>
        <v>0</v>
      </c>
    </row>
    <row r="148" spans="1:4" ht="19" x14ac:dyDescent="0.25">
      <c r="A148" s="58" t="s">
        <v>183</v>
      </c>
      <c r="B148" s="70">
        <v>6.3</v>
      </c>
      <c r="C148" s="8">
        <v>0</v>
      </c>
      <c r="D148" s="45">
        <f>'Facility Risk - LVMH'!$C148/$C$151</f>
        <v>0</v>
      </c>
    </row>
    <row r="149" spans="1:4" ht="19" x14ac:dyDescent="0.25">
      <c r="A149" s="57" t="s">
        <v>184</v>
      </c>
      <c r="B149" s="185">
        <v>4.95</v>
      </c>
      <c r="C149" s="9">
        <v>0</v>
      </c>
      <c r="D149" s="46">
        <f>'Facility Risk - LVMH'!$C149/$C$151</f>
        <v>0</v>
      </c>
    </row>
    <row r="150" spans="1:4" ht="19" x14ac:dyDescent="0.25">
      <c r="A150" s="60" t="s">
        <v>185</v>
      </c>
      <c r="B150" s="186">
        <v>6.14</v>
      </c>
      <c r="C150" s="10">
        <v>0</v>
      </c>
      <c r="D150" s="47">
        <f>'Facility Risk - LVMH'!$C150/$C$151</f>
        <v>0</v>
      </c>
    </row>
    <row r="151" spans="1:4" ht="19" x14ac:dyDescent="0.25">
      <c r="A151" s="61" t="s">
        <v>186</v>
      </c>
      <c r="B151" s="5"/>
      <c r="C151" s="6">
        <f>SUM(C4:C150)</f>
        <v>1.0003</v>
      </c>
      <c r="D151" s="48">
        <f>SUM(D4:D150)</f>
        <v>1.0000000000000002</v>
      </c>
    </row>
  </sheetData>
  <mergeCells count="1">
    <mergeCell ref="A1:D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78D5A-2DB2-C54E-8271-00D67B619BD7}">
  <dimension ref="A1:J151"/>
  <sheetViews>
    <sheetView workbookViewId="0">
      <selection activeCell="I17" sqref="I17"/>
    </sheetView>
  </sheetViews>
  <sheetFormatPr baseColWidth="10" defaultColWidth="11" defaultRowHeight="16" x14ac:dyDescent="0.2"/>
  <cols>
    <col min="1" max="1" width="23" bestFit="1" customWidth="1"/>
    <col min="2" max="2" width="32" bestFit="1" customWidth="1"/>
    <col min="3" max="3" width="33.6640625" bestFit="1" customWidth="1"/>
    <col min="4" max="4" width="42.6640625" bestFit="1" customWidth="1"/>
    <col min="5" max="5" width="16" bestFit="1" customWidth="1"/>
    <col min="7" max="7" width="29.33203125" bestFit="1" customWidth="1"/>
    <col min="8" max="8" width="8.5" bestFit="1" customWidth="1"/>
    <col min="9" max="9" width="22.5" bestFit="1" customWidth="1"/>
    <col min="10" max="10" width="12.33203125" bestFit="1" customWidth="1"/>
  </cols>
  <sheetData>
    <row r="1" spans="1:10" ht="17" customHeight="1" x14ac:dyDescent="0.2">
      <c r="A1" s="188" t="s">
        <v>19</v>
      </c>
      <c r="B1" s="189"/>
      <c r="C1" s="189"/>
      <c r="D1" s="189"/>
    </row>
    <row r="2" spans="1:10" ht="17" customHeight="1" thickBot="1" x14ac:dyDescent="0.25">
      <c r="A2" s="190"/>
      <c r="B2" s="191"/>
      <c r="C2" s="191"/>
      <c r="D2" s="191"/>
    </row>
    <row r="3" spans="1:10" ht="20" thickTop="1" x14ac:dyDescent="0.25">
      <c r="A3" s="12" t="s">
        <v>27</v>
      </c>
      <c r="B3" s="13" t="s">
        <v>28</v>
      </c>
      <c r="C3" s="14" t="s">
        <v>29</v>
      </c>
      <c r="D3" s="7" t="s">
        <v>30</v>
      </c>
    </row>
    <row r="4" spans="1:10" ht="20" thickBot="1" x14ac:dyDescent="0.3">
      <c r="A4" s="56" t="s">
        <v>31</v>
      </c>
      <c r="B4" s="62">
        <v>4.37</v>
      </c>
      <c r="C4" s="15">
        <v>0</v>
      </c>
      <c r="D4" s="45">
        <f>'Facility Risk - Toyota'!$C4/$C$151</f>
        <v>0</v>
      </c>
    </row>
    <row r="5" spans="1:10" ht="20" thickBot="1" x14ac:dyDescent="0.3">
      <c r="A5" s="57" t="s">
        <v>32</v>
      </c>
      <c r="B5" s="63">
        <v>5.21</v>
      </c>
      <c r="C5" s="9">
        <v>0</v>
      </c>
      <c r="D5" s="46">
        <f>'Facility Risk - Toyota'!$C5/$C$151</f>
        <v>0</v>
      </c>
      <c r="G5" s="32" t="s">
        <v>33</v>
      </c>
      <c r="H5" s="33"/>
      <c r="I5" s="33"/>
      <c r="J5" s="34"/>
    </row>
    <row r="6" spans="1:10" ht="20" thickBot="1" x14ac:dyDescent="0.3">
      <c r="A6" s="58" t="s">
        <v>34</v>
      </c>
      <c r="B6" s="64">
        <v>5.63</v>
      </c>
      <c r="C6" s="8">
        <v>0</v>
      </c>
      <c r="D6" s="45">
        <f>'Facility Risk - Toyota'!$C6/$C$151</f>
        <v>0</v>
      </c>
      <c r="G6" s="20"/>
      <c r="H6" s="21" t="s">
        <v>35</v>
      </c>
      <c r="I6" s="22" t="s">
        <v>36</v>
      </c>
      <c r="J6" s="23" t="s">
        <v>37</v>
      </c>
    </row>
    <row r="7" spans="1:10" ht="19" x14ac:dyDescent="0.25">
      <c r="A7" s="57" t="s">
        <v>38</v>
      </c>
      <c r="B7" s="65">
        <v>4.3600000000000003</v>
      </c>
      <c r="C7" s="9">
        <v>4.1999999999999997E-3</v>
      </c>
      <c r="D7" s="46">
        <f>'Facility Risk - Toyota'!$C7/$C$151</f>
        <v>4.2377156694581777E-3</v>
      </c>
      <c r="G7" s="24" t="s">
        <v>39</v>
      </c>
      <c r="H7" s="25" t="str">
        <f>INDEX(A4:A150,MATCH(MIN(D4:D150),D4:D150,0))</f>
        <v>Albania</v>
      </c>
      <c r="I7" s="25">
        <f>INDEX(B4:B150,MATCH(MIN(D4:D150),D4:D150,0))</f>
        <v>4.37</v>
      </c>
      <c r="J7" s="26">
        <f>INDEX(D4:D150,MATCH(MIN(D4:D150),D4:D150,0))</f>
        <v>0</v>
      </c>
    </row>
    <row r="8" spans="1:10" ht="20" thickBot="1" x14ac:dyDescent="0.3">
      <c r="A8" s="58" t="s">
        <v>40</v>
      </c>
      <c r="B8" s="66">
        <v>4.79</v>
      </c>
      <c r="C8" s="8">
        <v>0</v>
      </c>
      <c r="D8" s="45">
        <f>'Facility Risk - Toyota'!$C8/$C$151</f>
        <v>0</v>
      </c>
      <c r="G8" s="27" t="s">
        <v>41</v>
      </c>
      <c r="H8" s="28" t="str">
        <f>INDEX(A4:A150,MATCH(MAX(D4:D150),D4:D150,0))</f>
        <v>Japan</v>
      </c>
      <c r="I8" s="28">
        <f>INDEX(B4:B150,MATCH(MAX(D4:D150),D4:D150,0))</f>
        <v>3.38</v>
      </c>
      <c r="J8" s="31">
        <f>INDEX(D4:D150,MATCH(MAX(D4:D150),D4:D150,0))</f>
        <v>0.47028554131772787</v>
      </c>
    </row>
    <row r="9" spans="1:10" ht="23" thickBot="1" x14ac:dyDescent="0.35">
      <c r="A9" s="57" t="s">
        <v>42</v>
      </c>
      <c r="B9" s="67">
        <v>3.22</v>
      </c>
      <c r="C9" s="9">
        <v>4.1999999999999997E-3</v>
      </c>
      <c r="D9" s="46">
        <f>'Facility Risk - Toyota'!$C9/$C$151</f>
        <v>4.2377156694581777E-3</v>
      </c>
      <c r="G9" s="30" t="s">
        <v>43</v>
      </c>
      <c r="H9" s="29"/>
      <c r="I9" s="29"/>
      <c r="J9" s="187">
        <f>SUMPRODUCT(B4:B150,D4:D150)</f>
        <v>4.0088225204318437</v>
      </c>
    </row>
    <row r="10" spans="1:10" ht="19" x14ac:dyDescent="0.25">
      <c r="A10" s="58" t="s">
        <v>44</v>
      </c>
      <c r="B10" s="68">
        <v>3.41</v>
      </c>
      <c r="C10" s="8">
        <v>0</v>
      </c>
      <c r="D10" s="45">
        <f>'Facility Risk - Toyota'!$C10/$C$151</f>
        <v>0</v>
      </c>
    </row>
    <row r="11" spans="1:10" ht="19" x14ac:dyDescent="0.25">
      <c r="A11" s="57" t="s">
        <v>45</v>
      </c>
      <c r="B11" s="63">
        <v>5.21</v>
      </c>
      <c r="C11" s="9">
        <v>0</v>
      </c>
      <c r="D11" s="46">
        <f>'Facility Risk - Toyota'!$C11/$C$151</f>
        <v>0</v>
      </c>
    </row>
    <row r="12" spans="1:10" ht="19" x14ac:dyDescent="0.25">
      <c r="A12" s="58" t="s">
        <v>46</v>
      </c>
      <c r="B12" s="69">
        <v>4.26</v>
      </c>
      <c r="C12" s="8">
        <v>0</v>
      </c>
      <c r="D12" s="45">
        <f>'Facility Risk - Toyota'!$C12/$C$151</f>
        <v>0</v>
      </c>
    </row>
    <row r="13" spans="1:10" ht="19" x14ac:dyDescent="0.25">
      <c r="A13" s="57" t="s">
        <v>47</v>
      </c>
      <c r="B13" s="70">
        <v>6.29</v>
      </c>
      <c r="C13" s="9">
        <v>0</v>
      </c>
      <c r="D13" s="46">
        <f>'Facility Risk - Toyota'!$C13/$C$151</f>
        <v>0</v>
      </c>
    </row>
    <row r="14" spans="1:10" ht="19" x14ac:dyDescent="0.25">
      <c r="A14" s="58" t="s">
        <v>48</v>
      </c>
      <c r="B14" s="71">
        <v>5.45</v>
      </c>
      <c r="C14" s="8">
        <v>0</v>
      </c>
      <c r="D14" s="45">
        <f>'Facility Risk - Toyota'!$C14/$C$151</f>
        <v>0</v>
      </c>
    </row>
    <row r="15" spans="1:10" ht="19" x14ac:dyDescent="0.25">
      <c r="A15" s="57" t="s">
        <v>49</v>
      </c>
      <c r="B15" s="72">
        <v>3.33</v>
      </c>
      <c r="C15" s="9">
        <v>4.1999999999999997E-3</v>
      </c>
      <c r="D15" s="46">
        <f>'Facility Risk - Toyota'!$C15/$C$151</f>
        <v>4.2377156694581777E-3</v>
      </c>
    </row>
    <row r="16" spans="1:10" ht="19" x14ac:dyDescent="0.25">
      <c r="A16" s="58" t="s">
        <v>50</v>
      </c>
      <c r="B16" s="73">
        <v>6</v>
      </c>
      <c r="C16" s="8">
        <v>0</v>
      </c>
      <c r="D16" s="45">
        <f>'Facility Risk - Toyota'!$C16/$C$151</f>
        <v>0</v>
      </c>
    </row>
    <row r="17" spans="1:5" ht="19" x14ac:dyDescent="0.25">
      <c r="A17" s="57" t="s">
        <v>51</v>
      </c>
      <c r="B17" s="74">
        <v>5.0199999999999996</v>
      </c>
      <c r="C17" s="9">
        <v>0</v>
      </c>
      <c r="D17" s="46">
        <f>'Facility Risk - Toyota'!$C17/$C$151</f>
        <v>0</v>
      </c>
    </row>
    <row r="18" spans="1:5" ht="19" x14ac:dyDescent="0.25">
      <c r="A18" s="58" t="s">
        <v>52</v>
      </c>
      <c r="B18" s="75">
        <v>5.41</v>
      </c>
      <c r="C18" s="8">
        <v>0</v>
      </c>
      <c r="D18" s="45">
        <f>'Facility Risk - Toyota'!$C18/$C$151</f>
        <v>0</v>
      </c>
    </row>
    <row r="19" spans="1:5" ht="19" x14ac:dyDescent="0.25">
      <c r="A19" s="57" t="s">
        <v>53</v>
      </c>
      <c r="B19" s="76">
        <v>5.34</v>
      </c>
      <c r="C19" s="9">
        <v>0</v>
      </c>
      <c r="D19" s="46">
        <f>'Facility Risk - Toyota'!$C19/$C$151</f>
        <v>0</v>
      </c>
    </row>
    <row r="20" spans="1:5" ht="19" x14ac:dyDescent="0.25">
      <c r="A20" s="58" t="s">
        <v>54</v>
      </c>
      <c r="B20" s="77">
        <v>4.34</v>
      </c>
      <c r="C20" s="8">
        <v>0</v>
      </c>
      <c r="D20" s="45">
        <f>'Facility Risk - Toyota'!$C20/$C$151</f>
        <v>0</v>
      </c>
    </row>
    <row r="21" spans="1:5" ht="19" x14ac:dyDescent="0.25">
      <c r="A21" s="57" t="s">
        <v>55</v>
      </c>
      <c r="B21" s="78">
        <v>5.35</v>
      </c>
      <c r="C21" s="9">
        <v>1.2699999999999999E-2</v>
      </c>
      <c r="D21" s="46">
        <f>'Facility Risk - Toyota'!$C21/$C$151</f>
        <v>1.2814045000504492E-2</v>
      </c>
    </row>
    <row r="22" spans="1:5" ht="19" x14ac:dyDescent="0.25">
      <c r="A22" s="58" t="s">
        <v>56</v>
      </c>
      <c r="B22" s="79">
        <v>4.43</v>
      </c>
      <c r="C22" s="8">
        <v>0</v>
      </c>
      <c r="D22" s="45">
        <f>'Facility Risk - Toyota'!$C22/$C$151</f>
        <v>0</v>
      </c>
    </row>
    <row r="23" spans="1:5" ht="19" x14ac:dyDescent="0.25">
      <c r="A23" s="57" t="s">
        <v>57</v>
      </c>
      <c r="B23" s="80">
        <v>6.55</v>
      </c>
      <c r="C23" s="9">
        <v>0</v>
      </c>
      <c r="D23" s="46">
        <f>'Facility Risk - Toyota'!$C23/$C$151</f>
        <v>0</v>
      </c>
    </row>
    <row r="24" spans="1:5" ht="19" x14ac:dyDescent="0.25">
      <c r="A24" s="58" t="s">
        <v>58</v>
      </c>
      <c r="B24" s="81">
        <v>6.33</v>
      </c>
      <c r="C24" s="8">
        <v>0</v>
      </c>
      <c r="D24" s="45">
        <f>'Facility Risk - Toyota'!$C24/$C$151</f>
        <v>0</v>
      </c>
    </row>
    <row r="25" spans="1:5" ht="19" x14ac:dyDescent="0.25">
      <c r="A25" s="57" t="s">
        <v>59</v>
      </c>
      <c r="B25" s="64">
        <v>5.64</v>
      </c>
      <c r="C25" s="9">
        <v>0</v>
      </c>
      <c r="D25" s="46">
        <f>'Facility Risk - Toyota'!$C25/$C$151</f>
        <v>0</v>
      </c>
    </row>
    <row r="26" spans="1:5" ht="19" x14ac:dyDescent="0.25">
      <c r="A26" s="58" t="s">
        <v>60</v>
      </c>
      <c r="B26" s="82">
        <v>6.83</v>
      </c>
      <c r="C26" s="8">
        <v>0</v>
      </c>
      <c r="D26" s="45">
        <f>'Facility Risk - Toyota'!$C26/$C$151</f>
        <v>0</v>
      </c>
    </row>
    <row r="27" spans="1:5" ht="19" x14ac:dyDescent="0.25">
      <c r="A27" s="57" t="s">
        <v>61</v>
      </c>
      <c r="B27" s="83">
        <v>3.44</v>
      </c>
      <c r="C27" s="9">
        <v>2.12E-2</v>
      </c>
      <c r="D27" s="46">
        <f>'Facility Risk - Toyota'!$C27/$C$151</f>
        <v>2.1390374331550804E-2</v>
      </c>
    </row>
    <row r="28" spans="1:5" ht="19" x14ac:dyDescent="0.25">
      <c r="A28" s="58" t="s">
        <v>62</v>
      </c>
      <c r="B28" s="84">
        <v>6.79</v>
      </c>
      <c r="C28" s="8">
        <v>0</v>
      </c>
      <c r="D28" s="45">
        <f>'Facility Risk - Toyota'!$C28/$C$151</f>
        <v>0</v>
      </c>
    </row>
    <row r="29" spans="1:5" ht="19" x14ac:dyDescent="0.25">
      <c r="A29" s="57" t="s">
        <v>63</v>
      </c>
      <c r="B29" s="82">
        <v>6.84</v>
      </c>
      <c r="C29" s="9">
        <v>0</v>
      </c>
      <c r="D29" s="46">
        <f>'Facility Risk - Toyota'!$C29/$C$151</f>
        <v>0</v>
      </c>
    </row>
    <row r="30" spans="1:5" ht="19" x14ac:dyDescent="0.25">
      <c r="A30" s="58" t="s">
        <v>64</v>
      </c>
      <c r="B30" s="65">
        <v>4.3600000000000003</v>
      </c>
      <c r="C30" s="8">
        <v>0</v>
      </c>
      <c r="D30" s="45">
        <f>'Facility Risk - Toyota'!$C30/$C$151</f>
        <v>0</v>
      </c>
    </row>
    <row r="31" spans="1:5" ht="19" x14ac:dyDescent="0.25">
      <c r="A31" s="57" t="s">
        <v>65</v>
      </c>
      <c r="B31" s="85">
        <v>4.26</v>
      </c>
      <c r="C31" s="9">
        <f>7.63%+2.12%</f>
        <v>9.7499999999999989E-2</v>
      </c>
      <c r="D31" s="46">
        <f>'Facility Risk - Toyota'!$C31/$C$151</f>
        <v>9.8375542326707699E-2</v>
      </c>
      <c r="E31" s="50" t="s">
        <v>66</v>
      </c>
    </row>
    <row r="32" spans="1:5" ht="19" x14ac:dyDescent="0.25">
      <c r="A32" s="58" t="s">
        <v>67</v>
      </c>
      <c r="B32" s="86">
        <v>5.72</v>
      </c>
      <c r="C32" s="8">
        <v>4.1999999999999997E-3</v>
      </c>
      <c r="D32" s="45">
        <f>'Facility Risk - Toyota'!$C32/$C$151</f>
        <v>4.2377156694581777E-3</v>
      </c>
    </row>
    <row r="33" spans="1:4" ht="19" x14ac:dyDescent="0.25">
      <c r="A33" s="57" t="s">
        <v>68</v>
      </c>
      <c r="B33" s="87">
        <v>5.65</v>
      </c>
      <c r="C33" s="9">
        <v>0</v>
      </c>
      <c r="D33" s="46">
        <f>'Facility Risk - Toyota'!$C33/$C$151</f>
        <v>0</v>
      </c>
    </row>
    <row r="34" spans="1:4" ht="19" x14ac:dyDescent="0.25">
      <c r="A34" s="58" t="s">
        <v>69</v>
      </c>
      <c r="B34" s="88">
        <v>4.2300000000000004</v>
      </c>
      <c r="C34" s="8">
        <v>0</v>
      </c>
      <c r="D34" s="45">
        <f>'Facility Risk - Toyota'!$C34/$C$151</f>
        <v>0</v>
      </c>
    </row>
    <row r="35" spans="1:4" ht="19" x14ac:dyDescent="0.25">
      <c r="A35" s="57" t="s">
        <v>70</v>
      </c>
      <c r="B35" s="89">
        <v>5.6</v>
      </c>
      <c r="C35" s="9">
        <v>0</v>
      </c>
      <c r="D35" s="46">
        <f>'Facility Risk - Toyota'!$C35/$C$151</f>
        <v>0</v>
      </c>
    </row>
    <row r="36" spans="1:4" ht="19" x14ac:dyDescent="0.25">
      <c r="A36" s="58" t="s">
        <v>71</v>
      </c>
      <c r="B36" s="90">
        <v>4.28</v>
      </c>
      <c r="C36" s="8">
        <v>0</v>
      </c>
      <c r="D36" s="45">
        <f>'Facility Risk - Toyota'!$C36/$C$151</f>
        <v>0</v>
      </c>
    </row>
    <row r="37" spans="1:4" ht="19" x14ac:dyDescent="0.25">
      <c r="A37" s="57" t="s">
        <v>72</v>
      </c>
      <c r="B37" s="91">
        <v>4.67</v>
      </c>
      <c r="C37" s="9">
        <v>0</v>
      </c>
      <c r="D37" s="46">
        <f>'Facility Risk - Toyota'!$C37/$C$151</f>
        <v>0</v>
      </c>
    </row>
    <row r="38" spans="1:4" ht="19" x14ac:dyDescent="0.25">
      <c r="A38" s="58" t="s">
        <v>73</v>
      </c>
      <c r="B38" s="92">
        <v>3.75</v>
      </c>
      <c r="C38" s="8">
        <v>4.1999999999999997E-3</v>
      </c>
      <c r="D38" s="45">
        <f>'Facility Risk - Toyota'!$C38/$C$151</f>
        <v>4.2377156694581777E-3</v>
      </c>
    </row>
    <row r="39" spans="1:4" ht="19" x14ac:dyDescent="0.25">
      <c r="A39" s="57" t="s">
        <v>74</v>
      </c>
      <c r="B39" s="93">
        <v>3.2</v>
      </c>
      <c r="C39" s="9">
        <v>0</v>
      </c>
      <c r="D39" s="46">
        <f>'Facility Risk - Toyota'!$C39/$C$151</f>
        <v>0</v>
      </c>
    </row>
    <row r="40" spans="1:4" ht="19" x14ac:dyDescent="0.25">
      <c r="A40" s="58" t="s">
        <v>75</v>
      </c>
      <c r="B40" s="94">
        <v>5.98</v>
      </c>
      <c r="C40" s="8">
        <v>0</v>
      </c>
      <c r="D40" s="45">
        <f>'Facility Risk - Toyota'!$C40/$C$151</f>
        <v>0</v>
      </c>
    </row>
    <row r="41" spans="1:4" ht="19" x14ac:dyDescent="0.25">
      <c r="A41" s="57" t="s">
        <v>76</v>
      </c>
      <c r="B41" s="95">
        <v>4.7</v>
      </c>
      <c r="C41" s="9">
        <v>0</v>
      </c>
      <c r="D41" s="46">
        <f>'Facility Risk - Toyota'!$C41/$C$151</f>
        <v>0</v>
      </c>
    </row>
    <row r="42" spans="1:4" ht="19" x14ac:dyDescent="0.25">
      <c r="A42" s="58" t="s">
        <v>77</v>
      </c>
      <c r="B42" s="96">
        <v>5.71</v>
      </c>
      <c r="C42" s="8">
        <v>0</v>
      </c>
      <c r="D42" s="45">
        <f>'Facility Risk - Toyota'!$C42/$C$151</f>
        <v>0</v>
      </c>
    </row>
    <row r="43" spans="1:4" ht="19" x14ac:dyDescent="0.25">
      <c r="A43" s="57" t="s">
        <v>78</v>
      </c>
      <c r="B43" s="97">
        <v>5.6</v>
      </c>
      <c r="C43" s="9">
        <v>4.1999999999999997E-3</v>
      </c>
      <c r="D43" s="46">
        <f>'Facility Risk - Toyota'!$C43/$C$151</f>
        <v>4.2377156694581777E-3</v>
      </c>
    </row>
    <row r="44" spans="1:4" ht="19" x14ac:dyDescent="0.25">
      <c r="A44" s="58" t="s">
        <v>79</v>
      </c>
      <c r="B44" s="98">
        <v>4.79</v>
      </c>
      <c r="C44" s="8">
        <v>0</v>
      </c>
      <c r="D44" s="45">
        <f>'Facility Risk - Toyota'!$C44/$C$151</f>
        <v>0</v>
      </c>
    </row>
    <row r="45" spans="1:4" ht="19" x14ac:dyDescent="0.25">
      <c r="A45" s="57" t="s">
        <v>80</v>
      </c>
      <c r="B45" s="99">
        <v>3.57</v>
      </c>
      <c r="C45" s="9">
        <v>0</v>
      </c>
      <c r="D45" s="46">
        <f>'Facility Risk - Toyota'!$C45/$C$151</f>
        <v>0</v>
      </c>
    </row>
    <row r="46" spans="1:4" ht="19" x14ac:dyDescent="0.25">
      <c r="A46" s="58" t="s">
        <v>81</v>
      </c>
      <c r="B46" s="100">
        <v>4.5</v>
      </c>
      <c r="C46" s="8">
        <v>0</v>
      </c>
      <c r="D46" s="45">
        <f>'Facility Risk - Toyota'!$C46/$C$151</f>
        <v>0</v>
      </c>
    </row>
    <row r="47" spans="1:4" ht="19" x14ac:dyDescent="0.25">
      <c r="A47" s="57" t="s">
        <v>82</v>
      </c>
      <c r="B47" s="101">
        <v>6.93</v>
      </c>
      <c r="C47" s="9">
        <v>0</v>
      </c>
      <c r="D47" s="46">
        <f>'Facility Risk - Toyota'!$C47/$C$151</f>
        <v>0</v>
      </c>
    </row>
    <row r="48" spans="1:4" ht="19" x14ac:dyDescent="0.25">
      <c r="A48" s="58" t="s">
        <v>83</v>
      </c>
      <c r="B48" s="102">
        <v>3.35</v>
      </c>
      <c r="C48" s="8">
        <v>0</v>
      </c>
      <c r="D48" s="45">
        <f>'Facility Risk - Toyota'!$C48/$C$151</f>
        <v>0</v>
      </c>
    </row>
    <row r="49" spans="1:4" ht="19" x14ac:dyDescent="0.25">
      <c r="A49" s="57" t="s">
        <v>84</v>
      </c>
      <c r="B49" s="103">
        <v>3.65</v>
      </c>
      <c r="C49" s="9">
        <v>4.1999999999999997E-3</v>
      </c>
      <c r="D49" s="46">
        <f>'Facility Risk - Toyota'!$C49/$C$151</f>
        <v>4.2377156694581777E-3</v>
      </c>
    </row>
    <row r="50" spans="1:4" ht="19" x14ac:dyDescent="0.25">
      <c r="A50" s="58" t="s">
        <v>85</v>
      </c>
      <c r="B50" s="104">
        <v>5.78</v>
      </c>
      <c r="C50" s="8">
        <v>0</v>
      </c>
      <c r="D50" s="45">
        <f>'Facility Risk - Toyota'!$C50/$C$151</f>
        <v>0</v>
      </c>
    </row>
    <row r="51" spans="1:4" ht="19" x14ac:dyDescent="0.25">
      <c r="A51" s="57" t="s">
        <v>86</v>
      </c>
      <c r="B51" s="105">
        <v>5.38</v>
      </c>
      <c r="C51" s="9">
        <v>0</v>
      </c>
      <c r="D51" s="46">
        <f>'Facility Risk - Toyota'!$C51/$C$151</f>
        <v>0</v>
      </c>
    </row>
    <row r="52" spans="1:4" ht="19" x14ac:dyDescent="0.25">
      <c r="A52" s="58" t="s">
        <v>87</v>
      </c>
      <c r="B52" s="106">
        <v>4.93</v>
      </c>
      <c r="C52" s="8">
        <v>0</v>
      </c>
      <c r="D52" s="45">
        <f>'Facility Risk - Toyota'!$C52/$C$151</f>
        <v>0</v>
      </c>
    </row>
    <row r="53" spans="1:4" ht="19" x14ac:dyDescent="0.25">
      <c r="A53" s="57" t="s">
        <v>88</v>
      </c>
      <c r="B53" s="68">
        <v>3.42</v>
      </c>
      <c r="C53" s="9">
        <v>0</v>
      </c>
      <c r="D53" s="46">
        <f>'Facility Risk - Toyota'!$C53/$C$151</f>
        <v>0</v>
      </c>
    </row>
    <row r="54" spans="1:4" ht="19" x14ac:dyDescent="0.25">
      <c r="A54" s="58" t="s">
        <v>89</v>
      </c>
      <c r="B54" s="107">
        <v>4.63</v>
      </c>
      <c r="C54" s="8">
        <v>4.1999999999999997E-3</v>
      </c>
      <c r="D54" s="45">
        <f>'Facility Risk - Toyota'!$C54/$C$151</f>
        <v>4.2377156694581777E-3</v>
      </c>
    </row>
    <row r="55" spans="1:4" ht="19" x14ac:dyDescent="0.25">
      <c r="A55" s="57" t="s">
        <v>90</v>
      </c>
      <c r="B55" s="77">
        <v>4.34</v>
      </c>
      <c r="C55" s="9">
        <v>0</v>
      </c>
      <c r="D55" s="46">
        <f>'Facility Risk - Toyota'!$C55/$C$151</f>
        <v>0</v>
      </c>
    </row>
    <row r="56" spans="1:4" ht="19" x14ac:dyDescent="0.25">
      <c r="A56" s="58" t="s">
        <v>91</v>
      </c>
      <c r="B56" s="71">
        <v>5.45</v>
      </c>
      <c r="C56" s="8">
        <v>0</v>
      </c>
      <c r="D56" s="45">
        <f>'Facility Risk - Toyota'!$C56/$C$151</f>
        <v>0</v>
      </c>
    </row>
    <row r="57" spans="1:4" ht="19" x14ac:dyDescent="0.25">
      <c r="A57" s="57" t="s">
        <v>92</v>
      </c>
      <c r="B57" s="108">
        <v>6.36</v>
      </c>
      <c r="C57" s="9">
        <v>0</v>
      </c>
      <c r="D57" s="46">
        <f>'Facility Risk - Toyota'!$C57/$C$151</f>
        <v>0</v>
      </c>
    </row>
    <row r="58" spans="1:4" ht="19" x14ac:dyDescent="0.25">
      <c r="A58" s="58" t="s">
        <v>93</v>
      </c>
      <c r="B58" s="109">
        <v>5.94</v>
      </c>
      <c r="C58" s="8">
        <v>0</v>
      </c>
      <c r="D58" s="45">
        <f>'Facility Risk - Toyota'!$C58/$C$151</f>
        <v>0</v>
      </c>
    </row>
    <row r="59" spans="1:4" ht="19" x14ac:dyDescent="0.25">
      <c r="A59" s="57" t="s">
        <v>94</v>
      </c>
      <c r="B59" s="110">
        <v>4.92</v>
      </c>
      <c r="C59" s="9">
        <v>0</v>
      </c>
      <c r="D59" s="46">
        <f>'Facility Risk - Toyota'!$C59/$C$151</f>
        <v>0</v>
      </c>
    </row>
    <row r="60" spans="1:4" ht="19" x14ac:dyDescent="0.25">
      <c r="A60" s="58" t="s">
        <v>95</v>
      </c>
      <c r="B60" s="111">
        <v>6.53</v>
      </c>
      <c r="C60" s="8">
        <v>0</v>
      </c>
      <c r="D60" s="45">
        <f>'Facility Risk - Toyota'!$C60/$C$151</f>
        <v>0</v>
      </c>
    </row>
    <row r="61" spans="1:4" ht="19" x14ac:dyDescent="0.25">
      <c r="A61" s="57" t="s">
        <v>96</v>
      </c>
      <c r="B61" s="112">
        <v>5.77</v>
      </c>
      <c r="C61" s="9">
        <v>0</v>
      </c>
      <c r="D61" s="46">
        <f>'Facility Risk - Toyota'!$C61/$C$151</f>
        <v>0</v>
      </c>
    </row>
    <row r="62" spans="1:4" ht="19" x14ac:dyDescent="0.25">
      <c r="A62" s="58" t="s">
        <v>97</v>
      </c>
      <c r="B62" s="113">
        <v>3.63</v>
      </c>
      <c r="C62" s="8">
        <v>0</v>
      </c>
      <c r="D62" s="45">
        <f>'Facility Risk - Toyota'!$C62/$C$151</f>
        <v>0</v>
      </c>
    </row>
    <row r="63" spans="1:4" ht="19" x14ac:dyDescent="0.25">
      <c r="A63" s="57" t="s">
        <v>98</v>
      </c>
      <c r="B63" s="114">
        <v>3.38</v>
      </c>
      <c r="C63" s="9">
        <v>0</v>
      </c>
      <c r="D63" s="46">
        <f>'Facility Risk - Toyota'!$C63/$C$151</f>
        <v>0</v>
      </c>
    </row>
    <row r="64" spans="1:4" ht="19" x14ac:dyDescent="0.25">
      <c r="A64" s="58" t="s">
        <v>99</v>
      </c>
      <c r="B64" s="115">
        <v>5.07</v>
      </c>
      <c r="C64" s="8">
        <v>1.2699999999999999E-2</v>
      </c>
      <c r="D64" s="45">
        <f>'Facility Risk - Toyota'!$C64/$C$151</f>
        <v>1.2814045000504492E-2</v>
      </c>
    </row>
    <row r="65" spans="1:4" ht="19" x14ac:dyDescent="0.25">
      <c r="A65" s="57" t="s">
        <v>100</v>
      </c>
      <c r="B65" s="106">
        <v>4.92</v>
      </c>
      <c r="C65" s="9">
        <v>5.9299999999999999E-2</v>
      </c>
      <c r="D65" s="46">
        <f>'Facility Risk - Toyota'!$C65/$C$151</f>
        <v>5.9832509333064277E-2</v>
      </c>
    </row>
    <row r="66" spans="1:4" ht="19" x14ac:dyDescent="0.25">
      <c r="A66" s="58" t="s">
        <v>101</v>
      </c>
      <c r="B66" s="116">
        <v>5.88</v>
      </c>
      <c r="C66" s="8">
        <v>0</v>
      </c>
      <c r="D66" s="45">
        <f>'Facility Risk - Toyota'!$C66/$C$151</f>
        <v>0</v>
      </c>
    </row>
    <row r="67" spans="1:4" ht="19" x14ac:dyDescent="0.25">
      <c r="A67" s="57" t="s">
        <v>102</v>
      </c>
      <c r="B67" s="117">
        <v>6.05</v>
      </c>
      <c r="C67" s="9">
        <v>0</v>
      </c>
      <c r="D67" s="46">
        <f>'Facility Risk - Toyota'!$C67/$C$151</f>
        <v>0</v>
      </c>
    </row>
    <row r="68" spans="1:4" ht="19" x14ac:dyDescent="0.25">
      <c r="A68" s="58" t="s">
        <v>103</v>
      </c>
      <c r="B68" s="118">
        <v>3.25</v>
      </c>
      <c r="C68" s="8">
        <v>0</v>
      </c>
      <c r="D68" s="45">
        <f>'Facility Risk - Toyota'!$C68/$C$151</f>
        <v>0</v>
      </c>
    </row>
    <row r="69" spans="1:4" ht="19" x14ac:dyDescent="0.25">
      <c r="A69" s="57" t="s">
        <v>104</v>
      </c>
      <c r="B69" s="119">
        <v>4.6100000000000003</v>
      </c>
      <c r="C69" s="9">
        <v>0</v>
      </c>
      <c r="D69" s="46">
        <f>'Facility Risk - Toyota'!$C69/$C$151</f>
        <v>0</v>
      </c>
    </row>
    <row r="70" spans="1:4" ht="19" x14ac:dyDescent="0.25">
      <c r="A70" s="58" t="s">
        <v>105</v>
      </c>
      <c r="B70" s="120">
        <v>3.84</v>
      </c>
      <c r="C70" s="8">
        <v>0</v>
      </c>
      <c r="D70" s="45">
        <f>'Facility Risk - Toyota'!$C70/$C$151</f>
        <v>0</v>
      </c>
    </row>
    <row r="71" spans="1:4" ht="19" x14ac:dyDescent="0.25">
      <c r="A71" s="57" t="s">
        <v>106</v>
      </c>
      <c r="B71" s="121">
        <v>4.75</v>
      </c>
      <c r="C71" s="9">
        <v>0</v>
      </c>
      <c r="D71" s="46">
        <f>'Facility Risk - Toyota'!$C71/$C$151</f>
        <v>0</v>
      </c>
    </row>
    <row r="72" spans="1:4" ht="19" x14ac:dyDescent="0.25">
      <c r="A72" s="58" t="s">
        <v>107</v>
      </c>
      <c r="B72" s="114">
        <v>3.38</v>
      </c>
      <c r="C72" s="8">
        <v>0.46610000000000001</v>
      </c>
      <c r="D72" s="45">
        <f>'Facility Risk - Toyota'!$C72/$C$151</f>
        <v>0.47028554131772787</v>
      </c>
    </row>
    <row r="73" spans="1:4" ht="19" x14ac:dyDescent="0.25">
      <c r="A73" s="57" t="s">
        <v>108</v>
      </c>
      <c r="B73" s="122">
        <v>5.13</v>
      </c>
      <c r="C73" s="9">
        <v>0</v>
      </c>
      <c r="D73" s="46">
        <f>'Facility Risk - Toyota'!$C73/$C$151</f>
        <v>0</v>
      </c>
    </row>
    <row r="74" spans="1:4" ht="19" x14ac:dyDescent="0.25">
      <c r="A74" s="58" t="s">
        <v>109</v>
      </c>
      <c r="B74" s="123">
        <v>4.54</v>
      </c>
      <c r="C74" s="8">
        <v>0</v>
      </c>
      <c r="D74" s="45">
        <f>'Facility Risk - Toyota'!$C74/$C$151</f>
        <v>0</v>
      </c>
    </row>
    <row r="75" spans="1:4" ht="19" x14ac:dyDescent="0.25">
      <c r="A75" s="57" t="s">
        <v>110</v>
      </c>
      <c r="B75" s="124">
        <v>6.13</v>
      </c>
      <c r="C75" s="9">
        <v>4.1999999999999997E-3</v>
      </c>
      <c r="D75" s="46">
        <f>'Facility Risk - Toyota'!$C75/$C$151</f>
        <v>4.2377156694581777E-3</v>
      </c>
    </row>
    <row r="76" spans="1:4" ht="19" x14ac:dyDescent="0.25">
      <c r="A76" s="58" t="s">
        <v>111</v>
      </c>
      <c r="B76" s="125">
        <v>4.3</v>
      </c>
      <c r="C76" s="8">
        <v>0</v>
      </c>
      <c r="D76" s="45">
        <f>'Facility Risk - Toyota'!$C76/$C$151</f>
        <v>0</v>
      </c>
    </row>
    <row r="77" spans="1:4" ht="19" x14ac:dyDescent="0.25">
      <c r="A77" s="57" t="s">
        <v>112</v>
      </c>
      <c r="B77" s="126">
        <v>5.37</v>
      </c>
      <c r="C77" s="9">
        <v>0</v>
      </c>
      <c r="D77" s="46">
        <f>'Facility Risk - Toyota'!$C77/$C$151</f>
        <v>0</v>
      </c>
    </row>
    <row r="78" spans="1:4" ht="19" x14ac:dyDescent="0.25">
      <c r="A78" s="58" t="s">
        <v>113</v>
      </c>
      <c r="B78" s="127">
        <v>5.14</v>
      </c>
      <c r="C78" s="8">
        <v>0</v>
      </c>
      <c r="D78" s="45">
        <f>'Facility Risk - Toyota'!$C78/$C$151</f>
        <v>0</v>
      </c>
    </row>
    <row r="79" spans="1:4" ht="19" x14ac:dyDescent="0.25">
      <c r="A79" s="57" t="s">
        <v>114</v>
      </c>
      <c r="B79" s="128">
        <v>3.97</v>
      </c>
      <c r="C79" s="9">
        <v>0</v>
      </c>
      <c r="D79" s="46">
        <f>'Facility Risk - Toyota'!$C79/$C$151</f>
        <v>0</v>
      </c>
    </row>
    <row r="80" spans="1:4" ht="19" x14ac:dyDescent="0.25">
      <c r="A80" s="58" t="s">
        <v>115</v>
      </c>
      <c r="B80" s="129">
        <v>6.12</v>
      </c>
      <c r="C80" s="8">
        <v>0</v>
      </c>
      <c r="D80" s="45">
        <f>'Facility Risk - Toyota'!$C80/$C$151</f>
        <v>0</v>
      </c>
    </row>
    <row r="81" spans="1:4" ht="19" x14ac:dyDescent="0.25">
      <c r="A81" s="57" t="s">
        <v>116</v>
      </c>
      <c r="B81" s="130">
        <v>5.49</v>
      </c>
      <c r="C81" s="9">
        <v>0</v>
      </c>
      <c r="D81" s="46">
        <f>'Facility Risk - Toyota'!$C81/$C$151</f>
        <v>0</v>
      </c>
    </row>
    <row r="82" spans="1:4" ht="19" x14ac:dyDescent="0.25">
      <c r="A82" s="58" t="s">
        <v>117</v>
      </c>
      <c r="B82" s="131">
        <v>5.97</v>
      </c>
      <c r="C82" s="8">
        <v>0</v>
      </c>
      <c r="D82" s="45">
        <f>'Facility Risk - Toyota'!$C82/$C$151</f>
        <v>0</v>
      </c>
    </row>
    <row r="83" spans="1:4" ht="19" x14ac:dyDescent="0.25">
      <c r="A83" s="57" t="s">
        <v>118</v>
      </c>
      <c r="B83" s="132">
        <v>5.68</v>
      </c>
      <c r="C83" s="9">
        <v>0</v>
      </c>
      <c r="D83" s="46">
        <f>'Facility Risk - Toyota'!$C83/$C$151</f>
        <v>0</v>
      </c>
    </row>
    <row r="84" spans="1:4" ht="19" x14ac:dyDescent="0.25">
      <c r="A84" s="58" t="s">
        <v>119</v>
      </c>
      <c r="B84" s="133">
        <v>3.93</v>
      </c>
      <c r="C84" s="8">
        <v>0</v>
      </c>
      <c r="D84" s="45">
        <f>'Facility Risk - Toyota'!$C84/$C$151</f>
        <v>0</v>
      </c>
    </row>
    <row r="85" spans="1:4" ht="19" x14ac:dyDescent="0.25">
      <c r="A85" s="57" t="s">
        <v>120</v>
      </c>
      <c r="B85" s="134">
        <v>5.82</v>
      </c>
      <c r="C85" s="9">
        <v>0</v>
      </c>
      <c r="D85" s="46">
        <f>'Facility Risk - Toyota'!$C85/$C$151</f>
        <v>0</v>
      </c>
    </row>
    <row r="86" spans="1:4" ht="19" x14ac:dyDescent="0.25">
      <c r="A86" s="58" t="s">
        <v>121</v>
      </c>
      <c r="B86" s="135">
        <v>5.58</v>
      </c>
      <c r="C86" s="8">
        <v>0</v>
      </c>
      <c r="D86" s="45">
        <f>'Facility Risk - Toyota'!$C86/$C$151</f>
        <v>0</v>
      </c>
    </row>
    <row r="87" spans="1:4" ht="19" x14ac:dyDescent="0.25">
      <c r="A87" s="57" t="s">
        <v>122</v>
      </c>
      <c r="B87" s="136">
        <v>4.03</v>
      </c>
      <c r="C87" s="9">
        <v>3.8100000000000002E-2</v>
      </c>
      <c r="D87" s="46">
        <f>'Facility Risk - Toyota'!$C87/$C$151</f>
        <v>3.8442135001513479E-2</v>
      </c>
    </row>
    <row r="88" spans="1:4" ht="19" x14ac:dyDescent="0.25">
      <c r="A88" s="58" t="s">
        <v>123</v>
      </c>
      <c r="B88" s="137">
        <v>7.1</v>
      </c>
      <c r="C88" s="8">
        <v>0</v>
      </c>
      <c r="D88" s="45">
        <f>'Facility Risk - Toyota'!$C88/$C$151</f>
        <v>0</v>
      </c>
    </row>
    <row r="89" spans="1:4" ht="19" x14ac:dyDescent="0.25">
      <c r="A89" s="57" t="s">
        <v>124</v>
      </c>
      <c r="B89" s="138">
        <v>6.28</v>
      </c>
      <c r="C89" s="9">
        <v>0</v>
      </c>
      <c r="D89" s="46">
        <f>'Facility Risk - Toyota'!$C89/$C$151</f>
        <v>0</v>
      </c>
    </row>
    <row r="90" spans="1:4" ht="19" x14ac:dyDescent="0.25">
      <c r="A90" s="58" t="s">
        <v>125</v>
      </c>
      <c r="B90" s="139">
        <v>3.47</v>
      </c>
      <c r="C90" s="8">
        <v>0</v>
      </c>
      <c r="D90" s="45">
        <f>'Facility Risk - Toyota'!$C90/$C$151</f>
        <v>0</v>
      </c>
    </row>
    <row r="91" spans="1:4" ht="19" x14ac:dyDescent="0.25">
      <c r="A91" s="57" t="s">
        <v>126</v>
      </c>
      <c r="B91" s="140">
        <v>5.42</v>
      </c>
      <c r="C91" s="9">
        <v>1.6899999999999998E-2</v>
      </c>
      <c r="D91" s="46">
        <f>'Facility Risk - Toyota'!$C91/$C$151</f>
        <v>1.7051760669962668E-2</v>
      </c>
    </row>
    <row r="92" spans="1:4" ht="19" x14ac:dyDescent="0.25">
      <c r="A92" s="58" t="s">
        <v>127</v>
      </c>
      <c r="B92" s="127">
        <v>5.14</v>
      </c>
      <c r="C92" s="8">
        <v>0</v>
      </c>
      <c r="D92" s="45">
        <f>'Facility Risk - Toyota'!$C92/$C$151</f>
        <v>0</v>
      </c>
    </row>
    <row r="93" spans="1:4" ht="19" x14ac:dyDescent="0.25">
      <c r="A93" s="57" t="s">
        <v>128</v>
      </c>
      <c r="B93" s="141">
        <v>4.6500000000000004</v>
      </c>
      <c r="C93" s="9">
        <v>0</v>
      </c>
      <c r="D93" s="46">
        <f>'Facility Risk - Toyota'!$C93/$C$151</f>
        <v>0</v>
      </c>
    </row>
    <row r="94" spans="1:4" ht="19" x14ac:dyDescent="0.25">
      <c r="A94" s="58" t="s">
        <v>129</v>
      </c>
      <c r="B94" s="142">
        <v>5.0999999999999996</v>
      </c>
      <c r="C94" s="8">
        <v>0</v>
      </c>
      <c r="D94" s="45">
        <f>'Facility Risk - Toyota'!$C94/$C$151</f>
        <v>0</v>
      </c>
    </row>
    <row r="95" spans="1:4" ht="19" x14ac:dyDescent="0.25">
      <c r="A95" s="57" t="s">
        <v>130</v>
      </c>
      <c r="B95" s="70">
        <v>6.3</v>
      </c>
      <c r="C95" s="9">
        <v>0</v>
      </c>
      <c r="D95" s="46">
        <f>'Facility Risk - Toyota'!$C95/$C$151</f>
        <v>0</v>
      </c>
    </row>
    <row r="96" spans="1:4" ht="19" x14ac:dyDescent="0.25">
      <c r="A96" s="58" t="s">
        <v>131</v>
      </c>
      <c r="B96" s="143">
        <v>4.6399999999999997</v>
      </c>
      <c r="C96" s="8">
        <v>0</v>
      </c>
      <c r="D96" s="45">
        <f>'Facility Risk - Toyota'!$C96/$C$151</f>
        <v>0</v>
      </c>
    </row>
    <row r="97" spans="1:4" ht="19" x14ac:dyDescent="0.25">
      <c r="A97" s="57" t="s">
        <v>132</v>
      </c>
      <c r="B97" s="104">
        <v>5.78</v>
      </c>
      <c r="C97" s="9">
        <v>0</v>
      </c>
      <c r="D97" s="46">
        <f>'Facility Risk - Toyota'!$C97/$C$151</f>
        <v>0</v>
      </c>
    </row>
    <row r="98" spans="1:4" ht="19" x14ac:dyDescent="0.25">
      <c r="A98" s="58" t="s">
        <v>133</v>
      </c>
      <c r="B98" s="144">
        <v>3.59</v>
      </c>
      <c r="C98" s="8">
        <v>0</v>
      </c>
      <c r="D98" s="45">
        <f>'Facility Risk - Toyota'!$C98/$C$151</f>
        <v>0</v>
      </c>
    </row>
    <row r="99" spans="1:4" ht="19" x14ac:dyDescent="0.25">
      <c r="A99" s="57" t="s">
        <v>134</v>
      </c>
      <c r="B99" s="145">
        <v>3.32</v>
      </c>
      <c r="C99" s="9">
        <v>0</v>
      </c>
      <c r="D99" s="46">
        <f>'Facility Risk - Toyota'!$C99/$C$151</f>
        <v>0</v>
      </c>
    </row>
    <row r="100" spans="1:4" ht="19" x14ac:dyDescent="0.25">
      <c r="A100" s="58" t="s">
        <v>135</v>
      </c>
      <c r="B100" s="146">
        <v>5.8</v>
      </c>
      <c r="C100" s="8">
        <v>0</v>
      </c>
      <c r="D100" s="45">
        <f>'Facility Risk - Toyota'!$C100/$C$151</f>
        <v>0</v>
      </c>
    </row>
    <row r="101" spans="1:4" ht="19" x14ac:dyDescent="0.25">
      <c r="A101" s="57" t="s">
        <v>136</v>
      </c>
      <c r="B101" s="147">
        <v>7.07</v>
      </c>
      <c r="C101" s="9">
        <v>0</v>
      </c>
      <c r="D101" s="46">
        <f>'Facility Risk - Toyota'!$C101/$C$151</f>
        <v>0</v>
      </c>
    </row>
    <row r="102" spans="1:4" ht="19" x14ac:dyDescent="0.25">
      <c r="A102" s="58" t="s">
        <v>137</v>
      </c>
      <c r="B102" s="148">
        <v>6.5</v>
      </c>
      <c r="C102" s="8">
        <v>0</v>
      </c>
      <c r="D102" s="45">
        <f>'Facility Risk - Toyota'!$C102/$C$151</f>
        <v>0</v>
      </c>
    </row>
    <row r="103" spans="1:4" ht="19" x14ac:dyDescent="0.25">
      <c r="A103" s="57" t="s">
        <v>138</v>
      </c>
      <c r="B103" s="149">
        <v>4.16</v>
      </c>
      <c r="C103" s="9">
        <v>0</v>
      </c>
      <c r="D103" s="46">
        <f>'Facility Risk - Toyota'!$C103/$C$151</f>
        <v>0</v>
      </c>
    </row>
    <row r="104" spans="1:4" ht="19" x14ac:dyDescent="0.25">
      <c r="A104" s="58" t="s">
        <v>139</v>
      </c>
      <c r="B104" s="114">
        <v>3.38</v>
      </c>
      <c r="C104" s="8">
        <v>0</v>
      </c>
      <c r="D104" s="45">
        <f>'Facility Risk - Toyota'!$C104/$C$151</f>
        <v>0</v>
      </c>
    </row>
    <row r="105" spans="1:4" ht="19" x14ac:dyDescent="0.25">
      <c r="A105" s="57" t="s">
        <v>140</v>
      </c>
      <c r="B105" s="150">
        <v>4.0199999999999996</v>
      </c>
      <c r="C105" s="9">
        <v>0</v>
      </c>
      <c r="D105" s="46">
        <f>'Facility Risk - Toyota'!$C105/$C$151</f>
        <v>0</v>
      </c>
    </row>
    <row r="106" spans="1:4" ht="19" x14ac:dyDescent="0.25">
      <c r="A106" s="58" t="s">
        <v>141</v>
      </c>
      <c r="B106" s="151">
        <v>6.65</v>
      </c>
      <c r="C106" s="8">
        <v>8.5000000000000006E-3</v>
      </c>
      <c r="D106" s="45">
        <f>'Facility Risk - Toyota'!$C106/$C$151</f>
        <v>8.5763293310463142E-3</v>
      </c>
    </row>
    <row r="107" spans="1:4" ht="19" x14ac:dyDescent="0.25">
      <c r="A107" s="57" t="s">
        <v>142</v>
      </c>
      <c r="B107" s="152">
        <v>4.5599999999999996</v>
      </c>
      <c r="C107" s="9">
        <v>0</v>
      </c>
      <c r="D107" s="46">
        <f>'Facility Risk - Toyota'!$C107/$C$151</f>
        <v>0</v>
      </c>
    </row>
    <row r="108" spans="1:4" ht="19" x14ac:dyDescent="0.25">
      <c r="A108" s="58" t="s">
        <v>143</v>
      </c>
      <c r="B108" s="76">
        <v>5.34</v>
      </c>
      <c r="C108" s="8">
        <v>0</v>
      </c>
      <c r="D108" s="45">
        <f>'Facility Risk - Toyota'!$C108/$C$151</f>
        <v>0</v>
      </c>
    </row>
    <row r="109" spans="1:4" ht="19" x14ac:dyDescent="0.25">
      <c r="A109" s="57" t="s">
        <v>144</v>
      </c>
      <c r="B109" s="153">
        <v>4.72</v>
      </c>
      <c r="C109" s="9">
        <v>0</v>
      </c>
      <c r="D109" s="46">
        <f>'Facility Risk - Toyota'!$C109/$C$151</f>
        <v>0</v>
      </c>
    </row>
    <row r="110" spans="1:4" ht="19" x14ac:dyDescent="0.25">
      <c r="A110" s="58" t="s">
        <v>145</v>
      </c>
      <c r="B110" s="154">
        <v>5.28</v>
      </c>
      <c r="C110" s="8">
        <v>0</v>
      </c>
      <c r="D110" s="45">
        <f>'Facility Risk - Toyota'!$C110/$C$151</f>
        <v>0</v>
      </c>
    </row>
    <row r="111" spans="1:4" ht="19" x14ac:dyDescent="0.25">
      <c r="A111" s="57" t="s">
        <v>146</v>
      </c>
      <c r="B111" s="146">
        <v>5.8</v>
      </c>
      <c r="C111" s="9">
        <v>4.1999999999999997E-3</v>
      </c>
      <c r="D111" s="46">
        <f>'Facility Risk - Toyota'!$C111/$C$151</f>
        <v>4.2377156694581777E-3</v>
      </c>
    </row>
    <row r="112" spans="1:4" ht="19" x14ac:dyDescent="0.25">
      <c r="A112" s="58" t="s">
        <v>147</v>
      </c>
      <c r="B112" s="155">
        <v>4.1500000000000004</v>
      </c>
      <c r="C112" s="8">
        <v>8.5000000000000006E-3</v>
      </c>
      <c r="D112" s="45">
        <f>'Facility Risk - Toyota'!$C112/$C$151</f>
        <v>8.5763293310463142E-3</v>
      </c>
    </row>
    <row r="113" spans="1:4" ht="19" x14ac:dyDescent="0.25">
      <c r="A113" s="57" t="s">
        <v>148</v>
      </c>
      <c r="B113" s="156">
        <v>3.43</v>
      </c>
      <c r="C113" s="9">
        <v>4.1999999999999997E-3</v>
      </c>
      <c r="D113" s="46">
        <f>'Facility Risk - Toyota'!$C113/$C$151</f>
        <v>4.2377156694581777E-3</v>
      </c>
    </row>
    <row r="114" spans="1:4" ht="19" x14ac:dyDescent="0.25">
      <c r="A114" s="58" t="s">
        <v>149</v>
      </c>
      <c r="B114" s="93">
        <v>3.2</v>
      </c>
      <c r="C114" s="8">
        <v>0</v>
      </c>
      <c r="D114" s="45">
        <f>'Facility Risk - Toyota'!$C114/$C$151</f>
        <v>0</v>
      </c>
    </row>
    <row r="115" spans="1:4" ht="19" x14ac:dyDescent="0.25">
      <c r="A115" s="57" t="s">
        <v>150</v>
      </c>
      <c r="B115" s="157">
        <v>4.05</v>
      </c>
      <c r="C115" s="9">
        <v>0</v>
      </c>
      <c r="D115" s="46">
        <f>'Facility Risk - Toyota'!$C115/$C$151</f>
        <v>0</v>
      </c>
    </row>
    <row r="116" spans="1:4" ht="19" x14ac:dyDescent="0.25">
      <c r="A116" s="58" t="s">
        <v>151</v>
      </c>
      <c r="B116" s="158">
        <v>5.96</v>
      </c>
      <c r="C116" s="8">
        <v>0</v>
      </c>
      <c r="D116" s="45">
        <f>'Facility Risk - Toyota'!$C116/$C$151</f>
        <v>0</v>
      </c>
    </row>
    <row r="117" spans="1:4" ht="19" x14ac:dyDescent="0.25">
      <c r="A117" s="57" t="s">
        <v>152</v>
      </c>
      <c r="B117" s="159">
        <v>5.47</v>
      </c>
      <c r="C117" s="9">
        <v>0</v>
      </c>
      <c r="D117" s="46">
        <f>'Facility Risk - Toyota'!$C117/$C$151</f>
        <v>0</v>
      </c>
    </row>
    <row r="118" spans="1:4" ht="19" x14ac:dyDescent="0.25">
      <c r="A118" s="58" t="s">
        <v>153</v>
      </c>
      <c r="B118" s="79">
        <v>4.42</v>
      </c>
      <c r="C118" s="8">
        <v>0</v>
      </c>
      <c r="D118" s="45">
        <f>'Facility Risk - Toyota'!$C118/$C$151</f>
        <v>0</v>
      </c>
    </row>
    <row r="119" spans="1:4" ht="19" x14ac:dyDescent="0.25">
      <c r="A119" s="57" t="s">
        <v>154</v>
      </c>
      <c r="B119" s="160">
        <v>5.4</v>
      </c>
      <c r="C119" s="9">
        <v>0</v>
      </c>
      <c r="D119" s="46">
        <f>'Facility Risk - Toyota'!$C119/$C$151</f>
        <v>0</v>
      </c>
    </row>
    <row r="120" spans="1:4" ht="19" x14ac:dyDescent="0.25">
      <c r="A120" s="58" t="s">
        <v>155</v>
      </c>
      <c r="B120" s="161">
        <v>5.04</v>
      </c>
      <c r="C120" s="8">
        <v>0</v>
      </c>
      <c r="D120" s="45">
        <f>'Facility Risk - Toyota'!$C120/$C$151</f>
        <v>0</v>
      </c>
    </row>
    <row r="121" spans="1:4" ht="19" x14ac:dyDescent="0.25">
      <c r="A121" s="57" t="s">
        <v>156</v>
      </c>
      <c r="B121" s="162">
        <v>5.64</v>
      </c>
      <c r="C121" s="9">
        <v>0</v>
      </c>
      <c r="D121" s="46">
        <f>'Facility Risk - Toyota'!$C121/$C$151</f>
        <v>0</v>
      </c>
    </row>
    <row r="122" spans="1:4" ht="19" x14ac:dyDescent="0.25">
      <c r="A122" s="58" t="s">
        <v>157</v>
      </c>
      <c r="B122" s="163">
        <v>3.04</v>
      </c>
      <c r="C122" s="8">
        <v>0</v>
      </c>
      <c r="D122" s="45">
        <f>'Facility Risk - Toyota'!$C122/$C$151</f>
        <v>0</v>
      </c>
    </row>
    <row r="123" spans="1:4" ht="19" x14ac:dyDescent="0.25">
      <c r="A123" s="57" t="s">
        <v>158</v>
      </c>
      <c r="B123" s="164">
        <v>3.79</v>
      </c>
      <c r="C123" s="9">
        <v>0</v>
      </c>
      <c r="D123" s="46">
        <f>'Facility Risk - Toyota'!$C123/$C$151</f>
        <v>0</v>
      </c>
    </row>
    <row r="124" spans="1:4" ht="19" x14ac:dyDescent="0.25">
      <c r="A124" s="58" t="s">
        <v>159</v>
      </c>
      <c r="B124" s="165">
        <v>3.48</v>
      </c>
      <c r="C124" s="8">
        <v>0</v>
      </c>
      <c r="D124" s="45">
        <f>'Facility Risk - Toyota'!$C124/$C$151</f>
        <v>0</v>
      </c>
    </row>
    <row r="125" spans="1:4" ht="19" x14ac:dyDescent="0.25">
      <c r="A125" s="57" t="s">
        <v>160</v>
      </c>
      <c r="B125" s="166">
        <v>5.22</v>
      </c>
      <c r="C125" s="9">
        <v>8.5000000000000006E-3</v>
      </c>
      <c r="D125" s="46">
        <f>'Facility Risk - Toyota'!$C125/$C$151</f>
        <v>8.5763293310463142E-3</v>
      </c>
    </row>
    <row r="126" spans="1:4" ht="19" x14ac:dyDescent="0.25">
      <c r="A126" s="58" t="s">
        <v>161</v>
      </c>
      <c r="B126" s="167">
        <v>3.57</v>
      </c>
      <c r="C126" s="8">
        <v>0</v>
      </c>
      <c r="D126" s="45">
        <f>'Facility Risk - Toyota'!$C126/$C$151</f>
        <v>0</v>
      </c>
    </row>
    <row r="127" spans="1:4" ht="19" x14ac:dyDescent="0.25">
      <c r="A127" s="57" t="s">
        <v>162</v>
      </c>
      <c r="B127" s="168">
        <v>3.7</v>
      </c>
      <c r="C127" s="9">
        <v>0</v>
      </c>
      <c r="D127" s="46">
        <f>'Facility Risk - Toyota'!$C127/$C$151</f>
        <v>0</v>
      </c>
    </row>
    <row r="128" spans="1:4" ht="19" x14ac:dyDescent="0.25">
      <c r="A128" s="58" t="s">
        <v>163</v>
      </c>
      <c r="B128" s="169">
        <v>5.1100000000000003</v>
      </c>
      <c r="C128" s="8">
        <v>0</v>
      </c>
      <c r="D128" s="45">
        <f>'Facility Risk - Toyota'!$C128/$C$151</f>
        <v>0</v>
      </c>
    </row>
    <row r="129" spans="1:4" ht="19" x14ac:dyDescent="0.25">
      <c r="A129" s="57" t="s">
        <v>164</v>
      </c>
      <c r="B129" s="137">
        <v>7.1</v>
      </c>
      <c r="C129" s="9">
        <v>0</v>
      </c>
      <c r="D129" s="46">
        <f>'Facility Risk - Toyota'!$C129/$C$151</f>
        <v>0</v>
      </c>
    </row>
    <row r="130" spans="1:4" ht="19" x14ac:dyDescent="0.25">
      <c r="A130" s="58" t="s">
        <v>165</v>
      </c>
      <c r="B130" s="170">
        <v>3.52</v>
      </c>
      <c r="C130" s="8">
        <v>0</v>
      </c>
      <c r="D130" s="45">
        <f>'Facility Risk - Toyota'!$C130/$C$151</f>
        <v>0</v>
      </c>
    </row>
    <row r="131" spans="1:4" ht="19" x14ac:dyDescent="0.25">
      <c r="A131" s="57" t="s">
        <v>166</v>
      </c>
      <c r="B131" s="171">
        <v>2.78</v>
      </c>
      <c r="C131" s="9">
        <v>0</v>
      </c>
      <c r="D131" s="46">
        <f>'Facility Risk - Toyota'!$C131/$C$151</f>
        <v>0</v>
      </c>
    </row>
    <row r="132" spans="1:4" ht="19" x14ac:dyDescent="0.25">
      <c r="A132" s="59" t="s">
        <v>167</v>
      </c>
      <c r="B132" s="172">
        <v>7.33</v>
      </c>
      <c r="C132" s="8">
        <v>0</v>
      </c>
      <c r="D132" s="45">
        <f>'Facility Risk - Toyota'!$C132/$C$151</f>
        <v>0</v>
      </c>
    </row>
    <row r="133" spans="1:4" ht="19" x14ac:dyDescent="0.25">
      <c r="A133" s="57" t="s">
        <v>168</v>
      </c>
      <c r="B133" s="173">
        <v>5.69</v>
      </c>
      <c r="C133" s="9">
        <v>0</v>
      </c>
      <c r="D133" s="46">
        <f>'Facility Risk - Toyota'!$C133/$C$151</f>
        <v>0</v>
      </c>
    </row>
    <row r="134" spans="1:4" ht="19" x14ac:dyDescent="0.25">
      <c r="A134" s="58" t="s">
        <v>169</v>
      </c>
      <c r="B134" s="63">
        <v>5.21</v>
      </c>
      <c r="C134" s="8">
        <v>7.6300000000000007E-2</v>
      </c>
      <c r="D134" s="45">
        <f>'Facility Risk - Toyota'!$C134/$C$151</f>
        <v>7.6985167995156908E-2</v>
      </c>
    </row>
    <row r="135" spans="1:4" ht="19" x14ac:dyDescent="0.25">
      <c r="A135" s="57" t="s">
        <v>170</v>
      </c>
      <c r="B135" s="174">
        <v>5.15</v>
      </c>
      <c r="C135" s="9">
        <v>0</v>
      </c>
      <c r="D135" s="46">
        <f>'Facility Risk - Toyota'!$C135/$C$151</f>
        <v>0</v>
      </c>
    </row>
    <row r="136" spans="1:4" ht="19" x14ac:dyDescent="0.25">
      <c r="A136" s="58" t="s">
        <v>171</v>
      </c>
      <c r="B136" s="175">
        <v>5.87</v>
      </c>
      <c r="C136" s="8">
        <v>0</v>
      </c>
      <c r="D136" s="45">
        <f>'Facility Risk - Toyota'!$C136/$C$151</f>
        <v>0</v>
      </c>
    </row>
    <row r="137" spans="1:4" ht="19" x14ac:dyDescent="0.25">
      <c r="A137" s="57" t="s">
        <v>172</v>
      </c>
      <c r="B137" s="176">
        <v>4.38</v>
      </c>
      <c r="C137" s="9">
        <v>0</v>
      </c>
      <c r="D137" s="46">
        <f>'Facility Risk - Toyota'!$C137/$C$151</f>
        <v>0</v>
      </c>
    </row>
    <row r="138" spans="1:4" ht="19" x14ac:dyDescent="0.25">
      <c r="A138" s="58" t="s">
        <v>173</v>
      </c>
      <c r="B138" s="177">
        <v>5.13</v>
      </c>
      <c r="C138" s="8">
        <v>0</v>
      </c>
      <c r="D138" s="45">
        <f>'Facility Risk - Toyota'!$C138/$C$151</f>
        <v>0</v>
      </c>
    </row>
    <row r="139" spans="1:4" ht="19" x14ac:dyDescent="0.25">
      <c r="A139" s="57" t="s">
        <v>174</v>
      </c>
      <c r="B139" s="178">
        <v>5.26</v>
      </c>
      <c r="C139" s="9">
        <v>4.1999999999999997E-3</v>
      </c>
      <c r="D139" s="46">
        <f>'Facility Risk - Toyota'!$C139/$C$151</f>
        <v>4.2377156694581777E-3</v>
      </c>
    </row>
    <row r="140" spans="1:4" ht="19" x14ac:dyDescent="0.25">
      <c r="A140" s="58" t="s">
        <v>175</v>
      </c>
      <c r="B140" s="179">
        <v>6.29</v>
      </c>
      <c r="C140" s="8">
        <v>0</v>
      </c>
      <c r="D140" s="45">
        <f>'Facility Risk - Toyota'!$C140/$C$151</f>
        <v>0</v>
      </c>
    </row>
    <row r="141" spans="1:4" ht="19" x14ac:dyDescent="0.25">
      <c r="A141" s="57" t="s">
        <v>176</v>
      </c>
      <c r="B141" s="180">
        <v>6.35</v>
      </c>
      <c r="C141" s="9">
        <v>0</v>
      </c>
      <c r="D141" s="46">
        <f>'Facility Risk - Toyota'!$C141/$C$151</f>
        <v>0</v>
      </c>
    </row>
    <row r="142" spans="1:4" ht="19" x14ac:dyDescent="0.25">
      <c r="A142" s="58" t="s">
        <v>177</v>
      </c>
      <c r="B142" s="181">
        <v>3.72</v>
      </c>
      <c r="C142" s="8">
        <v>0</v>
      </c>
      <c r="D142" s="45">
        <f>'Facility Risk - Toyota'!$C142/$C$151</f>
        <v>0</v>
      </c>
    </row>
    <row r="143" spans="1:4" ht="19" x14ac:dyDescent="0.25">
      <c r="A143" s="57" t="s">
        <v>178</v>
      </c>
      <c r="B143" s="145">
        <v>3.32</v>
      </c>
      <c r="C143" s="9">
        <v>1.2699999999999999E-2</v>
      </c>
      <c r="D143" s="46">
        <f>'Facility Risk - Toyota'!$C143/$C$151</f>
        <v>1.2814045000504492E-2</v>
      </c>
    </row>
    <row r="144" spans="1:4" ht="19" x14ac:dyDescent="0.25">
      <c r="A144" s="58" t="s">
        <v>179</v>
      </c>
      <c r="B144" s="182">
        <v>4.1900000000000004</v>
      </c>
      <c r="C144" s="8">
        <v>8.8999999999999996E-2</v>
      </c>
      <c r="D144" s="45">
        <f>'Facility Risk - Toyota'!$C144/$C$151</f>
        <v>8.979921299566139E-2</v>
      </c>
    </row>
    <row r="145" spans="1:4" ht="19" x14ac:dyDescent="0.25">
      <c r="A145" s="57" t="s">
        <v>180</v>
      </c>
      <c r="B145" s="183">
        <v>3.91</v>
      </c>
      <c r="C145" s="9">
        <v>0</v>
      </c>
      <c r="D145" s="46">
        <f>'Facility Risk - Toyota'!$C145/$C$151</f>
        <v>0</v>
      </c>
    </row>
    <row r="146" spans="1:4" ht="19" x14ac:dyDescent="0.25">
      <c r="A146" s="58" t="s">
        <v>181</v>
      </c>
      <c r="B146" s="112">
        <v>5.77</v>
      </c>
      <c r="C146" s="8">
        <v>4.1999999999999997E-3</v>
      </c>
      <c r="D146" s="45">
        <f>'Facility Risk - Toyota'!$C146/$C$151</f>
        <v>4.2377156694581777E-3</v>
      </c>
    </row>
    <row r="147" spans="1:4" ht="19" x14ac:dyDescent="0.25">
      <c r="A147" s="57" t="s">
        <v>182</v>
      </c>
      <c r="B147" s="184">
        <v>4.32</v>
      </c>
      <c r="C147" s="9">
        <v>8.5000000000000006E-3</v>
      </c>
      <c r="D147" s="46">
        <f>'Facility Risk - Toyota'!$C147/$C$151</f>
        <v>8.5763293310463142E-3</v>
      </c>
    </row>
    <row r="148" spans="1:4" ht="19" x14ac:dyDescent="0.25">
      <c r="A148" s="58" t="s">
        <v>183</v>
      </c>
      <c r="B148" s="70">
        <v>6.3</v>
      </c>
      <c r="C148" s="8">
        <v>0</v>
      </c>
      <c r="D148" s="45">
        <f>'Facility Risk - Toyota'!$C148/$C$151</f>
        <v>0</v>
      </c>
    </row>
    <row r="149" spans="1:4" ht="19" x14ac:dyDescent="0.25">
      <c r="A149" s="57" t="s">
        <v>184</v>
      </c>
      <c r="B149" s="185">
        <v>4.95</v>
      </c>
      <c r="C149" s="9">
        <v>0</v>
      </c>
      <c r="D149" s="46">
        <f>'Facility Risk - Toyota'!$C149/$C$151</f>
        <v>0</v>
      </c>
    </row>
    <row r="150" spans="1:4" ht="19" x14ac:dyDescent="0.25">
      <c r="A150" s="60" t="s">
        <v>185</v>
      </c>
      <c r="B150" s="186">
        <v>6.14</v>
      </c>
      <c r="C150" s="10">
        <v>0</v>
      </c>
      <c r="D150" s="47">
        <f>'Facility Risk - Toyota'!$C150/$C$151</f>
        <v>0</v>
      </c>
    </row>
    <row r="151" spans="1:4" ht="19" x14ac:dyDescent="0.25">
      <c r="A151" s="61" t="s">
        <v>186</v>
      </c>
      <c r="B151" s="5"/>
      <c r="C151" s="6">
        <f>SUM(C4:C150)</f>
        <v>0.99109999999999987</v>
      </c>
      <c r="D151" s="48">
        <f>SUM(D4:D150)</f>
        <v>1.0000000000000004</v>
      </c>
    </row>
  </sheetData>
  <mergeCells count="1">
    <mergeCell ref="A1:D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E634C-8033-574D-9009-55DD60E8518D}">
  <dimension ref="A1:J151"/>
  <sheetViews>
    <sheetView workbookViewId="0">
      <selection activeCell="I17" sqref="I17"/>
    </sheetView>
  </sheetViews>
  <sheetFormatPr baseColWidth="10" defaultColWidth="11" defaultRowHeight="16" x14ac:dyDescent="0.2"/>
  <cols>
    <col min="1" max="1" width="23" bestFit="1" customWidth="1"/>
    <col min="2" max="2" width="32" bestFit="1" customWidth="1"/>
    <col min="3" max="3" width="33.6640625" bestFit="1" customWidth="1"/>
    <col min="4" max="4" width="42.6640625" bestFit="1" customWidth="1"/>
    <col min="5" max="5" width="16" bestFit="1" customWidth="1"/>
    <col min="7" max="7" width="29.33203125" bestFit="1" customWidth="1"/>
    <col min="8" max="8" width="9.6640625" bestFit="1" customWidth="1"/>
    <col min="9" max="9" width="22.5" bestFit="1" customWidth="1"/>
    <col min="10" max="10" width="12.33203125" bestFit="1" customWidth="1"/>
  </cols>
  <sheetData>
    <row r="1" spans="1:10" ht="17" customHeight="1" x14ac:dyDescent="0.2">
      <c r="A1" s="188" t="s">
        <v>13</v>
      </c>
      <c r="B1" s="189"/>
      <c r="C1" s="189"/>
      <c r="D1" s="189"/>
    </row>
    <row r="2" spans="1:10" ht="17" customHeight="1" thickBot="1" x14ac:dyDescent="0.25">
      <c r="A2" s="190"/>
      <c r="B2" s="191"/>
      <c r="C2" s="191"/>
      <c r="D2" s="191"/>
    </row>
    <row r="3" spans="1:10" ht="20" thickTop="1" x14ac:dyDescent="0.25">
      <c r="A3" s="12" t="s">
        <v>27</v>
      </c>
      <c r="B3" s="13" t="s">
        <v>28</v>
      </c>
      <c r="C3" s="14" t="s">
        <v>29</v>
      </c>
      <c r="D3" s="7" t="s">
        <v>30</v>
      </c>
    </row>
    <row r="4" spans="1:10" ht="20" thickBot="1" x14ac:dyDescent="0.3">
      <c r="A4" s="56" t="s">
        <v>31</v>
      </c>
      <c r="B4" s="62">
        <v>4.37</v>
      </c>
      <c r="C4" s="15">
        <v>0</v>
      </c>
      <c r="D4" s="45">
        <f>'Facility Risk - Nordisk'!$C4/$C$151</f>
        <v>0</v>
      </c>
    </row>
    <row r="5" spans="1:10" ht="20" thickBot="1" x14ac:dyDescent="0.3">
      <c r="A5" s="57" t="s">
        <v>32</v>
      </c>
      <c r="B5" s="63">
        <v>5.21</v>
      </c>
      <c r="C5" s="9">
        <v>0.08</v>
      </c>
      <c r="D5" s="46">
        <f>'Facility Risk - Nordisk'!$C5/$C$151</f>
        <v>0.08</v>
      </c>
      <c r="G5" s="32" t="s">
        <v>33</v>
      </c>
      <c r="H5" s="33"/>
      <c r="I5" s="33"/>
      <c r="J5" s="34"/>
    </row>
    <row r="6" spans="1:10" ht="20" thickBot="1" x14ac:dyDescent="0.3">
      <c r="A6" s="58" t="s">
        <v>34</v>
      </c>
      <c r="B6" s="64">
        <v>5.63</v>
      </c>
      <c r="C6" s="8">
        <v>0</v>
      </c>
      <c r="D6" s="45">
        <f>'Facility Risk - Nordisk'!$C6/$C$151</f>
        <v>0</v>
      </c>
      <c r="G6" s="20"/>
      <c r="H6" s="21" t="s">
        <v>35</v>
      </c>
      <c r="I6" s="22" t="s">
        <v>36</v>
      </c>
      <c r="J6" s="23" t="s">
        <v>37</v>
      </c>
    </row>
    <row r="7" spans="1:10" ht="19" x14ac:dyDescent="0.25">
      <c r="A7" s="57" t="s">
        <v>38</v>
      </c>
      <c r="B7" s="65">
        <v>4.3600000000000003</v>
      </c>
      <c r="C7" s="9">
        <v>0</v>
      </c>
      <c r="D7" s="46">
        <f>'Facility Risk - Nordisk'!$C7/$C$151</f>
        <v>0</v>
      </c>
      <c r="G7" s="24" t="s">
        <v>39</v>
      </c>
      <c r="H7" s="25" t="str">
        <f>INDEX(A4:A150,MATCH(MIN(D4:D150),D4:D150,0))</f>
        <v>Albania</v>
      </c>
      <c r="I7" s="25">
        <f>INDEX(B4:B150,MATCH(MIN(D4:D150),D4:D150,0))</f>
        <v>4.37</v>
      </c>
      <c r="J7" s="26">
        <f>INDEX(D4:D150,MATCH(MIN(D4:D150),D4:D150,0))</f>
        <v>0</v>
      </c>
    </row>
    <row r="8" spans="1:10" ht="20" thickBot="1" x14ac:dyDescent="0.3">
      <c r="A8" s="58" t="s">
        <v>40</v>
      </c>
      <c r="B8" s="66">
        <v>4.79</v>
      </c>
      <c r="C8" s="8">
        <v>0</v>
      </c>
      <c r="D8" s="45">
        <f>'Facility Risk - Nordisk'!$C8/$C$151</f>
        <v>0</v>
      </c>
      <c r="G8" s="27" t="s">
        <v>41</v>
      </c>
      <c r="H8" s="28" t="str">
        <f>INDEX(A4:A150,MATCH(MAX(D4:D150),D4:D150,0))</f>
        <v>Denmark</v>
      </c>
      <c r="I8" s="28">
        <f>INDEX(B4:B150,MATCH(MAX(D4:D150),D4:D150,0))</f>
        <v>3.2</v>
      </c>
      <c r="J8" s="31">
        <f>INDEX(D4:D150,MATCH(MAX(D4:D150),D4:D150,0))</f>
        <v>0.44</v>
      </c>
    </row>
    <row r="9" spans="1:10" ht="23" thickBot="1" x14ac:dyDescent="0.35">
      <c r="A9" s="57" t="s">
        <v>42</v>
      </c>
      <c r="B9" s="67">
        <v>3.22</v>
      </c>
      <c r="C9" s="9">
        <v>0</v>
      </c>
      <c r="D9" s="46">
        <f>'Facility Risk - Nordisk'!$C9/$C$151</f>
        <v>0</v>
      </c>
      <c r="G9" s="30" t="s">
        <v>43</v>
      </c>
      <c r="H9" s="29"/>
      <c r="I9" s="29"/>
      <c r="J9" s="187">
        <f>SUMPRODUCT(B4:B150,D4:D150)</f>
        <v>3.8971999999999998</v>
      </c>
    </row>
    <row r="10" spans="1:10" ht="19" x14ac:dyDescent="0.25">
      <c r="A10" s="58" t="s">
        <v>44</v>
      </c>
      <c r="B10" s="68">
        <v>3.41</v>
      </c>
      <c r="C10" s="8">
        <v>0</v>
      </c>
      <c r="D10" s="45">
        <f>'Facility Risk - Nordisk'!$C10/$C$151</f>
        <v>0</v>
      </c>
    </row>
    <row r="11" spans="1:10" ht="19" x14ac:dyDescent="0.25">
      <c r="A11" s="57" t="s">
        <v>45</v>
      </c>
      <c r="B11" s="63">
        <v>5.21</v>
      </c>
      <c r="C11" s="9">
        <v>0</v>
      </c>
      <c r="D11" s="46">
        <f>'Facility Risk - Nordisk'!$C11/$C$151</f>
        <v>0</v>
      </c>
    </row>
    <row r="12" spans="1:10" ht="19" x14ac:dyDescent="0.25">
      <c r="A12" s="58" t="s">
        <v>46</v>
      </c>
      <c r="B12" s="69">
        <v>4.26</v>
      </c>
      <c r="C12" s="8">
        <v>0.04</v>
      </c>
      <c r="D12" s="45">
        <f>'Facility Risk - Nordisk'!$C12/$C$151</f>
        <v>0.04</v>
      </c>
    </row>
    <row r="13" spans="1:10" ht="19" x14ac:dyDescent="0.25">
      <c r="A13" s="57" t="s">
        <v>47</v>
      </c>
      <c r="B13" s="70">
        <v>6.29</v>
      </c>
      <c r="C13" s="9">
        <v>0</v>
      </c>
      <c r="D13" s="46">
        <f>'Facility Risk - Nordisk'!$C13/$C$151</f>
        <v>0</v>
      </c>
    </row>
    <row r="14" spans="1:10" ht="19" x14ac:dyDescent="0.25">
      <c r="A14" s="58" t="s">
        <v>48</v>
      </c>
      <c r="B14" s="71">
        <v>5.45</v>
      </c>
      <c r="C14" s="8">
        <v>0</v>
      </c>
      <c r="D14" s="45">
        <f>'Facility Risk - Nordisk'!$C14/$C$151</f>
        <v>0</v>
      </c>
    </row>
    <row r="15" spans="1:10" ht="19" x14ac:dyDescent="0.25">
      <c r="A15" s="57" t="s">
        <v>49</v>
      </c>
      <c r="B15" s="72">
        <v>3.33</v>
      </c>
      <c r="C15" s="9">
        <v>0</v>
      </c>
      <c r="D15" s="46">
        <f>'Facility Risk - Nordisk'!$C15/$C$151</f>
        <v>0</v>
      </c>
    </row>
    <row r="16" spans="1:10" ht="19" x14ac:dyDescent="0.25">
      <c r="A16" s="58" t="s">
        <v>50</v>
      </c>
      <c r="B16" s="73">
        <v>6</v>
      </c>
      <c r="C16" s="8">
        <v>0</v>
      </c>
      <c r="D16" s="45">
        <f>'Facility Risk - Nordisk'!$C16/$C$151</f>
        <v>0</v>
      </c>
    </row>
    <row r="17" spans="1:5" ht="19" x14ac:dyDescent="0.25">
      <c r="A17" s="57" t="s">
        <v>51</v>
      </c>
      <c r="B17" s="74">
        <v>5.0199999999999996</v>
      </c>
      <c r="C17" s="9">
        <v>0</v>
      </c>
      <c r="D17" s="46">
        <f>'Facility Risk - Nordisk'!$C17/$C$151</f>
        <v>0</v>
      </c>
    </row>
    <row r="18" spans="1:5" ht="19" x14ac:dyDescent="0.25">
      <c r="A18" s="58" t="s">
        <v>52</v>
      </c>
      <c r="B18" s="75">
        <v>5.41</v>
      </c>
      <c r="C18" s="8">
        <v>0</v>
      </c>
      <c r="D18" s="45">
        <f>'Facility Risk - Nordisk'!$C18/$C$151</f>
        <v>0</v>
      </c>
    </row>
    <row r="19" spans="1:5" ht="19" x14ac:dyDescent="0.25">
      <c r="A19" s="57" t="s">
        <v>53</v>
      </c>
      <c r="B19" s="76">
        <v>5.34</v>
      </c>
      <c r="C19" s="9">
        <v>0</v>
      </c>
      <c r="D19" s="46">
        <f>'Facility Risk - Nordisk'!$C19/$C$151</f>
        <v>0</v>
      </c>
    </row>
    <row r="20" spans="1:5" ht="19" x14ac:dyDescent="0.25">
      <c r="A20" s="58" t="s">
        <v>54</v>
      </c>
      <c r="B20" s="77">
        <v>4.34</v>
      </c>
      <c r="C20" s="8">
        <v>0</v>
      </c>
      <c r="D20" s="45">
        <f>'Facility Risk - Nordisk'!$C20/$C$151</f>
        <v>0</v>
      </c>
    </row>
    <row r="21" spans="1:5" ht="19" x14ac:dyDescent="0.25">
      <c r="A21" s="57" t="s">
        <v>55</v>
      </c>
      <c r="B21" s="78">
        <v>5.35</v>
      </c>
      <c r="C21" s="9">
        <v>0.04</v>
      </c>
      <c r="D21" s="46">
        <f>'Facility Risk - Nordisk'!$C21/$C$151</f>
        <v>0.04</v>
      </c>
    </row>
    <row r="22" spans="1:5" ht="19" x14ac:dyDescent="0.25">
      <c r="A22" s="58" t="s">
        <v>56</v>
      </c>
      <c r="B22" s="79">
        <v>4.43</v>
      </c>
      <c r="C22" s="8">
        <v>0</v>
      </c>
      <c r="D22" s="45">
        <f>'Facility Risk - Nordisk'!$C22/$C$151</f>
        <v>0</v>
      </c>
    </row>
    <row r="23" spans="1:5" ht="19" x14ac:dyDescent="0.25">
      <c r="A23" s="57" t="s">
        <v>57</v>
      </c>
      <c r="B23" s="80">
        <v>6.55</v>
      </c>
      <c r="C23" s="9">
        <v>0</v>
      </c>
      <c r="D23" s="46">
        <f>'Facility Risk - Nordisk'!$C23/$C$151</f>
        <v>0</v>
      </c>
    </row>
    <row r="24" spans="1:5" ht="19" x14ac:dyDescent="0.25">
      <c r="A24" s="58" t="s">
        <v>58</v>
      </c>
      <c r="B24" s="81">
        <v>6.33</v>
      </c>
      <c r="C24" s="8">
        <v>0</v>
      </c>
      <c r="D24" s="45">
        <f>'Facility Risk - Nordisk'!$C24/$C$151</f>
        <v>0</v>
      </c>
    </row>
    <row r="25" spans="1:5" ht="19" x14ac:dyDescent="0.25">
      <c r="A25" s="57" t="s">
        <v>59</v>
      </c>
      <c r="B25" s="64">
        <v>5.64</v>
      </c>
      <c r="C25" s="9">
        <v>0</v>
      </c>
      <c r="D25" s="46">
        <f>'Facility Risk - Nordisk'!$C25/$C$151</f>
        <v>0</v>
      </c>
    </row>
    <row r="26" spans="1:5" ht="19" x14ac:dyDescent="0.25">
      <c r="A26" s="58" t="s">
        <v>60</v>
      </c>
      <c r="B26" s="82">
        <v>6.83</v>
      </c>
      <c r="C26" s="8">
        <v>0</v>
      </c>
      <c r="D26" s="45">
        <f>'Facility Risk - Nordisk'!$C26/$C$151</f>
        <v>0</v>
      </c>
    </row>
    <row r="27" spans="1:5" ht="19" x14ac:dyDescent="0.25">
      <c r="A27" s="57" t="s">
        <v>61</v>
      </c>
      <c r="B27" s="83">
        <v>3.44</v>
      </c>
      <c r="C27" s="9">
        <v>0</v>
      </c>
      <c r="D27" s="46">
        <f>'Facility Risk - Nordisk'!$C27/$C$151</f>
        <v>0</v>
      </c>
    </row>
    <row r="28" spans="1:5" ht="19" x14ac:dyDescent="0.25">
      <c r="A28" s="58" t="s">
        <v>62</v>
      </c>
      <c r="B28" s="84">
        <v>6.79</v>
      </c>
      <c r="C28" s="8">
        <v>0</v>
      </c>
      <c r="D28" s="45">
        <f>'Facility Risk - Nordisk'!$C28/$C$151</f>
        <v>0</v>
      </c>
    </row>
    <row r="29" spans="1:5" ht="19" x14ac:dyDescent="0.25">
      <c r="A29" s="57" t="s">
        <v>63</v>
      </c>
      <c r="B29" s="82">
        <v>6.84</v>
      </c>
      <c r="C29" s="9">
        <v>0</v>
      </c>
      <c r="D29" s="46">
        <f>'Facility Risk - Nordisk'!$C29/$C$151</f>
        <v>0</v>
      </c>
    </row>
    <row r="30" spans="1:5" ht="19" x14ac:dyDescent="0.25">
      <c r="A30" s="58" t="s">
        <v>64</v>
      </c>
      <c r="B30" s="65">
        <v>4.3600000000000003</v>
      </c>
      <c r="C30" s="8">
        <v>0</v>
      </c>
      <c r="D30" s="45">
        <f>'Facility Risk - Nordisk'!$C30/$C$151</f>
        <v>0</v>
      </c>
    </row>
    <row r="31" spans="1:5" ht="19" x14ac:dyDescent="0.25">
      <c r="A31" s="57" t="s">
        <v>65</v>
      </c>
      <c r="B31" s="85">
        <v>4.26</v>
      </c>
      <c r="C31" s="9">
        <v>0.04</v>
      </c>
      <c r="D31" s="46">
        <f>'Facility Risk - Nordisk'!$C31/$C$151</f>
        <v>0.04</v>
      </c>
      <c r="E31" s="50" t="s">
        <v>66</v>
      </c>
    </row>
    <row r="32" spans="1:5" ht="19" x14ac:dyDescent="0.25">
      <c r="A32" s="58" t="s">
        <v>67</v>
      </c>
      <c r="B32" s="86">
        <v>5.72</v>
      </c>
      <c r="C32" s="8">
        <v>0</v>
      </c>
      <c r="D32" s="45">
        <f>'Facility Risk - Nordisk'!$C32/$C$151</f>
        <v>0</v>
      </c>
    </row>
    <row r="33" spans="1:4" ht="19" x14ac:dyDescent="0.25">
      <c r="A33" s="57" t="s">
        <v>68</v>
      </c>
      <c r="B33" s="87">
        <v>5.65</v>
      </c>
      <c r="C33" s="9">
        <v>0</v>
      </c>
      <c r="D33" s="46">
        <f>'Facility Risk - Nordisk'!$C33/$C$151</f>
        <v>0</v>
      </c>
    </row>
    <row r="34" spans="1:4" ht="19" x14ac:dyDescent="0.25">
      <c r="A34" s="58" t="s">
        <v>69</v>
      </c>
      <c r="B34" s="88">
        <v>4.2300000000000004</v>
      </c>
      <c r="C34" s="8">
        <v>0</v>
      </c>
      <c r="D34" s="45">
        <f>'Facility Risk - Nordisk'!$C34/$C$151</f>
        <v>0</v>
      </c>
    </row>
    <row r="35" spans="1:4" ht="19" x14ac:dyDescent="0.25">
      <c r="A35" s="57" t="s">
        <v>70</v>
      </c>
      <c r="B35" s="89">
        <v>5.6</v>
      </c>
      <c r="C35" s="9">
        <v>0</v>
      </c>
      <c r="D35" s="46">
        <f>'Facility Risk - Nordisk'!$C35/$C$151</f>
        <v>0</v>
      </c>
    </row>
    <row r="36" spans="1:4" ht="19" x14ac:dyDescent="0.25">
      <c r="A36" s="58" t="s">
        <v>71</v>
      </c>
      <c r="B36" s="90">
        <v>4.28</v>
      </c>
      <c r="C36" s="8">
        <v>0</v>
      </c>
      <c r="D36" s="45">
        <f>'Facility Risk - Nordisk'!$C36/$C$151</f>
        <v>0</v>
      </c>
    </row>
    <row r="37" spans="1:4" ht="19" x14ac:dyDescent="0.25">
      <c r="A37" s="57" t="s">
        <v>72</v>
      </c>
      <c r="B37" s="91">
        <v>4.67</v>
      </c>
      <c r="C37" s="9">
        <v>0</v>
      </c>
      <c r="D37" s="46">
        <f>'Facility Risk - Nordisk'!$C37/$C$151</f>
        <v>0</v>
      </c>
    </row>
    <row r="38" spans="1:4" ht="19" x14ac:dyDescent="0.25">
      <c r="A38" s="58" t="s">
        <v>73</v>
      </c>
      <c r="B38" s="92">
        <v>3.75</v>
      </c>
      <c r="C38" s="8">
        <v>0</v>
      </c>
      <c r="D38" s="45">
        <f>'Facility Risk - Nordisk'!$C38/$C$151</f>
        <v>0</v>
      </c>
    </row>
    <row r="39" spans="1:4" ht="19" x14ac:dyDescent="0.25">
      <c r="A39" s="57" t="s">
        <v>74</v>
      </c>
      <c r="B39" s="93">
        <v>3.2</v>
      </c>
      <c r="C39" s="9">
        <v>0.44</v>
      </c>
      <c r="D39" s="46">
        <f>'Facility Risk - Nordisk'!$C39/$C$151</f>
        <v>0.44</v>
      </c>
    </row>
    <row r="40" spans="1:4" ht="19" x14ac:dyDescent="0.25">
      <c r="A40" s="58" t="s">
        <v>75</v>
      </c>
      <c r="B40" s="94">
        <v>5.98</v>
      </c>
      <c r="C40" s="8">
        <v>0</v>
      </c>
      <c r="D40" s="45">
        <f>'Facility Risk - Nordisk'!$C40/$C$151</f>
        <v>0</v>
      </c>
    </row>
    <row r="41" spans="1:4" ht="19" x14ac:dyDescent="0.25">
      <c r="A41" s="57" t="s">
        <v>76</v>
      </c>
      <c r="B41" s="95">
        <v>4.7</v>
      </c>
      <c r="C41" s="9">
        <v>0</v>
      </c>
      <c r="D41" s="46">
        <f>'Facility Risk - Nordisk'!$C41/$C$151</f>
        <v>0</v>
      </c>
    </row>
    <row r="42" spans="1:4" ht="19" x14ac:dyDescent="0.25">
      <c r="A42" s="58" t="s">
        <v>77</v>
      </c>
      <c r="B42" s="96">
        <v>5.71</v>
      </c>
      <c r="C42" s="8">
        <v>0</v>
      </c>
      <c r="D42" s="45">
        <f>'Facility Risk - Nordisk'!$C42/$C$151</f>
        <v>0</v>
      </c>
    </row>
    <row r="43" spans="1:4" ht="19" x14ac:dyDescent="0.25">
      <c r="A43" s="57" t="s">
        <v>78</v>
      </c>
      <c r="B43" s="97">
        <v>5.6</v>
      </c>
      <c r="C43" s="9">
        <v>0</v>
      </c>
      <c r="D43" s="46">
        <f>'Facility Risk - Nordisk'!$C43/$C$151</f>
        <v>0</v>
      </c>
    </row>
    <row r="44" spans="1:4" ht="19" x14ac:dyDescent="0.25">
      <c r="A44" s="58" t="s">
        <v>79</v>
      </c>
      <c r="B44" s="98">
        <v>4.79</v>
      </c>
      <c r="C44" s="8">
        <v>0</v>
      </c>
      <c r="D44" s="45">
        <f>'Facility Risk - Nordisk'!$C44/$C$151</f>
        <v>0</v>
      </c>
    </row>
    <row r="45" spans="1:4" ht="19" x14ac:dyDescent="0.25">
      <c r="A45" s="57" t="s">
        <v>80</v>
      </c>
      <c r="B45" s="99">
        <v>3.57</v>
      </c>
      <c r="C45" s="9">
        <v>0</v>
      </c>
      <c r="D45" s="46">
        <f>'Facility Risk - Nordisk'!$C45/$C$151</f>
        <v>0</v>
      </c>
    </row>
    <row r="46" spans="1:4" ht="19" x14ac:dyDescent="0.25">
      <c r="A46" s="58" t="s">
        <v>81</v>
      </c>
      <c r="B46" s="100">
        <v>4.5</v>
      </c>
      <c r="C46" s="8">
        <v>0</v>
      </c>
      <c r="D46" s="45">
        <f>'Facility Risk - Nordisk'!$C46/$C$151</f>
        <v>0</v>
      </c>
    </row>
    <row r="47" spans="1:4" ht="19" x14ac:dyDescent="0.25">
      <c r="A47" s="57" t="s">
        <v>82</v>
      </c>
      <c r="B47" s="101">
        <v>6.93</v>
      </c>
      <c r="C47" s="9">
        <v>0</v>
      </c>
      <c r="D47" s="46">
        <f>'Facility Risk - Nordisk'!$C47/$C$151</f>
        <v>0</v>
      </c>
    </row>
    <row r="48" spans="1:4" ht="19" x14ac:dyDescent="0.25">
      <c r="A48" s="58" t="s">
        <v>83</v>
      </c>
      <c r="B48" s="102">
        <v>3.35</v>
      </c>
      <c r="C48" s="8">
        <v>0</v>
      </c>
      <c r="D48" s="45">
        <f>'Facility Risk - Nordisk'!$C48/$C$151</f>
        <v>0</v>
      </c>
    </row>
    <row r="49" spans="1:4" ht="19" x14ac:dyDescent="0.25">
      <c r="A49" s="57" t="s">
        <v>84</v>
      </c>
      <c r="B49" s="103">
        <v>3.65</v>
      </c>
      <c r="C49" s="9">
        <v>0.04</v>
      </c>
      <c r="D49" s="46">
        <f>'Facility Risk - Nordisk'!$C49/$C$151</f>
        <v>0.04</v>
      </c>
    </row>
    <row r="50" spans="1:4" ht="19" x14ac:dyDescent="0.25">
      <c r="A50" s="58" t="s">
        <v>85</v>
      </c>
      <c r="B50" s="104">
        <v>5.78</v>
      </c>
      <c r="C50" s="8">
        <v>0</v>
      </c>
      <c r="D50" s="45">
        <f>'Facility Risk - Nordisk'!$C50/$C$151</f>
        <v>0</v>
      </c>
    </row>
    <row r="51" spans="1:4" ht="19" x14ac:dyDescent="0.25">
      <c r="A51" s="57" t="s">
        <v>86</v>
      </c>
      <c r="B51" s="105">
        <v>5.38</v>
      </c>
      <c r="C51" s="9">
        <v>0</v>
      </c>
      <c r="D51" s="46">
        <f>'Facility Risk - Nordisk'!$C51/$C$151</f>
        <v>0</v>
      </c>
    </row>
    <row r="52" spans="1:4" ht="19" x14ac:dyDescent="0.25">
      <c r="A52" s="58" t="s">
        <v>87</v>
      </c>
      <c r="B52" s="106">
        <v>4.93</v>
      </c>
      <c r="C52" s="8">
        <v>0</v>
      </c>
      <c r="D52" s="45">
        <f>'Facility Risk - Nordisk'!$C52/$C$151</f>
        <v>0</v>
      </c>
    </row>
    <row r="53" spans="1:4" ht="19" x14ac:dyDescent="0.25">
      <c r="A53" s="57" t="s">
        <v>88</v>
      </c>
      <c r="B53" s="68">
        <v>3.42</v>
      </c>
      <c r="C53" s="9">
        <v>0</v>
      </c>
      <c r="D53" s="46">
        <f>'Facility Risk - Nordisk'!$C53/$C$151</f>
        <v>0</v>
      </c>
    </row>
    <row r="54" spans="1:4" ht="19" x14ac:dyDescent="0.25">
      <c r="A54" s="58" t="s">
        <v>89</v>
      </c>
      <c r="B54" s="107">
        <v>4.63</v>
      </c>
      <c r="C54" s="8">
        <v>0</v>
      </c>
      <c r="D54" s="45">
        <f>'Facility Risk - Nordisk'!$C54/$C$151</f>
        <v>0</v>
      </c>
    </row>
    <row r="55" spans="1:4" ht="19" x14ac:dyDescent="0.25">
      <c r="A55" s="57" t="s">
        <v>90</v>
      </c>
      <c r="B55" s="77">
        <v>4.34</v>
      </c>
      <c r="C55" s="9">
        <v>0</v>
      </c>
      <c r="D55" s="46">
        <f>'Facility Risk - Nordisk'!$C55/$C$151</f>
        <v>0</v>
      </c>
    </row>
    <row r="56" spans="1:4" ht="19" x14ac:dyDescent="0.25">
      <c r="A56" s="58" t="s">
        <v>91</v>
      </c>
      <c r="B56" s="71">
        <v>5.45</v>
      </c>
      <c r="C56" s="8">
        <v>0</v>
      </c>
      <c r="D56" s="45">
        <f>'Facility Risk - Nordisk'!$C56/$C$151</f>
        <v>0</v>
      </c>
    </row>
    <row r="57" spans="1:4" ht="19" x14ac:dyDescent="0.25">
      <c r="A57" s="57" t="s">
        <v>92</v>
      </c>
      <c r="B57" s="108">
        <v>6.36</v>
      </c>
      <c r="C57" s="9">
        <v>0</v>
      </c>
      <c r="D57" s="46">
        <f>'Facility Risk - Nordisk'!$C57/$C$151</f>
        <v>0</v>
      </c>
    </row>
    <row r="58" spans="1:4" ht="19" x14ac:dyDescent="0.25">
      <c r="A58" s="58" t="s">
        <v>93</v>
      </c>
      <c r="B58" s="109">
        <v>5.94</v>
      </c>
      <c r="C58" s="8">
        <v>0</v>
      </c>
      <c r="D58" s="45">
        <f>'Facility Risk - Nordisk'!$C58/$C$151</f>
        <v>0</v>
      </c>
    </row>
    <row r="59" spans="1:4" ht="19" x14ac:dyDescent="0.25">
      <c r="A59" s="57" t="s">
        <v>94</v>
      </c>
      <c r="B59" s="110">
        <v>4.92</v>
      </c>
      <c r="C59" s="9">
        <v>0</v>
      </c>
      <c r="D59" s="46">
        <f>'Facility Risk - Nordisk'!$C59/$C$151</f>
        <v>0</v>
      </c>
    </row>
    <row r="60" spans="1:4" ht="19" x14ac:dyDescent="0.25">
      <c r="A60" s="58" t="s">
        <v>95</v>
      </c>
      <c r="B60" s="111">
        <v>6.53</v>
      </c>
      <c r="C60" s="8">
        <v>0</v>
      </c>
      <c r="D60" s="45">
        <f>'Facility Risk - Nordisk'!$C60/$C$151</f>
        <v>0</v>
      </c>
    </row>
    <row r="61" spans="1:4" ht="19" x14ac:dyDescent="0.25">
      <c r="A61" s="57" t="s">
        <v>96</v>
      </c>
      <c r="B61" s="112">
        <v>5.77</v>
      </c>
      <c r="C61" s="9">
        <v>0</v>
      </c>
      <c r="D61" s="46">
        <f>'Facility Risk - Nordisk'!$C61/$C$151</f>
        <v>0</v>
      </c>
    </row>
    <row r="62" spans="1:4" ht="19" x14ac:dyDescent="0.25">
      <c r="A62" s="58" t="s">
        <v>97</v>
      </c>
      <c r="B62" s="113">
        <v>3.63</v>
      </c>
      <c r="C62" s="8">
        <v>0</v>
      </c>
      <c r="D62" s="45">
        <f>'Facility Risk - Nordisk'!$C62/$C$151</f>
        <v>0</v>
      </c>
    </row>
    <row r="63" spans="1:4" ht="19" x14ac:dyDescent="0.25">
      <c r="A63" s="57" t="s">
        <v>98</v>
      </c>
      <c r="B63" s="114">
        <v>3.38</v>
      </c>
      <c r="C63" s="9">
        <v>0</v>
      </c>
      <c r="D63" s="46">
        <f>'Facility Risk - Nordisk'!$C63/$C$151</f>
        <v>0</v>
      </c>
    </row>
    <row r="64" spans="1:4" ht="19" x14ac:dyDescent="0.25">
      <c r="A64" s="58" t="s">
        <v>99</v>
      </c>
      <c r="B64" s="115">
        <v>5.07</v>
      </c>
      <c r="C64" s="8">
        <v>0</v>
      </c>
      <c r="D64" s="45">
        <f>'Facility Risk - Nordisk'!$C64/$C$151</f>
        <v>0</v>
      </c>
    </row>
    <row r="65" spans="1:4" ht="19" x14ac:dyDescent="0.25">
      <c r="A65" s="57" t="s">
        <v>100</v>
      </c>
      <c r="B65" s="106">
        <v>4.92</v>
      </c>
      <c r="C65" s="9">
        <v>0</v>
      </c>
      <c r="D65" s="46">
        <f>'Facility Risk - Nordisk'!$C65/$C$151</f>
        <v>0</v>
      </c>
    </row>
    <row r="66" spans="1:4" ht="19" x14ac:dyDescent="0.25">
      <c r="A66" s="58" t="s">
        <v>101</v>
      </c>
      <c r="B66" s="116">
        <v>5.88</v>
      </c>
      <c r="C66" s="8">
        <v>0.04</v>
      </c>
      <c r="D66" s="45">
        <f>'Facility Risk - Nordisk'!$C66/$C$151</f>
        <v>0.04</v>
      </c>
    </row>
    <row r="67" spans="1:4" ht="19" x14ac:dyDescent="0.25">
      <c r="A67" s="57" t="s">
        <v>102</v>
      </c>
      <c r="B67" s="117">
        <v>6.05</v>
      </c>
      <c r="C67" s="9">
        <v>0</v>
      </c>
      <c r="D67" s="46">
        <f>'Facility Risk - Nordisk'!$C67/$C$151</f>
        <v>0</v>
      </c>
    </row>
    <row r="68" spans="1:4" ht="19" x14ac:dyDescent="0.25">
      <c r="A68" s="58" t="s">
        <v>103</v>
      </c>
      <c r="B68" s="118">
        <v>3.25</v>
      </c>
      <c r="C68" s="8">
        <v>0.08</v>
      </c>
      <c r="D68" s="45">
        <f>'Facility Risk - Nordisk'!$C68/$C$151</f>
        <v>0.08</v>
      </c>
    </row>
    <row r="69" spans="1:4" ht="19" x14ac:dyDescent="0.25">
      <c r="A69" s="57" t="s">
        <v>104</v>
      </c>
      <c r="B69" s="119">
        <v>4.6100000000000003</v>
      </c>
      <c r="C69" s="9">
        <v>0</v>
      </c>
      <c r="D69" s="46">
        <f>'Facility Risk - Nordisk'!$C69/$C$151</f>
        <v>0</v>
      </c>
    </row>
    <row r="70" spans="1:4" ht="19" x14ac:dyDescent="0.25">
      <c r="A70" s="58" t="s">
        <v>105</v>
      </c>
      <c r="B70" s="120">
        <v>3.84</v>
      </c>
      <c r="C70" s="8">
        <v>0</v>
      </c>
      <c r="D70" s="45">
        <f>'Facility Risk - Nordisk'!$C70/$C$151</f>
        <v>0</v>
      </c>
    </row>
    <row r="71" spans="1:4" ht="19" x14ac:dyDescent="0.25">
      <c r="A71" s="57" t="s">
        <v>106</v>
      </c>
      <c r="B71" s="121">
        <v>4.75</v>
      </c>
      <c r="C71" s="9">
        <v>0</v>
      </c>
      <c r="D71" s="46">
        <f>'Facility Risk - Nordisk'!$C71/$C$151</f>
        <v>0</v>
      </c>
    </row>
    <row r="72" spans="1:4" ht="19" x14ac:dyDescent="0.25">
      <c r="A72" s="58" t="s">
        <v>107</v>
      </c>
      <c r="B72" s="114">
        <v>3.38</v>
      </c>
      <c r="C72" s="8">
        <v>0.04</v>
      </c>
      <c r="D72" s="45">
        <f>'Facility Risk - Nordisk'!$C72/$C$151</f>
        <v>0.04</v>
      </c>
    </row>
    <row r="73" spans="1:4" ht="19" x14ac:dyDescent="0.25">
      <c r="A73" s="57" t="s">
        <v>108</v>
      </c>
      <c r="B73" s="122">
        <v>5.13</v>
      </c>
      <c r="C73" s="9">
        <v>0</v>
      </c>
      <c r="D73" s="46">
        <f>'Facility Risk - Nordisk'!$C73/$C$151</f>
        <v>0</v>
      </c>
    </row>
    <row r="74" spans="1:4" ht="19" x14ac:dyDescent="0.25">
      <c r="A74" s="58" t="s">
        <v>109</v>
      </c>
      <c r="B74" s="123">
        <v>4.54</v>
      </c>
      <c r="C74" s="8">
        <v>0</v>
      </c>
      <c r="D74" s="45">
        <f>'Facility Risk - Nordisk'!$C74/$C$151</f>
        <v>0</v>
      </c>
    </row>
    <row r="75" spans="1:4" ht="19" x14ac:dyDescent="0.25">
      <c r="A75" s="57" t="s">
        <v>110</v>
      </c>
      <c r="B75" s="124">
        <v>6.13</v>
      </c>
      <c r="C75" s="9">
        <v>0</v>
      </c>
      <c r="D75" s="46">
        <f>'Facility Risk - Nordisk'!$C75/$C$151</f>
        <v>0</v>
      </c>
    </row>
    <row r="76" spans="1:4" ht="19" x14ac:dyDescent="0.25">
      <c r="A76" s="58" t="s">
        <v>111</v>
      </c>
      <c r="B76" s="125">
        <v>4.3</v>
      </c>
      <c r="C76" s="8">
        <v>0</v>
      </c>
      <c r="D76" s="45">
        <f>'Facility Risk - Nordisk'!$C76/$C$151</f>
        <v>0</v>
      </c>
    </row>
    <row r="77" spans="1:4" ht="19" x14ac:dyDescent="0.25">
      <c r="A77" s="57" t="s">
        <v>112</v>
      </c>
      <c r="B77" s="126">
        <v>5.37</v>
      </c>
      <c r="C77" s="9">
        <v>0</v>
      </c>
      <c r="D77" s="46">
        <f>'Facility Risk - Nordisk'!$C77/$C$151</f>
        <v>0</v>
      </c>
    </row>
    <row r="78" spans="1:4" ht="19" x14ac:dyDescent="0.25">
      <c r="A78" s="58" t="s">
        <v>113</v>
      </c>
      <c r="B78" s="127">
        <v>5.14</v>
      </c>
      <c r="C78" s="8">
        <v>0</v>
      </c>
      <c r="D78" s="45">
        <f>'Facility Risk - Nordisk'!$C78/$C$151</f>
        <v>0</v>
      </c>
    </row>
    <row r="79" spans="1:4" ht="19" x14ac:dyDescent="0.25">
      <c r="A79" s="57" t="s">
        <v>114</v>
      </c>
      <c r="B79" s="128">
        <v>3.97</v>
      </c>
      <c r="C79" s="9">
        <v>0</v>
      </c>
      <c r="D79" s="46">
        <f>'Facility Risk - Nordisk'!$C79/$C$151</f>
        <v>0</v>
      </c>
    </row>
    <row r="80" spans="1:4" ht="19" x14ac:dyDescent="0.25">
      <c r="A80" s="58" t="s">
        <v>115</v>
      </c>
      <c r="B80" s="129">
        <v>6.12</v>
      </c>
      <c r="C80" s="8">
        <v>0</v>
      </c>
      <c r="D80" s="45">
        <f>'Facility Risk - Nordisk'!$C80/$C$151</f>
        <v>0</v>
      </c>
    </row>
    <row r="81" spans="1:4" ht="19" x14ac:dyDescent="0.25">
      <c r="A81" s="57" t="s">
        <v>116</v>
      </c>
      <c r="B81" s="130">
        <v>5.49</v>
      </c>
      <c r="C81" s="9">
        <v>0</v>
      </c>
      <c r="D81" s="46">
        <f>'Facility Risk - Nordisk'!$C81/$C$151</f>
        <v>0</v>
      </c>
    </row>
    <row r="82" spans="1:4" ht="19" x14ac:dyDescent="0.25">
      <c r="A82" s="58" t="s">
        <v>117</v>
      </c>
      <c r="B82" s="131">
        <v>5.97</v>
      </c>
      <c r="C82" s="8">
        <v>0</v>
      </c>
      <c r="D82" s="45">
        <f>'Facility Risk - Nordisk'!$C82/$C$151</f>
        <v>0</v>
      </c>
    </row>
    <row r="83" spans="1:4" ht="19" x14ac:dyDescent="0.25">
      <c r="A83" s="57" t="s">
        <v>118</v>
      </c>
      <c r="B83" s="132">
        <v>5.68</v>
      </c>
      <c r="C83" s="9">
        <v>0</v>
      </c>
      <c r="D83" s="46">
        <f>'Facility Risk - Nordisk'!$C83/$C$151</f>
        <v>0</v>
      </c>
    </row>
    <row r="84" spans="1:4" ht="19" x14ac:dyDescent="0.25">
      <c r="A84" s="58" t="s">
        <v>119</v>
      </c>
      <c r="B84" s="133">
        <v>3.93</v>
      </c>
      <c r="C84" s="8">
        <v>0</v>
      </c>
      <c r="D84" s="45">
        <f>'Facility Risk - Nordisk'!$C84/$C$151</f>
        <v>0</v>
      </c>
    </row>
    <row r="85" spans="1:4" ht="19" x14ac:dyDescent="0.25">
      <c r="A85" s="57" t="s">
        <v>120</v>
      </c>
      <c r="B85" s="134">
        <v>5.82</v>
      </c>
      <c r="C85" s="9">
        <v>0</v>
      </c>
      <c r="D85" s="46">
        <f>'Facility Risk - Nordisk'!$C85/$C$151</f>
        <v>0</v>
      </c>
    </row>
    <row r="86" spans="1:4" ht="19" x14ac:dyDescent="0.25">
      <c r="A86" s="58" t="s">
        <v>121</v>
      </c>
      <c r="B86" s="135">
        <v>5.58</v>
      </c>
      <c r="C86" s="8">
        <v>0</v>
      </c>
      <c r="D86" s="45">
        <f>'Facility Risk - Nordisk'!$C86/$C$151</f>
        <v>0</v>
      </c>
    </row>
    <row r="87" spans="1:4" ht="19" x14ac:dyDescent="0.25">
      <c r="A87" s="57" t="s">
        <v>122</v>
      </c>
      <c r="B87" s="136">
        <v>4.03</v>
      </c>
      <c r="C87" s="9">
        <v>0</v>
      </c>
      <c r="D87" s="46">
        <f>'Facility Risk - Nordisk'!$C87/$C$151</f>
        <v>0</v>
      </c>
    </row>
    <row r="88" spans="1:4" ht="19" x14ac:dyDescent="0.25">
      <c r="A88" s="58" t="s">
        <v>123</v>
      </c>
      <c r="B88" s="137">
        <v>7.1</v>
      </c>
      <c r="C88" s="8">
        <v>0</v>
      </c>
      <c r="D88" s="45">
        <f>'Facility Risk - Nordisk'!$C88/$C$151</f>
        <v>0</v>
      </c>
    </row>
    <row r="89" spans="1:4" ht="19" x14ac:dyDescent="0.25">
      <c r="A89" s="57" t="s">
        <v>124</v>
      </c>
      <c r="B89" s="138">
        <v>6.28</v>
      </c>
      <c r="C89" s="9">
        <v>0</v>
      </c>
      <c r="D89" s="46">
        <f>'Facility Risk - Nordisk'!$C89/$C$151</f>
        <v>0</v>
      </c>
    </row>
    <row r="90" spans="1:4" ht="19" x14ac:dyDescent="0.25">
      <c r="A90" s="58" t="s">
        <v>125</v>
      </c>
      <c r="B90" s="139">
        <v>3.47</v>
      </c>
      <c r="C90" s="8">
        <v>0</v>
      </c>
      <c r="D90" s="45">
        <f>'Facility Risk - Nordisk'!$C90/$C$151</f>
        <v>0</v>
      </c>
    </row>
    <row r="91" spans="1:4" ht="19" x14ac:dyDescent="0.25">
      <c r="A91" s="57" t="s">
        <v>126</v>
      </c>
      <c r="B91" s="140">
        <v>5.42</v>
      </c>
      <c r="C91" s="9">
        <v>0</v>
      </c>
      <c r="D91" s="46">
        <f>'Facility Risk - Nordisk'!$C91/$C$151</f>
        <v>0</v>
      </c>
    </row>
    <row r="92" spans="1:4" ht="19" x14ac:dyDescent="0.25">
      <c r="A92" s="58" t="s">
        <v>127</v>
      </c>
      <c r="B92" s="127">
        <v>5.14</v>
      </c>
      <c r="C92" s="8">
        <v>0</v>
      </c>
      <c r="D92" s="45">
        <f>'Facility Risk - Nordisk'!$C92/$C$151</f>
        <v>0</v>
      </c>
    </row>
    <row r="93" spans="1:4" ht="19" x14ac:dyDescent="0.25">
      <c r="A93" s="57" t="s">
        <v>128</v>
      </c>
      <c r="B93" s="141">
        <v>4.6500000000000004</v>
      </c>
      <c r="C93" s="9">
        <v>0</v>
      </c>
      <c r="D93" s="46">
        <f>'Facility Risk - Nordisk'!$C93/$C$151</f>
        <v>0</v>
      </c>
    </row>
    <row r="94" spans="1:4" ht="19" x14ac:dyDescent="0.25">
      <c r="A94" s="58" t="s">
        <v>129</v>
      </c>
      <c r="B94" s="142">
        <v>5.0999999999999996</v>
      </c>
      <c r="C94" s="8">
        <v>0</v>
      </c>
      <c r="D94" s="45">
        <f>'Facility Risk - Nordisk'!$C94/$C$151</f>
        <v>0</v>
      </c>
    </row>
    <row r="95" spans="1:4" ht="19" x14ac:dyDescent="0.25">
      <c r="A95" s="57" t="s">
        <v>130</v>
      </c>
      <c r="B95" s="70">
        <v>6.3</v>
      </c>
      <c r="C95" s="9">
        <v>0</v>
      </c>
      <c r="D95" s="46">
        <f>'Facility Risk - Nordisk'!$C95/$C$151</f>
        <v>0</v>
      </c>
    </row>
    <row r="96" spans="1:4" ht="19" x14ac:dyDescent="0.25">
      <c r="A96" s="58" t="s">
        <v>131</v>
      </c>
      <c r="B96" s="143">
        <v>4.6399999999999997</v>
      </c>
      <c r="C96" s="8">
        <v>0</v>
      </c>
      <c r="D96" s="45">
        <f>'Facility Risk - Nordisk'!$C96/$C$151</f>
        <v>0</v>
      </c>
    </row>
    <row r="97" spans="1:4" ht="19" x14ac:dyDescent="0.25">
      <c r="A97" s="57" t="s">
        <v>132</v>
      </c>
      <c r="B97" s="104">
        <v>5.78</v>
      </c>
      <c r="C97" s="9">
        <v>0</v>
      </c>
      <c r="D97" s="46">
        <f>'Facility Risk - Nordisk'!$C97/$C$151</f>
        <v>0</v>
      </c>
    </row>
    <row r="98" spans="1:4" ht="19" x14ac:dyDescent="0.25">
      <c r="A98" s="58" t="s">
        <v>133</v>
      </c>
      <c r="B98" s="144">
        <v>3.59</v>
      </c>
      <c r="C98" s="8">
        <v>0</v>
      </c>
      <c r="D98" s="45">
        <f>'Facility Risk - Nordisk'!$C98/$C$151</f>
        <v>0</v>
      </c>
    </row>
    <row r="99" spans="1:4" ht="19" x14ac:dyDescent="0.25">
      <c r="A99" s="57" t="s">
        <v>134</v>
      </c>
      <c r="B99" s="145">
        <v>3.32</v>
      </c>
      <c r="C99" s="9">
        <v>0</v>
      </c>
      <c r="D99" s="46">
        <f>'Facility Risk - Nordisk'!$C99/$C$151</f>
        <v>0</v>
      </c>
    </row>
    <row r="100" spans="1:4" ht="19" x14ac:dyDescent="0.25">
      <c r="A100" s="58" t="s">
        <v>135</v>
      </c>
      <c r="B100" s="146">
        <v>5.8</v>
      </c>
      <c r="C100" s="8">
        <v>0</v>
      </c>
      <c r="D100" s="45">
        <f>'Facility Risk - Nordisk'!$C100/$C$151</f>
        <v>0</v>
      </c>
    </row>
    <row r="101" spans="1:4" ht="19" x14ac:dyDescent="0.25">
      <c r="A101" s="57" t="s">
        <v>136</v>
      </c>
      <c r="B101" s="147">
        <v>7.07</v>
      </c>
      <c r="C101" s="9">
        <v>0</v>
      </c>
      <c r="D101" s="46">
        <f>'Facility Risk - Nordisk'!$C101/$C$151</f>
        <v>0</v>
      </c>
    </row>
    <row r="102" spans="1:4" ht="19" x14ac:dyDescent="0.25">
      <c r="A102" s="58" t="s">
        <v>137</v>
      </c>
      <c r="B102" s="148">
        <v>6.5</v>
      </c>
      <c r="C102" s="8">
        <v>0</v>
      </c>
      <c r="D102" s="45">
        <f>'Facility Risk - Nordisk'!$C102/$C$151</f>
        <v>0</v>
      </c>
    </row>
    <row r="103" spans="1:4" ht="19" x14ac:dyDescent="0.25">
      <c r="A103" s="57" t="s">
        <v>138</v>
      </c>
      <c r="B103" s="149">
        <v>4.16</v>
      </c>
      <c r="C103" s="9">
        <v>0</v>
      </c>
      <c r="D103" s="46">
        <f>'Facility Risk - Nordisk'!$C103/$C$151</f>
        <v>0</v>
      </c>
    </row>
    <row r="104" spans="1:4" ht="19" x14ac:dyDescent="0.25">
      <c r="A104" s="58" t="s">
        <v>139</v>
      </c>
      <c r="B104" s="114">
        <v>3.38</v>
      </c>
      <c r="C104" s="8">
        <v>0</v>
      </c>
      <c r="D104" s="45">
        <f>'Facility Risk - Nordisk'!$C104/$C$151</f>
        <v>0</v>
      </c>
    </row>
    <row r="105" spans="1:4" ht="19" x14ac:dyDescent="0.25">
      <c r="A105" s="57" t="s">
        <v>140</v>
      </c>
      <c r="B105" s="150">
        <v>4.0199999999999996</v>
      </c>
      <c r="C105" s="9">
        <v>0</v>
      </c>
      <c r="D105" s="46">
        <f>'Facility Risk - Nordisk'!$C105/$C$151</f>
        <v>0</v>
      </c>
    </row>
    <row r="106" spans="1:4" ht="19" x14ac:dyDescent="0.25">
      <c r="A106" s="58" t="s">
        <v>141</v>
      </c>
      <c r="B106" s="151">
        <v>6.65</v>
      </c>
      <c r="C106" s="8">
        <v>0</v>
      </c>
      <c r="D106" s="45">
        <f>'Facility Risk - Nordisk'!$C106/$C$151</f>
        <v>0</v>
      </c>
    </row>
    <row r="107" spans="1:4" ht="19" x14ac:dyDescent="0.25">
      <c r="A107" s="57" t="s">
        <v>142</v>
      </c>
      <c r="B107" s="152">
        <v>4.5599999999999996</v>
      </c>
      <c r="C107" s="9">
        <v>0</v>
      </c>
      <c r="D107" s="46">
        <f>'Facility Risk - Nordisk'!$C107/$C$151</f>
        <v>0</v>
      </c>
    </row>
    <row r="108" spans="1:4" ht="19" x14ac:dyDescent="0.25">
      <c r="A108" s="58" t="s">
        <v>143</v>
      </c>
      <c r="B108" s="76">
        <v>5.34</v>
      </c>
      <c r="C108" s="8">
        <v>0</v>
      </c>
      <c r="D108" s="45">
        <f>'Facility Risk - Nordisk'!$C108/$C$151</f>
        <v>0</v>
      </c>
    </row>
    <row r="109" spans="1:4" ht="19" x14ac:dyDescent="0.25">
      <c r="A109" s="57" t="s">
        <v>144</v>
      </c>
      <c r="B109" s="153">
        <v>4.72</v>
      </c>
      <c r="C109" s="9">
        <v>0</v>
      </c>
      <c r="D109" s="46">
        <f>'Facility Risk - Nordisk'!$C109/$C$151</f>
        <v>0</v>
      </c>
    </row>
    <row r="110" spans="1:4" ht="19" x14ac:dyDescent="0.25">
      <c r="A110" s="58" t="s">
        <v>145</v>
      </c>
      <c r="B110" s="154">
        <v>5.28</v>
      </c>
      <c r="C110" s="8">
        <v>0</v>
      </c>
      <c r="D110" s="45">
        <f>'Facility Risk - Nordisk'!$C110/$C$151</f>
        <v>0</v>
      </c>
    </row>
    <row r="111" spans="1:4" ht="19" x14ac:dyDescent="0.25">
      <c r="A111" s="57" t="s">
        <v>146</v>
      </c>
      <c r="B111" s="146">
        <v>5.8</v>
      </c>
      <c r="C111" s="9">
        <v>0</v>
      </c>
      <c r="D111" s="46">
        <f>'Facility Risk - Nordisk'!$C111/$C$151</f>
        <v>0</v>
      </c>
    </row>
    <row r="112" spans="1:4" ht="19" x14ac:dyDescent="0.25">
      <c r="A112" s="58" t="s">
        <v>147</v>
      </c>
      <c r="B112" s="155">
        <v>4.1500000000000004</v>
      </c>
      <c r="C112" s="8">
        <v>0</v>
      </c>
      <c r="D112" s="45">
        <f>'Facility Risk - Nordisk'!$C112/$C$151</f>
        <v>0</v>
      </c>
    </row>
    <row r="113" spans="1:4" ht="19" x14ac:dyDescent="0.25">
      <c r="A113" s="57" t="s">
        <v>148</v>
      </c>
      <c r="B113" s="156">
        <v>3.43</v>
      </c>
      <c r="C113" s="9">
        <v>0</v>
      </c>
      <c r="D113" s="46">
        <f>'Facility Risk - Nordisk'!$C113/$C$151</f>
        <v>0</v>
      </c>
    </row>
    <row r="114" spans="1:4" ht="19" x14ac:dyDescent="0.25">
      <c r="A114" s="58" t="s">
        <v>149</v>
      </c>
      <c r="B114" s="93">
        <v>3.2</v>
      </c>
      <c r="C114" s="8">
        <v>0</v>
      </c>
      <c r="D114" s="45">
        <f>'Facility Risk - Nordisk'!$C114/$C$151</f>
        <v>0</v>
      </c>
    </row>
    <row r="115" spans="1:4" ht="19" x14ac:dyDescent="0.25">
      <c r="A115" s="57" t="s">
        <v>150</v>
      </c>
      <c r="B115" s="157">
        <v>4.05</v>
      </c>
      <c r="C115" s="9">
        <v>0</v>
      </c>
      <c r="D115" s="46">
        <f>'Facility Risk - Nordisk'!$C115/$C$151</f>
        <v>0</v>
      </c>
    </row>
    <row r="116" spans="1:4" ht="19" x14ac:dyDescent="0.25">
      <c r="A116" s="58" t="s">
        <v>151</v>
      </c>
      <c r="B116" s="158">
        <v>5.96</v>
      </c>
      <c r="C116" s="8">
        <v>0.04</v>
      </c>
      <c r="D116" s="45">
        <f>'Facility Risk - Nordisk'!$C116/$C$151</f>
        <v>0.04</v>
      </c>
    </row>
    <row r="117" spans="1:4" ht="19" x14ac:dyDescent="0.25">
      <c r="A117" s="57" t="s">
        <v>152</v>
      </c>
      <c r="B117" s="159">
        <v>5.47</v>
      </c>
      <c r="C117" s="9">
        <v>0</v>
      </c>
      <c r="D117" s="46">
        <f>'Facility Risk - Nordisk'!$C117/$C$151</f>
        <v>0</v>
      </c>
    </row>
    <row r="118" spans="1:4" ht="19" x14ac:dyDescent="0.25">
      <c r="A118" s="58" t="s">
        <v>153</v>
      </c>
      <c r="B118" s="79">
        <v>4.42</v>
      </c>
      <c r="C118" s="8">
        <v>0</v>
      </c>
      <c r="D118" s="45">
        <f>'Facility Risk - Nordisk'!$C118/$C$151</f>
        <v>0</v>
      </c>
    </row>
    <row r="119" spans="1:4" ht="19" x14ac:dyDescent="0.25">
      <c r="A119" s="57" t="s">
        <v>154</v>
      </c>
      <c r="B119" s="160">
        <v>5.4</v>
      </c>
      <c r="C119" s="9">
        <v>0</v>
      </c>
      <c r="D119" s="46">
        <f>'Facility Risk - Nordisk'!$C119/$C$151</f>
        <v>0</v>
      </c>
    </row>
    <row r="120" spans="1:4" ht="19" x14ac:dyDescent="0.25">
      <c r="A120" s="58" t="s">
        <v>155</v>
      </c>
      <c r="B120" s="161">
        <v>5.04</v>
      </c>
      <c r="C120" s="8">
        <v>0</v>
      </c>
      <c r="D120" s="45">
        <f>'Facility Risk - Nordisk'!$C120/$C$151</f>
        <v>0</v>
      </c>
    </row>
    <row r="121" spans="1:4" ht="19" x14ac:dyDescent="0.25">
      <c r="A121" s="57" t="s">
        <v>156</v>
      </c>
      <c r="B121" s="162">
        <v>5.64</v>
      </c>
      <c r="C121" s="9">
        <v>0</v>
      </c>
      <c r="D121" s="46">
        <f>'Facility Risk - Nordisk'!$C121/$C$151</f>
        <v>0</v>
      </c>
    </row>
    <row r="122" spans="1:4" ht="19" x14ac:dyDescent="0.25">
      <c r="A122" s="58" t="s">
        <v>157</v>
      </c>
      <c r="B122" s="163">
        <v>3.04</v>
      </c>
      <c r="C122" s="8">
        <v>0</v>
      </c>
      <c r="D122" s="45">
        <f>'Facility Risk - Nordisk'!$C122/$C$151</f>
        <v>0</v>
      </c>
    </row>
    <row r="123" spans="1:4" ht="19" x14ac:dyDescent="0.25">
      <c r="A123" s="57" t="s">
        <v>158</v>
      </c>
      <c r="B123" s="164">
        <v>3.79</v>
      </c>
      <c r="C123" s="9">
        <v>0</v>
      </c>
      <c r="D123" s="46">
        <f>'Facility Risk - Nordisk'!$C123/$C$151</f>
        <v>0</v>
      </c>
    </row>
    <row r="124" spans="1:4" ht="19" x14ac:dyDescent="0.25">
      <c r="A124" s="58" t="s">
        <v>159</v>
      </c>
      <c r="B124" s="165">
        <v>3.48</v>
      </c>
      <c r="C124" s="8">
        <v>0</v>
      </c>
      <c r="D124" s="45">
        <f>'Facility Risk - Nordisk'!$C124/$C$151</f>
        <v>0</v>
      </c>
    </row>
    <row r="125" spans="1:4" ht="19" x14ac:dyDescent="0.25">
      <c r="A125" s="57" t="s">
        <v>160</v>
      </c>
      <c r="B125" s="166">
        <v>5.22</v>
      </c>
      <c r="C125" s="9">
        <v>0</v>
      </c>
      <c r="D125" s="46">
        <f>'Facility Risk - Nordisk'!$C125/$C$151</f>
        <v>0</v>
      </c>
    </row>
    <row r="126" spans="1:4" ht="19" x14ac:dyDescent="0.25">
      <c r="A126" s="58" t="s">
        <v>161</v>
      </c>
      <c r="B126" s="167">
        <v>3.57</v>
      </c>
      <c r="C126" s="8">
        <v>0</v>
      </c>
      <c r="D126" s="45">
        <f>'Facility Risk - Nordisk'!$C126/$C$151</f>
        <v>0</v>
      </c>
    </row>
    <row r="127" spans="1:4" ht="19" x14ac:dyDescent="0.25">
      <c r="A127" s="57" t="s">
        <v>162</v>
      </c>
      <c r="B127" s="168">
        <v>3.7</v>
      </c>
      <c r="C127" s="9">
        <v>0</v>
      </c>
      <c r="D127" s="46">
        <f>'Facility Risk - Nordisk'!$C127/$C$151</f>
        <v>0</v>
      </c>
    </row>
    <row r="128" spans="1:4" ht="19" x14ac:dyDescent="0.25">
      <c r="A128" s="58" t="s">
        <v>163</v>
      </c>
      <c r="B128" s="169">
        <v>5.1100000000000003</v>
      </c>
      <c r="C128" s="8">
        <v>0</v>
      </c>
      <c r="D128" s="45">
        <f>'Facility Risk - Nordisk'!$C128/$C$151</f>
        <v>0</v>
      </c>
    </row>
    <row r="129" spans="1:4" ht="19" x14ac:dyDescent="0.25">
      <c r="A129" s="57" t="s">
        <v>164</v>
      </c>
      <c r="B129" s="137">
        <v>7.1</v>
      </c>
      <c r="C129" s="9">
        <v>0</v>
      </c>
      <c r="D129" s="46">
        <f>'Facility Risk - Nordisk'!$C129/$C$151</f>
        <v>0</v>
      </c>
    </row>
    <row r="130" spans="1:4" ht="19" x14ac:dyDescent="0.25">
      <c r="A130" s="58" t="s">
        <v>165</v>
      </c>
      <c r="B130" s="170">
        <v>3.52</v>
      </c>
      <c r="C130" s="8">
        <v>0</v>
      </c>
      <c r="D130" s="45">
        <f>'Facility Risk - Nordisk'!$C130/$C$151</f>
        <v>0</v>
      </c>
    </row>
    <row r="131" spans="1:4" ht="19" x14ac:dyDescent="0.25">
      <c r="A131" s="57" t="s">
        <v>166</v>
      </c>
      <c r="B131" s="171">
        <v>2.78</v>
      </c>
      <c r="C131" s="9">
        <v>0</v>
      </c>
      <c r="D131" s="46">
        <f>'Facility Risk - Nordisk'!$C131/$C$151</f>
        <v>0</v>
      </c>
    </row>
    <row r="132" spans="1:4" ht="19" x14ac:dyDescent="0.25">
      <c r="A132" s="59" t="s">
        <v>167</v>
      </c>
      <c r="B132" s="172">
        <v>7.33</v>
      </c>
      <c r="C132" s="8">
        <v>0</v>
      </c>
      <c r="D132" s="45">
        <f>'Facility Risk - Nordisk'!$C132/$C$151</f>
        <v>0</v>
      </c>
    </row>
    <row r="133" spans="1:4" ht="19" x14ac:dyDescent="0.25">
      <c r="A133" s="57" t="s">
        <v>168</v>
      </c>
      <c r="B133" s="173">
        <v>5.69</v>
      </c>
      <c r="C133" s="9">
        <v>0</v>
      </c>
      <c r="D133" s="46">
        <f>'Facility Risk - Nordisk'!$C133/$C$151</f>
        <v>0</v>
      </c>
    </row>
    <row r="134" spans="1:4" ht="19" x14ac:dyDescent="0.25">
      <c r="A134" s="58" t="s">
        <v>169</v>
      </c>
      <c r="B134" s="63">
        <v>5.21</v>
      </c>
      <c r="C134" s="8">
        <v>0</v>
      </c>
      <c r="D134" s="45">
        <f>'Facility Risk - Nordisk'!$C134/$C$151</f>
        <v>0</v>
      </c>
    </row>
    <row r="135" spans="1:4" ht="19" x14ac:dyDescent="0.25">
      <c r="A135" s="57" t="s">
        <v>170</v>
      </c>
      <c r="B135" s="174">
        <v>5.15</v>
      </c>
      <c r="C135" s="9">
        <v>0</v>
      </c>
      <c r="D135" s="46">
        <f>'Facility Risk - Nordisk'!$C135/$C$151</f>
        <v>0</v>
      </c>
    </row>
    <row r="136" spans="1:4" ht="19" x14ac:dyDescent="0.25">
      <c r="A136" s="58" t="s">
        <v>171</v>
      </c>
      <c r="B136" s="175">
        <v>5.87</v>
      </c>
      <c r="C136" s="8">
        <v>0</v>
      </c>
      <c r="D136" s="45">
        <f>'Facility Risk - Nordisk'!$C136/$C$151</f>
        <v>0</v>
      </c>
    </row>
    <row r="137" spans="1:4" ht="19" x14ac:dyDescent="0.25">
      <c r="A137" s="57" t="s">
        <v>172</v>
      </c>
      <c r="B137" s="176">
        <v>4.38</v>
      </c>
      <c r="C137" s="9">
        <v>0</v>
      </c>
      <c r="D137" s="46">
        <f>'Facility Risk - Nordisk'!$C137/$C$151</f>
        <v>0</v>
      </c>
    </row>
    <row r="138" spans="1:4" ht="19" x14ac:dyDescent="0.25">
      <c r="A138" s="58" t="s">
        <v>173</v>
      </c>
      <c r="B138" s="177">
        <v>5.13</v>
      </c>
      <c r="C138" s="8">
        <v>0</v>
      </c>
      <c r="D138" s="45">
        <f>'Facility Risk - Nordisk'!$C138/$C$151</f>
        <v>0</v>
      </c>
    </row>
    <row r="139" spans="1:4" ht="19" x14ac:dyDescent="0.25">
      <c r="A139" s="57" t="s">
        <v>174</v>
      </c>
      <c r="B139" s="178">
        <v>5.26</v>
      </c>
      <c r="C139" s="9">
        <v>0</v>
      </c>
      <c r="D139" s="46">
        <f>'Facility Risk - Nordisk'!$C139/$C$151</f>
        <v>0</v>
      </c>
    </row>
    <row r="140" spans="1:4" ht="19" x14ac:dyDescent="0.25">
      <c r="A140" s="58" t="s">
        <v>175</v>
      </c>
      <c r="B140" s="179">
        <v>6.29</v>
      </c>
      <c r="C140" s="8">
        <v>0</v>
      </c>
      <c r="D140" s="45">
        <f>'Facility Risk - Nordisk'!$C140/$C$151</f>
        <v>0</v>
      </c>
    </row>
    <row r="141" spans="1:4" ht="19" x14ac:dyDescent="0.25">
      <c r="A141" s="57" t="s">
        <v>176</v>
      </c>
      <c r="B141" s="180">
        <v>6.35</v>
      </c>
      <c r="C141" s="9">
        <v>0</v>
      </c>
      <c r="D141" s="46">
        <f>'Facility Risk - Nordisk'!$C141/$C$151</f>
        <v>0</v>
      </c>
    </row>
    <row r="142" spans="1:4" ht="19" x14ac:dyDescent="0.25">
      <c r="A142" s="58" t="s">
        <v>177</v>
      </c>
      <c r="B142" s="181">
        <v>3.72</v>
      </c>
      <c r="C142" s="8">
        <v>0</v>
      </c>
      <c r="D142" s="45">
        <f>'Facility Risk - Nordisk'!$C142/$C$151</f>
        <v>0</v>
      </c>
    </row>
    <row r="143" spans="1:4" ht="19" x14ac:dyDescent="0.25">
      <c r="A143" s="57" t="s">
        <v>178</v>
      </c>
      <c r="B143" s="145">
        <v>3.32</v>
      </c>
      <c r="C143" s="9">
        <v>0</v>
      </c>
      <c r="D143" s="46">
        <f>'Facility Risk - Nordisk'!$C143/$C$151</f>
        <v>0</v>
      </c>
    </row>
    <row r="144" spans="1:4" ht="19" x14ac:dyDescent="0.25">
      <c r="A144" s="58" t="s">
        <v>179</v>
      </c>
      <c r="B144" s="182">
        <v>4.1900000000000004</v>
      </c>
      <c r="C144" s="8">
        <v>0.12</v>
      </c>
      <c r="D144" s="45">
        <f>'Facility Risk - Nordisk'!$C144/$C$151</f>
        <v>0.12</v>
      </c>
    </row>
    <row r="145" spans="1:4" ht="19" x14ac:dyDescent="0.25">
      <c r="A145" s="57" t="s">
        <v>180</v>
      </c>
      <c r="B145" s="183">
        <v>3.91</v>
      </c>
      <c r="C145" s="9">
        <v>0</v>
      </c>
      <c r="D145" s="46">
        <f>'Facility Risk - Nordisk'!$C145/$C$151</f>
        <v>0</v>
      </c>
    </row>
    <row r="146" spans="1:4" ht="19" x14ac:dyDescent="0.25">
      <c r="A146" s="58" t="s">
        <v>181</v>
      </c>
      <c r="B146" s="112">
        <v>5.77</v>
      </c>
      <c r="C146" s="8">
        <v>0</v>
      </c>
      <c r="D146" s="45">
        <f>'Facility Risk - Nordisk'!$C146/$C$151</f>
        <v>0</v>
      </c>
    </row>
    <row r="147" spans="1:4" ht="19" x14ac:dyDescent="0.25">
      <c r="A147" s="57" t="s">
        <v>182</v>
      </c>
      <c r="B147" s="184">
        <v>4.32</v>
      </c>
      <c r="C147" s="9">
        <v>0</v>
      </c>
      <c r="D147" s="46">
        <f>'Facility Risk - Nordisk'!$C147/$C$151</f>
        <v>0</v>
      </c>
    </row>
    <row r="148" spans="1:4" ht="19" x14ac:dyDescent="0.25">
      <c r="A148" s="58" t="s">
        <v>183</v>
      </c>
      <c r="B148" s="70">
        <v>6.3</v>
      </c>
      <c r="C148" s="8">
        <v>0</v>
      </c>
      <c r="D148" s="45">
        <f>'Facility Risk - Nordisk'!$C148/$C$151</f>
        <v>0</v>
      </c>
    </row>
    <row r="149" spans="1:4" ht="19" x14ac:dyDescent="0.25">
      <c r="A149" s="57" t="s">
        <v>184</v>
      </c>
      <c r="B149" s="185">
        <v>4.95</v>
      </c>
      <c r="C149" s="9">
        <v>0</v>
      </c>
      <c r="D149" s="46">
        <f>'Facility Risk - Nordisk'!$C149/$C$151</f>
        <v>0</v>
      </c>
    </row>
    <row r="150" spans="1:4" ht="19" x14ac:dyDescent="0.25">
      <c r="A150" s="60" t="s">
        <v>185</v>
      </c>
      <c r="B150" s="186">
        <v>6.14</v>
      </c>
      <c r="C150" s="10">
        <v>0</v>
      </c>
      <c r="D150" s="47">
        <f>'Facility Risk - Nordisk'!$C150/$C$151</f>
        <v>0</v>
      </c>
    </row>
    <row r="151" spans="1:4" ht="19" x14ac:dyDescent="0.25">
      <c r="A151" s="61" t="s">
        <v>186</v>
      </c>
      <c r="B151" s="5"/>
      <c r="C151" s="6">
        <f>SUM(C4:C150)</f>
        <v>1</v>
      </c>
      <c r="D151" s="48">
        <f>SUM(D4:D150)</f>
        <v>1</v>
      </c>
    </row>
  </sheetData>
  <mergeCells count="1">
    <mergeCell ref="A1:D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6565-EA33-F94B-A8B8-8AD916A648C6}">
  <dimension ref="A1:J151"/>
  <sheetViews>
    <sheetView workbookViewId="0">
      <selection activeCell="I17" sqref="I17"/>
    </sheetView>
  </sheetViews>
  <sheetFormatPr baseColWidth="10" defaultColWidth="11" defaultRowHeight="16" x14ac:dyDescent="0.2"/>
  <cols>
    <col min="1" max="1" width="23" bestFit="1" customWidth="1"/>
    <col min="2" max="2" width="32" bestFit="1" customWidth="1"/>
    <col min="3" max="3" width="33.6640625" bestFit="1" customWidth="1"/>
    <col min="4" max="4" width="42.6640625" bestFit="1" customWidth="1"/>
    <col min="5" max="5" width="16" bestFit="1" customWidth="1"/>
    <col min="7" max="7" width="29.33203125" bestFit="1" customWidth="1"/>
    <col min="8" max="8" width="8.5" bestFit="1" customWidth="1"/>
    <col min="9" max="9" width="22.5" bestFit="1" customWidth="1"/>
    <col min="10" max="10" width="12.33203125" bestFit="1" customWidth="1"/>
  </cols>
  <sheetData>
    <row r="1" spans="1:10" ht="17" customHeight="1" x14ac:dyDescent="0.2">
      <c r="A1" s="188" t="s">
        <v>15</v>
      </c>
      <c r="B1" s="189"/>
      <c r="C1" s="189"/>
      <c r="D1" s="189"/>
    </row>
    <row r="2" spans="1:10" ht="17" customHeight="1" thickBot="1" x14ac:dyDescent="0.25">
      <c r="A2" s="190"/>
      <c r="B2" s="191"/>
      <c r="C2" s="191"/>
      <c r="D2" s="191"/>
    </row>
    <row r="3" spans="1:10" ht="20" thickTop="1" x14ac:dyDescent="0.25">
      <c r="A3" s="12" t="s">
        <v>27</v>
      </c>
      <c r="B3" s="13" t="s">
        <v>28</v>
      </c>
      <c r="C3" s="14" t="s">
        <v>29</v>
      </c>
      <c r="D3" s="7" t="s">
        <v>30</v>
      </c>
    </row>
    <row r="4" spans="1:10" ht="20" thickBot="1" x14ac:dyDescent="0.3">
      <c r="A4" s="56" t="s">
        <v>31</v>
      </c>
      <c r="B4" s="62">
        <v>4.37</v>
      </c>
      <c r="C4" s="15">
        <v>0</v>
      </c>
      <c r="D4" s="45">
        <v>0</v>
      </c>
    </row>
    <row r="5" spans="1:10" ht="20" thickBot="1" x14ac:dyDescent="0.3">
      <c r="A5" s="57" t="s">
        <v>32</v>
      </c>
      <c r="B5" s="63">
        <v>5.21</v>
      </c>
      <c r="C5" s="9">
        <v>0</v>
      </c>
      <c r="D5" s="46">
        <v>0</v>
      </c>
      <c r="G5" s="32" t="s">
        <v>33</v>
      </c>
      <c r="H5" s="33"/>
      <c r="I5" s="33"/>
      <c r="J5" s="34"/>
    </row>
    <row r="6" spans="1:10" ht="20" thickBot="1" x14ac:dyDescent="0.3">
      <c r="A6" s="58" t="s">
        <v>34</v>
      </c>
      <c r="B6" s="64">
        <v>5.63</v>
      </c>
      <c r="C6" s="8">
        <v>0</v>
      </c>
      <c r="D6" s="45">
        <v>0</v>
      </c>
      <c r="G6" s="20"/>
      <c r="H6" s="21" t="s">
        <v>35</v>
      </c>
      <c r="I6" s="22" t="s">
        <v>36</v>
      </c>
      <c r="J6" s="23" t="s">
        <v>37</v>
      </c>
    </row>
    <row r="7" spans="1:10" ht="19" x14ac:dyDescent="0.25">
      <c r="A7" s="57" t="s">
        <v>38</v>
      </c>
      <c r="B7" s="65">
        <v>4.3600000000000003</v>
      </c>
      <c r="C7" s="9">
        <v>0</v>
      </c>
      <c r="D7" s="46">
        <v>0</v>
      </c>
      <c r="G7" s="24" t="s">
        <v>39</v>
      </c>
      <c r="H7" s="25" t="str">
        <f>INDEX(A4:A150,MATCH(MIN(D4:D150),D4:D150,0))</f>
        <v>Albania</v>
      </c>
      <c r="I7" s="25">
        <f>INDEX(B4:B150,MATCH(MIN(D4:D150),D4:D150,0))</f>
        <v>4.37</v>
      </c>
      <c r="J7" s="26">
        <f>INDEX(D4:D150,MATCH(MIN(D4:D150),D4:D150,0))</f>
        <v>0</v>
      </c>
    </row>
    <row r="8" spans="1:10" ht="20" thickBot="1" x14ac:dyDescent="0.3">
      <c r="A8" s="58" t="s">
        <v>40</v>
      </c>
      <c r="B8" s="66">
        <v>4.79</v>
      </c>
      <c r="C8" s="8">
        <v>0</v>
      </c>
      <c r="D8" s="45">
        <v>0</v>
      </c>
      <c r="G8" s="27" t="s">
        <v>41</v>
      </c>
      <c r="H8" s="28" t="str">
        <f>INDEX(A4:A150,MATCH(MAX(D4:D150),D4:D150,0))</f>
        <v>Albania</v>
      </c>
      <c r="I8" s="28">
        <f>INDEX(B4:B150,MATCH(MAX(D4:D150),D4:D150,0))</f>
        <v>4.37</v>
      </c>
      <c r="J8" s="31">
        <f>INDEX(D4:D150,MATCH(MAX(D4:D150),D4:D150,0))</f>
        <v>0</v>
      </c>
    </row>
    <row r="9" spans="1:10" ht="23" thickBot="1" x14ac:dyDescent="0.35">
      <c r="A9" s="57" t="s">
        <v>42</v>
      </c>
      <c r="B9" s="67">
        <v>3.22</v>
      </c>
      <c r="C9" s="9">
        <v>0</v>
      </c>
      <c r="D9" s="46">
        <v>0</v>
      </c>
      <c r="G9" s="30" t="s">
        <v>43</v>
      </c>
      <c r="H9" s="29"/>
      <c r="I9" s="29"/>
      <c r="J9" s="187">
        <f>SUMPRODUCT(B4:B150,D4:D150)</f>
        <v>0</v>
      </c>
    </row>
    <row r="10" spans="1:10" ht="19" x14ac:dyDescent="0.25">
      <c r="A10" s="58" t="s">
        <v>44</v>
      </c>
      <c r="B10" s="68">
        <v>3.41</v>
      </c>
      <c r="C10" s="8">
        <v>0</v>
      </c>
      <c r="D10" s="45">
        <v>0</v>
      </c>
    </row>
    <row r="11" spans="1:10" ht="19" x14ac:dyDescent="0.25">
      <c r="A11" s="57" t="s">
        <v>45</v>
      </c>
      <c r="B11" s="63">
        <v>5.21</v>
      </c>
      <c r="C11" s="9">
        <v>0</v>
      </c>
      <c r="D11" s="46">
        <v>0</v>
      </c>
    </row>
    <row r="12" spans="1:10" ht="19" x14ac:dyDescent="0.25">
      <c r="A12" s="58" t="s">
        <v>46</v>
      </c>
      <c r="B12" s="69">
        <v>4.26</v>
      </c>
      <c r="C12" s="8">
        <v>0</v>
      </c>
      <c r="D12" s="45">
        <v>0</v>
      </c>
    </row>
    <row r="13" spans="1:10" ht="19" x14ac:dyDescent="0.25">
      <c r="A13" s="57" t="s">
        <v>47</v>
      </c>
      <c r="B13" s="70">
        <v>6.29</v>
      </c>
      <c r="C13" s="9">
        <v>0</v>
      </c>
      <c r="D13" s="46">
        <v>0</v>
      </c>
    </row>
    <row r="14" spans="1:10" ht="19" x14ac:dyDescent="0.25">
      <c r="A14" s="58" t="s">
        <v>48</v>
      </c>
      <c r="B14" s="71">
        <v>5.45</v>
      </c>
      <c r="C14" s="8">
        <v>0</v>
      </c>
      <c r="D14" s="45">
        <v>0</v>
      </c>
    </row>
    <row r="15" spans="1:10" ht="19" x14ac:dyDescent="0.25">
      <c r="A15" s="57" t="s">
        <v>49</v>
      </c>
      <c r="B15" s="72">
        <v>3.33</v>
      </c>
      <c r="C15" s="9">
        <v>0</v>
      </c>
      <c r="D15" s="46">
        <v>0</v>
      </c>
    </row>
    <row r="16" spans="1:10" ht="19" x14ac:dyDescent="0.25">
      <c r="A16" s="58" t="s">
        <v>50</v>
      </c>
      <c r="B16" s="73">
        <v>6</v>
      </c>
      <c r="C16" s="8">
        <v>0</v>
      </c>
      <c r="D16" s="45">
        <v>0</v>
      </c>
    </row>
    <row r="17" spans="1:5" ht="19" x14ac:dyDescent="0.25">
      <c r="A17" s="57" t="s">
        <v>51</v>
      </c>
      <c r="B17" s="74">
        <v>5.0199999999999996</v>
      </c>
      <c r="C17" s="9">
        <v>0</v>
      </c>
      <c r="D17" s="46">
        <v>0</v>
      </c>
    </row>
    <row r="18" spans="1:5" ht="19" x14ac:dyDescent="0.25">
      <c r="A18" s="58" t="s">
        <v>52</v>
      </c>
      <c r="B18" s="75">
        <v>5.41</v>
      </c>
      <c r="C18" s="8">
        <v>0</v>
      </c>
      <c r="D18" s="45">
        <v>0</v>
      </c>
    </row>
    <row r="19" spans="1:5" ht="19" x14ac:dyDescent="0.25">
      <c r="A19" s="57" t="s">
        <v>53</v>
      </c>
      <c r="B19" s="76">
        <v>5.34</v>
      </c>
      <c r="C19" s="9">
        <v>0</v>
      </c>
      <c r="D19" s="46">
        <v>0</v>
      </c>
    </row>
    <row r="20" spans="1:5" ht="19" x14ac:dyDescent="0.25">
      <c r="A20" s="58" t="s">
        <v>54</v>
      </c>
      <c r="B20" s="77">
        <v>4.34</v>
      </c>
      <c r="C20" s="8">
        <v>0</v>
      </c>
      <c r="D20" s="45">
        <v>0</v>
      </c>
    </row>
    <row r="21" spans="1:5" ht="19" x14ac:dyDescent="0.25">
      <c r="A21" s="57" t="s">
        <v>55</v>
      </c>
      <c r="B21" s="78">
        <v>5.35</v>
      </c>
      <c r="C21" s="9">
        <v>0</v>
      </c>
      <c r="D21" s="46">
        <v>0</v>
      </c>
    </row>
    <row r="22" spans="1:5" ht="19" x14ac:dyDescent="0.25">
      <c r="A22" s="58" t="s">
        <v>56</v>
      </c>
      <c r="B22" s="79">
        <v>4.43</v>
      </c>
      <c r="C22" s="8">
        <v>0</v>
      </c>
      <c r="D22" s="45">
        <v>0</v>
      </c>
    </row>
    <row r="23" spans="1:5" ht="19" x14ac:dyDescent="0.25">
      <c r="A23" s="57" t="s">
        <v>57</v>
      </c>
      <c r="B23" s="80">
        <v>6.55</v>
      </c>
      <c r="C23" s="9">
        <v>0</v>
      </c>
      <c r="D23" s="46">
        <v>0</v>
      </c>
    </row>
    <row r="24" spans="1:5" ht="19" x14ac:dyDescent="0.25">
      <c r="A24" s="58" t="s">
        <v>58</v>
      </c>
      <c r="B24" s="81">
        <v>6.33</v>
      </c>
      <c r="C24" s="8">
        <v>0</v>
      </c>
      <c r="D24" s="45">
        <v>0</v>
      </c>
    </row>
    <row r="25" spans="1:5" ht="19" x14ac:dyDescent="0.25">
      <c r="A25" s="57" t="s">
        <v>59</v>
      </c>
      <c r="B25" s="64">
        <v>5.64</v>
      </c>
      <c r="C25" s="9">
        <v>0</v>
      </c>
      <c r="D25" s="46">
        <v>0</v>
      </c>
    </row>
    <row r="26" spans="1:5" ht="19" x14ac:dyDescent="0.25">
      <c r="A26" s="58" t="s">
        <v>60</v>
      </c>
      <c r="B26" s="82">
        <v>6.83</v>
      </c>
      <c r="C26" s="8">
        <v>0</v>
      </c>
      <c r="D26" s="45">
        <v>0</v>
      </c>
    </row>
    <row r="27" spans="1:5" ht="19" x14ac:dyDescent="0.25">
      <c r="A27" s="57" t="s">
        <v>61</v>
      </c>
      <c r="B27" s="83">
        <v>3.44</v>
      </c>
      <c r="C27" s="9">
        <v>0</v>
      </c>
      <c r="D27" s="46">
        <v>0</v>
      </c>
    </row>
    <row r="28" spans="1:5" ht="19" x14ac:dyDescent="0.25">
      <c r="A28" s="58" t="s">
        <v>62</v>
      </c>
      <c r="B28" s="84">
        <v>6.79</v>
      </c>
      <c r="C28" s="8">
        <v>0</v>
      </c>
      <c r="D28" s="45">
        <v>0</v>
      </c>
    </row>
    <row r="29" spans="1:5" ht="19" x14ac:dyDescent="0.25">
      <c r="A29" s="57" t="s">
        <v>63</v>
      </c>
      <c r="B29" s="82">
        <v>6.84</v>
      </c>
      <c r="C29" s="9">
        <v>0</v>
      </c>
      <c r="D29" s="46">
        <v>0</v>
      </c>
    </row>
    <row r="30" spans="1:5" ht="19" x14ac:dyDescent="0.25">
      <c r="A30" s="58" t="s">
        <v>64</v>
      </c>
      <c r="B30" s="65">
        <v>4.3600000000000003</v>
      </c>
      <c r="C30" s="8">
        <v>0</v>
      </c>
      <c r="D30" s="45">
        <v>0</v>
      </c>
    </row>
    <row r="31" spans="1:5" ht="19" x14ac:dyDescent="0.25">
      <c r="A31" s="57" t="s">
        <v>65</v>
      </c>
      <c r="B31" s="85">
        <v>4.26</v>
      </c>
      <c r="C31" s="9">
        <v>0</v>
      </c>
      <c r="D31" s="46">
        <v>0</v>
      </c>
      <c r="E31" s="50" t="s">
        <v>66</v>
      </c>
    </row>
    <row r="32" spans="1:5" ht="19" x14ac:dyDescent="0.25">
      <c r="A32" s="58" t="s">
        <v>67</v>
      </c>
      <c r="B32" s="86">
        <v>5.72</v>
      </c>
      <c r="C32" s="8">
        <v>0</v>
      </c>
      <c r="D32" s="45">
        <v>0</v>
      </c>
    </row>
    <row r="33" spans="1:4" ht="19" x14ac:dyDescent="0.25">
      <c r="A33" s="57" t="s">
        <v>68</v>
      </c>
      <c r="B33" s="87">
        <v>5.65</v>
      </c>
      <c r="C33" s="9">
        <v>0</v>
      </c>
      <c r="D33" s="46">
        <v>0</v>
      </c>
    </row>
    <row r="34" spans="1:4" ht="19" x14ac:dyDescent="0.25">
      <c r="A34" s="58" t="s">
        <v>69</v>
      </c>
      <c r="B34" s="88">
        <v>4.2300000000000004</v>
      </c>
      <c r="C34" s="8">
        <v>0</v>
      </c>
      <c r="D34" s="45">
        <v>0</v>
      </c>
    </row>
    <row r="35" spans="1:4" ht="19" x14ac:dyDescent="0.25">
      <c r="A35" s="57" t="s">
        <v>70</v>
      </c>
      <c r="B35" s="89">
        <v>5.6</v>
      </c>
      <c r="C35" s="9">
        <v>0</v>
      </c>
      <c r="D35" s="46">
        <v>0</v>
      </c>
    </row>
    <row r="36" spans="1:4" ht="19" x14ac:dyDescent="0.25">
      <c r="A36" s="58" t="s">
        <v>71</v>
      </c>
      <c r="B36" s="90">
        <v>4.28</v>
      </c>
      <c r="C36" s="8">
        <v>0</v>
      </c>
      <c r="D36" s="45">
        <v>0</v>
      </c>
    </row>
    <row r="37" spans="1:4" ht="19" x14ac:dyDescent="0.25">
      <c r="A37" s="57" t="s">
        <v>72</v>
      </c>
      <c r="B37" s="91">
        <v>4.67</v>
      </c>
      <c r="C37" s="9">
        <v>0</v>
      </c>
      <c r="D37" s="46">
        <v>0</v>
      </c>
    </row>
    <row r="38" spans="1:4" ht="19" x14ac:dyDescent="0.25">
      <c r="A38" s="58" t="s">
        <v>73</v>
      </c>
      <c r="B38" s="92">
        <v>3.75</v>
      </c>
      <c r="C38" s="8">
        <v>0</v>
      </c>
      <c r="D38" s="45">
        <v>0</v>
      </c>
    </row>
    <row r="39" spans="1:4" ht="19" x14ac:dyDescent="0.25">
      <c r="A39" s="57" t="s">
        <v>74</v>
      </c>
      <c r="B39" s="93">
        <v>3.2</v>
      </c>
      <c r="C39" s="9">
        <v>0</v>
      </c>
      <c r="D39" s="46">
        <v>0</v>
      </c>
    </row>
    <row r="40" spans="1:4" ht="19" x14ac:dyDescent="0.25">
      <c r="A40" s="58" t="s">
        <v>75</v>
      </c>
      <c r="B40" s="94">
        <v>5.98</v>
      </c>
      <c r="C40" s="8">
        <v>0</v>
      </c>
      <c r="D40" s="45">
        <v>0</v>
      </c>
    </row>
    <row r="41" spans="1:4" ht="19" x14ac:dyDescent="0.25">
      <c r="A41" s="57" t="s">
        <v>76</v>
      </c>
      <c r="B41" s="95">
        <v>4.7</v>
      </c>
      <c r="C41" s="9">
        <v>0</v>
      </c>
      <c r="D41" s="46">
        <v>0</v>
      </c>
    </row>
    <row r="42" spans="1:4" ht="19" x14ac:dyDescent="0.25">
      <c r="A42" s="58" t="s">
        <v>77</v>
      </c>
      <c r="B42" s="96">
        <v>5.71</v>
      </c>
      <c r="C42" s="8">
        <v>0</v>
      </c>
      <c r="D42" s="45">
        <v>0</v>
      </c>
    </row>
    <row r="43" spans="1:4" ht="19" x14ac:dyDescent="0.25">
      <c r="A43" s="57" t="s">
        <v>78</v>
      </c>
      <c r="B43" s="97">
        <v>5.6</v>
      </c>
      <c r="C43" s="9">
        <v>0</v>
      </c>
      <c r="D43" s="46">
        <v>0</v>
      </c>
    </row>
    <row r="44" spans="1:4" ht="19" x14ac:dyDescent="0.25">
      <c r="A44" s="58" t="s">
        <v>79</v>
      </c>
      <c r="B44" s="98">
        <v>4.79</v>
      </c>
      <c r="C44" s="8">
        <v>0</v>
      </c>
      <c r="D44" s="45">
        <v>0</v>
      </c>
    </row>
    <row r="45" spans="1:4" ht="19" x14ac:dyDescent="0.25">
      <c r="A45" s="57" t="s">
        <v>80</v>
      </c>
      <c r="B45" s="99">
        <v>3.57</v>
      </c>
      <c r="C45" s="9">
        <v>0</v>
      </c>
      <c r="D45" s="46">
        <v>0</v>
      </c>
    </row>
    <row r="46" spans="1:4" ht="19" x14ac:dyDescent="0.25">
      <c r="A46" s="58" t="s">
        <v>81</v>
      </c>
      <c r="B46" s="100">
        <v>4.5</v>
      </c>
      <c r="C46" s="8">
        <v>0</v>
      </c>
      <c r="D46" s="45">
        <v>0</v>
      </c>
    </row>
    <row r="47" spans="1:4" ht="19" x14ac:dyDescent="0.25">
      <c r="A47" s="57" t="s">
        <v>82</v>
      </c>
      <c r="B47" s="101">
        <v>6.93</v>
      </c>
      <c r="C47" s="9">
        <v>0</v>
      </c>
      <c r="D47" s="46">
        <v>0</v>
      </c>
    </row>
    <row r="48" spans="1:4" ht="19" x14ac:dyDescent="0.25">
      <c r="A48" s="58" t="s">
        <v>83</v>
      </c>
      <c r="B48" s="102">
        <v>3.35</v>
      </c>
      <c r="C48" s="8">
        <v>0</v>
      </c>
      <c r="D48" s="45">
        <v>0</v>
      </c>
    </row>
    <row r="49" spans="1:4" ht="19" x14ac:dyDescent="0.25">
      <c r="A49" s="57" t="s">
        <v>84</v>
      </c>
      <c r="B49" s="103">
        <v>3.65</v>
      </c>
      <c r="C49" s="9">
        <v>0</v>
      </c>
      <c r="D49" s="46">
        <v>0</v>
      </c>
    </row>
    <row r="50" spans="1:4" ht="19" x14ac:dyDescent="0.25">
      <c r="A50" s="58" t="s">
        <v>85</v>
      </c>
      <c r="B50" s="104">
        <v>5.78</v>
      </c>
      <c r="C50" s="8">
        <v>0</v>
      </c>
      <c r="D50" s="45">
        <v>0</v>
      </c>
    </row>
    <row r="51" spans="1:4" ht="19" x14ac:dyDescent="0.25">
      <c r="A51" s="57" t="s">
        <v>86</v>
      </c>
      <c r="B51" s="105">
        <v>5.38</v>
      </c>
      <c r="C51" s="9">
        <v>0</v>
      </c>
      <c r="D51" s="46">
        <v>0</v>
      </c>
    </row>
    <row r="52" spans="1:4" ht="19" x14ac:dyDescent="0.25">
      <c r="A52" s="58" t="s">
        <v>87</v>
      </c>
      <c r="B52" s="106">
        <v>4.93</v>
      </c>
      <c r="C52" s="8">
        <v>0</v>
      </c>
      <c r="D52" s="45">
        <v>0</v>
      </c>
    </row>
    <row r="53" spans="1:4" ht="19" x14ac:dyDescent="0.25">
      <c r="A53" s="57" t="s">
        <v>88</v>
      </c>
      <c r="B53" s="68">
        <v>3.42</v>
      </c>
      <c r="C53" s="9">
        <v>0</v>
      </c>
      <c r="D53" s="46">
        <v>0</v>
      </c>
    </row>
    <row r="54" spans="1:4" ht="19" x14ac:dyDescent="0.25">
      <c r="A54" s="58" t="s">
        <v>89</v>
      </c>
      <c r="B54" s="107">
        <v>4.63</v>
      </c>
      <c r="C54" s="8">
        <v>0</v>
      </c>
      <c r="D54" s="45">
        <v>0</v>
      </c>
    </row>
    <row r="55" spans="1:4" ht="19" x14ac:dyDescent="0.25">
      <c r="A55" s="57" t="s">
        <v>90</v>
      </c>
      <c r="B55" s="77">
        <v>4.34</v>
      </c>
      <c r="C55" s="9">
        <v>0</v>
      </c>
      <c r="D55" s="46">
        <v>0</v>
      </c>
    </row>
    <row r="56" spans="1:4" ht="19" x14ac:dyDescent="0.25">
      <c r="A56" s="58" t="s">
        <v>91</v>
      </c>
      <c r="B56" s="71">
        <v>5.45</v>
      </c>
      <c r="C56" s="8">
        <v>0</v>
      </c>
      <c r="D56" s="45">
        <v>0</v>
      </c>
    </row>
    <row r="57" spans="1:4" ht="19" x14ac:dyDescent="0.25">
      <c r="A57" s="57" t="s">
        <v>92</v>
      </c>
      <c r="B57" s="108">
        <v>6.36</v>
      </c>
      <c r="C57" s="9">
        <v>0</v>
      </c>
      <c r="D57" s="46">
        <v>0</v>
      </c>
    </row>
    <row r="58" spans="1:4" ht="19" x14ac:dyDescent="0.25">
      <c r="A58" s="58" t="s">
        <v>93</v>
      </c>
      <c r="B58" s="109">
        <v>5.94</v>
      </c>
      <c r="C58" s="8">
        <v>0</v>
      </c>
      <c r="D58" s="45">
        <v>0</v>
      </c>
    </row>
    <row r="59" spans="1:4" ht="19" x14ac:dyDescent="0.25">
      <c r="A59" s="57" t="s">
        <v>94</v>
      </c>
      <c r="B59" s="110">
        <v>4.92</v>
      </c>
      <c r="C59" s="9">
        <v>0</v>
      </c>
      <c r="D59" s="46">
        <v>0</v>
      </c>
    </row>
    <row r="60" spans="1:4" ht="19" x14ac:dyDescent="0.25">
      <c r="A60" s="58" t="s">
        <v>95</v>
      </c>
      <c r="B60" s="111">
        <v>6.53</v>
      </c>
      <c r="C60" s="8">
        <v>0</v>
      </c>
      <c r="D60" s="45">
        <v>0</v>
      </c>
    </row>
    <row r="61" spans="1:4" ht="19" x14ac:dyDescent="0.25">
      <c r="A61" s="57" t="s">
        <v>96</v>
      </c>
      <c r="B61" s="112">
        <v>5.77</v>
      </c>
      <c r="C61" s="9">
        <v>0</v>
      </c>
      <c r="D61" s="46">
        <v>0</v>
      </c>
    </row>
    <row r="62" spans="1:4" ht="19" x14ac:dyDescent="0.25">
      <c r="A62" s="58" t="s">
        <v>97</v>
      </c>
      <c r="B62" s="113">
        <v>3.63</v>
      </c>
      <c r="C62" s="8">
        <v>0</v>
      </c>
      <c r="D62" s="45">
        <v>0</v>
      </c>
    </row>
    <row r="63" spans="1:4" ht="19" x14ac:dyDescent="0.25">
      <c r="A63" s="57" t="s">
        <v>98</v>
      </c>
      <c r="B63" s="114">
        <v>3.38</v>
      </c>
      <c r="C63" s="9">
        <v>0</v>
      </c>
      <c r="D63" s="46">
        <v>0</v>
      </c>
    </row>
    <row r="64" spans="1:4" ht="19" x14ac:dyDescent="0.25">
      <c r="A64" s="58" t="s">
        <v>99</v>
      </c>
      <c r="B64" s="115">
        <v>5.07</v>
      </c>
      <c r="C64" s="8">
        <v>0</v>
      </c>
      <c r="D64" s="45">
        <v>0</v>
      </c>
    </row>
    <row r="65" spans="1:4" ht="19" x14ac:dyDescent="0.25">
      <c r="A65" s="57" t="s">
        <v>100</v>
      </c>
      <c r="B65" s="106">
        <v>4.92</v>
      </c>
      <c r="C65" s="9">
        <v>0</v>
      </c>
      <c r="D65" s="46">
        <v>0</v>
      </c>
    </row>
    <row r="66" spans="1:4" ht="19" x14ac:dyDescent="0.25">
      <c r="A66" s="58" t="s">
        <v>101</v>
      </c>
      <c r="B66" s="116">
        <v>5.88</v>
      </c>
      <c r="C66" s="8">
        <v>0</v>
      </c>
      <c r="D66" s="45">
        <v>0</v>
      </c>
    </row>
    <row r="67" spans="1:4" ht="19" x14ac:dyDescent="0.25">
      <c r="A67" s="57" t="s">
        <v>102</v>
      </c>
      <c r="B67" s="117">
        <v>6.05</v>
      </c>
      <c r="C67" s="9">
        <v>0</v>
      </c>
      <c r="D67" s="46">
        <v>0</v>
      </c>
    </row>
    <row r="68" spans="1:4" ht="19" x14ac:dyDescent="0.25">
      <c r="A68" s="58" t="s">
        <v>103</v>
      </c>
      <c r="B68" s="118">
        <v>3.25</v>
      </c>
      <c r="C68" s="8">
        <v>0</v>
      </c>
      <c r="D68" s="45">
        <v>0</v>
      </c>
    </row>
    <row r="69" spans="1:4" ht="19" x14ac:dyDescent="0.25">
      <c r="A69" s="57" t="s">
        <v>104</v>
      </c>
      <c r="B69" s="119">
        <v>4.6100000000000003</v>
      </c>
      <c r="C69" s="9">
        <v>0</v>
      </c>
      <c r="D69" s="46">
        <v>0</v>
      </c>
    </row>
    <row r="70" spans="1:4" ht="19" x14ac:dyDescent="0.25">
      <c r="A70" s="58" t="s">
        <v>105</v>
      </c>
      <c r="B70" s="120">
        <v>3.84</v>
      </c>
      <c r="C70" s="8">
        <v>0</v>
      </c>
      <c r="D70" s="45">
        <v>0</v>
      </c>
    </row>
    <row r="71" spans="1:4" ht="19" x14ac:dyDescent="0.25">
      <c r="A71" s="57" t="s">
        <v>106</v>
      </c>
      <c r="B71" s="121">
        <v>4.75</v>
      </c>
      <c r="C71" s="9">
        <v>0</v>
      </c>
      <c r="D71" s="46">
        <v>0</v>
      </c>
    </row>
    <row r="72" spans="1:4" ht="19" x14ac:dyDescent="0.25">
      <c r="A72" s="58" t="s">
        <v>107</v>
      </c>
      <c r="B72" s="114">
        <v>3.38</v>
      </c>
      <c r="C72" s="8">
        <v>0</v>
      </c>
      <c r="D72" s="45">
        <v>0</v>
      </c>
    </row>
    <row r="73" spans="1:4" ht="19" x14ac:dyDescent="0.25">
      <c r="A73" s="57" t="s">
        <v>108</v>
      </c>
      <c r="B73" s="122">
        <v>5.13</v>
      </c>
      <c r="C73" s="9">
        <v>0</v>
      </c>
      <c r="D73" s="46">
        <v>0</v>
      </c>
    </row>
    <row r="74" spans="1:4" ht="19" x14ac:dyDescent="0.25">
      <c r="A74" s="58" t="s">
        <v>109</v>
      </c>
      <c r="B74" s="123">
        <v>4.54</v>
      </c>
      <c r="C74" s="8">
        <v>0</v>
      </c>
      <c r="D74" s="45">
        <v>0</v>
      </c>
    </row>
    <row r="75" spans="1:4" ht="19" x14ac:dyDescent="0.25">
      <c r="A75" s="57" t="s">
        <v>110</v>
      </c>
      <c r="B75" s="124">
        <v>6.13</v>
      </c>
      <c r="C75" s="9">
        <v>0</v>
      </c>
      <c r="D75" s="46">
        <v>0</v>
      </c>
    </row>
    <row r="76" spans="1:4" ht="19" x14ac:dyDescent="0.25">
      <c r="A76" s="58" t="s">
        <v>111</v>
      </c>
      <c r="B76" s="125">
        <v>4.3</v>
      </c>
      <c r="C76" s="8">
        <v>0</v>
      </c>
      <c r="D76" s="45">
        <v>0</v>
      </c>
    </row>
    <row r="77" spans="1:4" ht="19" x14ac:dyDescent="0.25">
      <c r="A77" s="57" t="s">
        <v>112</v>
      </c>
      <c r="B77" s="126">
        <v>5.37</v>
      </c>
      <c r="C77" s="9">
        <v>0</v>
      </c>
      <c r="D77" s="46">
        <v>0</v>
      </c>
    </row>
    <row r="78" spans="1:4" ht="19" x14ac:dyDescent="0.25">
      <c r="A78" s="58" t="s">
        <v>113</v>
      </c>
      <c r="B78" s="127">
        <v>5.14</v>
      </c>
      <c r="C78" s="8">
        <v>0</v>
      </c>
      <c r="D78" s="45">
        <v>0</v>
      </c>
    </row>
    <row r="79" spans="1:4" ht="19" x14ac:dyDescent="0.25">
      <c r="A79" s="57" t="s">
        <v>114</v>
      </c>
      <c r="B79" s="128">
        <v>3.97</v>
      </c>
      <c r="C79" s="9">
        <v>0</v>
      </c>
      <c r="D79" s="46">
        <v>0</v>
      </c>
    </row>
    <row r="80" spans="1:4" ht="19" x14ac:dyDescent="0.25">
      <c r="A80" s="58" t="s">
        <v>115</v>
      </c>
      <c r="B80" s="129">
        <v>6.12</v>
      </c>
      <c r="C80" s="8">
        <v>0</v>
      </c>
      <c r="D80" s="45">
        <v>0</v>
      </c>
    </row>
    <row r="81" spans="1:4" ht="19" x14ac:dyDescent="0.25">
      <c r="A81" s="57" t="s">
        <v>116</v>
      </c>
      <c r="B81" s="130">
        <v>5.49</v>
      </c>
      <c r="C81" s="9">
        <v>0</v>
      </c>
      <c r="D81" s="46">
        <v>0</v>
      </c>
    </row>
    <row r="82" spans="1:4" ht="19" x14ac:dyDescent="0.25">
      <c r="A82" s="58" t="s">
        <v>117</v>
      </c>
      <c r="B82" s="131">
        <v>5.97</v>
      </c>
      <c r="C82" s="8">
        <v>0</v>
      </c>
      <c r="D82" s="45">
        <v>0</v>
      </c>
    </row>
    <row r="83" spans="1:4" ht="19" x14ac:dyDescent="0.25">
      <c r="A83" s="57" t="s">
        <v>118</v>
      </c>
      <c r="B83" s="132">
        <v>5.68</v>
      </c>
      <c r="C83" s="9">
        <v>0</v>
      </c>
      <c r="D83" s="46">
        <v>0</v>
      </c>
    </row>
    <row r="84" spans="1:4" ht="19" x14ac:dyDescent="0.25">
      <c r="A84" s="58" t="s">
        <v>119</v>
      </c>
      <c r="B84" s="133">
        <v>3.93</v>
      </c>
      <c r="C84" s="8">
        <v>0</v>
      </c>
      <c r="D84" s="45">
        <v>0</v>
      </c>
    </row>
    <row r="85" spans="1:4" ht="19" x14ac:dyDescent="0.25">
      <c r="A85" s="57" t="s">
        <v>120</v>
      </c>
      <c r="B85" s="134">
        <v>5.82</v>
      </c>
      <c r="C85" s="9">
        <v>0</v>
      </c>
      <c r="D85" s="46">
        <v>0</v>
      </c>
    </row>
    <row r="86" spans="1:4" ht="19" x14ac:dyDescent="0.25">
      <c r="A86" s="58" t="s">
        <v>121</v>
      </c>
      <c r="B86" s="135">
        <v>5.58</v>
      </c>
      <c r="C86" s="8">
        <v>0</v>
      </c>
      <c r="D86" s="45">
        <v>0</v>
      </c>
    </row>
    <row r="87" spans="1:4" ht="19" x14ac:dyDescent="0.25">
      <c r="A87" s="57" t="s">
        <v>122</v>
      </c>
      <c r="B87" s="136">
        <v>4.03</v>
      </c>
      <c r="C87" s="9">
        <v>0</v>
      </c>
      <c r="D87" s="46">
        <v>0</v>
      </c>
    </row>
    <row r="88" spans="1:4" ht="19" x14ac:dyDescent="0.25">
      <c r="A88" s="58" t="s">
        <v>123</v>
      </c>
      <c r="B88" s="137">
        <v>7.1</v>
      </c>
      <c r="C88" s="8">
        <v>0</v>
      </c>
      <c r="D88" s="45">
        <v>0</v>
      </c>
    </row>
    <row r="89" spans="1:4" ht="19" x14ac:dyDescent="0.25">
      <c r="A89" s="57" t="s">
        <v>124</v>
      </c>
      <c r="B89" s="138">
        <v>6.28</v>
      </c>
      <c r="C89" s="9">
        <v>0</v>
      </c>
      <c r="D89" s="46">
        <v>0</v>
      </c>
    </row>
    <row r="90" spans="1:4" ht="19" x14ac:dyDescent="0.25">
      <c r="A90" s="58" t="s">
        <v>125</v>
      </c>
      <c r="B90" s="139">
        <v>3.47</v>
      </c>
      <c r="C90" s="8">
        <v>0</v>
      </c>
      <c r="D90" s="45">
        <v>0</v>
      </c>
    </row>
    <row r="91" spans="1:4" ht="19" x14ac:dyDescent="0.25">
      <c r="A91" s="57" t="s">
        <v>126</v>
      </c>
      <c r="B91" s="140">
        <v>5.42</v>
      </c>
      <c r="C91" s="9">
        <v>0</v>
      </c>
      <c r="D91" s="46">
        <v>0</v>
      </c>
    </row>
    <row r="92" spans="1:4" ht="19" x14ac:dyDescent="0.25">
      <c r="A92" s="58" t="s">
        <v>127</v>
      </c>
      <c r="B92" s="127">
        <v>5.14</v>
      </c>
      <c r="C92" s="8">
        <v>0</v>
      </c>
      <c r="D92" s="45">
        <v>0</v>
      </c>
    </row>
    <row r="93" spans="1:4" ht="19" x14ac:dyDescent="0.25">
      <c r="A93" s="57" t="s">
        <v>128</v>
      </c>
      <c r="B93" s="141">
        <v>4.6500000000000004</v>
      </c>
      <c r="C93" s="9">
        <v>0</v>
      </c>
      <c r="D93" s="46">
        <v>0</v>
      </c>
    </row>
    <row r="94" spans="1:4" ht="19" x14ac:dyDescent="0.25">
      <c r="A94" s="58" t="s">
        <v>129</v>
      </c>
      <c r="B94" s="142">
        <v>5.0999999999999996</v>
      </c>
      <c r="C94" s="8">
        <v>0</v>
      </c>
      <c r="D94" s="45">
        <v>0</v>
      </c>
    </row>
    <row r="95" spans="1:4" ht="19" x14ac:dyDescent="0.25">
      <c r="A95" s="57" t="s">
        <v>130</v>
      </c>
      <c r="B95" s="70">
        <v>6.3</v>
      </c>
      <c r="C95" s="9">
        <v>0</v>
      </c>
      <c r="D95" s="46">
        <v>0</v>
      </c>
    </row>
    <row r="96" spans="1:4" ht="19" x14ac:dyDescent="0.25">
      <c r="A96" s="58" t="s">
        <v>131</v>
      </c>
      <c r="B96" s="143">
        <v>4.6399999999999997</v>
      </c>
      <c r="C96" s="8">
        <v>0</v>
      </c>
      <c r="D96" s="45">
        <v>0</v>
      </c>
    </row>
    <row r="97" spans="1:4" ht="19" x14ac:dyDescent="0.25">
      <c r="A97" s="57" t="s">
        <v>132</v>
      </c>
      <c r="B97" s="104">
        <v>5.78</v>
      </c>
      <c r="C97" s="9">
        <v>0</v>
      </c>
      <c r="D97" s="46">
        <v>0</v>
      </c>
    </row>
    <row r="98" spans="1:4" ht="19" x14ac:dyDescent="0.25">
      <c r="A98" s="58" t="s">
        <v>133</v>
      </c>
      <c r="B98" s="144">
        <v>3.59</v>
      </c>
      <c r="C98" s="8">
        <v>0</v>
      </c>
      <c r="D98" s="45">
        <v>0</v>
      </c>
    </row>
    <row r="99" spans="1:4" ht="19" x14ac:dyDescent="0.25">
      <c r="A99" s="57" t="s">
        <v>134</v>
      </c>
      <c r="B99" s="145">
        <v>3.32</v>
      </c>
      <c r="C99" s="9">
        <v>0</v>
      </c>
      <c r="D99" s="46">
        <v>0</v>
      </c>
    </row>
    <row r="100" spans="1:4" ht="19" x14ac:dyDescent="0.25">
      <c r="A100" s="58" t="s">
        <v>135</v>
      </c>
      <c r="B100" s="146">
        <v>5.8</v>
      </c>
      <c r="C100" s="8">
        <v>0</v>
      </c>
      <c r="D100" s="45">
        <v>0</v>
      </c>
    </row>
    <row r="101" spans="1:4" ht="19" x14ac:dyDescent="0.25">
      <c r="A101" s="57" t="s">
        <v>136</v>
      </c>
      <c r="B101" s="147">
        <v>7.07</v>
      </c>
      <c r="C101" s="9">
        <v>0</v>
      </c>
      <c r="D101" s="46">
        <v>0</v>
      </c>
    </row>
    <row r="102" spans="1:4" ht="19" x14ac:dyDescent="0.25">
      <c r="A102" s="58" t="s">
        <v>137</v>
      </c>
      <c r="B102" s="148">
        <v>6.5</v>
      </c>
      <c r="C102" s="8">
        <v>0</v>
      </c>
      <c r="D102" s="45">
        <v>0</v>
      </c>
    </row>
    <row r="103" spans="1:4" ht="19" x14ac:dyDescent="0.25">
      <c r="A103" s="57" t="s">
        <v>138</v>
      </c>
      <c r="B103" s="149">
        <v>4.16</v>
      </c>
      <c r="C103" s="9">
        <v>0</v>
      </c>
      <c r="D103" s="46">
        <v>0</v>
      </c>
    </row>
    <row r="104" spans="1:4" ht="19" x14ac:dyDescent="0.25">
      <c r="A104" s="58" t="s">
        <v>139</v>
      </c>
      <c r="B104" s="114">
        <v>3.38</v>
      </c>
      <c r="C104" s="8">
        <v>0</v>
      </c>
      <c r="D104" s="45">
        <v>0</v>
      </c>
    </row>
    <row r="105" spans="1:4" ht="19" x14ac:dyDescent="0.25">
      <c r="A105" s="57" t="s">
        <v>140</v>
      </c>
      <c r="B105" s="150">
        <v>4.0199999999999996</v>
      </c>
      <c r="C105" s="9">
        <v>0</v>
      </c>
      <c r="D105" s="46">
        <v>0</v>
      </c>
    </row>
    <row r="106" spans="1:4" ht="19" x14ac:dyDescent="0.25">
      <c r="A106" s="58" t="s">
        <v>141</v>
      </c>
      <c r="B106" s="151">
        <v>6.65</v>
      </c>
      <c r="C106" s="8">
        <v>0</v>
      </c>
      <c r="D106" s="45">
        <v>0</v>
      </c>
    </row>
    <row r="107" spans="1:4" ht="19" x14ac:dyDescent="0.25">
      <c r="A107" s="57" t="s">
        <v>142</v>
      </c>
      <c r="B107" s="152">
        <v>4.5599999999999996</v>
      </c>
      <c r="C107" s="9">
        <v>0</v>
      </c>
      <c r="D107" s="46">
        <v>0</v>
      </c>
    </row>
    <row r="108" spans="1:4" ht="19" x14ac:dyDescent="0.25">
      <c r="A108" s="58" t="s">
        <v>143</v>
      </c>
      <c r="B108" s="76">
        <v>5.34</v>
      </c>
      <c r="C108" s="8">
        <v>0</v>
      </c>
      <c r="D108" s="45">
        <v>0</v>
      </c>
    </row>
    <row r="109" spans="1:4" ht="19" x14ac:dyDescent="0.25">
      <c r="A109" s="57" t="s">
        <v>144</v>
      </c>
      <c r="B109" s="153">
        <v>4.72</v>
      </c>
      <c r="C109" s="9">
        <v>0</v>
      </c>
      <c r="D109" s="46">
        <v>0</v>
      </c>
    </row>
    <row r="110" spans="1:4" ht="19" x14ac:dyDescent="0.25">
      <c r="A110" s="58" t="s">
        <v>145</v>
      </c>
      <c r="B110" s="154">
        <v>5.28</v>
      </c>
      <c r="C110" s="8">
        <v>0</v>
      </c>
      <c r="D110" s="45">
        <v>0</v>
      </c>
    </row>
    <row r="111" spans="1:4" ht="19" x14ac:dyDescent="0.25">
      <c r="A111" s="57" t="s">
        <v>146</v>
      </c>
      <c r="B111" s="146">
        <v>5.8</v>
      </c>
      <c r="C111" s="9">
        <v>0</v>
      </c>
      <c r="D111" s="46">
        <v>0</v>
      </c>
    </row>
    <row r="112" spans="1:4" ht="19" x14ac:dyDescent="0.25">
      <c r="A112" s="58" t="s">
        <v>147</v>
      </c>
      <c r="B112" s="155">
        <v>4.1500000000000004</v>
      </c>
      <c r="C112" s="8">
        <v>0</v>
      </c>
      <c r="D112" s="45">
        <v>0</v>
      </c>
    </row>
    <row r="113" spans="1:4" ht="19" x14ac:dyDescent="0.25">
      <c r="A113" s="57" t="s">
        <v>148</v>
      </c>
      <c r="B113" s="156">
        <v>3.43</v>
      </c>
      <c r="C113" s="9">
        <v>0</v>
      </c>
      <c r="D113" s="46">
        <v>0</v>
      </c>
    </row>
    <row r="114" spans="1:4" ht="19" x14ac:dyDescent="0.25">
      <c r="A114" s="58" t="s">
        <v>149</v>
      </c>
      <c r="B114" s="93">
        <v>3.2</v>
      </c>
      <c r="C114" s="8">
        <v>0</v>
      </c>
      <c r="D114" s="45">
        <v>0</v>
      </c>
    </row>
    <row r="115" spans="1:4" ht="19" x14ac:dyDescent="0.25">
      <c r="A115" s="57" t="s">
        <v>150</v>
      </c>
      <c r="B115" s="157">
        <v>4.05</v>
      </c>
      <c r="C115" s="9">
        <v>0</v>
      </c>
      <c r="D115" s="46">
        <v>0</v>
      </c>
    </row>
    <row r="116" spans="1:4" ht="19" x14ac:dyDescent="0.25">
      <c r="A116" s="58" t="s">
        <v>151</v>
      </c>
      <c r="B116" s="158">
        <v>5.96</v>
      </c>
      <c r="C116" s="8">
        <v>0</v>
      </c>
      <c r="D116" s="45">
        <v>0</v>
      </c>
    </row>
    <row r="117" spans="1:4" ht="19" x14ac:dyDescent="0.25">
      <c r="A117" s="57" t="s">
        <v>152</v>
      </c>
      <c r="B117" s="159">
        <v>5.47</v>
      </c>
      <c r="C117" s="9">
        <v>0</v>
      </c>
      <c r="D117" s="46">
        <v>0</v>
      </c>
    </row>
    <row r="118" spans="1:4" ht="19" x14ac:dyDescent="0.25">
      <c r="A118" s="58" t="s">
        <v>153</v>
      </c>
      <c r="B118" s="79">
        <v>4.42</v>
      </c>
      <c r="C118" s="8">
        <v>0</v>
      </c>
      <c r="D118" s="45">
        <v>0</v>
      </c>
    </row>
    <row r="119" spans="1:4" ht="19" x14ac:dyDescent="0.25">
      <c r="A119" s="57" t="s">
        <v>154</v>
      </c>
      <c r="B119" s="160">
        <v>5.4</v>
      </c>
      <c r="C119" s="9">
        <v>0</v>
      </c>
      <c r="D119" s="46">
        <v>0</v>
      </c>
    </row>
    <row r="120" spans="1:4" ht="19" x14ac:dyDescent="0.25">
      <c r="A120" s="58" t="s">
        <v>155</v>
      </c>
      <c r="B120" s="161">
        <v>5.04</v>
      </c>
      <c r="C120" s="8">
        <v>0</v>
      </c>
      <c r="D120" s="45">
        <v>0</v>
      </c>
    </row>
    <row r="121" spans="1:4" ht="19" x14ac:dyDescent="0.25">
      <c r="A121" s="57" t="s">
        <v>156</v>
      </c>
      <c r="B121" s="162">
        <v>5.64</v>
      </c>
      <c r="C121" s="9">
        <v>0</v>
      </c>
      <c r="D121" s="46">
        <v>0</v>
      </c>
    </row>
    <row r="122" spans="1:4" ht="19" x14ac:dyDescent="0.25">
      <c r="A122" s="58" t="s">
        <v>157</v>
      </c>
      <c r="B122" s="163">
        <v>3.04</v>
      </c>
      <c r="C122" s="8">
        <v>0</v>
      </c>
      <c r="D122" s="45">
        <v>0</v>
      </c>
    </row>
    <row r="123" spans="1:4" ht="19" x14ac:dyDescent="0.25">
      <c r="A123" s="57" t="s">
        <v>158</v>
      </c>
      <c r="B123" s="164">
        <v>3.79</v>
      </c>
      <c r="C123" s="9">
        <v>0</v>
      </c>
      <c r="D123" s="46">
        <v>0</v>
      </c>
    </row>
    <row r="124" spans="1:4" ht="19" x14ac:dyDescent="0.25">
      <c r="A124" s="58" t="s">
        <v>159</v>
      </c>
      <c r="B124" s="165">
        <v>3.48</v>
      </c>
      <c r="C124" s="8">
        <v>0</v>
      </c>
      <c r="D124" s="45">
        <v>0</v>
      </c>
    </row>
    <row r="125" spans="1:4" ht="19" x14ac:dyDescent="0.25">
      <c r="A125" s="57" t="s">
        <v>160</v>
      </c>
      <c r="B125" s="166">
        <v>5.22</v>
      </c>
      <c r="C125" s="9">
        <v>0</v>
      </c>
      <c r="D125" s="46">
        <v>0</v>
      </c>
    </row>
    <row r="126" spans="1:4" ht="19" x14ac:dyDescent="0.25">
      <c r="A126" s="58" t="s">
        <v>161</v>
      </c>
      <c r="B126" s="167">
        <v>3.57</v>
      </c>
      <c r="C126" s="8">
        <v>0</v>
      </c>
      <c r="D126" s="45">
        <v>0</v>
      </c>
    </row>
    <row r="127" spans="1:4" ht="19" x14ac:dyDescent="0.25">
      <c r="A127" s="57" t="s">
        <v>162</v>
      </c>
      <c r="B127" s="168">
        <v>3.7</v>
      </c>
      <c r="C127" s="9">
        <v>0</v>
      </c>
      <c r="D127" s="46">
        <v>0</v>
      </c>
    </row>
    <row r="128" spans="1:4" ht="19" x14ac:dyDescent="0.25">
      <c r="A128" s="58" t="s">
        <v>163</v>
      </c>
      <c r="B128" s="169">
        <v>5.1100000000000003</v>
      </c>
      <c r="C128" s="8">
        <v>0</v>
      </c>
      <c r="D128" s="45">
        <v>0</v>
      </c>
    </row>
    <row r="129" spans="1:4" ht="19" x14ac:dyDescent="0.25">
      <c r="A129" s="57" t="s">
        <v>164</v>
      </c>
      <c r="B129" s="137">
        <v>7.1</v>
      </c>
      <c r="C129" s="9">
        <v>0</v>
      </c>
      <c r="D129" s="46">
        <v>0</v>
      </c>
    </row>
    <row r="130" spans="1:4" ht="19" x14ac:dyDescent="0.25">
      <c r="A130" s="58" t="s">
        <v>165</v>
      </c>
      <c r="B130" s="170">
        <v>3.52</v>
      </c>
      <c r="C130" s="8">
        <v>0</v>
      </c>
      <c r="D130" s="45">
        <v>0</v>
      </c>
    </row>
    <row r="131" spans="1:4" ht="19" x14ac:dyDescent="0.25">
      <c r="A131" s="57" t="s">
        <v>166</v>
      </c>
      <c r="B131" s="171">
        <v>2.78</v>
      </c>
      <c r="C131" s="9">
        <v>0</v>
      </c>
      <c r="D131" s="46">
        <v>0</v>
      </c>
    </row>
    <row r="132" spans="1:4" ht="19" x14ac:dyDescent="0.25">
      <c r="A132" s="59" t="s">
        <v>167</v>
      </c>
      <c r="B132" s="172">
        <v>7.33</v>
      </c>
      <c r="C132" s="8">
        <v>0</v>
      </c>
      <c r="D132" s="45">
        <v>0</v>
      </c>
    </row>
    <row r="133" spans="1:4" ht="19" x14ac:dyDescent="0.25">
      <c r="A133" s="57" t="s">
        <v>168</v>
      </c>
      <c r="B133" s="173">
        <v>5.69</v>
      </c>
      <c r="C133" s="9">
        <v>0</v>
      </c>
      <c r="D133" s="46">
        <v>0</v>
      </c>
    </row>
    <row r="134" spans="1:4" ht="19" x14ac:dyDescent="0.25">
      <c r="A134" s="58" t="s">
        <v>169</v>
      </c>
      <c r="B134" s="63">
        <v>5.21</v>
      </c>
      <c r="C134" s="8">
        <v>0</v>
      </c>
      <c r="D134" s="45">
        <v>0</v>
      </c>
    </row>
    <row r="135" spans="1:4" ht="19" x14ac:dyDescent="0.25">
      <c r="A135" s="57" t="s">
        <v>170</v>
      </c>
      <c r="B135" s="174">
        <v>5.15</v>
      </c>
      <c r="C135" s="9">
        <v>0</v>
      </c>
      <c r="D135" s="46">
        <v>0</v>
      </c>
    </row>
    <row r="136" spans="1:4" ht="19" x14ac:dyDescent="0.25">
      <c r="A136" s="58" t="s">
        <v>171</v>
      </c>
      <c r="B136" s="175">
        <v>5.87</v>
      </c>
      <c r="C136" s="8">
        <v>0</v>
      </c>
      <c r="D136" s="45">
        <v>0</v>
      </c>
    </row>
    <row r="137" spans="1:4" ht="19" x14ac:dyDescent="0.25">
      <c r="A137" s="57" t="s">
        <v>172</v>
      </c>
      <c r="B137" s="176">
        <v>4.38</v>
      </c>
      <c r="C137" s="9">
        <v>0</v>
      </c>
      <c r="D137" s="46">
        <v>0</v>
      </c>
    </row>
    <row r="138" spans="1:4" ht="19" x14ac:dyDescent="0.25">
      <c r="A138" s="58" t="s">
        <v>173</v>
      </c>
      <c r="B138" s="177">
        <v>5.13</v>
      </c>
      <c r="C138" s="8">
        <v>0</v>
      </c>
      <c r="D138" s="45">
        <v>0</v>
      </c>
    </row>
    <row r="139" spans="1:4" ht="19" x14ac:dyDescent="0.25">
      <c r="A139" s="57" t="s">
        <v>174</v>
      </c>
      <c r="B139" s="178">
        <v>5.26</v>
      </c>
      <c r="C139" s="9">
        <v>0</v>
      </c>
      <c r="D139" s="46">
        <v>0</v>
      </c>
    </row>
    <row r="140" spans="1:4" ht="19" x14ac:dyDescent="0.25">
      <c r="A140" s="58" t="s">
        <v>175</v>
      </c>
      <c r="B140" s="179">
        <v>6.29</v>
      </c>
      <c r="C140" s="8">
        <v>0</v>
      </c>
      <c r="D140" s="45">
        <v>0</v>
      </c>
    </row>
    <row r="141" spans="1:4" ht="19" x14ac:dyDescent="0.25">
      <c r="A141" s="57" t="s">
        <v>176</v>
      </c>
      <c r="B141" s="180">
        <v>6.35</v>
      </c>
      <c r="C141" s="9">
        <v>0</v>
      </c>
      <c r="D141" s="46">
        <v>0</v>
      </c>
    </row>
    <row r="142" spans="1:4" ht="19" x14ac:dyDescent="0.25">
      <c r="A142" s="58" t="s">
        <v>177</v>
      </c>
      <c r="B142" s="181">
        <v>3.72</v>
      </c>
      <c r="C142" s="8">
        <v>0</v>
      </c>
      <c r="D142" s="45">
        <v>0</v>
      </c>
    </row>
    <row r="143" spans="1:4" ht="19" x14ac:dyDescent="0.25">
      <c r="A143" s="57" t="s">
        <v>178</v>
      </c>
      <c r="B143" s="145">
        <v>3.32</v>
      </c>
      <c r="C143" s="9">
        <v>0</v>
      </c>
      <c r="D143" s="46">
        <v>0</v>
      </c>
    </row>
    <row r="144" spans="1:4" ht="19" x14ac:dyDescent="0.25">
      <c r="A144" s="58" t="s">
        <v>179</v>
      </c>
      <c r="B144" s="182">
        <v>4.1900000000000004</v>
      </c>
      <c r="C144" s="8">
        <v>0</v>
      </c>
      <c r="D144" s="45">
        <v>0</v>
      </c>
    </row>
    <row r="145" spans="1:4" ht="19" x14ac:dyDescent="0.25">
      <c r="A145" s="57" t="s">
        <v>180</v>
      </c>
      <c r="B145" s="183">
        <v>3.91</v>
      </c>
      <c r="C145" s="9">
        <v>0</v>
      </c>
      <c r="D145" s="46">
        <v>0</v>
      </c>
    </row>
    <row r="146" spans="1:4" ht="19" x14ac:dyDescent="0.25">
      <c r="A146" s="58" t="s">
        <v>181</v>
      </c>
      <c r="B146" s="112">
        <v>5.77</v>
      </c>
      <c r="C146" s="8">
        <v>0</v>
      </c>
      <c r="D146" s="45">
        <v>0</v>
      </c>
    </row>
    <row r="147" spans="1:4" ht="19" x14ac:dyDescent="0.25">
      <c r="A147" s="57" t="s">
        <v>182</v>
      </c>
      <c r="B147" s="184">
        <v>4.32</v>
      </c>
      <c r="C147" s="9">
        <v>0</v>
      </c>
      <c r="D147" s="46">
        <v>0</v>
      </c>
    </row>
    <row r="148" spans="1:4" ht="19" x14ac:dyDescent="0.25">
      <c r="A148" s="58" t="s">
        <v>183</v>
      </c>
      <c r="B148" s="70">
        <v>6.3</v>
      </c>
      <c r="C148" s="8">
        <v>0</v>
      </c>
      <c r="D148" s="45">
        <v>0</v>
      </c>
    </row>
    <row r="149" spans="1:4" ht="19" x14ac:dyDescent="0.25">
      <c r="A149" s="57" t="s">
        <v>184</v>
      </c>
      <c r="B149" s="185">
        <v>4.95</v>
      </c>
      <c r="C149" s="9">
        <v>0</v>
      </c>
      <c r="D149" s="46">
        <v>0</v>
      </c>
    </row>
    <row r="150" spans="1:4" ht="19" x14ac:dyDescent="0.25">
      <c r="A150" s="60" t="s">
        <v>185</v>
      </c>
      <c r="B150" s="186">
        <v>6.14</v>
      </c>
      <c r="C150" s="10">
        <v>0</v>
      </c>
      <c r="D150" s="47">
        <v>0</v>
      </c>
    </row>
    <row r="151" spans="1:4" ht="19" x14ac:dyDescent="0.25">
      <c r="A151" s="61" t="s">
        <v>186</v>
      </c>
      <c r="B151" s="5"/>
      <c r="C151" s="6">
        <f>SUM(C4:C150)</f>
        <v>0</v>
      </c>
      <c r="D151" s="48">
        <f>SUM(D4:D150)</f>
        <v>0</v>
      </c>
    </row>
  </sheetData>
  <mergeCells count="1">
    <mergeCell ref="A1: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86DC0FFDEFA864DA147FFDEA823F2EE" ma:contentTypeVersion="3" ma:contentTypeDescription="Creare un nuovo documento." ma:contentTypeScope="" ma:versionID="efa000e167d9ce5db8cd2eb5b6f87cd4">
  <xsd:schema xmlns:xsd="http://www.w3.org/2001/XMLSchema" xmlns:xs="http://www.w3.org/2001/XMLSchema" xmlns:p="http://schemas.microsoft.com/office/2006/metadata/properties" xmlns:ns2="c41a64fd-65ba-4a6e-8004-8ade4c8fdb39" targetNamespace="http://schemas.microsoft.com/office/2006/metadata/properties" ma:root="true" ma:fieldsID="1f94584ddf2c7798ba84aeef6e679263" ns2:_="">
    <xsd:import namespace="c41a64fd-65ba-4a6e-8004-8ade4c8fd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a64fd-65ba-4a6e-8004-8ade4c8fd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E01688-9D80-4987-9AD6-7D944B8F89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DF7761-227C-4F1D-831D-A06665402E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1a64fd-65ba-4a6e-8004-8ade4c8fdb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7B646F-C5B7-4EEC-8634-45ED9FDC73B1}">
  <ds:schemaRefs>
    <ds:schemaRef ds:uri="c41a64fd-65ba-4a6e-8004-8ade4c8fdb39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26</vt:i4>
      </vt:variant>
    </vt:vector>
  </HeadingPairs>
  <TitlesOfParts>
    <vt:vector size="26" baseType="lpstr">
      <vt:lpstr>Facility Risk - Overall</vt:lpstr>
      <vt:lpstr>Facility Risk - Apple</vt:lpstr>
      <vt:lpstr>Facility Risk - Meta</vt:lpstr>
      <vt:lpstr>Facility Risk - Microsoft</vt:lpstr>
      <vt:lpstr>Facility Risk - NVIDIA</vt:lpstr>
      <vt:lpstr>Facility Risk - VW</vt:lpstr>
      <vt:lpstr>Facility Risk - Reliance</vt:lpstr>
      <vt:lpstr>Facility Risk - Total en</vt:lpstr>
      <vt:lpstr>Facility Risk - JP Morgan</vt:lpstr>
      <vt:lpstr>Facility Risk - P&amp;G</vt:lpstr>
      <vt:lpstr>Facility Risk - Samsung</vt:lpstr>
      <vt:lpstr>Facility Risk - Tencent</vt:lpstr>
      <vt:lpstr>Facility Risk - ASML</vt:lpstr>
      <vt:lpstr>Facility Risk - TSMC</vt:lpstr>
      <vt:lpstr>Facility Risk - Sony</vt:lpstr>
      <vt:lpstr>Facility Risk - Eli Lilly</vt:lpstr>
      <vt:lpstr>Facility Risk - L'Oreal</vt:lpstr>
      <vt:lpstr>Facility Risk - Eni</vt:lpstr>
      <vt:lpstr>Facility Risk - Amazon</vt:lpstr>
      <vt:lpstr>Facility Risk - Ford</vt:lpstr>
      <vt:lpstr>Facility Risk - BNP</vt:lpstr>
      <vt:lpstr>Facility Risk - Allianz</vt:lpstr>
      <vt:lpstr>Facility Risk - LVMH</vt:lpstr>
      <vt:lpstr>Facility Risk - Toyota</vt:lpstr>
      <vt:lpstr>Facility Risk - Nordisk</vt:lpstr>
      <vt:lpstr>Facility Risk - SAP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Valerio Parigi</dc:creator>
  <cp:keywords/>
  <dc:description/>
  <cp:lastModifiedBy>VALERIO PARIGI</cp:lastModifiedBy>
  <cp:revision/>
  <dcterms:created xsi:type="dcterms:W3CDTF">2026-03-14T18:12:50Z</dcterms:created>
  <dcterms:modified xsi:type="dcterms:W3CDTF">2026-03-31T13:27:12Z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0x010100086DC0FFDEFA864DA147FFDEA823F2EE</vt:lpwstr>
  </property>
</Properties>
</file>