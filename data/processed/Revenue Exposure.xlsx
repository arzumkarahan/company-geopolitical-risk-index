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bocconi.sharepoint.com/sites/Geopolitics-DataGroup1/Documenti condivisi/General/Final Dataset - CGPR/"/>
    </mc:Choice>
  </mc:AlternateContent>
  <xr:revisionPtr revIDLastSave="506" documentId="13_ncr:1_{1CE1F3A9-E0E9-C14A-B11A-57B67BC3D524}" xr6:coauthVersionLast="47" xr6:coauthVersionMax="47" xr10:uidLastSave="{2E3DE7B9-8B43-9A47-99CD-6AD07BDCEF86}"/>
  <bookViews>
    <workbookView xWindow="0" yWindow="0" windowWidth="28800" windowHeight="18000" activeTab="1" xr2:uid="{9B4BE803-A8C2-7D4F-BCD3-387D5EC2CF6C}"/>
  </bookViews>
  <sheets>
    <sheet name="Revenue Exposure - Overall" sheetId="1" r:id="rId1"/>
    <sheet name="HHI Index Submultiplier" sheetId="27" r:id="rId2"/>
    <sheet name="Country of Revenues - Apple" sheetId="2" r:id="rId3"/>
    <sheet name="Country of Revenues - Leonardo" sheetId="28" r:id="rId4"/>
    <sheet name="Country of Revenues - Prysmian" sheetId="29" r:id="rId5"/>
    <sheet name="Country of Revenues - Pfizer" sheetId="30" r:id="rId6"/>
    <sheet name="Country of Revenues - Unicredit" sheetId="31" r:id="rId7"/>
    <sheet name="Country of Revenues - Campari" sheetId="32" r:id="rId8"/>
    <sheet name="Country of Revenues - Moncler" sheetId="33" r:id="rId9"/>
    <sheet name="Country of Revenues - Ferrari" sheetId="34" r:id="rId10"/>
    <sheet name="Country of Revenues - Alibaba" sheetId="35" r:id="rId11"/>
    <sheet name="Country of Revenues - Nestlè" sheetId="36" r:id="rId12"/>
    <sheet name="Country of Revenues - Gazprom" sheetId="37" r:id="rId13"/>
    <sheet name="Country of Revenues - Novartis" sheetId="38" r:id="rId14"/>
    <sheet name="Country of Revenues - Moderna" sheetId="39" r:id="rId15"/>
    <sheet name="Country of Revenues - HSBC" sheetId="40" r:id="rId16"/>
    <sheet name="Country of Revenues - Walmart" sheetId="41" r:id="rId17"/>
    <sheet name="Country of Revenues - Unilever" sheetId="42" r:id="rId18"/>
    <sheet name="Country of Revenues - Coca-Cola" sheetId="43" r:id="rId19"/>
    <sheet name="Country of Revenues - CAT" sheetId="44" r:id="rId20"/>
    <sheet name="Country of Revenues - Tesla" sheetId="45" r:id="rId21"/>
    <sheet name="Country of Revenues - Alphabet" sheetId="46" r:id="rId22"/>
    <sheet name="Country of Revenues - S.Aramco" sheetId="47" r:id="rId23"/>
    <sheet name="Country of Revenues - Shell" sheetId="48" r:id="rId24"/>
    <sheet name="Country of Revenues - Chevron" sheetId="49" r:id="rId25"/>
    <sheet name="Country of Revenues - Exxon" sheetId="50" r:id="rId26"/>
    <sheet name="Country of Revenues - Meta" sheetId="3" r:id="rId27"/>
    <sheet name="Country of Revenues - Microsoft" sheetId="4" r:id="rId28"/>
    <sheet name="Country of Revenues - Ford" sheetId="5" r:id="rId29"/>
    <sheet name="Country of Revenues - P&amp;G" sheetId="7" r:id="rId30"/>
    <sheet name="Country of Revenues - Samsung" sheetId="6" r:id="rId31"/>
    <sheet name="Country of Revenues - Amazon" sheetId="8" r:id="rId32"/>
    <sheet name="Country of Revenues - NVIDIA" sheetId="9" r:id="rId33"/>
    <sheet name="Country of Revenues - Allianz" sheetId="10" r:id="rId34"/>
    <sheet name="Country of Revenues - ASML" sheetId="11" r:id="rId35"/>
    <sheet name="Country of Revenues - BNP" sheetId="12" r:id="rId36"/>
    <sheet name="Country of Revenues - Eli LIlly" sheetId="13" r:id="rId37"/>
    <sheet name="Country of Revenues - ENI" sheetId="14" r:id="rId38"/>
    <sheet name="Country of Revenues - JP Morgan" sheetId="15" r:id="rId39"/>
    <sheet name="Country of Revenues - Oreal" sheetId="16" r:id="rId40"/>
    <sheet name="Country of Revenues - LVMH" sheetId="17" r:id="rId41"/>
    <sheet name="Country of Revenues - Nordisk" sheetId="18" r:id="rId42"/>
    <sheet name="Country of Revenues - Reliance" sheetId="19" r:id="rId43"/>
    <sheet name="Country of Revenues - SAP" sheetId="20" r:id="rId44"/>
    <sheet name="Country of Revenues - Sony" sheetId="21" r:id="rId45"/>
    <sheet name="Country of Revenues - Tencent" sheetId="22" r:id="rId46"/>
    <sheet name="Country of Revenues - Total En" sheetId="23" r:id="rId47"/>
    <sheet name="Country of Revenues - Toyota" sheetId="24" r:id="rId48"/>
    <sheet name="Country of Revenues - TSMC" sheetId="25" r:id="rId49"/>
    <sheet name="Country of Revenues - VW" sheetId="26" r:id="rId5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D27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D28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B49" i="27"/>
  <c r="C49" i="27" s="1"/>
  <c r="B48" i="27"/>
  <c r="C48" i="27" s="1"/>
  <c r="B47" i="27"/>
  <c r="C47" i="27" s="1"/>
  <c r="B46" i="27"/>
  <c r="C46" i="27" s="1"/>
  <c r="B45" i="27"/>
  <c r="C45" i="27" s="1"/>
  <c r="B44" i="27"/>
  <c r="C44" i="27" s="1"/>
  <c r="B43" i="27"/>
  <c r="C43" i="27" s="1"/>
  <c r="B42" i="27"/>
  <c r="B41" i="27"/>
  <c r="C41" i="27" s="1"/>
  <c r="B40" i="27"/>
  <c r="C40" i="27" s="1"/>
  <c r="B39" i="27"/>
  <c r="C39" i="27" s="1"/>
  <c r="B38" i="27"/>
  <c r="C38" i="27" s="1"/>
  <c r="B37" i="27"/>
  <c r="C37" i="27" s="1"/>
  <c r="B36" i="27"/>
  <c r="C36" i="27" s="1"/>
  <c r="B35" i="27"/>
  <c r="C35" i="27" s="1"/>
  <c r="B34" i="27"/>
  <c r="C34" i="27" s="1"/>
  <c r="B33" i="27"/>
  <c r="C33" i="27" s="1"/>
  <c r="B32" i="27"/>
  <c r="C32" i="27" s="1"/>
  <c r="B31" i="27"/>
  <c r="C31" i="27" s="1"/>
  <c r="B30" i="27"/>
  <c r="C30" i="27" s="1"/>
  <c r="B29" i="27"/>
  <c r="C29" i="27" s="1"/>
  <c r="B28" i="27"/>
  <c r="C28" i="27" s="1"/>
  <c r="B27" i="27"/>
  <c r="C27" i="27" s="1"/>
  <c r="C42" i="27"/>
  <c r="C151" i="50"/>
  <c r="C151" i="47"/>
  <c r="C151" i="46"/>
  <c r="C151" i="43"/>
  <c r="C151" i="42"/>
  <c r="C151" i="41"/>
  <c r="C151" i="40"/>
  <c r="C151" i="37"/>
  <c r="C151" i="34"/>
  <c r="C151" i="33"/>
  <c r="C151" i="31"/>
  <c r="C151" i="30"/>
  <c r="C151" i="38"/>
  <c r="D105" i="38"/>
  <c r="D104" i="38"/>
  <c r="D103" i="38"/>
  <c r="D102" i="38"/>
  <c r="D101" i="38"/>
  <c r="D100" i="38"/>
  <c r="D99" i="38"/>
  <c r="D98" i="38"/>
  <c r="D97" i="38"/>
  <c r="D96" i="38"/>
  <c r="D95" i="38"/>
  <c r="D94" i="38"/>
  <c r="D93" i="38"/>
  <c r="D92" i="38"/>
  <c r="D91" i="38"/>
  <c r="D90" i="38"/>
  <c r="D89" i="38"/>
  <c r="D88" i="38"/>
  <c r="D87" i="38"/>
  <c r="D86" i="38"/>
  <c r="D85" i="38"/>
  <c r="D84" i="38"/>
  <c r="D83" i="38"/>
  <c r="D82" i="38"/>
  <c r="D81" i="38"/>
  <c r="D80" i="38"/>
  <c r="D79" i="38"/>
  <c r="D78" i="38"/>
  <c r="D77" i="38"/>
  <c r="D76" i="38"/>
  <c r="D75" i="38"/>
  <c r="D74" i="38"/>
  <c r="D73" i="38"/>
  <c r="D72" i="38"/>
  <c r="D71" i="38"/>
  <c r="D70" i="38"/>
  <c r="D69" i="38"/>
  <c r="D68" i="38"/>
  <c r="D67" i="38"/>
  <c r="D66" i="38"/>
  <c r="D65" i="38"/>
  <c r="D64" i="38"/>
  <c r="D63" i="38"/>
  <c r="D62" i="38"/>
  <c r="D61" i="38"/>
  <c r="D60" i="38"/>
  <c r="D59" i="38"/>
  <c r="D58" i="38"/>
  <c r="D57" i="38"/>
  <c r="D56" i="38"/>
  <c r="D55" i="38"/>
  <c r="D54" i="38"/>
  <c r="D53" i="38"/>
  <c r="D52" i="38"/>
  <c r="D51" i="38"/>
  <c r="D50" i="38"/>
  <c r="D49" i="38"/>
  <c r="D48" i="38"/>
  <c r="D47" i="38"/>
  <c r="D46" i="38"/>
  <c r="D45" i="38"/>
  <c r="D44" i="38"/>
  <c r="D43" i="38"/>
  <c r="D42" i="38"/>
  <c r="D41" i="38"/>
  <c r="D40" i="38"/>
  <c r="D39" i="38"/>
  <c r="D38" i="38"/>
  <c r="D37" i="38"/>
  <c r="D36" i="38"/>
  <c r="D35" i="38"/>
  <c r="D34" i="38"/>
  <c r="D33" i="38"/>
  <c r="D32" i="38"/>
  <c r="D31" i="38"/>
  <c r="D30" i="38"/>
  <c r="D29" i="38"/>
  <c r="D28" i="38"/>
  <c r="D27" i="38"/>
  <c r="D26" i="38"/>
  <c r="D25" i="38"/>
  <c r="D24" i="38"/>
  <c r="D23" i="38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D5" i="38"/>
  <c r="D4" i="38"/>
  <c r="C151" i="32"/>
  <c r="J9" i="28"/>
  <c r="I7" i="28"/>
  <c r="C151" i="28"/>
  <c r="D5" i="28" s="1"/>
  <c r="C2" i="27"/>
  <c r="B2" i="27"/>
  <c r="D2" i="1" s="1"/>
  <c r="C6" i="27"/>
  <c r="E5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E3" i="1"/>
  <c r="E4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B26" i="27"/>
  <c r="C26" i="27" s="1"/>
  <c r="B25" i="27"/>
  <c r="C25" i="27" s="1"/>
  <c r="B24" i="27"/>
  <c r="C24" i="27" s="1"/>
  <c r="B23" i="27"/>
  <c r="B22" i="27"/>
  <c r="C22" i="27" s="1"/>
  <c r="B21" i="27"/>
  <c r="C21" i="27" s="1"/>
  <c r="B20" i="27"/>
  <c r="C20" i="27" s="1"/>
  <c r="B19" i="27"/>
  <c r="C19" i="27" s="1"/>
  <c r="B18" i="27"/>
  <c r="C18" i="27" s="1"/>
  <c r="B17" i="27"/>
  <c r="C17" i="27" s="1"/>
  <c r="B16" i="27"/>
  <c r="C16" i="27" s="1"/>
  <c r="B15" i="27"/>
  <c r="C15" i="27" s="1"/>
  <c r="B14" i="27"/>
  <c r="C14" i="27" s="1"/>
  <c r="B13" i="27"/>
  <c r="C13" i="27" s="1"/>
  <c r="B12" i="27"/>
  <c r="C12" i="27" s="1"/>
  <c r="B11" i="27"/>
  <c r="C11" i="27" s="1"/>
  <c r="B10" i="27"/>
  <c r="C10" i="27" s="1"/>
  <c r="B9" i="27"/>
  <c r="C9" i="27" s="1"/>
  <c r="B8" i="27"/>
  <c r="C8" i="27" s="1"/>
  <c r="B7" i="27"/>
  <c r="C7" i="27" s="1"/>
  <c r="B6" i="27"/>
  <c r="B5" i="27"/>
  <c r="C5" i="27" s="1"/>
  <c r="B4" i="27"/>
  <c r="C4" i="27" s="1"/>
  <c r="B3" i="27"/>
  <c r="C3" i="27" s="1"/>
  <c r="C23" i="27"/>
  <c r="J9" i="3"/>
  <c r="J9" i="4"/>
  <c r="J9" i="5"/>
  <c r="J9" i="7"/>
  <c r="J9" i="6"/>
  <c r="J9" i="8"/>
  <c r="J9" i="9"/>
  <c r="J9" i="10"/>
  <c r="J9" i="11"/>
  <c r="B5" i="1" s="1"/>
  <c r="J9" i="12"/>
  <c r="J9" i="13"/>
  <c r="J9" i="14"/>
  <c r="J9" i="15"/>
  <c r="J9" i="16"/>
  <c r="J9" i="17"/>
  <c r="J9" i="18"/>
  <c r="J9" i="19"/>
  <c r="J9" i="20"/>
  <c r="J9" i="21"/>
  <c r="J9" i="22"/>
  <c r="J9" i="23"/>
  <c r="J9" i="24"/>
  <c r="J9" i="25"/>
  <c r="J9" i="26"/>
  <c r="J9" i="2"/>
  <c r="J8" i="2"/>
  <c r="I8" i="2"/>
  <c r="H8" i="2"/>
  <c r="J7" i="2"/>
  <c r="I7" i="2"/>
  <c r="H7" i="2"/>
  <c r="B13" i="1"/>
  <c r="J8" i="3"/>
  <c r="I8" i="3"/>
  <c r="H8" i="3"/>
  <c r="J7" i="3"/>
  <c r="I7" i="3"/>
  <c r="H7" i="3"/>
  <c r="B14" i="1"/>
  <c r="J8" i="4"/>
  <c r="I8" i="4"/>
  <c r="H8" i="4"/>
  <c r="J7" i="4"/>
  <c r="I7" i="4"/>
  <c r="H7" i="4"/>
  <c r="B9" i="1"/>
  <c r="J8" i="5"/>
  <c r="I8" i="5"/>
  <c r="H8" i="5"/>
  <c r="J7" i="5"/>
  <c r="I7" i="5"/>
  <c r="H7" i="5"/>
  <c r="B17" i="1"/>
  <c r="J8" i="7"/>
  <c r="I8" i="7"/>
  <c r="H8" i="7"/>
  <c r="J7" i="7"/>
  <c r="I7" i="7"/>
  <c r="H7" i="7"/>
  <c r="B19" i="1"/>
  <c r="J8" i="6"/>
  <c r="I8" i="6"/>
  <c r="H8" i="6"/>
  <c r="J7" i="6"/>
  <c r="I7" i="6"/>
  <c r="H7" i="6"/>
  <c r="B3" i="1"/>
  <c r="J8" i="8"/>
  <c r="I8" i="8"/>
  <c r="H8" i="8"/>
  <c r="J7" i="8"/>
  <c r="I7" i="8"/>
  <c r="H7" i="8"/>
  <c r="B16" i="1"/>
  <c r="J8" i="9"/>
  <c r="I8" i="9"/>
  <c r="H8" i="9"/>
  <c r="J7" i="9"/>
  <c r="I7" i="9"/>
  <c r="H7" i="9"/>
  <c r="B2" i="1"/>
  <c r="J8" i="10"/>
  <c r="I8" i="10"/>
  <c r="H8" i="10"/>
  <c r="J7" i="10"/>
  <c r="I7" i="10"/>
  <c r="H7" i="10"/>
  <c r="J8" i="11"/>
  <c r="I8" i="11"/>
  <c r="H8" i="11"/>
  <c r="J7" i="11"/>
  <c r="I7" i="11"/>
  <c r="H7" i="11"/>
  <c r="B6" i="1"/>
  <c r="J8" i="12"/>
  <c r="I8" i="12"/>
  <c r="H8" i="12"/>
  <c r="J7" i="12"/>
  <c r="I7" i="12"/>
  <c r="H7" i="12"/>
  <c r="B7" i="1"/>
  <c r="J8" i="13"/>
  <c r="I8" i="13"/>
  <c r="H8" i="13"/>
  <c r="J7" i="13"/>
  <c r="I7" i="13"/>
  <c r="H7" i="13"/>
  <c r="B8" i="1"/>
  <c r="J8" i="14"/>
  <c r="I8" i="14"/>
  <c r="H8" i="14"/>
  <c r="J7" i="14"/>
  <c r="I7" i="14"/>
  <c r="H7" i="14"/>
  <c r="B10" i="1"/>
  <c r="J8" i="15"/>
  <c r="I8" i="15"/>
  <c r="H8" i="15"/>
  <c r="J7" i="15"/>
  <c r="I7" i="15"/>
  <c r="H7" i="15"/>
  <c r="B11" i="1"/>
  <c r="J8" i="16"/>
  <c r="I8" i="16"/>
  <c r="H8" i="16"/>
  <c r="J7" i="16"/>
  <c r="I7" i="16"/>
  <c r="H7" i="16"/>
  <c r="B12" i="1"/>
  <c r="J8" i="17"/>
  <c r="I8" i="17"/>
  <c r="H8" i="17"/>
  <c r="J7" i="17"/>
  <c r="I7" i="17"/>
  <c r="H7" i="17"/>
  <c r="B15" i="1"/>
  <c r="J8" i="18"/>
  <c r="I8" i="18"/>
  <c r="H8" i="18"/>
  <c r="J7" i="18"/>
  <c r="I7" i="18"/>
  <c r="H7" i="18"/>
  <c r="B18" i="1"/>
  <c r="J8" i="19"/>
  <c r="I8" i="19"/>
  <c r="H8" i="19"/>
  <c r="J7" i="19"/>
  <c r="I7" i="19"/>
  <c r="H7" i="19"/>
  <c r="B20" i="1"/>
  <c r="J8" i="20"/>
  <c r="I8" i="20"/>
  <c r="H8" i="20"/>
  <c r="J7" i="20"/>
  <c r="I7" i="20"/>
  <c r="H7" i="20"/>
  <c r="B21" i="1"/>
  <c r="J8" i="21"/>
  <c r="I8" i="21"/>
  <c r="H8" i="21"/>
  <c r="J7" i="21"/>
  <c r="I7" i="21"/>
  <c r="H7" i="21"/>
  <c r="B22" i="1"/>
  <c r="J8" i="22"/>
  <c r="I8" i="22"/>
  <c r="H8" i="22"/>
  <c r="J7" i="22"/>
  <c r="I7" i="22"/>
  <c r="H7" i="22"/>
  <c r="B23" i="1"/>
  <c r="J8" i="23"/>
  <c r="I8" i="23"/>
  <c r="H8" i="23"/>
  <c r="J7" i="23"/>
  <c r="I7" i="23"/>
  <c r="H7" i="23"/>
  <c r="B24" i="1"/>
  <c r="J8" i="24"/>
  <c r="I8" i="24"/>
  <c r="H8" i="24"/>
  <c r="J7" i="24"/>
  <c r="I7" i="24"/>
  <c r="H7" i="24"/>
  <c r="B25" i="1"/>
  <c r="J8" i="25"/>
  <c r="I8" i="25"/>
  <c r="H8" i="25"/>
  <c r="J7" i="25"/>
  <c r="I7" i="25"/>
  <c r="H7" i="25"/>
  <c r="B26" i="1"/>
  <c r="J8" i="26"/>
  <c r="I8" i="26"/>
  <c r="H8" i="26"/>
  <c r="J7" i="26"/>
  <c r="I7" i="26"/>
  <c r="H7" i="26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8" i="17"/>
  <c r="D109" i="17"/>
  <c r="D110" i="17"/>
  <c r="D111" i="17"/>
  <c r="D112" i="17"/>
  <c r="D113" i="17"/>
  <c r="D114" i="17"/>
  <c r="D115" i="17"/>
  <c r="D116" i="17"/>
  <c r="D117" i="17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3" i="18"/>
  <c r="D74" i="18"/>
  <c r="D75" i="18"/>
  <c r="D76" i="18"/>
  <c r="D77" i="18"/>
  <c r="D78" i="18"/>
  <c r="D79" i="18"/>
  <c r="D80" i="18"/>
  <c r="D81" i="18"/>
  <c r="D82" i="18"/>
  <c r="D83" i="18"/>
  <c r="D84" i="18"/>
  <c r="D85" i="18"/>
  <c r="D86" i="18"/>
  <c r="D87" i="18"/>
  <c r="D88" i="18"/>
  <c r="D89" i="18"/>
  <c r="D90" i="18"/>
  <c r="D91" i="18"/>
  <c r="D92" i="18"/>
  <c r="D93" i="18"/>
  <c r="D94" i="18"/>
  <c r="D95" i="18"/>
  <c r="D96" i="18"/>
  <c r="D97" i="18"/>
  <c r="D98" i="18"/>
  <c r="D99" i="18"/>
  <c r="D100" i="18"/>
  <c r="D101" i="18"/>
  <c r="D102" i="18"/>
  <c r="D103" i="18"/>
  <c r="D104" i="18"/>
  <c r="D105" i="18"/>
  <c r="D106" i="18"/>
  <c r="D107" i="18"/>
  <c r="D108" i="18"/>
  <c r="D109" i="18"/>
  <c r="D110" i="18"/>
  <c r="D111" i="18"/>
  <c r="D112" i="18"/>
  <c r="D113" i="18"/>
  <c r="D114" i="18"/>
  <c r="D115" i="18"/>
  <c r="D116" i="18"/>
  <c r="D117" i="18"/>
  <c r="D118" i="18"/>
  <c r="D119" i="18"/>
  <c r="D120" i="18"/>
  <c r="D121" i="18"/>
  <c r="D122" i="18"/>
  <c r="D123" i="18"/>
  <c r="D124" i="18"/>
  <c r="D125" i="18"/>
  <c r="D126" i="18"/>
  <c r="D127" i="18"/>
  <c r="D128" i="18"/>
  <c r="D129" i="18"/>
  <c r="D130" i="18"/>
  <c r="D131" i="18"/>
  <c r="D132" i="18"/>
  <c r="D133" i="18"/>
  <c r="D134" i="18"/>
  <c r="D135" i="18"/>
  <c r="D136" i="18"/>
  <c r="D137" i="18"/>
  <c r="D138" i="18"/>
  <c r="D139" i="18"/>
  <c r="D140" i="18"/>
  <c r="D141" i="18"/>
  <c r="D142" i="18"/>
  <c r="D143" i="18"/>
  <c r="D144" i="18"/>
  <c r="D145" i="18"/>
  <c r="D146" i="18"/>
  <c r="D147" i="18"/>
  <c r="D148" i="18"/>
  <c r="D149" i="18"/>
  <c r="D150" i="18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2" i="21"/>
  <c r="D63" i="21"/>
  <c r="D64" i="21"/>
  <c r="D65" i="21"/>
  <c r="D66" i="21"/>
  <c r="D67" i="21"/>
  <c r="D68" i="21"/>
  <c r="D69" i="21"/>
  <c r="D70" i="21"/>
  <c r="D71" i="21"/>
  <c r="D72" i="21"/>
  <c r="D73" i="21"/>
  <c r="D74" i="21"/>
  <c r="D75" i="21"/>
  <c r="D76" i="21"/>
  <c r="D77" i="21"/>
  <c r="D78" i="21"/>
  <c r="D79" i="21"/>
  <c r="D80" i="21"/>
  <c r="D81" i="21"/>
  <c r="D82" i="21"/>
  <c r="D83" i="21"/>
  <c r="D84" i="21"/>
  <c r="D85" i="21"/>
  <c r="D86" i="21"/>
  <c r="D87" i="21"/>
  <c r="D88" i="21"/>
  <c r="D89" i="21"/>
  <c r="D90" i="21"/>
  <c r="D91" i="21"/>
  <c r="D92" i="21"/>
  <c r="D93" i="21"/>
  <c r="D94" i="21"/>
  <c r="D95" i="21"/>
  <c r="D96" i="21"/>
  <c r="D97" i="21"/>
  <c r="D98" i="21"/>
  <c r="D99" i="21"/>
  <c r="D100" i="21"/>
  <c r="D101" i="21"/>
  <c r="D102" i="21"/>
  <c r="D103" i="21"/>
  <c r="D104" i="21"/>
  <c r="D105" i="21"/>
  <c r="D106" i="21"/>
  <c r="D107" i="21"/>
  <c r="D108" i="21"/>
  <c r="D109" i="21"/>
  <c r="D110" i="21"/>
  <c r="D111" i="21"/>
  <c r="D112" i="21"/>
  <c r="D113" i="21"/>
  <c r="D114" i="21"/>
  <c r="D115" i="21"/>
  <c r="D116" i="21"/>
  <c r="D117" i="21"/>
  <c r="D118" i="21"/>
  <c r="D119" i="21"/>
  <c r="D120" i="21"/>
  <c r="D121" i="21"/>
  <c r="D122" i="21"/>
  <c r="D123" i="21"/>
  <c r="D124" i="21"/>
  <c r="D125" i="21"/>
  <c r="D126" i="21"/>
  <c r="D127" i="21"/>
  <c r="D128" i="21"/>
  <c r="D129" i="21"/>
  <c r="D130" i="21"/>
  <c r="D131" i="21"/>
  <c r="D132" i="21"/>
  <c r="D133" i="21"/>
  <c r="D134" i="21"/>
  <c r="D135" i="21"/>
  <c r="D136" i="21"/>
  <c r="D137" i="21"/>
  <c r="D138" i="21"/>
  <c r="D139" i="21"/>
  <c r="D140" i="21"/>
  <c r="D141" i="21"/>
  <c r="D142" i="21"/>
  <c r="D143" i="21"/>
  <c r="D144" i="21"/>
  <c r="D145" i="21"/>
  <c r="D146" i="21"/>
  <c r="D147" i="21"/>
  <c r="D148" i="21"/>
  <c r="D149" i="21"/>
  <c r="D150" i="21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D101" i="23"/>
  <c r="D102" i="23"/>
  <c r="D103" i="23"/>
  <c r="D104" i="23"/>
  <c r="D105" i="23"/>
  <c r="D106" i="23"/>
  <c r="D107" i="23"/>
  <c r="D108" i="23"/>
  <c r="D109" i="23"/>
  <c r="D110" i="23"/>
  <c r="D111" i="23"/>
  <c r="D112" i="23"/>
  <c r="D113" i="23"/>
  <c r="D114" i="23"/>
  <c r="D115" i="23"/>
  <c r="D116" i="23"/>
  <c r="D117" i="23"/>
  <c r="D118" i="23"/>
  <c r="D119" i="23"/>
  <c r="D120" i="23"/>
  <c r="D121" i="23"/>
  <c r="D122" i="23"/>
  <c r="D123" i="23"/>
  <c r="D124" i="23"/>
  <c r="D125" i="23"/>
  <c r="D126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45" i="23"/>
  <c r="D146" i="23"/>
  <c r="D147" i="23"/>
  <c r="D148" i="23"/>
  <c r="D149" i="23"/>
  <c r="D150" i="23"/>
  <c r="D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49" i="24"/>
  <c r="D50" i="24"/>
  <c r="D51" i="24"/>
  <c r="D52" i="24"/>
  <c r="D53" i="24"/>
  <c r="D54" i="24"/>
  <c r="D55" i="24"/>
  <c r="D56" i="24"/>
  <c r="D57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72" i="24"/>
  <c r="D73" i="24"/>
  <c r="D74" i="24"/>
  <c r="D75" i="24"/>
  <c r="D76" i="24"/>
  <c r="D77" i="24"/>
  <c r="D78" i="24"/>
  <c r="D79" i="24"/>
  <c r="D80" i="24"/>
  <c r="D81" i="24"/>
  <c r="D82" i="24"/>
  <c r="D83" i="24"/>
  <c r="D84" i="24"/>
  <c r="D85" i="24"/>
  <c r="D86" i="24"/>
  <c r="D87" i="24"/>
  <c r="D88" i="24"/>
  <c r="D89" i="24"/>
  <c r="D90" i="24"/>
  <c r="D91" i="24"/>
  <c r="D92" i="24"/>
  <c r="D93" i="24"/>
  <c r="D94" i="24"/>
  <c r="D95" i="24"/>
  <c r="D96" i="24"/>
  <c r="D97" i="24"/>
  <c r="D98" i="24"/>
  <c r="D99" i="24"/>
  <c r="D100" i="24"/>
  <c r="D101" i="24"/>
  <c r="D102" i="24"/>
  <c r="D103" i="24"/>
  <c r="D104" i="24"/>
  <c r="D105" i="24"/>
  <c r="D106" i="24"/>
  <c r="D107" i="24"/>
  <c r="D108" i="24"/>
  <c r="D109" i="24"/>
  <c r="D110" i="24"/>
  <c r="D111" i="24"/>
  <c r="D112" i="24"/>
  <c r="D113" i="24"/>
  <c r="D114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143" i="24"/>
  <c r="D144" i="24"/>
  <c r="D145" i="24"/>
  <c r="D146" i="24"/>
  <c r="D147" i="24"/>
  <c r="D148" i="24"/>
  <c r="D149" i="24"/>
  <c r="D150" i="24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D27" i="25"/>
  <c r="D28" i="25"/>
  <c r="D29" i="25"/>
  <c r="D30" i="25"/>
  <c r="D31" i="25"/>
  <c r="D32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52" i="25"/>
  <c r="D53" i="25"/>
  <c r="D54" i="25"/>
  <c r="D55" i="25"/>
  <c r="D56" i="25"/>
  <c r="D57" i="25"/>
  <c r="D58" i="25"/>
  <c r="D59" i="25"/>
  <c r="D60" i="25"/>
  <c r="D61" i="25"/>
  <c r="D62" i="25"/>
  <c r="D63" i="25"/>
  <c r="D64" i="25"/>
  <c r="D65" i="25"/>
  <c r="D66" i="25"/>
  <c r="D67" i="25"/>
  <c r="D68" i="25"/>
  <c r="D69" i="25"/>
  <c r="D70" i="25"/>
  <c r="D71" i="25"/>
  <c r="D72" i="25"/>
  <c r="D73" i="25"/>
  <c r="D74" i="25"/>
  <c r="D75" i="25"/>
  <c r="D76" i="25"/>
  <c r="D77" i="25"/>
  <c r="D78" i="25"/>
  <c r="D79" i="25"/>
  <c r="D80" i="25"/>
  <c r="D81" i="25"/>
  <c r="D82" i="25"/>
  <c r="D83" i="25"/>
  <c r="D84" i="25"/>
  <c r="D85" i="25"/>
  <c r="D86" i="25"/>
  <c r="D87" i="25"/>
  <c r="D88" i="25"/>
  <c r="D89" i="25"/>
  <c r="D90" i="25"/>
  <c r="D91" i="25"/>
  <c r="D92" i="25"/>
  <c r="D93" i="25"/>
  <c r="D94" i="25"/>
  <c r="D95" i="25"/>
  <c r="D96" i="25"/>
  <c r="D97" i="25"/>
  <c r="D98" i="25"/>
  <c r="D99" i="25"/>
  <c r="D100" i="25"/>
  <c r="D101" i="25"/>
  <c r="D102" i="25"/>
  <c r="D103" i="25"/>
  <c r="D104" i="25"/>
  <c r="D105" i="25"/>
  <c r="D106" i="25"/>
  <c r="D107" i="25"/>
  <c r="D108" i="25"/>
  <c r="D109" i="25"/>
  <c r="D110" i="25"/>
  <c r="D111" i="25"/>
  <c r="D112" i="25"/>
  <c r="D113" i="25"/>
  <c r="D114" i="25"/>
  <c r="D115" i="25"/>
  <c r="D116" i="25"/>
  <c r="D117" i="25"/>
  <c r="D118" i="25"/>
  <c r="D119" i="25"/>
  <c r="D120" i="25"/>
  <c r="D121" i="25"/>
  <c r="D122" i="25"/>
  <c r="D123" i="25"/>
  <c r="D124" i="25"/>
  <c r="D125" i="25"/>
  <c r="D126" i="25"/>
  <c r="D127" i="25"/>
  <c r="D128" i="25"/>
  <c r="D129" i="25"/>
  <c r="D130" i="25"/>
  <c r="D131" i="25"/>
  <c r="D132" i="25"/>
  <c r="D133" i="25"/>
  <c r="D134" i="25"/>
  <c r="D135" i="25"/>
  <c r="D136" i="25"/>
  <c r="D137" i="25"/>
  <c r="D138" i="25"/>
  <c r="D139" i="25"/>
  <c r="D140" i="25"/>
  <c r="D141" i="25"/>
  <c r="D142" i="25"/>
  <c r="D143" i="25"/>
  <c r="D144" i="25"/>
  <c r="D145" i="25"/>
  <c r="D146" i="25"/>
  <c r="D147" i="25"/>
  <c r="D148" i="25"/>
  <c r="D149" i="25"/>
  <c r="D150" i="25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49" i="26"/>
  <c r="D50" i="26"/>
  <c r="D51" i="26"/>
  <c r="D52" i="26"/>
  <c r="D53" i="26"/>
  <c r="D54" i="26"/>
  <c r="D55" i="26"/>
  <c r="D56" i="26"/>
  <c r="D57" i="26"/>
  <c r="D58" i="26"/>
  <c r="D59" i="26"/>
  <c r="D60" i="26"/>
  <c r="D61" i="26"/>
  <c r="D62" i="26"/>
  <c r="D63" i="26"/>
  <c r="D64" i="26"/>
  <c r="D65" i="26"/>
  <c r="D66" i="26"/>
  <c r="D67" i="26"/>
  <c r="D68" i="26"/>
  <c r="D69" i="26"/>
  <c r="D70" i="26"/>
  <c r="D71" i="26"/>
  <c r="D72" i="26"/>
  <c r="D73" i="26"/>
  <c r="D74" i="26"/>
  <c r="D75" i="26"/>
  <c r="D76" i="26"/>
  <c r="D77" i="26"/>
  <c r="D78" i="26"/>
  <c r="D79" i="26"/>
  <c r="D80" i="26"/>
  <c r="D81" i="26"/>
  <c r="D82" i="26"/>
  <c r="D83" i="26"/>
  <c r="D84" i="26"/>
  <c r="D85" i="26"/>
  <c r="D86" i="26"/>
  <c r="D87" i="26"/>
  <c r="D88" i="26"/>
  <c r="D89" i="26"/>
  <c r="D90" i="26"/>
  <c r="D91" i="26"/>
  <c r="D92" i="26"/>
  <c r="D93" i="26"/>
  <c r="D94" i="26"/>
  <c r="D95" i="26"/>
  <c r="D96" i="26"/>
  <c r="D97" i="26"/>
  <c r="D98" i="26"/>
  <c r="D99" i="26"/>
  <c r="D100" i="26"/>
  <c r="D101" i="26"/>
  <c r="D102" i="26"/>
  <c r="D103" i="26"/>
  <c r="D104" i="26"/>
  <c r="D105" i="26"/>
  <c r="D106" i="26"/>
  <c r="D107" i="26"/>
  <c r="D108" i="26"/>
  <c r="D109" i="26"/>
  <c r="D110" i="26"/>
  <c r="D111" i="26"/>
  <c r="D112" i="26"/>
  <c r="D113" i="26"/>
  <c r="D114" i="26"/>
  <c r="D115" i="26"/>
  <c r="D116" i="26"/>
  <c r="D117" i="26"/>
  <c r="D118" i="26"/>
  <c r="D119" i="26"/>
  <c r="D120" i="26"/>
  <c r="D121" i="26"/>
  <c r="D122" i="26"/>
  <c r="D123" i="26"/>
  <c r="D124" i="26"/>
  <c r="D125" i="26"/>
  <c r="D126" i="26"/>
  <c r="D127" i="26"/>
  <c r="D128" i="26"/>
  <c r="D129" i="26"/>
  <c r="D130" i="26"/>
  <c r="D131" i="26"/>
  <c r="D132" i="26"/>
  <c r="D133" i="26"/>
  <c r="D134" i="26"/>
  <c r="D135" i="26"/>
  <c r="D136" i="26"/>
  <c r="D137" i="26"/>
  <c r="D138" i="26"/>
  <c r="D139" i="26"/>
  <c r="D140" i="26"/>
  <c r="D141" i="26"/>
  <c r="D142" i="26"/>
  <c r="D143" i="26"/>
  <c r="D144" i="26"/>
  <c r="D145" i="26"/>
  <c r="D146" i="26"/>
  <c r="D147" i="26"/>
  <c r="D148" i="26"/>
  <c r="D149" i="26"/>
  <c r="D150" i="26"/>
  <c r="D4" i="2"/>
  <c r="D4" i="3"/>
  <c r="D4" i="4"/>
  <c r="D4" i="5"/>
  <c r="D4" i="7"/>
  <c r="D4" i="6"/>
  <c r="D4" i="8"/>
  <c r="D4" i="9"/>
  <c r="D4" i="10"/>
  <c r="D4" i="11"/>
  <c r="D4" i="12"/>
  <c r="D4" i="13"/>
  <c r="D4" i="14"/>
  <c r="D4" i="15"/>
  <c r="D4" i="16"/>
  <c r="D4" i="17"/>
  <c r="D4" i="18"/>
  <c r="D4" i="19"/>
  <c r="D4" i="20"/>
  <c r="D4" i="21"/>
  <c r="D4" i="22"/>
  <c r="D4" i="23"/>
  <c r="D4" i="24"/>
  <c r="D4" i="25"/>
  <c r="D4" i="26"/>
  <c r="D151" i="2"/>
  <c r="C151" i="2"/>
  <c r="D151" i="3"/>
  <c r="C151" i="3"/>
  <c r="D151" i="4"/>
  <c r="C151" i="4"/>
  <c r="D151" i="5"/>
  <c r="C151" i="5"/>
  <c r="D151" i="7"/>
  <c r="C151" i="7"/>
  <c r="D151" i="6"/>
  <c r="C151" i="6"/>
  <c r="D151" i="8"/>
  <c r="C151" i="8"/>
  <c r="D151" i="9"/>
  <c r="C151" i="9"/>
  <c r="D151" i="10"/>
  <c r="C151" i="10"/>
  <c r="D151" i="11"/>
  <c r="C151" i="11"/>
  <c r="D151" i="12"/>
  <c r="C151" i="12"/>
  <c r="D151" i="13"/>
  <c r="C151" i="13"/>
  <c r="D151" i="14"/>
  <c r="C151" i="14"/>
  <c r="D151" i="15"/>
  <c r="C151" i="15"/>
  <c r="D151" i="16"/>
  <c r="C151" i="16"/>
  <c r="D151" i="17"/>
  <c r="C151" i="17"/>
  <c r="D151" i="18"/>
  <c r="C151" i="18"/>
  <c r="D151" i="19"/>
  <c r="C151" i="19"/>
  <c r="D151" i="20"/>
  <c r="C151" i="20"/>
  <c r="D151" i="21"/>
  <c r="C151" i="21"/>
  <c r="D151" i="22"/>
  <c r="C151" i="22"/>
  <c r="D151" i="23"/>
  <c r="C151" i="23"/>
  <c r="D151" i="24"/>
  <c r="C151" i="24"/>
  <c r="D151" i="25"/>
  <c r="C151" i="25"/>
  <c r="D151" i="26"/>
  <c r="C151" i="26"/>
  <c r="D9" i="50" l="1"/>
  <c r="D11" i="50"/>
  <c r="D20" i="50"/>
  <c r="D39" i="50"/>
  <c r="D41" i="50"/>
  <c r="D43" i="50"/>
  <c r="D44" i="50"/>
  <c r="D46" i="50"/>
  <c r="D56" i="50"/>
  <c r="D13" i="50"/>
  <c r="D5" i="50"/>
  <c r="D19" i="50"/>
  <c r="D4" i="50"/>
  <c r="D6" i="50"/>
  <c r="D7" i="50"/>
  <c r="D8" i="50"/>
  <c r="D10" i="50"/>
  <c r="D12" i="50"/>
  <c r="D14" i="50"/>
  <c r="D15" i="50"/>
  <c r="D16" i="50"/>
  <c r="D17" i="50"/>
  <c r="D18" i="50"/>
  <c r="D21" i="50"/>
  <c r="D22" i="50"/>
  <c r="D23" i="50"/>
  <c r="D24" i="50"/>
  <c r="D25" i="50"/>
  <c r="D26" i="50"/>
  <c r="D27" i="50"/>
  <c r="D28" i="50"/>
  <c r="D29" i="50"/>
  <c r="D30" i="50"/>
  <c r="D31" i="50"/>
  <c r="D32" i="50"/>
  <c r="D33" i="50"/>
  <c r="D34" i="50"/>
  <c r="D35" i="50"/>
  <c r="D36" i="50"/>
  <c r="D37" i="50"/>
  <c r="D38" i="50"/>
  <c r="D40" i="50"/>
  <c r="D42" i="50"/>
  <c r="D45" i="50"/>
  <c r="D47" i="50"/>
  <c r="D48" i="50"/>
  <c r="D49" i="50"/>
  <c r="D50" i="50"/>
  <c r="D51" i="50"/>
  <c r="D52" i="50"/>
  <c r="D53" i="50"/>
  <c r="D54" i="50"/>
  <c r="D55" i="50"/>
  <c r="D57" i="50"/>
  <c r="D58" i="50"/>
  <c r="D59" i="50"/>
  <c r="D60" i="50"/>
  <c r="D61" i="50"/>
  <c r="D62" i="50"/>
  <c r="D63" i="50"/>
  <c r="D64" i="50"/>
  <c r="D65" i="50"/>
  <c r="D66" i="50"/>
  <c r="D67" i="50"/>
  <c r="D68" i="50"/>
  <c r="D69" i="50"/>
  <c r="D70" i="50"/>
  <c r="D71" i="50"/>
  <c r="D72" i="50"/>
  <c r="D73" i="50"/>
  <c r="D74" i="50"/>
  <c r="D75" i="50"/>
  <c r="D76" i="50"/>
  <c r="D77" i="50"/>
  <c r="D78" i="50"/>
  <c r="D79" i="50"/>
  <c r="D80" i="50"/>
  <c r="D81" i="50"/>
  <c r="D82" i="50"/>
  <c r="D83" i="50"/>
  <c r="D84" i="50"/>
  <c r="D85" i="50"/>
  <c r="D86" i="50"/>
  <c r="D87" i="50"/>
  <c r="D88" i="50"/>
  <c r="D89" i="50"/>
  <c r="D90" i="50"/>
  <c r="D91" i="50"/>
  <c r="D92" i="50"/>
  <c r="D93" i="50"/>
  <c r="D94" i="50"/>
  <c r="D95" i="50"/>
  <c r="D96" i="50"/>
  <c r="D97" i="50"/>
  <c r="D98" i="50"/>
  <c r="D99" i="50"/>
  <c r="D100" i="50"/>
  <c r="D101" i="50"/>
  <c r="D102" i="50"/>
  <c r="D103" i="50"/>
  <c r="D104" i="50"/>
  <c r="D105" i="50"/>
  <c r="D106" i="50"/>
  <c r="D107" i="50"/>
  <c r="D108" i="50"/>
  <c r="D109" i="50"/>
  <c r="D110" i="50"/>
  <c r="D111" i="50"/>
  <c r="D112" i="50"/>
  <c r="D113" i="50"/>
  <c r="D114" i="50"/>
  <c r="D115" i="50"/>
  <c r="D116" i="50"/>
  <c r="D117" i="50"/>
  <c r="D118" i="50"/>
  <c r="D119" i="50"/>
  <c r="D120" i="50"/>
  <c r="D121" i="50"/>
  <c r="D122" i="50"/>
  <c r="D123" i="50"/>
  <c r="D124" i="50"/>
  <c r="D125" i="50"/>
  <c r="D126" i="50"/>
  <c r="D127" i="50"/>
  <c r="D128" i="50"/>
  <c r="D129" i="50"/>
  <c r="D130" i="50"/>
  <c r="D131" i="50"/>
  <c r="D132" i="50"/>
  <c r="D133" i="50"/>
  <c r="D134" i="50"/>
  <c r="D135" i="50"/>
  <c r="D136" i="50"/>
  <c r="D137" i="50"/>
  <c r="D138" i="50"/>
  <c r="D139" i="50"/>
  <c r="D140" i="50"/>
  <c r="D141" i="50"/>
  <c r="D142" i="50"/>
  <c r="D143" i="50"/>
  <c r="D144" i="50"/>
  <c r="D145" i="50"/>
  <c r="D146" i="50"/>
  <c r="D147" i="50"/>
  <c r="D148" i="50"/>
  <c r="D149" i="50"/>
  <c r="D150" i="50"/>
  <c r="C151" i="49"/>
  <c r="D4" i="49" s="1"/>
  <c r="C151" i="48"/>
  <c r="D4" i="48" s="1"/>
  <c r="D5" i="47"/>
  <c r="D11" i="47"/>
  <c r="D13" i="47"/>
  <c r="D15" i="47"/>
  <c r="D19" i="47"/>
  <c r="D20" i="47"/>
  <c r="D21" i="47"/>
  <c r="D22" i="47"/>
  <c r="D23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5" i="47"/>
  <c r="D67" i="47"/>
  <c r="D77" i="47"/>
  <c r="D89" i="47"/>
  <c r="D90" i="47"/>
  <c r="D91" i="47"/>
  <c r="D92" i="47"/>
  <c r="D93" i="47"/>
  <c r="D94" i="47"/>
  <c r="D95" i="47"/>
  <c r="D96" i="47"/>
  <c r="D97" i="47"/>
  <c r="D98" i="47"/>
  <c r="D100" i="47"/>
  <c r="D101" i="47"/>
  <c r="D102" i="47"/>
  <c r="D103" i="47"/>
  <c r="D104" i="47"/>
  <c r="D105" i="47"/>
  <c r="D106" i="47"/>
  <c r="D107" i="47"/>
  <c r="D108" i="47"/>
  <c r="D109" i="47"/>
  <c r="D111" i="47"/>
  <c r="D127" i="47"/>
  <c r="D129" i="47"/>
  <c r="D131" i="47"/>
  <c r="D138" i="47"/>
  <c r="D139" i="47"/>
  <c r="D141" i="47"/>
  <c r="D143" i="47"/>
  <c r="D145" i="47"/>
  <c r="D146" i="47"/>
  <c r="D147" i="47"/>
  <c r="D149" i="47"/>
  <c r="D4" i="47"/>
  <c r="D6" i="47"/>
  <c r="D7" i="47"/>
  <c r="D8" i="47"/>
  <c r="D9" i="47"/>
  <c r="D10" i="47"/>
  <c r="D12" i="47"/>
  <c r="D14" i="47"/>
  <c r="D16" i="47"/>
  <c r="D17" i="47"/>
  <c r="D18" i="47"/>
  <c r="D24" i="47"/>
  <c r="D25" i="47"/>
  <c r="D26" i="47"/>
  <c r="D27" i="47"/>
  <c r="D28" i="47"/>
  <c r="D29" i="47"/>
  <c r="D30" i="47"/>
  <c r="D31" i="47"/>
  <c r="D64" i="47"/>
  <c r="D66" i="47"/>
  <c r="D68" i="47"/>
  <c r="D69" i="47"/>
  <c r="D70" i="47"/>
  <c r="D71" i="47"/>
  <c r="D72" i="47"/>
  <c r="D73" i="47"/>
  <c r="D74" i="47"/>
  <c r="D75" i="47"/>
  <c r="D76" i="47"/>
  <c r="D78" i="47"/>
  <c r="D79" i="47"/>
  <c r="D80" i="47"/>
  <c r="D81" i="47"/>
  <c r="D82" i="47"/>
  <c r="D83" i="47"/>
  <c r="D84" i="47"/>
  <c r="D85" i="47"/>
  <c r="D86" i="47"/>
  <c r="D87" i="47"/>
  <c r="D88" i="47"/>
  <c r="D99" i="47"/>
  <c r="D110" i="47"/>
  <c r="D112" i="47"/>
  <c r="D113" i="47"/>
  <c r="D114" i="47"/>
  <c r="D115" i="47"/>
  <c r="D116" i="47"/>
  <c r="D117" i="47"/>
  <c r="D118" i="47"/>
  <c r="D119" i="47"/>
  <c r="D120" i="47"/>
  <c r="D121" i="47"/>
  <c r="D122" i="47"/>
  <c r="D123" i="47"/>
  <c r="D124" i="47"/>
  <c r="D125" i="47"/>
  <c r="D126" i="47"/>
  <c r="D128" i="47"/>
  <c r="D130" i="47"/>
  <c r="D132" i="47"/>
  <c r="D133" i="47"/>
  <c r="D134" i="47"/>
  <c r="D135" i="47"/>
  <c r="D136" i="47"/>
  <c r="D137" i="47"/>
  <c r="D140" i="47"/>
  <c r="D142" i="47"/>
  <c r="D144" i="47"/>
  <c r="D148" i="47"/>
  <c r="D150" i="47"/>
  <c r="D6" i="46"/>
  <c r="D8" i="46"/>
  <c r="D7" i="46"/>
  <c r="D4" i="46"/>
  <c r="D5" i="46"/>
  <c r="D9" i="46"/>
  <c r="D10" i="46"/>
  <c r="D11" i="46"/>
  <c r="D12" i="46"/>
  <c r="D13" i="46"/>
  <c r="D14" i="46"/>
  <c r="D15" i="46"/>
  <c r="D16" i="46"/>
  <c r="D17" i="46"/>
  <c r="D18" i="46"/>
  <c r="D19" i="46"/>
  <c r="D20" i="46"/>
  <c r="D21" i="46"/>
  <c r="D22" i="46"/>
  <c r="D23" i="46"/>
  <c r="D24" i="46"/>
  <c r="D25" i="46"/>
  <c r="D26" i="46"/>
  <c r="D27" i="46"/>
  <c r="D28" i="46"/>
  <c r="D29" i="46"/>
  <c r="D30" i="46"/>
  <c r="D31" i="46"/>
  <c r="D32" i="46"/>
  <c r="D33" i="46"/>
  <c r="D34" i="46"/>
  <c r="D35" i="46"/>
  <c r="D36" i="46"/>
  <c r="D37" i="46"/>
  <c r="D38" i="46"/>
  <c r="J9" i="46" s="1"/>
  <c r="D39" i="46"/>
  <c r="D40" i="46"/>
  <c r="D41" i="46"/>
  <c r="D42" i="46"/>
  <c r="D43" i="46"/>
  <c r="D44" i="46"/>
  <c r="D45" i="46"/>
  <c r="D46" i="46"/>
  <c r="D47" i="46"/>
  <c r="D48" i="46"/>
  <c r="D49" i="46"/>
  <c r="D50" i="46"/>
  <c r="D51" i="46"/>
  <c r="D52" i="46"/>
  <c r="D53" i="46"/>
  <c r="D54" i="46"/>
  <c r="D55" i="46"/>
  <c r="D56" i="46"/>
  <c r="D57" i="46"/>
  <c r="D58" i="46"/>
  <c r="D59" i="46"/>
  <c r="D60" i="46"/>
  <c r="D61" i="46"/>
  <c r="D62" i="46"/>
  <c r="D63" i="46"/>
  <c r="D64" i="46"/>
  <c r="D65" i="46"/>
  <c r="D66" i="46"/>
  <c r="D67" i="46"/>
  <c r="D69" i="46"/>
  <c r="D70" i="46"/>
  <c r="D71" i="46"/>
  <c r="D72" i="46"/>
  <c r="D73" i="46"/>
  <c r="D74" i="46"/>
  <c r="D75" i="46"/>
  <c r="D76" i="46"/>
  <c r="D77" i="46"/>
  <c r="D78" i="46"/>
  <c r="D79" i="46"/>
  <c r="D80" i="46"/>
  <c r="D81" i="46"/>
  <c r="D82" i="46"/>
  <c r="D83" i="46"/>
  <c r="D84" i="46"/>
  <c r="D85" i="46"/>
  <c r="D86" i="46"/>
  <c r="D87" i="46"/>
  <c r="D89" i="46"/>
  <c r="D90" i="46"/>
  <c r="D91" i="46"/>
  <c r="D93" i="46"/>
  <c r="D94" i="46"/>
  <c r="D95" i="46"/>
  <c r="D96" i="46"/>
  <c r="D97" i="46"/>
  <c r="D98" i="46"/>
  <c r="D99" i="46"/>
  <c r="D100" i="46"/>
  <c r="D101" i="46"/>
  <c r="D102" i="46"/>
  <c r="D103" i="46"/>
  <c r="D104" i="46"/>
  <c r="D105" i="46"/>
  <c r="D106" i="46"/>
  <c r="D107" i="46"/>
  <c r="D108" i="46"/>
  <c r="D109" i="46"/>
  <c r="D110" i="46"/>
  <c r="D111" i="46"/>
  <c r="D112" i="46"/>
  <c r="D113" i="46"/>
  <c r="D114" i="46"/>
  <c r="D115" i="46"/>
  <c r="D116" i="46"/>
  <c r="D117" i="46"/>
  <c r="D118" i="46"/>
  <c r="D119" i="46"/>
  <c r="D120" i="46"/>
  <c r="D121" i="46"/>
  <c r="D122" i="46"/>
  <c r="D123" i="46"/>
  <c r="D124" i="46"/>
  <c r="D125" i="46"/>
  <c r="D126" i="46"/>
  <c r="D127" i="46"/>
  <c r="D128" i="46"/>
  <c r="D129" i="46"/>
  <c r="D130" i="46"/>
  <c r="D131" i="46"/>
  <c r="D132" i="46"/>
  <c r="D133" i="46"/>
  <c r="D134" i="46"/>
  <c r="D135" i="46"/>
  <c r="D136" i="46"/>
  <c r="D137" i="46"/>
  <c r="D138" i="46"/>
  <c r="D139" i="46"/>
  <c r="D140" i="46"/>
  <c r="D141" i="46"/>
  <c r="D142" i="46"/>
  <c r="D143" i="46"/>
  <c r="D144" i="46"/>
  <c r="D145" i="46"/>
  <c r="D146" i="46"/>
  <c r="D147" i="46"/>
  <c r="D148" i="46"/>
  <c r="D149" i="46"/>
  <c r="D150" i="46"/>
  <c r="D92" i="46"/>
  <c r="D88" i="46"/>
  <c r="D68" i="46"/>
  <c r="C151" i="45"/>
  <c r="D4" i="45" s="1"/>
  <c r="C151" i="44"/>
  <c r="D4" i="44" s="1"/>
  <c r="D4" i="43"/>
  <c r="D5" i="43"/>
  <c r="D6" i="43"/>
  <c r="D7" i="43"/>
  <c r="D8" i="43"/>
  <c r="D9" i="43"/>
  <c r="D11" i="43"/>
  <c r="D13" i="43"/>
  <c r="D15" i="43"/>
  <c r="D22" i="43"/>
  <c r="D24" i="43"/>
  <c r="D25" i="43"/>
  <c r="D26" i="43"/>
  <c r="D27" i="43"/>
  <c r="D28" i="43"/>
  <c r="D29" i="43"/>
  <c r="D30" i="43"/>
  <c r="D32" i="43"/>
  <c r="D33" i="43"/>
  <c r="D34" i="43"/>
  <c r="D35" i="43"/>
  <c r="D36" i="43"/>
  <c r="D37" i="43"/>
  <c r="D39" i="43"/>
  <c r="D46" i="43"/>
  <c r="D48" i="43"/>
  <c r="D50" i="43"/>
  <c r="D52" i="43"/>
  <c r="D54" i="43"/>
  <c r="D62" i="43"/>
  <c r="D64" i="43"/>
  <c r="D65" i="43"/>
  <c r="D67" i="43"/>
  <c r="D71" i="43"/>
  <c r="D73" i="43"/>
  <c r="D77" i="43"/>
  <c r="D79" i="43"/>
  <c r="D92" i="43"/>
  <c r="D94" i="43"/>
  <c r="D96" i="43"/>
  <c r="D98" i="43"/>
  <c r="D100" i="43"/>
  <c r="D101" i="43"/>
  <c r="D102" i="43"/>
  <c r="D103" i="43"/>
  <c r="D104" i="43"/>
  <c r="D105" i="43"/>
  <c r="D106" i="43"/>
  <c r="D107" i="43"/>
  <c r="D108" i="43"/>
  <c r="D110" i="43"/>
  <c r="D112" i="43"/>
  <c r="D114" i="43"/>
  <c r="D115" i="43"/>
  <c r="D116" i="43"/>
  <c r="D117" i="43"/>
  <c r="D118" i="43"/>
  <c r="D119" i="43"/>
  <c r="D120" i="43"/>
  <c r="D122" i="43"/>
  <c r="D124" i="43"/>
  <c r="D125" i="43"/>
  <c r="D126" i="43"/>
  <c r="D127" i="43"/>
  <c r="D128" i="43"/>
  <c r="D129" i="43"/>
  <c r="D130" i="43"/>
  <c r="D132" i="43"/>
  <c r="D133" i="43"/>
  <c r="D134" i="43"/>
  <c r="D135" i="43"/>
  <c r="D136" i="43"/>
  <c r="D137" i="43"/>
  <c r="D138" i="43"/>
  <c r="D139" i="43"/>
  <c r="D141" i="43"/>
  <c r="D142" i="43"/>
  <c r="D144" i="43"/>
  <c r="D145" i="43"/>
  <c r="D146" i="43"/>
  <c r="D147" i="43"/>
  <c r="D149" i="43"/>
  <c r="D150" i="43"/>
  <c r="D10" i="43"/>
  <c r="D12" i="43"/>
  <c r="D14" i="43"/>
  <c r="D16" i="43"/>
  <c r="D17" i="43"/>
  <c r="D18" i="43"/>
  <c r="D19" i="43"/>
  <c r="D20" i="43"/>
  <c r="D21" i="43"/>
  <c r="D23" i="43"/>
  <c r="D31" i="43"/>
  <c r="D38" i="43"/>
  <c r="D40" i="43"/>
  <c r="D41" i="43"/>
  <c r="D42" i="43"/>
  <c r="D43" i="43"/>
  <c r="D44" i="43"/>
  <c r="D45" i="43"/>
  <c r="D47" i="43"/>
  <c r="D49" i="43"/>
  <c r="D51" i="43"/>
  <c r="D53" i="43"/>
  <c r="D55" i="43"/>
  <c r="D56" i="43"/>
  <c r="D57" i="43"/>
  <c r="D58" i="43"/>
  <c r="D59" i="43"/>
  <c r="D60" i="43"/>
  <c r="D61" i="43"/>
  <c r="D63" i="43"/>
  <c r="D66" i="43"/>
  <c r="D68" i="43"/>
  <c r="D74" i="43"/>
  <c r="D76" i="43"/>
  <c r="D78" i="43"/>
  <c r="D80" i="43"/>
  <c r="D81" i="43"/>
  <c r="D82" i="43"/>
  <c r="D83" i="43"/>
  <c r="D84" i="43"/>
  <c r="D85" i="43"/>
  <c r="D86" i="43"/>
  <c r="D87" i="43"/>
  <c r="D88" i="43"/>
  <c r="D89" i="43"/>
  <c r="D90" i="43"/>
  <c r="D91" i="43"/>
  <c r="D93" i="43"/>
  <c r="D95" i="43"/>
  <c r="D97" i="43"/>
  <c r="D99" i="43"/>
  <c r="D109" i="43"/>
  <c r="D111" i="43"/>
  <c r="D113" i="43"/>
  <c r="D123" i="43"/>
  <c r="D131" i="43"/>
  <c r="D140" i="43"/>
  <c r="D143" i="43"/>
  <c r="D148" i="43"/>
  <c r="D121" i="43"/>
  <c r="D75" i="43"/>
  <c r="D72" i="43"/>
  <c r="D69" i="43"/>
  <c r="D70" i="43"/>
  <c r="D5" i="42"/>
  <c r="D19" i="42"/>
  <c r="D21" i="42"/>
  <c r="D25" i="42"/>
  <c r="D28" i="42"/>
  <c r="D29" i="42"/>
  <c r="D30" i="42"/>
  <c r="D31" i="42"/>
  <c r="D33" i="42"/>
  <c r="D36" i="42"/>
  <c r="D40" i="42"/>
  <c r="D42" i="42"/>
  <c r="D43" i="42"/>
  <c r="D46" i="42"/>
  <c r="D47" i="42"/>
  <c r="D48" i="42"/>
  <c r="D50" i="42"/>
  <c r="D55" i="42"/>
  <c r="D56" i="42"/>
  <c r="D58" i="42"/>
  <c r="D64" i="42"/>
  <c r="D65" i="42"/>
  <c r="D66" i="42"/>
  <c r="D70" i="42"/>
  <c r="D74" i="42"/>
  <c r="D75" i="42"/>
  <c r="D76" i="42"/>
  <c r="D78" i="42"/>
  <c r="D80" i="42"/>
  <c r="D83" i="42"/>
  <c r="D84" i="42"/>
  <c r="D85" i="42"/>
  <c r="D87" i="42"/>
  <c r="D88" i="42"/>
  <c r="D90" i="42"/>
  <c r="D91" i="42"/>
  <c r="D92" i="42"/>
  <c r="D94" i="42"/>
  <c r="D95" i="42"/>
  <c r="D96" i="42"/>
  <c r="D97" i="42"/>
  <c r="D98" i="42"/>
  <c r="D100" i="42"/>
  <c r="D101" i="42"/>
  <c r="D102" i="42"/>
  <c r="D104" i="42"/>
  <c r="D105" i="42"/>
  <c r="D107" i="42"/>
  <c r="D108" i="42"/>
  <c r="D109" i="42"/>
  <c r="D110" i="42"/>
  <c r="D111" i="42"/>
  <c r="D113" i="42"/>
  <c r="D114" i="42"/>
  <c r="D115" i="42"/>
  <c r="D116" i="42"/>
  <c r="D117" i="42"/>
  <c r="D118" i="42"/>
  <c r="D119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8" i="42"/>
  <c r="D9" i="42"/>
  <c r="D11" i="42"/>
  <c r="D18" i="42"/>
  <c r="D6" i="42"/>
  <c r="D12" i="42"/>
  <c r="D13" i="42"/>
  <c r="D15" i="42"/>
  <c r="D22" i="42"/>
  <c r="D4" i="42"/>
  <c r="D7" i="42"/>
  <c r="D10" i="42"/>
  <c r="D16" i="42"/>
  <c r="D20" i="42"/>
  <c r="D23" i="42"/>
  <c r="D32" i="42"/>
  <c r="D35" i="42"/>
  <c r="D38" i="42"/>
  <c r="D41" i="42"/>
  <c r="D45" i="42"/>
  <c r="D49" i="42"/>
  <c r="D53" i="42"/>
  <c r="D57" i="42"/>
  <c r="D62" i="42"/>
  <c r="D67" i="42"/>
  <c r="D71" i="42"/>
  <c r="D79" i="42"/>
  <c r="D82" i="42"/>
  <c r="D86" i="42"/>
  <c r="D89" i="42"/>
  <c r="D93" i="42"/>
  <c r="D99" i="42"/>
  <c r="D103" i="42"/>
  <c r="D106" i="42"/>
  <c r="D112" i="42"/>
  <c r="D120" i="42"/>
  <c r="D133" i="42"/>
  <c r="D149" i="42"/>
  <c r="D14" i="42"/>
  <c r="D17" i="42"/>
  <c r="D24" i="42"/>
  <c r="D26" i="42"/>
  <c r="D27" i="42"/>
  <c r="D34" i="42"/>
  <c r="D37" i="42"/>
  <c r="D39" i="42"/>
  <c r="D44" i="42"/>
  <c r="D51" i="42"/>
  <c r="D52" i="42"/>
  <c r="D54" i="42"/>
  <c r="D59" i="42"/>
  <c r="D60" i="42"/>
  <c r="D61" i="42"/>
  <c r="D63" i="42"/>
  <c r="D68" i="42"/>
  <c r="D69" i="42"/>
  <c r="D72" i="42"/>
  <c r="D73" i="42"/>
  <c r="D77" i="42"/>
  <c r="D81" i="42"/>
  <c r="D150" i="42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5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4" i="41"/>
  <c r="D13" i="41"/>
  <c r="D11" i="41"/>
  <c r="D9" i="41"/>
  <c r="D4" i="41"/>
  <c r="D15" i="41"/>
  <c r="D12" i="41"/>
  <c r="D10" i="41"/>
  <c r="D8" i="41"/>
  <c r="D7" i="41"/>
  <c r="D6" i="41"/>
  <c r="D134" i="41"/>
  <c r="D133" i="41"/>
  <c r="D132" i="41"/>
  <c r="D131" i="41"/>
  <c r="D130" i="41"/>
  <c r="D129" i="41"/>
  <c r="D128" i="41"/>
  <c r="D127" i="41"/>
  <c r="D126" i="41"/>
  <c r="D125" i="41"/>
  <c r="D124" i="41"/>
  <c r="D123" i="41"/>
  <c r="D122" i="41"/>
  <c r="D149" i="41"/>
  <c r="D147" i="41"/>
  <c r="D144" i="41"/>
  <c r="D142" i="41"/>
  <c r="D136" i="41"/>
  <c r="D150" i="41"/>
  <c r="D148" i="41"/>
  <c r="D146" i="41"/>
  <c r="D145" i="41"/>
  <c r="D143" i="41"/>
  <c r="D141" i="41"/>
  <c r="D140" i="41"/>
  <c r="D139" i="41"/>
  <c r="D138" i="41"/>
  <c r="D137" i="41"/>
  <c r="D135" i="41"/>
  <c r="D4" i="40"/>
  <c r="D11" i="40"/>
  <c r="D9" i="40"/>
  <c r="D7" i="40"/>
  <c r="D12" i="40"/>
  <c r="D13" i="40"/>
  <c r="D14" i="40"/>
  <c r="D15" i="40"/>
  <c r="D16" i="40"/>
  <c r="D17" i="40"/>
  <c r="D18" i="40"/>
  <c r="D19" i="40"/>
  <c r="D20" i="40"/>
  <c r="D22" i="40"/>
  <c r="D23" i="40"/>
  <c r="D24" i="40"/>
  <c r="D31" i="40"/>
  <c r="D33" i="40"/>
  <c r="D34" i="40"/>
  <c r="D35" i="40"/>
  <c r="D36" i="40"/>
  <c r="D37" i="40"/>
  <c r="D38" i="40"/>
  <c r="D39" i="40"/>
  <c r="D40" i="40"/>
  <c r="D41" i="40"/>
  <c r="D42" i="40"/>
  <c r="D44" i="40"/>
  <c r="D52" i="40"/>
  <c r="D53" i="40"/>
  <c r="D54" i="40"/>
  <c r="D55" i="40"/>
  <c r="D56" i="40"/>
  <c r="D57" i="40"/>
  <c r="D58" i="40"/>
  <c r="D59" i="40"/>
  <c r="D60" i="40"/>
  <c r="D61" i="40"/>
  <c r="D62" i="40"/>
  <c r="D63" i="40"/>
  <c r="D64" i="40"/>
  <c r="D65" i="40"/>
  <c r="D66" i="40"/>
  <c r="D68" i="40"/>
  <c r="D69" i="40"/>
  <c r="D70" i="40"/>
  <c r="D71" i="40"/>
  <c r="D72" i="40"/>
  <c r="D85" i="40"/>
  <c r="D86" i="40"/>
  <c r="D87" i="40"/>
  <c r="D88" i="40"/>
  <c r="D89" i="40"/>
  <c r="D90" i="40"/>
  <c r="D91" i="40"/>
  <c r="D92" i="40"/>
  <c r="D93" i="40"/>
  <c r="D94" i="40"/>
  <c r="D96" i="40"/>
  <c r="D97" i="40"/>
  <c r="D98" i="40"/>
  <c r="D99" i="40"/>
  <c r="D108" i="40"/>
  <c r="D122" i="40"/>
  <c r="D125" i="40"/>
  <c r="D126" i="40"/>
  <c r="D127" i="40"/>
  <c r="D128" i="40"/>
  <c r="D129" i="40"/>
  <c r="D130" i="40"/>
  <c r="D131" i="40"/>
  <c r="D132" i="40"/>
  <c r="D133" i="40"/>
  <c r="D134" i="40"/>
  <c r="D135" i="40"/>
  <c r="D137" i="40"/>
  <c r="D138" i="40"/>
  <c r="D139" i="40"/>
  <c r="D140" i="40"/>
  <c r="D141" i="40"/>
  <c r="D142" i="40"/>
  <c r="D143" i="40"/>
  <c r="D144" i="40"/>
  <c r="D145" i="40"/>
  <c r="D146" i="40"/>
  <c r="D147" i="40"/>
  <c r="D148" i="40"/>
  <c r="D149" i="40"/>
  <c r="D150" i="40"/>
  <c r="D5" i="40"/>
  <c r="D6" i="40"/>
  <c r="D8" i="40"/>
  <c r="D10" i="40"/>
  <c r="D21" i="40"/>
  <c r="D25" i="40"/>
  <c r="D26" i="40"/>
  <c r="D27" i="40"/>
  <c r="D28" i="40"/>
  <c r="D29" i="40"/>
  <c r="D30" i="40"/>
  <c r="D32" i="40"/>
  <c r="D43" i="40"/>
  <c r="D45" i="40"/>
  <c r="D46" i="40"/>
  <c r="D47" i="40"/>
  <c r="D48" i="40"/>
  <c r="D49" i="40"/>
  <c r="D50" i="40"/>
  <c r="D51" i="40"/>
  <c r="D67" i="40"/>
  <c r="D73" i="40"/>
  <c r="D74" i="40"/>
  <c r="D75" i="40"/>
  <c r="D76" i="40"/>
  <c r="D77" i="40"/>
  <c r="D78" i="40"/>
  <c r="D79" i="40"/>
  <c r="D80" i="40"/>
  <c r="D81" i="40"/>
  <c r="D82" i="40"/>
  <c r="D83" i="40"/>
  <c r="D84" i="40"/>
  <c r="D95" i="40"/>
  <c r="D100" i="40"/>
  <c r="D101" i="40"/>
  <c r="D102" i="40"/>
  <c r="D103" i="40"/>
  <c r="D104" i="40"/>
  <c r="D105" i="40"/>
  <c r="D106" i="40"/>
  <c r="D107" i="40"/>
  <c r="D109" i="40"/>
  <c r="D110" i="40"/>
  <c r="D111" i="40"/>
  <c r="D112" i="40"/>
  <c r="D113" i="40"/>
  <c r="D114" i="40"/>
  <c r="D115" i="40"/>
  <c r="D116" i="40"/>
  <c r="D117" i="40"/>
  <c r="D118" i="40"/>
  <c r="D119" i="40"/>
  <c r="D120" i="40"/>
  <c r="D121" i="40"/>
  <c r="D123" i="40"/>
  <c r="D124" i="40"/>
  <c r="D136" i="40"/>
  <c r="C151" i="39"/>
  <c r="D4" i="39" s="1"/>
  <c r="D131" i="38"/>
  <c r="D129" i="38"/>
  <c r="D127" i="38"/>
  <c r="D125" i="38"/>
  <c r="D123" i="38"/>
  <c r="D122" i="38"/>
  <c r="D121" i="38"/>
  <c r="D120" i="38"/>
  <c r="D119" i="38"/>
  <c r="D118" i="38"/>
  <c r="D117" i="38"/>
  <c r="D116" i="38"/>
  <c r="D115" i="38"/>
  <c r="D114" i="38"/>
  <c r="D113" i="38"/>
  <c r="D112" i="38"/>
  <c r="D110" i="38"/>
  <c r="D109" i="38"/>
  <c r="D107" i="38"/>
  <c r="D130" i="38"/>
  <c r="D128" i="38"/>
  <c r="D126" i="38"/>
  <c r="D124" i="38"/>
  <c r="D111" i="38"/>
  <c r="D108" i="38"/>
  <c r="D106" i="38"/>
  <c r="J9" i="38" s="1"/>
  <c r="D149" i="38"/>
  <c r="D147" i="38"/>
  <c r="D144" i="38"/>
  <c r="D142" i="38"/>
  <c r="D139" i="38"/>
  <c r="D138" i="38"/>
  <c r="D135" i="38"/>
  <c r="D134" i="38"/>
  <c r="D133" i="38"/>
  <c r="D148" i="38"/>
  <c r="D146" i="38"/>
  <c r="D143" i="38"/>
  <c r="D140" i="38"/>
  <c r="D137" i="38"/>
  <c r="D132" i="38"/>
  <c r="D150" i="38"/>
  <c r="D145" i="38"/>
  <c r="D141" i="38"/>
  <c r="D136" i="38"/>
  <c r="D4" i="37"/>
  <c r="D5" i="37"/>
  <c r="D16" i="37"/>
  <c r="D17" i="37"/>
  <c r="D18" i="37"/>
  <c r="D19" i="37"/>
  <c r="D20" i="37"/>
  <c r="D22" i="37"/>
  <c r="D24" i="37"/>
  <c r="D26" i="37"/>
  <c r="D27" i="37"/>
  <c r="D28" i="37"/>
  <c r="D29" i="37"/>
  <c r="D30" i="37"/>
  <c r="D31" i="37"/>
  <c r="D32" i="37"/>
  <c r="D34" i="37"/>
  <c r="D35" i="37"/>
  <c r="D36" i="37"/>
  <c r="D37" i="37"/>
  <c r="D38" i="37"/>
  <c r="D39" i="37"/>
  <c r="D40" i="37"/>
  <c r="D41" i="37"/>
  <c r="D42" i="37"/>
  <c r="D43" i="37"/>
  <c r="D44" i="37"/>
  <c r="D45" i="37"/>
  <c r="D46" i="37"/>
  <c r="D47" i="37"/>
  <c r="D48" i="37"/>
  <c r="D49" i="37"/>
  <c r="D50" i="37"/>
  <c r="D51" i="37"/>
  <c r="D52" i="37"/>
  <c r="D53" i="37"/>
  <c r="D54" i="37"/>
  <c r="D55" i="37"/>
  <c r="D56" i="37"/>
  <c r="D57" i="37"/>
  <c r="D58" i="37"/>
  <c r="D59" i="37"/>
  <c r="D60" i="37"/>
  <c r="D61" i="37"/>
  <c r="D62" i="37"/>
  <c r="D63" i="37"/>
  <c r="D64" i="37"/>
  <c r="D65" i="37"/>
  <c r="D66" i="37"/>
  <c r="D67" i="37"/>
  <c r="D68" i="37"/>
  <c r="D69" i="37"/>
  <c r="D70" i="37"/>
  <c r="D71" i="37"/>
  <c r="D72" i="37"/>
  <c r="D73" i="37"/>
  <c r="D74" i="37"/>
  <c r="D75" i="37"/>
  <c r="D76" i="37"/>
  <c r="D77" i="37"/>
  <c r="D78" i="37"/>
  <c r="D79" i="37"/>
  <c r="D80" i="37"/>
  <c r="D81" i="37"/>
  <c r="D82" i="37"/>
  <c r="D83" i="37"/>
  <c r="D84" i="37"/>
  <c r="D85" i="37"/>
  <c r="D86" i="37"/>
  <c r="D87" i="37"/>
  <c r="D88" i="37"/>
  <c r="D89" i="37"/>
  <c r="D90" i="37"/>
  <c r="D91" i="37"/>
  <c r="D92" i="37"/>
  <c r="D93" i="37"/>
  <c r="D94" i="37"/>
  <c r="D95" i="37"/>
  <c r="D96" i="37"/>
  <c r="D97" i="37"/>
  <c r="D98" i="37"/>
  <c r="D99" i="37"/>
  <c r="D100" i="37"/>
  <c r="D101" i="37"/>
  <c r="D102" i="37"/>
  <c r="D103" i="37"/>
  <c r="D104" i="37"/>
  <c r="D105" i="37"/>
  <c r="D106" i="37"/>
  <c r="D107" i="37"/>
  <c r="D108" i="37"/>
  <c r="D109" i="37"/>
  <c r="D110" i="37"/>
  <c r="D111" i="37"/>
  <c r="D112" i="37"/>
  <c r="D113" i="37"/>
  <c r="D114" i="37"/>
  <c r="D115" i="37"/>
  <c r="D116" i="37"/>
  <c r="D117" i="37"/>
  <c r="D118" i="37"/>
  <c r="D119" i="37"/>
  <c r="D120" i="37"/>
  <c r="D121" i="37"/>
  <c r="D122" i="37"/>
  <c r="D123" i="37"/>
  <c r="D124" i="37"/>
  <c r="D125" i="37"/>
  <c r="D126" i="37"/>
  <c r="D127" i="37"/>
  <c r="D128" i="37"/>
  <c r="D129" i="37"/>
  <c r="D130" i="37"/>
  <c r="D131" i="37"/>
  <c r="D132" i="37"/>
  <c r="D133" i="37"/>
  <c r="D134" i="37"/>
  <c r="D135" i="37"/>
  <c r="D136" i="37"/>
  <c r="D137" i="37"/>
  <c r="D138" i="37"/>
  <c r="D139" i="37"/>
  <c r="D140" i="37"/>
  <c r="D141" i="37"/>
  <c r="D142" i="37"/>
  <c r="D143" i="37"/>
  <c r="D144" i="37"/>
  <c r="D145" i="37"/>
  <c r="D146" i="37"/>
  <c r="D147" i="37"/>
  <c r="D148" i="37"/>
  <c r="D149" i="37"/>
  <c r="D150" i="37"/>
  <c r="D6" i="37"/>
  <c r="D7" i="37"/>
  <c r="D8" i="37"/>
  <c r="D9" i="37"/>
  <c r="D10" i="37"/>
  <c r="D11" i="37"/>
  <c r="D12" i="37"/>
  <c r="D13" i="37"/>
  <c r="D14" i="37"/>
  <c r="D15" i="37"/>
  <c r="D21" i="37"/>
  <c r="D23" i="37"/>
  <c r="D25" i="37"/>
  <c r="D33" i="37"/>
  <c r="C151" i="36"/>
  <c r="C151" i="35"/>
  <c r="D10" i="34"/>
  <c r="D11" i="34"/>
  <c r="D12" i="34"/>
  <c r="D13" i="34"/>
  <c r="D14" i="34"/>
  <c r="D16" i="34"/>
  <c r="D19" i="34"/>
  <c r="D21" i="34"/>
  <c r="D23" i="34"/>
  <c r="D25" i="34"/>
  <c r="D27" i="34"/>
  <c r="D28" i="34"/>
  <c r="D29" i="34"/>
  <c r="D30" i="34"/>
  <c r="D31" i="34"/>
  <c r="D32" i="34"/>
  <c r="D33" i="34"/>
  <c r="D34" i="34"/>
  <c r="D35" i="34"/>
  <c r="D36" i="34"/>
  <c r="D37" i="34"/>
  <c r="D38" i="34"/>
  <c r="D39" i="34"/>
  <c r="D40" i="34"/>
  <c r="D41" i="34"/>
  <c r="D42" i="34"/>
  <c r="D44" i="34"/>
  <c r="D45" i="34"/>
  <c r="D46" i="34"/>
  <c r="D47" i="34"/>
  <c r="D48" i="34"/>
  <c r="D49" i="34"/>
  <c r="D50" i="34"/>
  <c r="D51" i="34"/>
  <c r="D52" i="34"/>
  <c r="D53" i="34"/>
  <c r="D54" i="34"/>
  <c r="D55" i="34"/>
  <c r="D56" i="34"/>
  <c r="D57" i="34"/>
  <c r="D58" i="34"/>
  <c r="D59" i="34"/>
  <c r="D60" i="34"/>
  <c r="D61" i="34"/>
  <c r="D62" i="34"/>
  <c r="D63" i="34"/>
  <c r="D64" i="34"/>
  <c r="D65" i="34"/>
  <c r="D66" i="34"/>
  <c r="D67" i="34"/>
  <c r="D68" i="34"/>
  <c r="D69" i="34"/>
  <c r="D70" i="34"/>
  <c r="D71" i="34"/>
  <c r="D72" i="34"/>
  <c r="D73" i="34"/>
  <c r="D74" i="34"/>
  <c r="D75" i="34"/>
  <c r="D76" i="34"/>
  <c r="D77" i="34"/>
  <c r="D78" i="34"/>
  <c r="D79" i="34"/>
  <c r="D80" i="34"/>
  <c r="D81" i="34"/>
  <c r="D82" i="34"/>
  <c r="D83" i="34"/>
  <c r="D84" i="34"/>
  <c r="D85" i="34"/>
  <c r="D86" i="34"/>
  <c r="D87" i="34"/>
  <c r="D88" i="34"/>
  <c r="D89" i="34"/>
  <c r="D90" i="34"/>
  <c r="D91" i="34"/>
  <c r="D92" i="34"/>
  <c r="D93" i="34"/>
  <c r="D94" i="34"/>
  <c r="D95" i="34"/>
  <c r="D96" i="34"/>
  <c r="D97" i="34"/>
  <c r="D98" i="34"/>
  <c r="D99" i="34"/>
  <c r="D100" i="34"/>
  <c r="D102" i="34"/>
  <c r="D103" i="34"/>
  <c r="D104" i="34"/>
  <c r="D105" i="34"/>
  <c r="D106" i="34"/>
  <c r="D107" i="34"/>
  <c r="D108" i="34"/>
  <c r="D109" i="34"/>
  <c r="D110" i="34"/>
  <c r="D111" i="34"/>
  <c r="D112" i="34"/>
  <c r="D113" i="34"/>
  <c r="D114" i="34"/>
  <c r="D115" i="34"/>
  <c r="D116" i="34"/>
  <c r="D117" i="34"/>
  <c r="D118" i="34"/>
  <c r="D119" i="34"/>
  <c r="D120" i="34"/>
  <c r="D121" i="34"/>
  <c r="D122" i="34"/>
  <c r="D123" i="34"/>
  <c r="D124" i="34"/>
  <c r="D125" i="34"/>
  <c r="D126" i="34"/>
  <c r="D127" i="34"/>
  <c r="D128" i="34"/>
  <c r="D129" i="34"/>
  <c r="D130" i="34"/>
  <c r="D131" i="34"/>
  <c r="D132" i="34"/>
  <c r="D133" i="34"/>
  <c r="D134" i="34"/>
  <c r="D135" i="34"/>
  <c r="D136" i="34"/>
  <c r="D137" i="34"/>
  <c r="D138" i="34"/>
  <c r="D139" i="34"/>
  <c r="D140" i="34"/>
  <c r="D141" i="34"/>
  <c r="D142" i="34"/>
  <c r="D143" i="34"/>
  <c r="D144" i="34"/>
  <c r="D145" i="34"/>
  <c r="D146" i="34"/>
  <c r="D147" i="34"/>
  <c r="D148" i="34"/>
  <c r="D149" i="34"/>
  <c r="D150" i="34"/>
  <c r="D4" i="34"/>
  <c r="D5" i="34"/>
  <c r="D6" i="34"/>
  <c r="D7" i="34"/>
  <c r="D8" i="34"/>
  <c r="D9" i="34"/>
  <c r="D15" i="34"/>
  <c r="D17" i="34"/>
  <c r="D18" i="34"/>
  <c r="D20" i="34"/>
  <c r="D22" i="34"/>
  <c r="D24" i="34"/>
  <c r="D26" i="34"/>
  <c r="D43" i="34"/>
  <c r="D101" i="34"/>
  <c r="D4" i="33"/>
  <c r="D8" i="33"/>
  <c r="D10" i="33"/>
  <c r="D12" i="33"/>
  <c r="D13" i="33"/>
  <c r="D14" i="33"/>
  <c r="D15" i="33"/>
  <c r="D16" i="33"/>
  <c r="D17" i="33"/>
  <c r="D18" i="33"/>
  <c r="D19" i="33"/>
  <c r="D20" i="33"/>
  <c r="D22" i="33"/>
  <c r="D24" i="33"/>
  <c r="D26" i="33"/>
  <c r="D31" i="33"/>
  <c r="D33" i="33"/>
  <c r="D35" i="33"/>
  <c r="D49" i="33"/>
  <c r="D52" i="33"/>
  <c r="D48" i="33"/>
  <c r="D5" i="33"/>
  <c r="D6" i="33"/>
  <c r="D7" i="33"/>
  <c r="D9" i="33"/>
  <c r="D11" i="33"/>
  <c r="D21" i="33"/>
  <c r="D23" i="33"/>
  <c r="D25" i="33"/>
  <c r="D27" i="33"/>
  <c r="D28" i="33"/>
  <c r="D29" i="33"/>
  <c r="D30" i="33"/>
  <c r="D32" i="33"/>
  <c r="D34" i="33"/>
  <c r="D36" i="33"/>
  <c r="D37" i="33"/>
  <c r="D38" i="33"/>
  <c r="D39" i="33"/>
  <c r="D40" i="33"/>
  <c r="D41" i="33"/>
  <c r="D42" i="33"/>
  <c r="D43" i="33"/>
  <c r="D44" i="33"/>
  <c r="D45" i="33"/>
  <c r="D46" i="33"/>
  <c r="D47" i="33"/>
  <c r="D50" i="33"/>
  <c r="D51" i="33"/>
  <c r="D53" i="33"/>
  <c r="D54" i="33"/>
  <c r="D55" i="33"/>
  <c r="D56" i="33"/>
  <c r="D57" i="33"/>
  <c r="D58" i="33"/>
  <c r="D59" i="33"/>
  <c r="D60" i="33"/>
  <c r="D61" i="33"/>
  <c r="D62" i="33"/>
  <c r="D63" i="33"/>
  <c r="D64" i="33"/>
  <c r="D65" i="33"/>
  <c r="D66" i="33"/>
  <c r="D67" i="33"/>
  <c r="D68" i="33"/>
  <c r="D69" i="33"/>
  <c r="D70" i="33"/>
  <c r="D71" i="33"/>
  <c r="D72" i="33"/>
  <c r="D73" i="33"/>
  <c r="D74" i="33"/>
  <c r="D75" i="33"/>
  <c r="D76" i="33"/>
  <c r="D77" i="33"/>
  <c r="D78" i="33"/>
  <c r="D79" i="33"/>
  <c r="D80" i="33"/>
  <c r="D81" i="33"/>
  <c r="D82" i="33"/>
  <c r="D83" i="33"/>
  <c r="D84" i="33"/>
  <c r="D85" i="33"/>
  <c r="D151" i="33" s="1"/>
  <c r="D86" i="33"/>
  <c r="D87" i="33"/>
  <c r="D88" i="33"/>
  <c r="D89" i="33"/>
  <c r="D90" i="33"/>
  <c r="D91" i="33"/>
  <c r="D92" i="33"/>
  <c r="D93" i="33"/>
  <c r="D94" i="33"/>
  <c r="D95" i="33"/>
  <c r="D96" i="33"/>
  <c r="D97" i="33"/>
  <c r="D98" i="33"/>
  <c r="D99" i="33"/>
  <c r="D100" i="33"/>
  <c r="D101" i="33"/>
  <c r="D102" i="33"/>
  <c r="D103" i="33"/>
  <c r="D104" i="33"/>
  <c r="D105" i="33"/>
  <c r="D106" i="33"/>
  <c r="D107" i="33"/>
  <c r="D108" i="33"/>
  <c r="D109" i="33"/>
  <c r="D110" i="33"/>
  <c r="D111" i="33"/>
  <c r="D112" i="33"/>
  <c r="D113" i="33"/>
  <c r="D114" i="33"/>
  <c r="D115" i="33"/>
  <c r="D116" i="33"/>
  <c r="D117" i="33"/>
  <c r="D118" i="33"/>
  <c r="D119" i="33"/>
  <c r="D120" i="33"/>
  <c r="D121" i="33"/>
  <c r="D122" i="33"/>
  <c r="D123" i="33"/>
  <c r="D124" i="33"/>
  <c r="D125" i="33"/>
  <c r="D126" i="33"/>
  <c r="D127" i="33"/>
  <c r="D128" i="33"/>
  <c r="D129" i="33"/>
  <c r="D130" i="33"/>
  <c r="D131" i="33"/>
  <c r="D132" i="33"/>
  <c r="D133" i="33"/>
  <c r="D134" i="33"/>
  <c r="D135" i="33"/>
  <c r="D136" i="33"/>
  <c r="D137" i="33"/>
  <c r="D138" i="33"/>
  <c r="D139" i="33"/>
  <c r="D140" i="33"/>
  <c r="D141" i="33"/>
  <c r="D142" i="33"/>
  <c r="D143" i="33"/>
  <c r="D144" i="33"/>
  <c r="D145" i="33"/>
  <c r="D146" i="33"/>
  <c r="D147" i="33"/>
  <c r="D148" i="33"/>
  <c r="D149" i="33"/>
  <c r="D150" i="33"/>
  <c r="D124" i="32"/>
  <c r="D117" i="32"/>
  <c r="D116" i="32"/>
  <c r="D114" i="32"/>
  <c r="D113" i="32"/>
  <c r="D112" i="32"/>
  <c r="D111" i="32"/>
  <c r="D110" i="32"/>
  <c r="D109" i="32"/>
  <c r="D108" i="32"/>
  <c r="D107" i="32"/>
  <c r="D106" i="32"/>
  <c r="D105" i="32"/>
  <c r="D104" i="32"/>
  <c r="D103" i="32"/>
  <c r="D102" i="32"/>
  <c r="D101" i="32"/>
  <c r="D100" i="32"/>
  <c r="D99" i="32"/>
  <c r="D98" i="32"/>
  <c r="D97" i="32"/>
  <c r="D96" i="32"/>
  <c r="D95" i="32"/>
  <c r="D94" i="32"/>
  <c r="D93" i="32"/>
  <c r="D92" i="32"/>
  <c r="D91" i="32"/>
  <c r="D90" i="32"/>
  <c r="D89" i="32"/>
  <c r="D87" i="32"/>
  <c r="D85" i="32"/>
  <c r="D79" i="32"/>
  <c r="D77" i="32"/>
  <c r="D75" i="32"/>
  <c r="D74" i="32"/>
  <c r="D73" i="32"/>
  <c r="D67" i="32"/>
  <c r="D65" i="32"/>
  <c r="D64" i="32"/>
  <c r="D63" i="32"/>
  <c r="D62" i="32"/>
  <c r="D60" i="32"/>
  <c r="D58" i="32"/>
  <c r="D48" i="32"/>
  <c r="D46" i="32"/>
  <c r="D44" i="32"/>
  <c r="D42" i="32"/>
  <c r="D36" i="32"/>
  <c r="D35" i="32"/>
  <c r="D28" i="32"/>
  <c r="D8" i="32"/>
  <c r="D6" i="32"/>
  <c r="D4" i="32"/>
  <c r="D115" i="32"/>
  <c r="D88" i="32"/>
  <c r="D86" i="32"/>
  <c r="D84" i="32"/>
  <c r="D83" i="32"/>
  <c r="D82" i="32"/>
  <c r="D81" i="32"/>
  <c r="D80" i="32"/>
  <c r="D78" i="32"/>
  <c r="D76" i="32"/>
  <c r="D72" i="32"/>
  <c r="D71" i="32"/>
  <c r="D70" i="32"/>
  <c r="D69" i="32"/>
  <c r="D68" i="32"/>
  <c r="D66" i="32"/>
  <c r="D61" i="32"/>
  <c r="D59" i="32"/>
  <c r="D57" i="32"/>
  <c r="D56" i="32"/>
  <c r="D55" i="32"/>
  <c r="D54" i="32"/>
  <c r="D53" i="32"/>
  <c r="D52" i="32"/>
  <c r="D51" i="32"/>
  <c r="D50" i="32"/>
  <c r="D49" i="32"/>
  <c r="D47" i="32"/>
  <c r="D45" i="32"/>
  <c r="D43" i="32"/>
  <c r="D41" i="32"/>
  <c r="D40" i="32"/>
  <c r="D39" i="32"/>
  <c r="D38" i="32"/>
  <c r="D37" i="32"/>
  <c r="D34" i="32"/>
  <c r="D33" i="32"/>
  <c r="D32" i="32"/>
  <c r="D31" i="32"/>
  <c r="D30" i="32"/>
  <c r="D29" i="32"/>
  <c r="D27" i="32"/>
  <c r="D26" i="32"/>
  <c r="D25" i="32"/>
  <c r="D24" i="32"/>
  <c r="D23" i="32"/>
  <c r="D22" i="32"/>
  <c r="D21" i="32"/>
  <c r="D20" i="32"/>
  <c r="D19" i="32"/>
  <c r="D18" i="32"/>
  <c r="D17" i="32"/>
  <c r="D16" i="32"/>
  <c r="D15" i="32"/>
  <c r="D14" i="32"/>
  <c r="D13" i="32"/>
  <c r="D12" i="32"/>
  <c r="D11" i="32"/>
  <c r="D10" i="32"/>
  <c r="D9" i="32"/>
  <c r="D7" i="32"/>
  <c r="D5" i="32"/>
  <c r="D147" i="32"/>
  <c r="D145" i="32"/>
  <c r="D144" i="32"/>
  <c r="D143" i="32"/>
  <c r="D142" i="32"/>
  <c r="D141" i="32"/>
  <c r="D140" i="32"/>
  <c r="D139" i="32"/>
  <c r="D138" i="32"/>
  <c r="D137" i="32"/>
  <c r="D136" i="32"/>
  <c r="D135" i="32"/>
  <c r="D134" i="32"/>
  <c r="D133" i="32"/>
  <c r="D132" i="32"/>
  <c r="D130" i="32"/>
  <c r="D129" i="32"/>
  <c r="D128" i="32"/>
  <c r="D126" i="32"/>
  <c r="D122" i="32"/>
  <c r="D121" i="32"/>
  <c r="D119" i="32"/>
  <c r="D146" i="32"/>
  <c r="D131" i="32"/>
  <c r="D127" i="32"/>
  <c r="D125" i="32"/>
  <c r="D123" i="32"/>
  <c r="D120" i="32"/>
  <c r="D118" i="32"/>
  <c r="D148" i="32"/>
  <c r="D150" i="32"/>
  <c r="D149" i="32"/>
  <c r="D150" i="31"/>
  <c r="D4" i="31"/>
  <c r="D5" i="31"/>
  <c r="D6" i="31"/>
  <c r="D7" i="31"/>
  <c r="D8" i="31"/>
  <c r="D9" i="31"/>
  <c r="D10" i="31"/>
  <c r="D11" i="31"/>
  <c r="D12" i="31"/>
  <c r="D13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39" i="31"/>
  <c r="D40" i="31"/>
  <c r="D41" i="31"/>
  <c r="D42" i="31"/>
  <c r="H8" i="31" s="1"/>
  <c r="D43" i="31"/>
  <c r="D44" i="31"/>
  <c r="D45" i="31"/>
  <c r="D46" i="31"/>
  <c r="D47" i="31"/>
  <c r="J9" i="31" s="1"/>
  <c r="D48" i="31"/>
  <c r="D49" i="31"/>
  <c r="D50" i="31"/>
  <c r="D51" i="31"/>
  <c r="D52" i="31"/>
  <c r="D53" i="31"/>
  <c r="D54" i="31"/>
  <c r="D55" i="31"/>
  <c r="D56" i="31"/>
  <c r="D57" i="31"/>
  <c r="D58" i="31"/>
  <c r="D59" i="31"/>
  <c r="D60" i="31"/>
  <c r="D61" i="31"/>
  <c r="D62" i="31"/>
  <c r="D63" i="31"/>
  <c r="D64" i="31"/>
  <c r="D65" i="31"/>
  <c r="D66" i="31"/>
  <c r="D67" i="31"/>
  <c r="D68" i="31"/>
  <c r="D69" i="31"/>
  <c r="I7" i="31" s="1"/>
  <c r="D70" i="31"/>
  <c r="D71" i="31"/>
  <c r="D72" i="31"/>
  <c r="D73" i="31"/>
  <c r="D74" i="31"/>
  <c r="D75" i="31"/>
  <c r="D76" i="31"/>
  <c r="D77" i="31"/>
  <c r="D78" i="31"/>
  <c r="D79" i="31"/>
  <c r="D80" i="31"/>
  <c r="D81" i="31"/>
  <c r="D82" i="31"/>
  <c r="D83" i="31"/>
  <c r="D84" i="31"/>
  <c r="D85" i="31"/>
  <c r="D86" i="31"/>
  <c r="D87" i="31"/>
  <c r="D88" i="31"/>
  <c r="D89" i="31"/>
  <c r="D90" i="31"/>
  <c r="D91" i="31"/>
  <c r="D92" i="31"/>
  <c r="D93" i="31"/>
  <c r="D94" i="31"/>
  <c r="D95" i="31"/>
  <c r="D96" i="31"/>
  <c r="D97" i="31"/>
  <c r="D98" i="31"/>
  <c r="D99" i="31"/>
  <c r="D100" i="31"/>
  <c r="D101" i="31"/>
  <c r="D102" i="31"/>
  <c r="D103" i="31"/>
  <c r="D104" i="31"/>
  <c r="D105" i="31"/>
  <c r="D106" i="31"/>
  <c r="D107" i="31"/>
  <c r="D108" i="31"/>
  <c r="D109" i="31"/>
  <c r="D110" i="31"/>
  <c r="D111" i="31"/>
  <c r="D112" i="31"/>
  <c r="D113" i="31"/>
  <c r="D114" i="31"/>
  <c r="D115" i="31"/>
  <c r="D116" i="31"/>
  <c r="D117" i="31"/>
  <c r="D118" i="31"/>
  <c r="D119" i="31"/>
  <c r="D120" i="31"/>
  <c r="D121" i="31"/>
  <c r="D122" i="31"/>
  <c r="D123" i="31"/>
  <c r="D124" i="31"/>
  <c r="D125" i="31"/>
  <c r="D126" i="31"/>
  <c r="D127" i="31"/>
  <c r="D128" i="31"/>
  <c r="D129" i="31"/>
  <c r="D130" i="31"/>
  <c r="D131" i="31"/>
  <c r="D132" i="31"/>
  <c r="D133" i="31"/>
  <c r="D134" i="31"/>
  <c r="D135" i="31"/>
  <c r="D136" i="31"/>
  <c r="I8" i="31" s="1"/>
  <c r="D137" i="31"/>
  <c r="D138" i="31"/>
  <c r="D139" i="31"/>
  <c r="D140" i="31"/>
  <c r="D141" i="31"/>
  <c r="D142" i="31"/>
  <c r="D143" i="31"/>
  <c r="D144" i="31"/>
  <c r="J7" i="31" s="1"/>
  <c r="D145" i="31"/>
  <c r="D146" i="31"/>
  <c r="D147" i="31"/>
  <c r="D148" i="31"/>
  <c r="D149" i="31"/>
  <c r="D6" i="30"/>
  <c r="D8" i="30"/>
  <c r="D9" i="30"/>
  <c r="D12" i="30"/>
  <c r="D13" i="30"/>
  <c r="D14" i="30"/>
  <c r="D19" i="30"/>
  <c r="D23" i="30"/>
  <c r="D35" i="30"/>
  <c r="D42" i="30"/>
  <c r="D45" i="30"/>
  <c r="D56" i="30"/>
  <c r="D62" i="30"/>
  <c r="D67" i="30"/>
  <c r="D69" i="30"/>
  <c r="D70" i="30"/>
  <c r="D71" i="30"/>
  <c r="D72" i="30"/>
  <c r="D73" i="30"/>
  <c r="D74" i="30"/>
  <c r="D75" i="30"/>
  <c r="D79" i="30"/>
  <c r="D84" i="30"/>
  <c r="J9" i="30" s="1"/>
  <c r="D94" i="30"/>
  <c r="D115" i="30"/>
  <c r="D116" i="30"/>
  <c r="D117" i="30"/>
  <c r="D118" i="30"/>
  <c r="D119" i="30"/>
  <c r="D120" i="30"/>
  <c r="D121" i="30"/>
  <c r="D122" i="30"/>
  <c r="D123" i="30"/>
  <c r="D124" i="30"/>
  <c r="D125" i="30"/>
  <c r="D126" i="30"/>
  <c r="D128" i="30"/>
  <c r="D129" i="30"/>
  <c r="D131" i="30"/>
  <c r="D133" i="30"/>
  <c r="D134" i="30"/>
  <c r="D135" i="30"/>
  <c r="D137" i="30"/>
  <c r="D138" i="30"/>
  <c r="D139" i="30"/>
  <c r="D140" i="30"/>
  <c r="D143" i="30"/>
  <c r="D145" i="30"/>
  <c r="D147" i="30"/>
  <c r="D149" i="30"/>
  <c r="D7" i="30"/>
  <c r="D11" i="30"/>
  <c r="D33" i="30"/>
  <c r="D34" i="30"/>
  <c r="D44" i="30"/>
  <c r="D46" i="30"/>
  <c r="D54" i="30"/>
  <c r="D4" i="30"/>
  <c r="D15" i="30"/>
  <c r="D17" i="30"/>
  <c r="D20" i="30"/>
  <c r="D22" i="30"/>
  <c r="D26" i="30"/>
  <c r="D27" i="30"/>
  <c r="D28" i="30"/>
  <c r="D29" i="30"/>
  <c r="D41" i="30"/>
  <c r="D47" i="30"/>
  <c r="D49" i="30"/>
  <c r="D53" i="30"/>
  <c r="D57" i="30"/>
  <c r="D61" i="30"/>
  <c r="D64" i="30"/>
  <c r="D65" i="30"/>
  <c r="D68" i="30"/>
  <c r="D76" i="30"/>
  <c r="D78" i="30"/>
  <c r="D80" i="30"/>
  <c r="D81" i="30"/>
  <c r="D82" i="30"/>
  <c r="D85" i="30"/>
  <c r="D86" i="30"/>
  <c r="D87" i="30"/>
  <c r="D88" i="30"/>
  <c r="D89" i="30"/>
  <c r="D90" i="30"/>
  <c r="D91" i="30"/>
  <c r="D92" i="30"/>
  <c r="D93" i="30"/>
  <c r="D95" i="30"/>
  <c r="D96" i="30"/>
  <c r="D97" i="30"/>
  <c r="D98" i="30"/>
  <c r="D99" i="30"/>
  <c r="D100" i="30"/>
  <c r="D101" i="30"/>
  <c r="D102" i="30"/>
  <c r="D103" i="30"/>
  <c r="D104" i="30"/>
  <c r="D105" i="30"/>
  <c r="D106" i="30"/>
  <c r="D107" i="30"/>
  <c r="D108" i="30"/>
  <c r="D109" i="30"/>
  <c r="D110" i="30"/>
  <c r="D111" i="30"/>
  <c r="D112" i="30"/>
  <c r="D113" i="30"/>
  <c r="D114" i="30"/>
  <c r="D127" i="30"/>
  <c r="D132" i="30"/>
  <c r="D136" i="30"/>
  <c r="D141" i="30"/>
  <c r="D142" i="30"/>
  <c r="D144" i="30"/>
  <c r="D146" i="30"/>
  <c r="D148" i="30"/>
  <c r="D5" i="30"/>
  <c r="D10" i="30"/>
  <c r="D16" i="30"/>
  <c r="D21" i="30"/>
  <c r="D24" i="30"/>
  <c r="D30" i="30"/>
  <c r="D39" i="30"/>
  <c r="D50" i="30"/>
  <c r="D130" i="30"/>
  <c r="D18" i="30"/>
  <c r="D25" i="30"/>
  <c r="D31" i="30"/>
  <c r="D32" i="30"/>
  <c r="D36" i="30"/>
  <c r="D37" i="30"/>
  <c r="D38" i="30"/>
  <c r="D40" i="30"/>
  <c r="D43" i="30"/>
  <c r="D48" i="30"/>
  <c r="D51" i="30"/>
  <c r="D52" i="30"/>
  <c r="D55" i="30"/>
  <c r="D58" i="30"/>
  <c r="D59" i="30"/>
  <c r="D60" i="30"/>
  <c r="D63" i="30"/>
  <c r="D66" i="30"/>
  <c r="D77" i="30"/>
  <c r="D83" i="30"/>
  <c r="D150" i="30"/>
  <c r="J9" i="33"/>
  <c r="H7" i="31"/>
  <c r="H8" i="30"/>
  <c r="D6" i="28"/>
  <c r="D4" i="28"/>
  <c r="D7" i="28"/>
  <c r="D8" i="28"/>
  <c r="D149" i="28"/>
  <c r="D142" i="28"/>
  <c r="D139" i="28"/>
  <c r="D137" i="28"/>
  <c r="D135" i="28"/>
  <c r="D133" i="28"/>
  <c r="D131" i="28"/>
  <c r="D128" i="28"/>
  <c r="D126" i="28"/>
  <c r="D124" i="28"/>
  <c r="D122" i="28"/>
  <c r="D120" i="28"/>
  <c r="D117" i="28"/>
  <c r="D115" i="28"/>
  <c r="D113" i="28"/>
  <c r="D111" i="28"/>
  <c r="D109" i="28"/>
  <c r="D108" i="28"/>
  <c r="D107" i="28"/>
  <c r="D105" i="28"/>
  <c r="D103" i="28"/>
  <c r="D101" i="28"/>
  <c r="D99" i="28"/>
  <c r="D97" i="28"/>
  <c r="D95" i="28"/>
  <c r="D94" i="28"/>
  <c r="D93" i="28"/>
  <c r="D91" i="28"/>
  <c r="D89" i="28"/>
  <c r="D87" i="28"/>
  <c r="D86" i="28"/>
  <c r="D84" i="28"/>
  <c r="D82" i="28"/>
  <c r="D80" i="28"/>
  <c r="D78" i="28"/>
  <c r="D76" i="28"/>
  <c r="D74" i="28"/>
  <c r="D72" i="28"/>
  <c r="D70" i="28"/>
  <c r="D68" i="28"/>
  <c r="D66" i="28"/>
  <c r="D65" i="28"/>
  <c r="D63" i="28"/>
  <c r="D61" i="28"/>
  <c r="D59" i="28"/>
  <c r="D58" i="28"/>
  <c r="D56" i="28"/>
  <c r="D54" i="28"/>
  <c r="D52" i="28"/>
  <c r="D50" i="28"/>
  <c r="D48" i="28"/>
  <c r="D45" i="28"/>
  <c r="D44" i="28"/>
  <c r="D38" i="28"/>
  <c r="D36" i="28"/>
  <c r="D34" i="28"/>
  <c r="D32" i="28"/>
  <c r="D29" i="28"/>
  <c r="D27" i="28"/>
  <c r="D25" i="28"/>
  <c r="D23" i="28"/>
  <c r="D21" i="28"/>
  <c r="D19" i="28"/>
  <c r="D17" i="28"/>
  <c r="D15" i="28"/>
  <c r="D12" i="28"/>
  <c r="D10" i="28"/>
  <c r="D9" i="28"/>
  <c r="D150" i="28"/>
  <c r="D148" i="28"/>
  <c r="D147" i="28"/>
  <c r="D146" i="28"/>
  <c r="D145" i="28"/>
  <c r="D144" i="28"/>
  <c r="D143" i="28"/>
  <c r="D141" i="28"/>
  <c r="D140" i="28"/>
  <c r="D138" i="28"/>
  <c r="D136" i="28"/>
  <c r="D134" i="28"/>
  <c r="D132" i="28"/>
  <c r="D130" i="28"/>
  <c r="D129" i="28"/>
  <c r="D127" i="28"/>
  <c r="D125" i="28"/>
  <c r="D123" i="28"/>
  <c r="D121" i="28"/>
  <c r="D119" i="28"/>
  <c r="D118" i="28"/>
  <c r="D116" i="28"/>
  <c r="D114" i="28"/>
  <c r="D112" i="28"/>
  <c r="D110" i="28"/>
  <c r="D106" i="28"/>
  <c r="D104" i="28"/>
  <c r="D102" i="28"/>
  <c r="D100" i="28"/>
  <c r="D98" i="28"/>
  <c r="D96" i="28"/>
  <c r="D92" i="28"/>
  <c r="D90" i="28"/>
  <c r="D88" i="28"/>
  <c r="D85" i="28"/>
  <c r="D83" i="28"/>
  <c r="D81" i="28"/>
  <c r="D79" i="28"/>
  <c r="D77" i="28"/>
  <c r="D75" i="28"/>
  <c r="D73" i="28"/>
  <c r="D71" i="28"/>
  <c r="D69" i="28"/>
  <c r="D67" i="28"/>
  <c r="D64" i="28"/>
  <c r="D62" i="28"/>
  <c r="D60" i="28"/>
  <c r="D57" i="28"/>
  <c r="D55" i="28"/>
  <c r="D53" i="28"/>
  <c r="D51" i="28"/>
  <c r="D49" i="28"/>
  <c r="D47" i="28"/>
  <c r="D46" i="28"/>
  <c r="D43" i="28"/>
  <c r="D42" i="28"/>
  <c r="D41" i="28"/>
  <c r="D40" i="28"/>
  <c r="D39" i="28"/>
  <c r="D37" i="28"/>
  <c r="D35" i="28"/>
  <c r="D33" i="28"/>
  <c r="D31" i="28"/>
  <c r="D30" i="28"/>
  <c r="D28" i="28"/>
  <c r="D26" i="28"/>
  <c r="D24" i="28"/>
  <c r="D22" i="28"/>
  <c r="D20" i="28"/>
  <c r="D18" i="28"/>
  <c r="D16" i="28"/>
  <c r="D14" i="28"/>
  <c r="D13" i="28"/>
  <c r="D11" i="28"/>
  <c r="E2" i="1"/>
  <c r="B4" i="1"/>
  <c r="J9" i="50" l="1"/>
  <c r="J7" i="50"/>
  <c r="I8" i="50"/>
  <c r="I7" i="50"/>
  <c r="H8" i="50"/>
  <c r="H7" i="50"/>
  <c r="J8" i="50"/>
  <c r="D151" i="50"/>
  <c r="D20" i="49"/>
  <c r="D22" i="49"/>
  <c r="D23" i="49"/>
  <c r="D25" i="49"/>
  <c r="D27" i="49"/>
  <c r="D29" i="49"/>
  <c r="D30" i="49"/>
  <c r="D31" i="49"/>
  <c r="D33" i="49"/>
  <c r="D34" i="49"/>
  <c r="D35" i="49"/>
  <c r="D36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D71" i="49"/>
  <c r="D72" i="49"/>
  <c r="D73" i="49"/>
  <c r="D74" i="49"/>
  <c r="D75" i="49"/>
  <c r="D76" i="49"/>
  <c r="D77" i="49"/>
  <c r="D78" i="49"/>
  <c r="D79" i="49"/>
  <c r="D81" i="49"/>
  <c r="D7" i="49"/>
  <c r="D8" i="49"/>
  <c r="D9" i="49"/>
  <c r="D11" i="49"/>
  <c r="D13" i="49"/>
  <c r="D16" i="49"/>
  <c r="D17" i="49"/>
  <c r="D19" i="49"/>
  <c r="D21" i="49"/>
  <c r="D32" i="49"/>
  <c r="D117" i="49"/>
  <c r="D10" i="49"/>
  <c r="D14" i="49"/>
  <c r="D18" i="49"/>
  <c r="D24" i="49"/>
  <c r="D26" i="49"/>
  <c r="D37" i="49"/>
  <c r="D5" i="49"/>
  <c r="D6" i="49"/>
  <c r="D12" i="49"/>
  <c r="D15" i="49"/>
  <c r="D28" i="49"/>
  <c r="D82" i="49"/>
  <c r="D83" i="49"/>
  <c r="D84" i="49"/>
  <c r="D85" i="49"/>
  <c r="D86" i="49"/>
  <c r="D87" i="49"/>
  <c r="D88" i="49"/>
  <c r="D89" i="49"/>
  <c r="D103" i="49"/>
  <c r="D104" i="49"/>
  <c r="D105" i="49"/>
  <c r="D106" i="49"/>
  <c r="D107" i="49"/>
  <c r="D108" i="49"/>
  <c r="D109" i="49"/>
  <c r="D110" i="49"/>
  <c r="D112" i="49"/>
  <c r="D114" i="49"/>
  <c r="D118" i="49"/>
  <c r="D119" i="49"/>
  <c r="D120" i="49"/>
  <c r="D121" i="49"/>
  <c r="D122" i="49"/>
  <c r="D123" i="49"/>
  <c r="D124" i="49"/>
  <c r="D125" i="49"/>
  <c r="D126" i="49"/>
  <c r="D128" i="49"/>
  <c r="D129" i="49"/>
  <c r="D130" i="49"/>
  <c r="D131" i="49"/>
  <c r="D132" i="49"/>
  <c r="D133" i="49"/>
  <c r="D135" i="49"/>
  <c r="D136" i="49"/>
  <c r="D137" i="49"/>
  <c r="D138" i="49"/>
  <c r="D139" i="49"/>
  <c r="D140" i="49"/>
  <c r="D141" i="49"/>
  <c r="D142" i="49"/>
  <c r="D143" i="49"/>
  <c r="D144" i="49"/>
  <c r="D145" i="49"/>
  <c r="D146" i="49"/>
  <c r="D147" i="49"/>
  <c r="D148" i="49"/>
  <c r="D149" i="49"/>
  <c r="D150" i="49"/>
  <c r="D80" i="49"/>
  <c r="D90" i="49"/>
  <c r="D91" i="49"/>
  <c r="D92" i="49"/>
  <c r="D93" i="49"/>
  <c r="D94" i="49"/>
  <c r="D95" i="49"/>
  <c r="D96" i="49"/>
  <c r="D97" i="49"/>
  <c r="D98" i="49"/>
  <c r="D99" i="49"/>
  <c r="D100" i="49"/>
  <c r="D101" i="49"/>
  <c r="D102" i="49"/>
  <c r="D111" i="49"/>
  <c r="D113" i="49"/>
  <c r="D115" i="49"/>
  <c r="D116" i="49"/>
  <c r="D127" i="49"/>
  <c r="D134" i="49"/>
  <c r="D5" i="48"/>
  <c r="D14" i="48"/>
  <c r="D15" i="48"/>
  <c r="D21" i="48"/>
  <c r="D26" i="48"/>
  <c r="D27" i="48"/>
  <c r="D40" i="48"/>
  <c r="D42" i="48"/>
  <c r="D52" i="48"/>
  <c r="D53" i="48"/>
  <c r="D58" i="48"/>
  <c r="D63" i="48"/>
  <c r="D66" i="48"/>
  <c r="D67" i="48"/>
  <c r="D78" i="48"/>
  <c r="D80" i="48"/>
  <c r="D81" i="48"/>
  <c r="D83" i="48"/>
  <c r="D86" i="48"/>
  <c r="D89" i="48"/>
  <c r="D94" i="48"/>
  <c r="D96" i="48"/>
  <c r="D108" i="48"/>
  <c r="D6" i="48"/>
  <c r="D8" i="48"/>
  <c r="D9" i="48"/>
  <c r="D17" i="48"/>
  <c r="D19" i="48"/>
  <c r="D25" i="48"/>
  <c r="D28" i="48"/>
  <c r="D29" i="48"/>
  <c r="D30" i="48"/>
  <c r="D31" i="48"/>
  <c r="D32" i="48"/>
  <c r="D33" i="48"/>
  <c r="D34" i="48"/>
  <c r="D35" i="48"/>
  <c r="D36" i="48"/>
  <c r="D41" i="48"/>
  <c r="D44" i="48"/>
  <c r="D48" i="48"/>
  <c r="D49" i="48"/>
  <c r="D51" i="48"/>
  <c r="D57" i="48"/>
  <c r="D60" i="48"/>
  <c r="D64" i="48"/>
  <c r="D69" i="48"/>
  <c r="D70" i="48"/>
  <c r="D71" i="48"/>
  <c r="D72" i="48"/>
  <c r="D73" i="48"/>
  <c r="D74" i="48"/>
  <c r="D76" i="48"/>
  <c r="D77" i="48"/>
  <c r="D79" i="48"/>
  <c r="D82" i="48"/>
  <c r="D84" i="48"/>
  <c r="D85" i="48"/>
  <c r="D87" i="48"/>
  <c r="D91" i="48"/>
  <c r="D93" i="48"/>
  <c r="D98" i="48"/>
  <c r="D100" i="48"/>
  <c r="D101" i="48"/>
  <c r="D103" i="48"/>
  <c r="D104" i="48"/>
  <c r="D105" i="48"/>
  <c r="D107" i="48"/>
  <c r="D110" i="48"/>
  <c r="D112" i="48"/>
  <c r="D113" i="48"/>
  <c r="D114" i="48"/>
  <c r="D115" i="48"/>
  <c r="D116" i="48"/>
  <c r="D118" i="48"/>
  <c r="D120" i="48"/>
  <c r="D121" i="48"/>
  <c r="D122" i="48"/>
  <c r="D123" i="48"/>
  <c r="D124" i="48"/>
  <c r="D125" i="48"/>
  <c r="D126" i="48"/>
  <c r="D127" i="48"/>
  <c r="D128" i="48"/>
  <c r="D129" i="48"/>
  <c r="D130" i="48"/>
  <c r="D131" i="48"/>
  <c r="D132" i="48"/>
  <c r="D133" i="48"/>
  <c r="D134" i="48"/>
  <c r="D135" i="48"/>
  <c r="D150" i="48"/>
  <c r="D10" i="48"/>
  <c r="D12" i="48"/>
  <c r="D13" i="48"/>
  <c r="D18" i="48"/>
  <c r="D38" i="48"/>
  <c r="D39" i="48"/>
  <c r="D45" i="48"/>
  <c r="D47" i="48"/>
  <c r="D59" i="48"/>
  <c r="D61" i="48"/>
  <c r="D65" i="48"/>
  <c r="D75" i="48"/>
  <c r="D7" i="48"/>
  <c r="H7" i="48" s="1"/>
  <c r="D11" i="48"/>
  <c r="D16" i="48"/>
  <c r="D20" i="48"/>
  <c r="D22" i="48"/>
  <c r="D23" i="48"/>
  <c r="D24" i="48"/>
  <c r="D37" i="48"/>
  <c r="D43" i="48"/>
  <c r="D46" i="48"/>
  <c r="D50" i="48"/>
  <c r="D54" i="48"/>
  <c r="D55" i="48"/>
  <c r="D56" i="48"/>
  <c r="D62" i="48"/>
  <c r="D68" i="48"/>
  <c r="D88" i="48"/>
  <c r="D90" i="48"/>
  <c r="D92" i="48"/>
  <c r="D95" i="48"/>
  <c r="D97" i="48"/>
  <c r="D99" i="48"/>
  <c r="D102" i="48"/>
  <c r="D106" i="48"/>
  <c r="D109" i="48"/>
  <c r="D111" i="48"/>
  <c r="D117" i="48"/>
  <c r="D119" i="48"/>
  <c r="D136" i="48"/>
  <c r="D138" i="48"/>
  <c r="D139" i="48"/>
  <c r="D140" i="48"/>
  <c r="D141" i="48"/>
  <c r="D142" i="48"/>
  <c r="D143" i="48"/>
  <c r="D144" i="48"/>
  <c r="D145" i="48"/>
  <c r="D146" i="48"/>
  <c r="D147" i="48"/>
  <c r="D148" i="48"/>
  <c r="D149" i="48"/>
  <c r="D137" i="48"/>
  <c r="H8" i="48"/>
  <c r="I7" i="48"/>
  <c r="I8" i="48"/>
  <c r="J7" i="48"/>
  <c r="J8" i="48"/>
  <c r="D151" i="48"/>
  <c r="J9" i="48"/>
  <c r="J9" i="47"/>
  <c r="D151" i="47"/>
  <c r="J8" i="47"/>
  <c r="J7" i="47"/>
  <c r="I8" i="47"/>
  <c r="I7" i="47"/>
  <c r="H8" i="47"/>
  <c r="H7" i="47"/>
  <c r="I8" i="46"/>
  <c r="D151" i="46"/>
  <c r="J8" i="46"/>
  <c r="H8" i="46"/>
  <c r="J7" i="46"/>
  <c r="I7" i="46"/>
  <c r="H7" i="46"/>
  <c r="D5" i="45"/>
  <c r="D14" i="45"/>
  <c r="D20" i="45"/>
  <c r="D24" i="45"/>
  <c r="D29" i="45"/>
  <c r="D31" i="45"/>
  <c r="D33" i="45"/>
  <c r="D43" i="45"/>
  <c r="D7" i="45"/>
  <c r="D15" i="45"/>
  <c r="D18" i="45"/>
  <c r="D27" i="45"/>
  <c r="D30" i="45"/>
  <c r="D32" i="45"/>
  <c r="D49" i="45"/>
  <c r="D8" i="45"/>
  <c r="D11" i="45"/>
  <c r="D22" i="45"/>
  <c r="D25" i="45"/>
  <c r="D36" i="45"/>
  <c r="D6" i="45"/>
  <c r="D9" i="45"/>
  <c r="D10" i="45"/>
  <c r="D12" i="45"/>
  <c r="D13" i="45"/>
  <c r="D16" i="45"/>
  <c r="D17" i="45"/>
  <c r="D19" i="45"/>
  <c r="D21" i="45"/>
  <c r="D23" i="45"/>
  <c r="D26" i="45"/>
  <c r="D28" i="45"/>
  <c r="D34" i="45"/>
  <c r="D35" i="45"/>
  <c r="D37" i="45"/>
  <c r="D38" i="45"/>
  <c r="D39" i="45"/>
  <c r="D40" i="45"/>
  <c r="D41" i="45"/>
  <c r="D42" i="45"/>
  <c r="D44" i="45"/>
  <c r="D45" i="45"/>
  <c r="D46" i="45"/>
  <c r="D47" i="45"/>
  <c r="D48" i="45"/>
  <c r="D50" i="45"/>
  <c r="D51" i="45"/>
  <c r="D52" i="45"/>
  <c r="D53" i="45"/>
  <c r="D54" i="45"/>
  <c r="D55" i="45"/>
  <c r="D56" i="45"/>
  <c r="D57" i="45"/>
  <c r="D58" i="45"/>
  <c r="D59" i="45"/>
  <c r="D76" i="45"/>
  <c r="D61" i="45"/>
  <c r="D64" i="45"/>
  <c r="D66" i="45"/>
  <c r="D68" i="45"/>
  <c r="D69" i="45"/>
  <c r="D70" i="45"/>
  <c r="D71" i="45"/>
  <c r="D72" i="45"/>
  <c r="D74" i="45"/>
  <c r="D75" i="45"/>
  <c r="D92" i="45"/>
  <c r="D95" i="45"/>
  <c r="D96" i="45"/>
  <c r="D97" i="45"/>
  <c r="D98" i="45"/>
  <c r="D99" i="45"/>
  <c r="D100" i="45"/>
  <c r="D101" i="45"/>
  <c r="D102" i="45"/>
  <c r="D103" i="45"/>
  <c r="D104" i="45"/>
  <c r="D105" i="45"/>
  <c r="D107" i="45"/>
  <c r="D108" i="45"/>
  <c r="D109" i="45"/>
  <c r="D111" i="45"/>
  <c r="D113" i="45"/>
  <c r="D115" i="45"/>
  <c r="D116" i="45"/>
  <c r="D117" i="45"/>
  <c r="D118" i="45"/>
  <c r="D119" i="45"/>
  <c r="D120" i="45"/>
  <c r="D121" i="45"/>
  <c r="D122" i="45"/>
  <c r="D123" i="45"/>
  <c r="D124" i="45"/>
  <c r="D125" i="45"/>
  <c r="D126" i="45"/>
  <c r="D127" i="45"/>
  <c r="D129" i="45"/>
  <c r="D130" i="45"/>
  <c r="D131" i="45"/>
  <c r="D132" i="45"/>
  <c r="D133" i="45"/>
  <c r="D134" i="45"/>
  <c r="D135" i="45"/>
  <c r="D136" i="45"/>
  <c r="D137" i="45"/>
  <c r="D138" i="45"/>
  <c r="D139" i="45"/>
  <c r="D140" i="45"/>
  <c r="D141" i="45"/>
  <c r="D142" i="45"/>
  <c r="D143" i="45"/>
  <c r="D144" i="45"/>
  <c r="D145" i="45"/>
  <c r="D146" i="45"/>
  <c r="D147" i="45"/>
  <c r="D148" i="45"/>
  <c r="D149" i="45"/>
  <c r="D150" i="45"/>
  <c r="D60" i="45"/>
  <c r="D62" i="45"/>
  <c r="D63" i="45"/>
  <c r="D65" i="45"/>
  <c r="D67" i="45"/>
  <c r="D73" i="45"/>
  <c r="D77" i="45"/>
  <c r="D78" i="45"/>
  <c r="D79" i="45"/>
  <c r="D80" i="45"/>
  <c r="D81" i="45"/>
  <c r="D82" i="45"/>
  <c r="D83" i="45"/>
  <c r="D84" i="45"/>
  <c r="D85" i="45"/>
  <c r="D86" i="45"/>
  <c r="D87" i="45"/>
  <c r="D88" i="45"/>
  <c r="D89" i="45"/>
  <c r="D90" i="45"/>
  <c r="D91" i="45"/>
  <c r="D93" i="45"/>
  <c r="D94" i="45"/>
  <c r="D106" i="45"/>
  <c r="D110" i="45"/>
  <c r="D112" i="45"/>
  <c r="D114" i="45"/>
  <c r="D128" i="45"/>
  <c r="D10" i="44"/>
  <c r="D14" i="44"/>
  <c r="D19" i="44"/>
  <c r="D20" i="44"/>
  <c r="D37" i="44"/>
  <c r="D41" i="44"/>
  <c r="D42" i="44"/>
  <c r="D43" i="44"/>
  <c r="D56" i="44"/>
  <c r="D58" i="44"/>
  <c r="D62" i="44"/>
  <c r="D74" i="44"/>
  <c r="D77" i="44"/>
  <c r="D78" i="44"/>
  <c r="D81" i="44"/>
  <c r="D82" i="44"/>
  <c r="D83" i="44"/>
  <c r="D84" i="44"/>
  <c r="D86" i="44"/>
  <c r="D88" i="44"/>
  <c r="D90" i="44"/>
  <c r="D92" i="44"/>
  <c r="D95" i="44"/>
  <c r="D98" i="44"/>
  <c r="D102" i="44"/>
  <c r="D105" i="44"/>
  <c r="D106" i="44"/>
  <c r="D109" i="44"/>
  <c r="D112" i="44"/>
  <c r="D117" i="44"/>
  <c r="D132" i="44"/>
  <c r="D8" i="44"/>
  <c r="D21" i="44"/>
  <c r="D22" i="44"/>
  <c r="D27" i="44"/>
  <c r="D28" i="44"/>
  <c r="D30" i="44"/>
  <c r="D35" i="44"/>
  <c r="D36" i="44"/>
  <c r="D38" i="44"/>
  <c r="D44" i="44"/>
  <c r="D45" i="44"/>
  <c r="D47" i="44"/>
  <c r="D48" i="44"/>
  <c r="D50" i="44"/>
  <c r="D61" i="44"/>
  <c r="D63" i="44"/>
  <c r="D65" i="44"/>
  <c r="D67" i="44"/>
  <c r="D68" i="44"/>
  <c r="D71" i="44"/>
  <c r="D73" i="44"/>
  <c r="D79" i="44"/>
  <c r="D80" i="44"/>
  <c r="D89" i="44"/>
  <c r="D94" i="44"/>
  <c r="D97" i="44"/>
  <c r="D101" i="44"/>
  <c r="D103" i="44"/>
  <c r="D107" i="44"/>
  <c r="D110" i="44"/>
  <c r="D115" i="44"/>
  <c r="D119" i="44"/>
  <c r="D125" i="44"/>
  <c r="D127" i="44"/>
  <c r="D143" i="44"/>
  <c r="D15" i="44"/>
  <c r="D16" i="44"/>
  <c r="D18" i="44"/>
  <c r="D25" i="44"/>
  <c r="D26" i="44"/>
  <c r="D29" i="44"/>
  <c r="D33" i="44"/>
  <c r="D49" i="44"/>
  <c r="D53" i="44"/>
  <c r="D55" i="44"/>
  <c r="D64" i="44"/>
  <c r="D66" i="44"/>
  <c r="D75" i="44"/>
  <c r="D85" i="44"/>
  <c r="D5" i="44"/>
  <c r="D6" i="44"/>
  <c r="D7" i="44"/>
  <c r="D9" i="44"/>
  <c r="D11" i="44"/>
  <c r="D12" i="44"/>
  <c r="D13" i="44"/>
  <c r="D17" i="44"/>
  <c r="D23" i="44"/>
  <c r="D24" i="44"/>
  <c r="D31" i="44"/>
  <c r="D32" i="44"/>
  <c r="D34" i="44"/>
  <c r="D39" i="44"/>
  <c r="D40" i="44"/>
  <c r="D46" i="44"/>
  <c r="D51" i="44"/>
  <c r="D52" i="44"/>
  <c r="D54" i="44"/>
  <c r="D57" i="44"/>
  <c r="D59" i="44"/>
  <c r="D60" i="44"/>
  <c r="D69" i="44"/>
  <c r="D70" i="44"/>
  <c r="D72" i="44"/>
  <c r="D76" i="44"/>
  <c r="D87" i="44"/>
  <c r="D91" i="44"/>
  <c r="D93" i="44"/>
  <c r="D96" i="44"/>
  <c r="D99" i="44"/>
  <c r="D100" i="44"/>
  <c r="D104" i="44"/>
  <c r="D108" i="44"/>
  <c r="D111" i="44"/>
  <c r="D113" i="44"/>
  <c r="D114" i="44"/>
  <c r="D116" i="44"/>
  <c r="D118" i="44"/>
  <c r="D120" i="44"/>
  <c r="D121" i="44"/>
  <c r="D122" i="44"/>
  <c r="D123" i="44"/>
  <c r="D124" i="44"/>
  <c r="D126" i="44"/>
  <c r="D128" i="44"/>
  <c r="D129" i="44"/>
  <c r="D130" i="44"/>
  <c r="D131" i="44"/>
  <c r="D133" i="44"/>
  <c r="D134" i="44"/>
  <c r="D135" i="44"/>
  <c r="D136" i="44"/>
  <c r="D137" i="44"/>
  <c r="D138" i="44"/>
  <c r="D139" i="44"/>
  <c r="D140" i="44"/>
  <c r="D141" i="44"/>
  <c r="D142" i="44"/>
  <c r="D144" i="44"/>
  <c r="D145" i="44"/>
  <c r="D146" i="44"/>
  <c r="D147" i="44"/>
  <c r="D148" i="44"/>
  <c r="D149" i="44"/>
  <c r="D150" i="44"/>
  <c r="J9" i="43"/>
  <c r="D151" i="43"/>
  <c r="H8" i="43"/>
  <c r="H7" i="43"/>
  <c r="I8" i="43"/>
  <c r="J7" i="43"/>
  <c r="J8" i="43"/>
  <c r="I7" i="43"/>
  <c r="J9" i="42"/>
  <c r="D151" i="42"/>
  <c r="H8" i="42"/>
  <c r="J7" i="42"/>
  <c r="I8" i="42"/>
  <c r="I7" i="42"/>
  <c r="J8" i="42"/>
  <c r="H7" i="42"/>
  <c r="H7" i="41"/>
  <c r="I7" i="41"/>
  <c r="H8" i="41"/>
  <c r="J8" i="41"/>
  <c r="I8" i="41"/>
  <c r="J7" i="41"/>
  <c r="D151" i="41"/>
  <c r="J9" i="41"/>
  <c r="I8" i="40"/>
  <c r="J7" i="40"/>
  <c r="J9" i="40"/>
  <c r="J8" i="40"/>
  <c r="H7" i="40"/>
  <c r="H8" i="40"/>
  <c r="I7" i="40"/>
  <c r="D151" i="40"/>
  <c r="D19" i="39"/>
  <c r="D21" i="39"/>
  <c r="D26" i="39"/>
  <c r="D27" i="39"/>
  <c r="D29" i="39"/>
  <c r="D35" i="39"/>
  <c r="D36" i="39"/>
  <c r="D38" i="39"/>
  <c r="D43" i="39"/>
  <c r="D46" i="39"/>
  <c r="D50" i="39"/>
  <c r="D67" i="39"/>
  <c r="D5" i="39"/>
  <c r="D7" i="39"/>
  <c r="D9" i="39"/>
  <c r="D15" i="39"/>
  <c r="D34" i="39"/>
  <c r="D39" i="39"/>
  <c r="D41" i="39"/>
  <c r="D47" i="39"/>
  <c r="D49" i="39"/>
  <c r="D54" i="39"/>
  <c r="D66" i="39"/>
  <c r="D73" i="39"/>
  <c r="D6" i="39"/>
  <c r="D8" i="39"/>
  <c r="D16" i="39"/>
  <c r="D17" i="39"/>
  <c r="D37" i="39"/>
  <c r="D44" i="39"/>
  <c r="D51" i="39"/>
  <c r="D62" i="39"/>
  <c r="D10" i="39"/>
  <c r="D11" i="39"/>
  <c r="D12" i="39"/>
  <c r="D13" i="39"/>
  <c r="D14" i="39"/>
  <c r="D18" i="39"/>
  <c r="D20" i="39"/>
  <c r="D22" i="39"/>
  <c r="D23" i="39"/>
  <c r="D24" i="39"/>
  <c r="D25" i="39"/>
  <c r="D28" i="39"/>
  <c r="D30" i="39"/>
  <c r="D31" i="39"/>
  <c r="D32" i="39"/>
  <c r="D33" i="39"/>
  <c r="D40" i="39"/>
  <c r="D42" i="39"/>
  <c r="D45" i="39"/>
  <c r="D48" i="39"/>
  <c r="D52" i="39"/>
  <c r="D53" i="39"/>
  <c r="D55" i="39"/>
  <c r="D56" i="39"/>
  <c r="D57" i="39"/>
  <c r="D58" i="39"/>
  <c r="D59" i="39"/>
  <c r="D60" i="39"/>
  <c r="D61" i="39"/>
  <c r="D63" i="39"/>
  <c r="D64" i="39"/>
  <c r="D65" i="39"/>
  <c r="D68" i="39"/>
  <c r="D69" i="39"/>
  <c r="D70" i="39"/>
  <c r="D71" i="39"/>
  <c r="D72" i="39"/>
  <c r="D74" i="39"/>
  <c r="D75" i="39"/>
  <c r="D76" i="39"/>
  <c r="D77" i="39"/>
  <c r="D78" i="39"/>
  <c r="D79" i="39"/>
  <c r="D80" i="39"/>
  <c r="D81" i="39"/>
  <c r="D82" i="39"/>
  <c r="D83" i="39"/>
  <c r="D84" i="39"/>
  <c r="D85" i="39"/>
  <c r="D86" i="39"/>
  <c r="D87" i="39"/>
  <c r="D88" i="39"/>
  <c r="D89" i="39"/>
  <c r="D90" i="39"/>
  <c r="D91" i="39"/>
  <c r="D92" i="39"/>
  <c r="D93" i="39"/>
  <c r="D94" i="39"/>
  <c r="D95" i="39"/>
  <c r="D96" i="39"/>
  <c r="D97" i="39"/>
  <c r="D98" i="39"/>
  <c r="D99" i="39"/>
  <c r="D100" i="39"/>
  <c r="D101" i="39"/>
  <c r="D102" i="39"/>
  <c r="D103" i="39"/>
  <c r="D104" i="39"/>
  <c r="D105" i="39"/>
  <c r="D106" i="39"/>
  <c r="D107" i="39"/>
  <c r="D108" i="39"/>
  <c r="D109" i="39"/>
  <c r="D110" i="39"/>
  <c r="D111" i="39"/>
  <c r="D112" i="39"/>
  <c r="D113" i="39"/>
  <c r="D114" i="39"/>
  <c r="D115" i="39"/>
  <c r="D116" i="39"/>
  <c r="D117" i="39"/>
  <c r="D118" i="39"/>
  <c r="D119" i="39"/>
  <c r="D120" i="39"/>
  <c r="D122" i="39"/>
  <c r="D150" i="39"/>
  <c r="D149" i="39"/>
  <c r="D121" i="39"/>
  <c r="D148" i="39"/>
  <c r="D123" i="39"/>
  <c r="D124" i="39"/>
  <c r="D125" i="39"/>
  <c r="D126" i="39"/>
  <c r="D127" i="39"/>
  <c r="D128" i="39"/>
  <c r="D129" i="39"/>
  <c r="D130" i="39"/>
  <c r="D131" i="39"/>
  <c r="D132" i="39"/>
  <c r="D133" i="39"/>
  <c r="D134" i="39"/>
  <c r="D135" i="39"/>
  <c r="D136" i="39"/>
  <c r="D137" i="39"/>
  <c r="D138" i="39"/>
  <c r="D139" i="39"/>
  <c r="D140" i="39"/>
  <c r="D141" i="39"/>
  <c r="D142" i="39"/>
  <c r="D143" i="39"/>
  <c r="D144" i="39"/>
  <c r="D145" i="39"/>
  <c r="D146" i="39"/>
  <c r="D147" i="39"/>
  <c r="D151" i="38"/>
  <c r="J8" i="38"/>
  <c r="I8" i="38"/>
  <c r="H8" i="38"/>
  <c r="J7" i="38"/>
  <c r="I7" i="38"/>
  <c r="H7" i="38"/>
  <c r="D151" i="37"/>
  <c r="I8" i="37"/>
  <c r="H8" i="37"/>
  <c r="I7" i="37"/>
  <c r="J8" i="37"/>
  <c r="J7" i="37"/>
  <c r="H7" i="37"/>
  <c r="J9" i="37"/>
  <c r="D5" i="36"/>
  <c r="D6" i="36"/>
  <c r="D11" i="36"/>
  <c r="D12" i="36"/>
  <c r="D13" i="36"/>
  <c r="D15" i="36"/>
  <c r="D17" i="36"/>
  <c r="D18" i="36"/>
  <c r="D19" i="36"/>
  <c r="D20" i="36"/>
  <c r="D21" i="36"/>
  <c r="D22" i="36"/>
  <c r="D23" i="36"/>
  <c r="D24" i="36"/>
  <c r="D26" i="36"/>
  <c r="D30" i="36"/>
  <c r="D32" i="36"/>
  <c r="D38" i="36"/>
  <c r="D47" i="36"/>
  <c r="D49" i="36"/>
  <c r="D52" i="36"/>
  <c r="D101" i="36"/>
  <c r="D7" i="36"/>
  <c r="D8" i="36"/>
  <c r="D9" i="36"/>
  <c r="D10" i="36"/>
  <c r="D14" i="36"/>
  <c r="D16" i="36"/>
  <c r="D25" i="36"/>
  <c r="D27" i="36"/>
  <c r="D28" i="36"/>
  <c r="D29" i="36"/>
  <c r="D31" i="36"/>
  <c r="D33" i="36"/>
  <c r="D34" i="36"/>
  <c r="D35" i="36"/>
  <c r="D36" i="36"/>
  <c r="D37" i="36"/>
  <c r="D39" i="36"/>
  <c r="D40" i="36"/>
  <c r="D41" i="36"/>
  <c r="D42" i="36"/>
  <c r="D43" i="36"/>
  <c r="D44" i="36"/>
  <c r="D45" i="36"/>
  <c r="D46" i="36"/>
  <c r="D48" i="36"/>
  <c r="D50" i="36"/>
  <c r="D51" i="36"/>
  <c r="D53" i="36"/>
  <c r="D54" i="36"/>
  <c r="D55" i="36"/>
  <c r="D56" i="36"/>
  <c r="D57" i="36"/>
  <c r="D58" i="36"/>
  <c r="D59" i="36"/>
  <c r="D60" i="36"/>
  <c r="D61" i="36"/>
  <c r="D62" i="36"/>
  <c r="D63" i="36"/>
  <c r="D64" i="36"/>
  <c r="D65" i="36"/>
  <c r="D66" i="36"/>
  <c r="D67" i="36"/>
  <c r="D68" i="36"/>
  <c r="D69" i="36"/>
  <c r="D70" i="36"/>
  <c r="D71" i="36"/>
  <c r="D72" i="36"/>
  <c r="D73" i="36"/>
  <c r="D74" i="36"/>
  <c r="D75" i="36"/>
  <c r="D76" i="36"/>
  <c r="D77" i="36"/>
  <c r="D78" i="36"/>
  <c r="D79" i="36"/>
  <c r="D80" i="36"/>
  <c r="D81" i="36"/>
  <c r="D82" i="36"/>
  <c r="D83" i="36"/>
  <c r="D84" i="36"/>
  <c r="D85" i="36"/>
  <c r="D86" i="36"/>
  <c r="D87" i="36"/>
  <c r="D88" i="36"/>
  <c r="D89" i="36"/>
  <c r="D90" i="36"/>
  <c r="D91" i="36"/>
  <c r="D92" i="36"/>
  <c r="D93" i="36"/>
  <c r="D94" i="36"/>
  <c r="D95" i="36"/>
  <c r="D96" i="36"/>
  <c r="D97" i="36"/>
  <c r="D98" i="36"/>
  <c r="D99" i="36"/>
  <c r="D100" i="36"/>
  <c r="D146" i="36"/>
  <c r="D102" i="36"/>
  <c r="D103" i="36"/>
  <c r="D104" i="36"/>
  <c r="D105" i="36"/>
  <c r="D106" i="36"/>
  <c r="D107" i="36"/>
  <c r="D108" i="36"/>
  <c r="D109" i="36"/>
  <c r="D110" i="36"/>
  <c r="D111" i="36"/>
  <c r="D112" i="36"/>
  <c r="D113" i="36"/>
  <c r="D114" i="36"/>
  <c r="D115" i="36"/>
  <c r="D116" i="36"/>
  <c r="D117" i="36"/>
  <c r="D118" i="36"/>
  <c r="D119" i="36"/>
  <c r="D120" i="36"/>
  <c r="D121" i="36"/>
  <c r="D122" i="36"/>
  <c r="D123" i="36"/>
  <c r="D124" i="36"/>
  <c r="D125" i="36"/>
  <c r="D126" i="36"/>
  <c r="D127" i="36"/>
  <c r="D128" i="36"/>
  <c r="D129" i="36"/>
  <c r="D130" i="36"/>
  <c r="D131" i="36"/>
  <c r="D132" i="36"/>
  <c r="D133" i="36"/>
  <c r="D134" i="36"/>
  <c r="D135" i="36"/>
  <c r="D136" i="36"/>
  <c r="D137" i="36"/>
  <c r="D138" i="36"/>
  <c r="D139" i="36"/>
  <c r="D140" i="36"/>
  <c r="D141" i="36"/>
  <c r="D142" i="36"/>
  <c r="D143" i="36"/>
  <c r="D144" i="36"/>
  <c r="D145" i="36"/>
  <c r="D150" i="36"/>
  <c r="D149" i="36"/>
  <c r="D148" i="36"/>
  <c r="D147" i="36"/>
  <c r="D4" i="36"/>
  <c r="D9" i="35"/>
  <c r="D13" i="35"/>
  <c r="D20" i="35"/>
  <c r="D21" i="35"/>
  <c r="D22" i="35"/>
  <c r="D24" i="35"/>
  <c r="D31" i="35"/>
  <c r="D33" i="35"/>
  <c r="D114" i="35"/>
  <c r="D19" i="35"/>
  <c r="D26" i="35"/>
  <c r="D38" i="35"/>
  <c r="D43" i="35"/>
  <c r="D47" i="35"/>
  <c r="D51" i="35"/>
  <c r="D52" i="35"/>
  <c r="D53" i="35"/>
  <c r="D59" i="35"/>
  <c r="D64" i="35"/>
  <c r="D66" i="35"/>
  <c r="D70" i="35"/>
  <c r="D96" i="35"/>
  <c r="D7" i="35"/>
  <c r="D10" i="35"/>
  <c r="D12" i="35"/>
  <c r="D14" i="35"/>
  <c r="D32" i="35"/>
  <c r="D34" i="35"/>
  <c r="D44" i="35"/>
  <c r="D46" i="35"/>
  <c r="D54" i="35"/>
  <c r="D60" i="35"/>
  <c r="D63" i="35"/>
  <c r="D68" i="35"/>
  <c r="D72" i="35"/>
  <c r="D106" i="35"/>
  <c r="D5" i="35"/>
  <c r="D8" i="35"/>
  <c r="D55" i="35"/>
  <c r="D6" i="35"/>
  <c r="D11" i="35"/>
  <c r="D42" i="35"/>
  <c r="D15" i="35"/>
  <c r="D16" i="35"/>
  <c r="D17" i="35"/>
  <c r="D18" i="35"/>
  <c r="D23" i="35"/>
  <c r="D25" i="35"/>
  <c r="D27" i="35"/>
  <c r="D28" i="35"/>
  <c r="D29" i="35"/>
  <c r="D30" i="35"/>
  <c r="D35" i="35"/>
  <c r="D36" i="35"/>
  <c r="D37" i="35"/>
  <c r="D39" i="35"/>
  <c r="D40" i="35"/>
  <c r="D41" i="35"/>
  <c r="D45" i="35"/>
  <c r="D48" i="35"/>
  <c r="D49" i="35"/>
  <c r="D50" i="35"/>
  <c r="D56" i="35"/>
  <c r="D57" i="35"/>
  <c r="D58" i="35"/>
  <c r="D61" i="35"/>
  <c r="D62" i="35"/>
  <c r="D65" i="35"/>
  <c r="D67" i="35"/>
  <c r="D69" i="35"/>
  <c r="D71" i="35"/>
  <c r="D73" i="35"/>
  <c r="D74" i="35"/>
  <c r="D75" i="35"/>
  <c r="D76" i="35"/>
  <c r="D77" i="35"/>
  <c r="D78" i="35"/>
  <c r="D79" i="35"/>
  <c r="D80" i="35"/>
  <c r="D81" i="35"/>
  <c r="D82" i="35"/>
  <c r="D83" i="35"/>
  <c r="D84" i="35"/>
  <c r="D85" i="35"/>
  <c r="D86" i="35"/>
  <c r="D87" i="35"/>
  <c r="D88" i="35"/>
  <c r="D89" i="35"/>
  <c r="D90" i="35"/>
  <c r="D91" i="35"/>
  <c r="D92" i="35"/>
  <c r="D93" i="35"/>
  <c r="D94" i="35"/>
  <c r="D95" i="35"/>
  <c r="D97" i="35"/>
  <c r="D98" i="35"/>
  <c r="D99" i="35"/>
  <c r="D100" i="35"/>
  <c r="D101" i="35"/>
  <c r="D102" i="35"/>
  <c r="D103" i="35"/>
  <c r="D104" i="35"/>
  <c r="D105" i="35"/>
  <c r="D107" i="35"/>
  <c r="D108" i="35"/>
  <c r="D109" i="35"/>
  <c r="D110" i="35"/>
  <c r="D111" i="35"/>
  <c r="D112" i="35"/>
  <c r="D113" i="35"/>
  <c r="D115" i="35"/>
  <c r="D116" i="35"/>
  <c r="D117" i="35"/>
  <c r="D118" i="35"/>
  <c r="D119" i="35"/>
  <c r="D120" i="35"/>
  <c r="D121" i="35"/>
  <c r="D122" i="35"/>
  <c r="D123" i="35"/>
  <c r="D124" i="35"/>
  <c r="D125" i="35"/>
  <c r="D126" i="35"/>
  <c r="D127" i="35"/>
  <c r="D128" i="35"/>
  <c r="D129" i="35"/>
  <c r="D130" i="35"/>
  <c r="D131" i="35"/>
  <c r="D132" i="35"/>
  <c r="D4" i="35"/>
  <c r="D133" i="35"/>
  <c r="D150" i="35"/>
  <c r="D149" i="35"/>
  <c r="D148" i="35"/>
  <c r="D147" i="35"/>
  <c r="D146" i="35"/>
  <c r="D145" i="35"/>
  <c r="D144" i="35"/>
  <c r="D143" i="35"/>
  <c r="D142" i="35"/>
  <c r="D141" i="35"/>
  <c r="D140" i="35"/>
  <c r="D139" i="35"/>
  <c r="D138" i="35"/>
  <c r="D137" i="35"/>
  <c r="D136" i="35"/>
  <c r="D135" i="35"/>
  <c r="D134" i="35"/>
  <c r="J9" i="34"/>
  <c r="D151" i="34"/>
  <c r="I8" i="34"/>
  <c r="J7" i="34"/>
  <c r="J8" i="34"/>
  <c r="H7" i="34"/>
  <c r="H8" i="34"/>
  <c r="I7" i="34"/>
  <c r="H8" i="33"/>
  <c r="J7" i="33"/>
  <c r="I8" i="33"/>
  <c r="I7" i="33"/>
  <c r="H7" i="33"/>
  <c r="J8" i="33"/>
  <c r="D151" i="32"/>
  <c r="J8" i="32"/>
  <c r="H7" i="32"/>
  <c r="H8" i="32"/>
  <c r="I7" i="32"/>
  <c r="J9" i="32"/>
  <c r="J7" i="32"/>
  <c r="I8" i="32"/>
  <c r="D151" i="31"/>
  <c r="J8" i="31"/>
  <c r="D151" i="30"/>
  <c r="I7" i="30"/>
  <c r="J8" i="30"/>
  <c r="J7" i="30"/>
  <c r="I8" i="30"/>
  <c r="H7" i="30"/>
  <c r="D151" i="28"/>
  <c r="H8" i="28"/>
  <c r="I8" i="28"/>
  <c r="J8" i="28"/>
  <c r="H7" i="28"/>
  <c r="J7" i="28"/>
  <c r="H8" i="49" l="1"/>
  <c r="J7" i="49"/>
  <c r="J8" i="49"/>
  <c r="J9" i="49"/>
  <c r="D151" i="49"/>
  <c r="H7" i="49"/>
  <c r="I7" i="49"/>
  <c r="I8" i="49"/>
  <c r="J9" i="45"/>
  <c r="I7" i="45"/>
  <c r="J7" i="45"/>
  <c r="H8" i="45"/>
  <c r="H7" i="45"/>
  <c r="D151" i="45"/>
  <c r="I8" i="45"/>
  <c r="J8" i="45"/>
  <c r="J9" i="44"/>
  <c r="D151" i="44"/>
  <c r="H8" i="44"/>
  <c r="J7" i="44"/>
  <c r="I8" i="44"/>
  <c r="J8" i="44"/>
  <c r="I7" i="44"/>
  <c r="H7" i="44"/>
  <c r="J9" i="39"/>
  <c r="H8" i="39"/>
  <c r="J8" i="39"/>
  <c r="H7" i="39"/>
  <c r="I7" i="39"/>
  <c r="J7" i="39"/>
  <c r="I8" i="39"/>
  <c r="D151" i="39"/>
  <c r="J9" i="36"/>
  <c r="H8" i="36"/>
  <c r="I8" i="36"/>
  <c r="I7" i="36"/>
  <c r="J7" i="36"/>
  <c r="H7" i="36"/>
  <c r="D151" i="36"/>
  <c r="J8" i="36"/>
  <c r="H7" i="35"/>
  <c r="I8" i="35"/>
  <c r="H8" i="35"/>
  <c r="I7" i="35"/>
  <c r="J7" i="35"/>
  <c r="D151" i="35"/>
  <c r="J8" i="35"/>
  <c r="J9" i="35"/>
  <c r="C151" i="29"/>
  <c r="D83" i="29" l="1"/>
  <c r="D5" i="29"/>
  <c r="D55" i="29"/>
  <c r="D65" i="29"/>
  <c r="D44" i="29"/>
  <c r="D43" i="29"/>
  <c r="D42" i="29"/>
  <c r="D41" i="29"/>
  <c r="D38" i="29"/>
  <c r="D109" i="29"/>
  <c r="D98" i="29"/>
  <c r="D121" i="29"/>
  <c r="D59" i="29"/>
  <c r="D132" i="29"/>
  <c r="D47" i="29"/>
  <c r="D91" i="29"/>
  <c r="D20" i="29"/>
  <c r="D18" i="29"/>
  <c r="D13" i="29"/>
  <c r="D9" i="29"/>
  <c r="D7" i="29"/>
  <c r="D6" i="29"/>
  <c r="D148" i="29"/>
  <c r="D147" i="29"/>
  <c r="D100" i="29"/>
  <c r="D11" i="29"/>
  <c r="D93" i="29"/>
  <c r="D53" i="29"/>
  <c r="D64" i="29"/>
  <c r="D130" i="29"/>
  <c r="D108" i="29"/>
  <c r="D90" i="29"/>
  <c r="D10" i="29"/>
  <c r="D46" i="29"/>
  <c r="D128" i="29"/>
  <c r="D126" i="29"/>
  <c r="D124" i="29"/>
  <c r="D123" i="29"/>
  <c r="D120" i="29"/>
  <c r="D117" i="29"/>
  <c r="D114" i="29"/>
  <c r="D113" i="29"/>
  <c r="D112" i="29"/>
  <c r="D110" i="29"/>
  <c r="D141" i="29"/>
  <c r="D133" i="29"/>
  <c r="D131" i="29"/>
  <c r="D63" i="29"/>
  <c r="D62" i="29"/>
  <c r="D57" i="29"/>
  <c r="D85" i="29"/>
  <c r="D95" i="29"/>
  <c r="D36" i="29"/>
  <c r="D35" i="29"/>
  <c r="D34" i="29"/>
  <c r="D33" i="29"/>
  <c r="D32" i="29"/>
  <c r="D14" i="29"/>
  <c r="D12" i="29"/>
  <c r="D8" i="29"/>
  <c r="D149" i="29"/>
  <c r="D146" i="29"/>
  <c r="D105" i="29"/>
  <c r="D75" i="29"/>
  <c r="D67" i="29"/>
  <c r="D87" i="29"/>
  <c r="D22" i="29"/>
  <c r="D56" i="29"/>
  <c r="D50" i="29"/>
  <c r="D48" i="29"/>
  <c r="D89" i="29"/>
  <c r="D54" i="29"/>
  <c r="D29" i="29"/>
  <c r="D27" i="29"/>
  <c r="D25" i="29"/>
  <c r="D23" i="29"/>
  <c r="D21" i="29"/>
  <c r="D19" i="29"/>
  <c r="D17" i="29"/>
  <c r="D16" i="29"/>
  <c r="D15" i="29"/>
  <c r="D45" i="29"/>
  <c r="D40" i="29"/>
  <c r="D39" i="29"/>
  <c r="D37" i="29"/>
  <c r="D31" i="29"/>
  <c r="D28" i="29"/>
  <c r="D26" i="29"/>
  <c r="D24" i="29"/>
  <c r="D129" i="29"/>
  <c r="D127" i="29"/>
  <c r="D122" i="29"/>
  <c r="D119" i="29"/>
  <c r="D116" i="29"/>
  <c r="D115" i="29"/>
  <c r="D111" i="29"/>
  <c r="D107" i="29"/>
  <c r="D106" i="29"/>
  <c r="D104" i="29"/>
  <c r="D103" i="29"/>
  <c r="D102" i="29"/>
  <c r="D101" i="29"/>
  <c r="D97" i="29"/>
  <c r="D86" i="29"/>
  <c r="D82" i="29"/>
  <c r="D81" i="29"/>
  <c r="D78" i="29"/>
  <c r="D136" i="29"/>
  <c r="D118" i="29"/>
  <c r="D99" i="29"/>
  <c r="D4" i="29"/>
  <c r="D30" i="29"/>
  <c r="D94" i="29"/>
  <c r="D58" i="29"/>
  <c r="D52" i="29"/>
  <c r="D51" i="29"/>
  <c r="D49" i="29"/>
  <c r="D145" i="29"/>
  <c r="D144" i="29"/>
  <c r="D143" i="29"/>
  <c r="D142" i="29"/>
  <c r="D140" i="29"/>
  <c r="D139" i="29"/>
  <c r="D138" i="29"/>
  <c r="D137" i="29"/>
  <c r="D135" i="29"/>
  <c r="D134" i="29"/>
  <c r="D96" i="29"/>
  <c r="D79" i="29"/>
  <c r="D125" i="29"/>
  <c r="D84" i="29"/>
  <c r="D76" i="29"/>
  <c r="D74" i="29"/>
  <c r="D72" i="29"/>
  <c r="D70" i="29"/>
  <c r="D61" i="29"/>
  <c r="D60" i="29"/>
  <c r="D92" i="29"/>
  <c r="D88" i="29"/>
  <c r="D80" i="29"/>
  <c r="D77" i="29"/>
  <c r="D73" i="29"/>
  <c r="D71" i="29"/>
  <c r="D69" i="29"/>
  <c r="D68" i="29"/>
  <c r="D66" i="29"/>
  <c r="D150" i="29"/>
  <c r="J9" i="29" l="1"/>
  <c r="I8" i="29"/>
  <c r="H7" i="29"/>
  <c r="H8" i="29"/>
  <c r="I7" i="29"/>
  <c r="J7" i="29"/>
  <c r="J8" i="29"/>
  <c r="D151" i="29"/>
</calcChain>
</file>

<file path=xl/sharedStrings.xml><?xml version="1.0" encoding="utf-8"?>
<sst xmlns="http://schemas.openxmlformats.org/spreadsheetml/2006/main" count="7832" uniqueCount="217">
  <si>
    <t>Company Name</t>
  </si>
  <si>
    <t>Apple</t>
  </si>
  <si>
    <t>Meta</t>
  </si>
  <si>
    <t>Microsoft</t>
  </si>
  <si>
    <t>Ford</t>
  </si>
  <si>
    <t>Procter &amp; Gamble</t>
  </si>
  <si>
    <t>Samsung</t>
  </si>
  <si>
    <t>Amazon</t>
  </si>
  <si>
    <t>NVIDIA</t>
  </si>
  <si>
    <t>Allianz</t>
  </si>
  <si>
    <t>L'Oreal</t>
  </si>
  <si>
    <t>LVMH</t>
  </si>
  <si>
    <t>Novo Nordisk</t>
  </si>
  <si>
    <t>Reliance Industries</t>
  </si>
  <si>
    <t>SAP</t>
  </si>
  <si>
    <t>Sony</t>
  </si>
  <si>
    <t>Tencent</t>
  </si>
  <si>
    <t>TotaleEnergies</t>
  </si>
  <si>
    <t>Toyota</t>
  </si>
  <si>
    <t>TSMC</t>
  </si>
  <si>
    <t>Volkswagen</t>
  </si>
  <si>
    <t>JP Morgan</t>
  </si>
  <si>
    <t>ASML</t>
  </si>
  <si>
    <t>BNP Paribas</t>
  </si>
  <si>
    <t>Eli Lilly</t>
  </si>
  <si>
    <t>ENI</t>
  </si>
  <si>
    <t>Apple Inc.</t>
  </si>
  <si>
    <t>Country of Revenue</t>
  </si>
  <si>
    <t>Country Geopolitical Risk Index</t>
  </si>
  <si>
    <t>Percentage of Revenues</t>
  </si>
  <si>
    <t>Percentage of Revenues Standardized</t>
  </si>
  <si>
    <t>Albania</t>
  </si>
  <si>
    <t>Algeria</t>
  </si>
  <si>
    <t>Main Data</t>
  </si>
  <si>
    <t>Angola</t>
  </si>
  <si>
    <t>Country</t>
  </si>
  <si>
    <t>Geopolitical Risk Index</t>
  </si>
  <si>
    <t>Value</t>
  </si>
  <si>
    <t>Argentina</t>
  </si>
  <si>
    <t>Minimum</t>
  </si>
  <si>
    <t>Armenia</t>
  </si>
  <si>
    <t>Maximum</t>
  </si>
  <si>
    <t>Australia</t>
  </si>
  <si>
    <t>Component - Revenues</t>
  </si>
  <si>
    <t>Austria</t>
  </si>
  <si>
    <t>Azerbaijan</t>
  </si>
  <si>
    <t>Bahrain</t>
  </si>
  <si>
    <t>Bangladesh</t>
  </si>
  <si>
    <t>Belarus</t>
  </si>
  <si>
    <t>Belgium</t>
  </si>
  <si>
    <t>Benin</t>
  </si>
  <si>
    <t>Bhutan</t>
  </si>
  <si>
    <t>Bolivia</t>
  </si>
  <si>
    <t>Bosnia and Herzegovina</t>
  </si>
  <si>
    <t>Botswana</t>
  </si>
  <si>
    <t>Brazil</t>
  </si>
  <si>
    <t>Bulgaria</t>
  </si>
  <si>
    <t>Burkina Faso</t>
  </si>
  <si>
    <t>Burundi</t>
  </si>
  <si>
    <t>Cambodia</t>
  </si>
  <si>
    <t>Cameroon</t>
  </si>
  <si>
    <t>Canada</t>
  </si>
  <si>
    <t>Central African Republic</t>
  </si>
  <si>
    <t>Chad</t>
  </si>
  <si>
    <t>Chile</t>
  </si>
  <si>
    <t>China</t>
  </si>
  <si>
    <t>Includes Taiwan</t>
  </si>
  <si>
    <t>Colombia</t>
  </si>
  <si>
    <t>Congo, Rep.</t>
  </si>
  <si>
    <t>Costa Rica</t>
  </si>
  <si>
    <t>Cote d'Ivoire</t>
  </si>
  <si>
    <t>Croatia</t>
  </si>
  <si>
    <t>Cyprus</t>
  </si>
  <si>
    <t>Czech Republic</t>
  </si>
  <si>
    <t>Denmark</t>
  </si>
  <si>
    <t>Djibouti</t>
  </si>
  <si>
    <t>Dominican Republic</t>
  </si>
  <si>
    <t>Ecuador</t>
  </si>
  <si>
    <t>Egypt</t>
  </si>
  <si>
    <t>El Salvador</t>
  </si>
  <si>
    <t>Estonia</t>
  </si>
  <si>
    <t>Eswatini</t>
  </si>
  <si>
    <t>Ethiopia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</si>
  <si>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</si>
  <si>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</si>
  <si>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</si>
  <si>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</si>
  <si>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</si>
  <si>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</si>
  <si>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</si>
  <si>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</si>
  <si>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</si>
  <si>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</si>
  <si>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</si>
  <si>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</si>
  <si>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</si>
  <si>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</si>
  <si>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</si>
  <si>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</si>
  <si>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</si>
  <si>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</si>
  <si>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</si>
  <si>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</si>
  <si>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</si>
  <si>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</si>
  <si>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</si>
  <si>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</si>
  <si>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</si>
  <si>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</si>
  <si>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</si>
  <si>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</si>
  <si>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</si>
  <si>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 Republic</t>
  </si>
  <si>
    <t>Laos</t>
  </si>
  <si>
    <t>Latvia</t>
  </si>
  <si>
    <t>Lebanon</t>
  </si>
  <si>
    <t>Lesotho</t>
  </si>
  <si>
    <t>Liberia</t>
  </si>
  <si>
    <t>Libya</t>
  </si>
  <si>
    <t>Lithuania</t>
  </si>
  <si>
    <t>Madagascar</t>
  </si>
  <si>
    <t>Malawi</t>
  </si>
  <si>
    <t>Malaysia</t>
  </si>
  <si>
    <t>Mali</t>
  </si>
  <si>
    <t>Mauritania</t>
  </si>
  <si>
    <t>Mauritius</t>
  </si>
  <si>
    <t>Mexico</t>
  </si>
  <si>
    <t>Moldova</t>
  </si>
  <si>
    <t>Mongolia</t>
  </si>
  <si>
    <t>Morocco</t>
  </si>
  <si>
    <t>Mozambique</t>
  </si>
  <si>
    <t>Namibia</t>
  </si>
  <si>
    <t>Nepal</t>
  </si>
  <si>
    <t>Netherlands</t>
  </si>
  <si>
    <t>New Zealand</t>
  </si>
  <si>
    <t>Nicaragua</t>
  </si>
  <si>
    <t>Niger</t>
  </si>
  <si>
    <t>Nigeria</t>
  </si>
  <si>
    <t>North Macedonia</t>
  </si>
  <si>
    <t>Norway</t>
  </si>
  <si>
    <t>Oman</t>
  </si>
  <si>
    <t>Pakistan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</si>
  <si>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</si>
  <si>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</si>
  <si>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</si>
  <si>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</si>
  <si>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</si>
  <si>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</si>
  <si>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</si>
  <si>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</si>
  <si>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</si>
  <si>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</si>
  <si>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</si>
  <si>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Saudi Arabia</t>
  </si>
  <si>
    <t>Senegal</t>
  </si>
  <si>
    <t>Serbia</t>
  </si>
  <si>
    <t>Sierra Leone</t>
  </si>
  <si>
    <t>Singapore</t>
  </si>
  <si>
    <t>Slovakia</t>
  </si>
  <si>
    <t>Slovenia</t>
  </si>
  <si>
    <t>South Africa</t>
  </si>
  <si>
    <t>South Korea</t>
  </si>
  <si>
    <t>Spain</t>
  </si>
  <si>
    <t>Sri Lanka</t>
  </si>
  <si>
    <t>Sudan</t>
  </si>
  <si>
    <t>Sweden</t>
  </si>
  <si>
    <t>Switzerland</t>
  </si>
  <si>
    <t>Syrian Arab Republic</t>
  </si>
  <si>
    <t>Tajikistan</t>
  </si>
  <si>
    <t>Thailand</t>
  </si>
  <si>
    <t>Timor-Leste</t>
  </si>
  <si>
    <t>Togo</t>
  </si>
  <si>
    <t>Trinidad and Tobago</t>
  </si>
  <si>
    <t>Tunisia</t>
  </si>
  <si>
    <t>Turkey</t>
  </si>
  <si>
    <t>Uganda</t>
  </si>
  <si>
    <t>Ukraine</t>
  </si>
  <si>
    <t>United Arab Emirates</t>
  </si>
  <si>
    <t>United Kingdom</t>
  </si>
  <si>
    <t>United States</t>
  </si>
  <si>
    <t>Uruguay</t>
  </si>
  <si>
    <t>Venezuela</t>
  </si>
  <si>
    <t>Vietnam</t>
  </si>
  <si>
    <t>Yemen</t>
  </si>
  <si>
    <t>Zambia</t>
  </si>
  <si>
    <t>Zimbabwe</t>
  </si>
  <si>
    <t>TOTAL</t>
  </si>
  <si>
    <t>Total Energies</t>
  </si>
  <si>
    <t>Percentage of Revenues Raw</t>
  </si>
  <si>
    <t>Revenue Exposure - Intermediate Component</t>
  </si>
  <si>
    <t>HHI Index - Value</t>
  </si>
  <si>
    <t>HHI Index - Submultiplier</t>
  </si>
  <si>
    <t>HHI Index - Revenue Distribution</t>
  </si>
  <si>
    <t>Revenue Exposure - Final Component</t>
  </si>
  <si>
    <t>Leonardo</t>
  </si>
  <si>
    <t>Prysmian</t>
  </si>
  <si>
    <t>Pfizer</t>
  </si>
  <si>
    <t>Unicredit</t>
  </si>
  <si>
    <t>Campari</t>
  </si>
  <si>
    <t>Moncler</t>
  </si>
  <si>
    <t>Ferrari</t>
  </si>
  <si>
    <t>Alibaba</t>
  </si>
  <si>
    <t>Nestlè</t>
  </si>
  <si>
    <t>Gazprom</t>
  </si>
  <si>
    <t>Novartis</t>
  </si>
  <si>
    <t>Moderna</t>
  </si>
  <si>
    <t>HSBC</t>
  </si>
  <si>
    <t>Walmart</t>
  </si>
  <si>
    <t>Unilever</t>
  </si>
  <si>
    <t>Coca-Cola</t>
  </si>
  <si>
    <t>Caterpillar</t>
  </si>
  <si>
    <t>Tesla</t>
  </si>
  <si>
    <t>Alphabet</t>
  </si>
  <si>
    <t>Saudi Aramco</t>
  </si>
  <si>
    <t>Shell</t>
  </si>
  <si>
    <t>Chevron</t>
  </si>
  <si>
    <t>ExxonMobil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</si>
</sst>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sz val="22"/>
      <color theme="1"/>
      <name val="Aptos Narrow"/>
      <scheme val="minor"/>
    </font>
    <font>
      <b/>
      <sz val="22"/>
      <color rgb="FF000000"/>
      <name val="Aptos Narrow"/>
      <scheme val="minor"/>
    </font>
    <font>
      <b/>
      <sz val="14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0"/>
      <name val="Aptos Narrow"/>
      <scheme val="minor"/>
    </font>
    <font>
      <b/>
      <sz val="14"/>
      <color theme="0"/>
      <name val="Aptos Narrow"/>
      <scheme val="minor"/>
    </font>
    <font>
      <b/>
      <sz val="14"/>
      <color rgb="FF000000"/>
      <name val="Aptos Narrow"/>
      <scheme val="minor"/>
    </font>
    <font>
      <sz val="14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color theme="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</fills>
  <borders count="4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theme="1"/>
      </top>
      <bottom/>
      <diagonal/>
    </border>
    <border>
      <left style="thin">
        <color auto="1"/>
      </left>
      <right style="thin">
        <color auto="1"/>
      </right>
      <top style="thin">
        <color theme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ck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Dashed">
        <color auto="1"/>
      </right>
      <top style="medium">
        <color auto="1"/>
      </top>
      <bottom style="medium">
        <color auto="1"/>
      </bottom>
      <diagonal/>
    </border>
    <border>
      <left style="mediumDashed">
        <color auto="1"/>
      </left>
      <right style="mediumDashed">
        <color auto="1"/>
      </right>
      <top style="medium">
        <color auto="1"/>
      </top>
      <bottom style="medium">
        <color auto="1"/>
      </bottom>
      <diagonal/>
    </border>
    <border>
      <left style="mediumDash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8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0" fontId="0" fillId="0" borderId="0" xfId="1" applyNumberFormat="1" applyFont="1"/>
    <xf numFmtId="0" fontId="8" fillId="0" borderId="9" xfId="0" applyFont="1" applyBorder="1"/>
    <xf numFmtId="0" fontId="8" fillId="0" borderId="10" xfId="0" applyFont="1" applyBorder="1"/>
    <xf numFmtId="0" fontId="8" fillId="0" borderId="5" xfId="0" applyFont="1" applyBorder="1"/>
    <xf numFmtId="0" fontId="8" fillId="0" borderId="14" xfId="0" applyFont="1" applyBorder="1"/>
    <xf numFmtId="0" fontId="8" fillId="0" borderId="15" xfId="0" applyFont="1" applyBorder="1"/>
    <xf numFmtId="0" fontId="6" fillId="0" borderId="5" xfId="0" applyFont="1" applyBorder="1"/>
    <xf numFmtId="0" fontId="6" fillId="0" borderId="14" xfId="0" applyFont="1" applyBorder="1"/>
    <xf numFmtId="0" fontId="6" fillId="0" borderId="15" xfId="0" applyFont="1" applyBorder="1"/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1" fillId="6" borderId="23" xfId="0" applyFont="1" applyFill="1" applyBorder="1"/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/>
    <xf numFmtId="10" fontId="1" fillId="0" borderId="32" xfId="1" applyNumberFormat="1" applyFont="1" applyBorder="1"/>
    <xf numFmtId="0" fontId="9" fillId="7" borderId="33" xfId="0" applyFont="1" applyFill="1" applyBorder="1"/>
    <xf numFmtId="0" fontId="1" fillId="6" borderId="3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10" fontId="2" fillId="3" borderId="12" xfId="1" applyNumberFormat="1" applyFont="1" applyFill="1" applyBorder="1"/>
    <xf numFmtId="10" fontId="2" fillId="0" borderId="3" xfId="1" applyNumberFormat="1" applyFont="1" applyBorder="1"/>
    <xf numFmtId="10" fontId="2" fillId="3" borderId="3" xfId="1" applyNumberFormat="1" applyFont="1" applyFill="1" applyBorder="1"/>
    <xf numFmtId="10" fontId="2" fillId="3" borderId="4" xfId="1" applyNumberFormat="1" applyFont="1" applyFill="1" applyBorder="1"/>
    <xf numFmtId="10" fontId="2" fillId="4" borderId="2" xfId="0" applyNumberFormat="1" applyFont="1" applyFill="1" applyBorder="1"/>
    <xf numFmtId="10" fontId="11" fillId="2" borderId="18" xfId="1" applyNumberFormat="1" applyFont="1" applyFill="1" applyBorder="1"/>
    <xf numFmtId="10" fontId="11" fillId="0" borderId="3" xfId="1" applyNumberFormat="1" applyFont="1" applyBorder="1"/>
    <xf numFmtId="10" fontId="11" fillId="2" borderId="3" xfId="1" applyNumberFormat="1" applyFont="1" applyFill="1" applyBorder="1"/>
    <xf numFmtId="10" fontId="11" fillId="2" borderId="4" xfId="1" applyNumberFormat="1" applyFont="1" applyFill="1" applyBorder="1"/>
    <xf numFmtId="10" fontId="1" fillId="3" borderId="12" xfId="1" applyNumberFormat="1" applyFont="1" applyFill="1" applyBorder="1"/>
    <xf numFmtId="10" fontId="1" fillId="0" borderId="3" xfId="1" applyNumberFormat="1" applyFont="1" applyBorder="1"/>
    <xf numFmtId="10" fontId="1" fillId="3" borderId="3" xfId="1" applyNumberFormat="1" applyFont="1" applyFill="1" applyBorder="1"/>
    <xf numFmtId="10" fontId="1" fillId="3" borderId="4" xfId="1" applyNumberFormat="1" applyFont="1" applyFill="1" applyBorder="1"/>
    <xf numFmtId="0" fontId="2" fillId="4" borderId="2" xfId="0" applyFont="1" applyFill="1" applyBorder="1"/>
    <xf numFmtId="0" fontId="1" fillId="5" borderId="4" xfId="0" applyFont="1" applyFill="1" applyBorder="1"/>
    <xf numFmtId="10" fontId="12" fillId="2" borderId="18" xfId="1" applyNumberFormat="1" applyFont="1" applyFill="1" applyBorder="1"/>
    <xf numFmtId="10" fontId="12" fillId="0" borderId="3" xfId="1" applyNumberFormat="1" applyFont="1" applyBorder="1"/>
    <xf numFmtId="10" fontId="12" fillId="2" borderId="3" xfId="1" applyNumberFormat="1" applyFont="1" applyFill="1" applyBorder="1"/>
    <xf numFmtId="10" fontId="12" fillId="2" borderId="4" xfId="1" applyNumberFormat="1" applyFont="1" applyFill="1" applyBorder="1"/>
    <xf numFmtId="0" fontId="2" fillId="3" borderId="1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2" fillId="3" borderId="13" xfId="0" applyFont="1" applyFill="1" applyBorder="1"/>
    <xf numFmtId="0" fontId="11" fillId="2" borderId="17" xfId="0" applyFont="1" applyFill="1" applyBorder="1"/>
    <xf numFmtId="0" fontId="11" fillId="0" borderId="0" xfId="0" applyFont="1"/>
    <xf numFmtId="0" fontId="11" fillId="2" borderId="0" xfId="0" applyFont="1" applyFill="1"/>
    <xf numFmtId="0" fontId="11" fillId="2" borderId="8" xfId="0" applyFont="1" applyFill="1" applyBorder="1"/>
    <xf numFmtId="0" fontId="2" fillId="3" borderId="8" xfId="0" applyFont="1" applyFill="1" applyBorder="1"/>
    <xf numFmtId="10" fontId="1" fillId="0" borderId="0" xfId="1" applyNumberFormat="1" applyFont="1"/>
    <xf numFmtId="2" fontId="0" fillId="8" borderId="36" xfId="0" applyNumberFormat="1" applyFill="1" applyBorder="1" applyAlignment="1">
      <alignment horizontal="center" vertical="center"/>
    </xf>
    <xf numFmtId="0" fontId="10" fillId="9" borderId="16" xfId="0" applyFont="1" applyFill="1" applyBorder="1"/>
    <xf numFmtId="2" fontId="1" fillId="3" borderId="37" xfId="0" applyNumberFormat="1" applyFont="1" applyFill="1" applyBorder="1"/>
    <xf numFmtId="2" fontId="1" fillId="0" borderId="37" xfId="0" applyNumberFormat="1" applyFont="1" applyBorder="1"/>
    <xf numFmtId="2" fontId="10" fillId="9" borderId="35" xfId="0" applyNumberFormat="1" applyFont="1" applyFill="1" applyBorder="1"/>
    <xf numFmtId="0" fontId="10" fillId="9" borderId="2" xfId="0" applyFont="1" applyFill="1" applyBorder="1"/>
    <xf numFmtId="0" fontId="2" fillId="10" borderId="13" xfId="0" applyFont="1" applyFill="1" applyBorder="1"/>
    <xf numFmtId="0" fontId="11" fillId="2" borderId="39" xfId="0" applyFont="1" applyFill="1" applyBorder="1"/>
    <xf numFmtId="2" fontId="1" fillId="0" borderId="36" xfId="0" applyNumberFormat="1" applyFont="1" applyBorder="1"/>
    <xf numFmtId="0" fontId="1" fillId="0" borderId="40" xfId="0" applyFont="1" applyBorder="1"/>
    <xf numFmtId="0" fontId="11" fillId="0" borderId="39" xfId="0" applyFont="1" applyBorder="1"/>
    <xf numFmtId="0" fontId="11" fillId="3" borderId="39" xfId="0" applyFont="1" applyFill="1" applyBorder="1"/>
    <xf numFmtId="0" fontId="13" fillId="10" borderId="4" xfId="0" applyFont="1" applyFill="1" applyBorder="1"/>
    <xf numFmtId="2" fontId="2" fillId="0" borderId="36" xfId="0" applyNumberFormat="1" applyFont="1" applyBorder="1"/>
    <xf numFmtId="0" fontId="2" fillId="10" borderId="16" xfId="0" applyFont="1" applyFill="1" applyBorder="1"/>
    <xf numFmtId="0" fontId="2" fillId="10" borderId="38" xfId="0" applyFont="1" applyFill="1" applyBorder="1"/>
    <xf numFmtId="0" fontId="14" fillId="7" borderId="0" xfId="0" applyFont="1" applyFill="1"/>
    <xf numFmtId="0" fontId="4" fillId="0" borderId="19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2" fontId="1" fillId="0" borderId="10" xfId="0" applyNumberFormat="1" applyFont="1" applyBorder="1"/>
    <xf numFmtId="0" fontId="1" fillId="0" borderId="9" xfId="0" applyFont="1" applyBorder="1"/>
    <xf numFmtId="2" fontId="1" fillId="0" borderId="41" xfId="0" applyNumberFormat="1" applyFont="1" applyBorder="1"/>
    <xf numFmtId="2" fontId="13" fillId="0" borderId="37" xfId="0" applyNumberFormat="1" applyFont="1" applyBorder="1"/>
    <xf numFmtId="2" fontId="1" fillId="0" borderId="42" xfId="0" applyNumberFormat="1" applyFont="1" applyBorder="1"/>
    <xf numFmtId="2" fontId="13" fillId="0" borderId="43" xfId="0" applyNumberFormat="1" applyFont="1" applyBorder="1"/>
    <xf numFmtId="2" fontId="2" fillId="0" borderId="10" xfId="0" applyNumberFormat="1" applyFont="1" applyBorder="1"/>
  </cellXfs>
  <cellStyles count="2">
    <cellStyle name="Normale" xfId="0" builtinId="0"/>
    <cellStyle name="Percentuale" xfId="1" builtinId="5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4"/>
      </font>
      <numFmt numFmtId="2" formatCode="0.0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fill>
        <patternFill patternType="solid">
          <fgColor indexed="64"/>
          <bgColor theme="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674"/>
      <color rgb="FF73F1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8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A16923-56E8-7043-BAF6-569646D886D5}" name="Tabella2" displayName="Tabella2" ref="A1:E49" totalsRowShown="0" tableBorderDxfId="5">
  <autoFilter ref="A1:E49" xr:uid="{13A16923-56E8-7043-BAF6-569646D886D5}"/>
  <tableColumns count="5">
    <tableColumn id="1" xr3:uid="{519EF7AA-C997-114C-AE85-4BCC9BBE7331}" name="Company Name" dataDxfId="4"/>
    <tableColumn id="2" xr3:uid="{2D41DE87-31E3-B540-B010-A30F0616BE69}" name="Revenue Exposure - Intermediate Component" dataDxfId="3"/>
    <tableColumn id="3" xr3:uid="{51C4AB08-0BB1-0847-8CAE-D58DE4CC083B}" name="HHI Index - Value" dataDxfId="2"/>
    <tableColumn id="4" xr3:uid="{6EF2E903-A2E9-1D42-BBD5-2467C7F126B2}" name="HHI Index - Submultiplier" dataDxfId="0">
      <calculatedColumnFormula>'HHI Index Submultiplier'!C2</calculatedColumnFormula>
    </tableColumn>
    <tableColumn id="5" xr3:uid="{F4C4F53F-AA98-2347-A9CD-11FB113E5467}" name="Revenue Exposure - Final Component" dataDxfId="1">
      <calculatedColumnFormula>Tabella2[[#This Row],[Revenue Exposure - Intermediate Component]]*Tabella2[[#This Row],[HHI Index - Submultiplier]]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602FA7-6C17-4340-88D0-045D1A8229D1}" name="Tabella28" displayName="Tabella28" ref="A1:C49" totalsRowShown="0" headerRowDxfId="13" dataDxfId="12" headerRowBorderDxfId="10" tableBorderDxfId="11" totalsRowBorderDxfId="9">
  <autoFilter ref="A1:C49" xr:uid="{07602FA7-6C17-4340-88D0-045D1A8229D1}"/>
  <tableColumns count="3">
    <tableColumn id="1" xr3:uid="{95EE4448-5535-4741-82C6-A35DA8EFA86A}" name="Company Name" dataDxfId="8"/>
    <tableColumn id="2" xr3:uid="{6CB57A4B-7654-E847-AAD1-F0FC72663D46}" name="HHI Index - Revenue Distribution" dataDxfId="7">
      <calculatedColumnFormula>SUMPRODUCT('Country of Revenues - Allianz'!$D$4:$D$150,'Country of Revenues - Allianz'!$D$4:$D$150)</calculatedColumnFormula>
    </tableColumn>
    <tableColumn id="5" xr3:uid="{58F63298-91EC-D646-AD54-E92E7056E561}" name="HHI Index - Submultiplier" dataDxfId="6">
      <calculatedColumnFormula>IF(B2&lt;0.15,0.9,
IF(B2&lt;0.25,1,
IF(B2&lt;0.4,1.1,
IF(B2&lt;0.6,1.25,
1.5))))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AD037-03D5-624D-A602-7C2EC9723D23}">
  <sheetPr>
    <tabColor theme="7" tint="0.59999389629810485"/>
  </sheetPr>
  <dimension ref="A1:E49"/>
  <sheetViews>
    <sheetView workbookViewId="0">
      <selection activeCell="D16" sqref="D16"/>
    </sheetView>
  </sheetViews>
  <sheetFormatPr baseColWidth="10" defaultColWidth="11" defaultRowHeight="16" x14ac:dyDescent="0.2"/>
  <cols>
    <col min="1" max="1" width="19.83203125" bestFit="1" customWidth="1"/>
    <col min="2" max="2" width="46.33203125" customWidth="1"/>
    <col min="3" max="3" width="20" customWidth="1"/>
    <col min="4" max="4" width="27.6640625" customWidth="1"/>
    <col min="5" max="5" width="39.83203125" bestFit="1" customWidth="1"/>
  </cols>
  <sheetData>
    <row r="1" spans="1:5" ht="19" x14ac:dyDescent="0.25">
      <c r="A1" s="60" t="s">
        <v>0</v>
      </c>
      <c r="B1" s="73" t="s">
        <v>189</v>
      </c>
      <c r="C1" s="74" t="s">
        <v>190</v>
      </c>
      <c r="D1" s="73" t="s">
        <v>191</v>
      </c>
      <c r="E1" s="75" t="s">
        <v>193</v>
      </c>
    </row>
    <row r="2" spans="1:5" ht="19" x14ac:dyDescent="0.25">
      <c r="A2" s="72" t="s">
        <v>9</v>
      </c>
      <c r="B2" s="61">
        <f>'Country of Revenues - Allianz'!$J$9</f>
        <v>3.7720216483913744</v>
      </c>
      <c r="C2" s="67">
        <f>SUMPRODUCT('Country of Revenues - Allianz'!$D$4:$D$150,'Country of Revenues - Allianz'!$D$4:$D$150)</f>
        <v>9.2718980213814098E-2</v>
      </c>
      <c r="D2" s="67">
        <f>'HHI Index Submultiplier'!C2</f>
        <v>0.9</v>
      </c>
      <c r="E2" s="61">
        <f>Tabella2[[#This Row],[Revenue Exposure - Intermediate Component]]*Tabella2[[#This Row],[HHI Index - Submultiplier]]</f>
        <v>3.3948194835522369</v>
      </c>
    </row>
    <row r="3" spans="1:5" ht="19" x14ac:dyDescent="0.25">
      <c r="A3" s="72" t="s">
        <v>7</v>
      </c>
      <c r="B3" s="61">
        <f>'Country of Revenues - Amazon'!$J$9</f>
        <v>4.0292105155147819</v>
      </c>
      <c r="C3" s="67">
        <f>SUMPRODUCT('Country of Revenues - Amazon'!$D$4:$D$150,'Country of Revenues - Amazon'!$D$4:$D$150)</f>
        <v>0.65874178174350972</v>
      </c>
      <c r="D3" s="67">
        <f>'HHI Index Submultiplier'!C3</f>
        <v>1.5</v>
      </c>
      <c r="E3" s="61">
        <f>Tabella2[[#This Row],[Revenue Exposure - Intermediate Component]]*Tabella2[[#This Row],[HHI Index - Submultiplier]]</f>
        <v>6.0438157732721729</v>
      </c>
    </row>
    <row r="4" spans="1:5" ht="19" x14ac:dyDescent="0.25">
      <c r="A4" s="72" t="s">
        <v>1</v>
      </c>
      <c r="B4" s="61">
        <f>'Country of Revenues - Apple'!$J$9</f>
        <v>4.1049432163174231</v>
      </c>
      <c r="C4" s="67">
        <f>SUMPRODUCT('Country of Revenues - Apple'!$D$4:$D$150,'Country of Revenues - Apple'!$D$4:$D$150)</f>
        <v>0.23058349155441957</v>
      </c>
      <c r="D4" s="67">
        <f>'HHI Index Submultiplier'!C4</f>
        <v>1</v>
      </c>
      <c r="E4" s="61">
        <f>Tabella2[[#This Row],[Revenue Exposure - Intermediate Component]]*Tabella2[[#This Row],[HHI Index - Submultiplier]]</f>
        <v>4.1049432163174231</v>
      </c>
    </row>
    <row r="5" spans="1:5" ht="19" x14ac:dyDescent="0.25">
      <c r="A5" s="72" t="s">
        <v>22</v>
      </c>
      <c r="B5" s="62">
        <f>'Country of Revenues - ASML'!$J$9</f>
        <v>4.0105682808258125</v>
      </c>
      <c r="C5" s="67">
        <f>SUMPRODUCT('Country of Revenues - ASML'!$D$4:$D$150,'Country of Revenues - ASML'!$D$4:$D$150)</f>
        <v>0.39167225044914439</v>
      </c>
      <c r="D5" s="67">
        <f>'HHI Index Submultiplier'!C5</f>
        <v>1.1000000000000001</v>
      </c>
      <c r="E5" s="62">
        <f>Tabella2[[#This Row],[Revenue Exposure - Intermediate Component]]*Tabella2[[#This Row],[HHI Index - Submultiplier]]</f>
        <v>4.4116251089083942</v>
      </c>
    </row>
    <row r="6" spans="1:5" ht="19" x14ac:dyDescent="0.25">
      <c r="A6" s="72" t="s">
        <v>23</v>
      </c>
      <c r="B6" s="61">
        <f>'Country of Revenues - BNP'!$J$9</f>
        <v>3.7290288133781155</v>
      </c>
      <c r="C6" s="67">
        <f>SUMPRODUCT('Country of Revenues - BNP'!$D$4:$D$150,'Country of Revenues - BNP'!$D$4:$D$150)</f>
        <v>0.12116873622300038</v>
      </c>
      <c r="D6" s="67">
        <f>'HHI Index Submultiplier'!C6</f>
        <v>0.9</v>
      </c>
      <c r="E6" s="61">
        <f>Tabella2[[#This Row],[Revenue Exposure - Intermediate Component]]*Tabella2[[#This Row],[HHI Index - Submultiplier]]</f>
        <v>3.3561259320403041</v>
      </c>
    </row>
    <row r="7" spans="1:5" ht="19" x14ac:dyDescent="0.25">
      <c r="A7" s="72" t="s">
        <v>24</v>
      </c>
      <c r="B7" s="62">
        <f>'Country of Revenues - Eli LIlly'!$J$9</f>
        <v>4.1002007312436222</v>
      </c>
      <c r="C7" s="67">
        <f>SUMPRODUCT('Country of Revenues - Eli LIlly'!$D$4:$D$150,'Country of Revenues - Eli LIlly'!$D$4:$D$150)</f>
        <v>0.16582393669260242</v>
      </c>
      <c r="D7" s="67">
        <f>'HHI Index Submultiplier'!C7</f>
        <v>1</v>
      </c>
      <c r="E7" s="62">
        <f>Tabella2[[#This Row],[Revenue Exposure - Intermediate Component]]*Tabella2[[#This Row],[HHI Index - Submultiplier]]</f>
        <v>4.1002007312436222</v>
      </c>
    </row>
    <row r="8" spans="1:5" ht="19" x14ac:dyDescent="0.25">
      <c r="A8" s="72" t="s">
        <v>25</v>
      </c>
      <c r="B8" s="61">
        <f>'Country of Revenues - ENI'!$J$9</f>
        <v>3.9368104426669146</v>
      </c>
      <c r="C8" s="67">
        <f>SUMPRODUCT('Country of Revenues - ENI'!$D$4:$D$150,'Country of Revenues - ENI'!$D$4:$D$150)</f>
        <v>0.18768843280045519</v>
      </c>
      <c r="D8" s="67">
        <f>'HHI Index Submultiplier'!C8</f>
        <v>1</v>
      </c>
      <c r="E8" s="61">
        <f>Tabella2[[#This Row],[Revenue Exposure - Intermediate Component]]*Tabella2[[#This Row],[HHI Index - Submultiplier]]</f>
        <v>3.9368104426669146</v>
      </c>
    </row>
    <row r="9" spans="1:5" ht="19" x14ac:dyDescent="0.25">
      <c r="A9" s="72" t="s">
        <v>4</v>
      </c>
      <c r="B9" s="62">
        <f>'Country of Revenues - Ford'!$J$9</f>
        <v>4.0784836148139307</v>
      </c>
      <c r="C9" s="67">
        <f>SUMPRODUCT('Country of Revenues - Ford'!$D$4:$D$150,'Country of Revenues - Ford'!$D$4:$D$150)</f>
        <v>0.59893054140241708</v>
      </c>
      <c r="D9" s="67">
        <f>'HHI Index Submultiplier'!C9</f>
        <v>1.25</v>
      </c>
      <c r="E9" s="62">
        <f>Tabella2[[#This Row],[Revenue Exposure - Intermediate Component]]*Tabella2[[#This Row],[HHI Index - Submultiplier]]</f>
        <v>5.0981045185174132</v>
      </c>
    </row>
    <row r="10" spans="1:5" ht="19" x14ac:dyDescent="0.25">
      <c r="A10" s="72" t="s">
        <v>21</v>
      </c>
      <c r="B10" s="61">
        <f>'Country of Revenues - JP Morgan'!$J$9</f>
        <v>4.0328984623448072</v>
      </c>
      <c r="C10" s="67">
        <f>SUMPRODUCT('Country of Revenues - JP Morgan'!$D$4:$D$150,'Country of Revenues - JP Morgan'!$D$4:$D$150)</f>
        <v>0.52924521393773272</v>
      </c>
      <c r="D10" s="67">
        <f>'HHI Index Submultiplier'!C10</f>
        <v>1.25</v>
      </c>
      <c r="E10" s="61">
        <f>Tabella2[[#This Row],[Revenue Exposure - Intermediate Component]]*Tabella2[[#This Row],[HHI Index - Submultiplier]]</f>
        <v>5.041123077931009</v>
      </c>
    </row>
    <row r="11" spans="1:5" ht="19" x14ac:dyDescent="0.25">
      <c r="A11" s="72" t="s">
        <v>10</v>
      </c>
      <c r="B11" s="62">
        <f>'Country of Revenues - Oreal'!J9</f>
        <v>4.0242963704895498</v>
      </c>
      <c r="C11" s="67">
        <f>SUMPRODUCT('Country of Revenues - Oreal'!$D$4:$D$150,'Country of Revenues - Oreal'!$D$4:$D$150)</f>
        <v>0.15308301177190325</v>
      </c>
      <c r="D11" s="67">
        <f>'HHI Index Submultiplier'!C11</f>
        <v>1</v>
      </c>
      <c r="E11" s="62">
        <f>Tabella2[[#This Row],[Revenue Exposure - Intermediate Component]]*Tabella2[[#This Row],[HHI Index - Submultiplier]]</f>
        <v>4.0242963704895498</v>
      </c>
    </row>
    <row r="12" spans="1:5" ht="19" x14ac:dyDescent="0.25">
      <c r="A12" s="72" t="s">
        <v>11</v>
      </c>
      <c r="B12" s="61">
        <f>'Country of Revenues - LVMH'!$J$9</f>
        <v>4.0610136651551283</v>
      </c>
      <c r="C12" s="67">
        <f>SUMPRODUCT('Country of Revenues - LVMH'!$D$4:$D$150,'Country of Revenues - LVMH'!$D$4:$D$150)</f>
        <v>0.16976330854406524</v>
      </c>
      <c r="D12" s="67">
        <f>'HHI Index Submultiplier'!C12</f>
        <v>1</v>
      </c>
      <c r="E12" s="61">
        <f>Tabella2[[#This Row],[Revenue Exposure - Intermediate Component]]*Tabella2[[#This Row],[HHI Index - Submultiplier]]</f>
        <v>4.0610136651551283</v>
      </c>
    </row>
    <row r="13" spans="1:5" ht="19" x14ac:dyDescent="0.25">
      <c r="A13" s="72" t="s">
        <v>2</v>
      </c>
      <c r="B13" s="62">
        <f>'Country of Revenues - Meta'!$J$9</f>
        <v>4.0756275288239578</v>
      </c>
      <c r="C13" s="67">
        <f>SUMPRODUCT('Country of Revenues - Meta'!$D$4:$D$150,'Country of Revenues - Meta'!$D$4:$D$150)</f>
        <v>0.22300630009053132</v>
      </c>
      <c r="D13" s="67">
        <f>'HHI Index Submultiplier'!C13</f>
        <v>1</v>
      </c>
      <c r="E13" s="62">
        <f>Tabella2[[#This Row],[Revenue Exposure - Intermediate Component]]*Tabella2[[#This Row],[HHI Index - Submultiplier]]</f>
        <v>4.0756275288239578</v>
      </c>
    </row>
    <row r="14" spans="1:5" ht="19" x14ac:dyDescent="0.25">
      <c r="A14" s="72" t="s">
        <v>3</v>
      </c>
      <c r="B14" s="61">
        <f>'Country of Revenues - Microsoft'!$J$9</f>
        <v>4.1699698181640921</v>
      </c>
      <c r="C14" s="67">
        <f>SUMPRODUCT('Country of Revenues - Microsoft'!$D$4:$D$150,'Country of Revenues - Microsoft'!$D$4:$D$150)</f>
        <v>0.40182631793021228</v>
      </c>
      <c r="D14" s="67">
        <f>'HHI Index Submultiplier'!C14</f>
        <v>1.25</v>
      </c>
      <c r="E14" s="61">
        <f>Tabella2[[#This Row],[Revenue Exposure - Intermediate Component]]*Tabella2[[#This Row],[HHI Index - Submultiplier]]</f>
        <v>5.2124622727051149</v>
      </c>
    </row>
    <row r="15" spans="1:5" ht="19" x14ac:dyDescent="0.25">
      <c r="A15" s="72" t="s">
        <v>12</v>
      </c>
      <c r="B15" s="62">
        <f>'Country of Revenues - Nordisk'!$J$9</f>
        <v>4.1369088689340092</v>
      </c>
      <c r="C15" s="67">
        <f>SUMPRODUCT('Country of Revenues - Nordisk'!$D$4:$D$150,'Country of Revenues - Nordisk'!$D$4:$D$150)</f>
        <v>0.43061928786284431</v>
      </c>
      <c r="D15" s="67">
        <f>'HHI Index Submultiplier'!C15</f>
        <v>1.25</v>
      </c>
      <c r="E15" s="62">
        <f>Tabella2[[#This Row],[Revenue Exposure - Intermediate Component]]*Tabella2[[#This Row],[HHI Index - Submultiplier]]</f>
        <v>5.1711360861675111</v>
      </c>
    </row>
    <row r="16" spans="1:5" ht="19" x14ac:dyDescent="0.25">
      <c r="A16" s="72" t="s">
        <v>8</v>
      </c>
      <c r="B16" s="62">
        <f>'Country of Revenues - NVIDIA'!$J$9</f>
        <v>4.2089875687093015</v>
      </c>
      <c r="C16" s="67">
        <f>SUMPRODUCT('Country of Revenues - NVIDIA'!$D$4:$D$150,'Country of Revenues - NVIDIA'!$D$4:$D$150)</f>
        <v>0.59301667857108264</v>
      </c>
      <c r="D16" s="67">
        <f>'HHI Index Submultiplier'!C16</f>
        <v>1.25</v>
      </c>
      <c r="E16" s="62">
        <f>Tabella2[[#This Row],[Revenue Exposure - Intermediate Component]]*Tabella2[[#This Row],[HHI Index - Submultiplier]]</f>
        <v>5.2612344608866266</v>
      </c>
    </row>
    <row r="17" spans="1:5" ht="19" x14ac:dyDescent="0.25">
      <c r="A17" s="72" t="s">
        <v>5</v>
      </c>
      <c r="B17" s="61">
        <f>'Country of Revenues - P&amp;G'!$J$9</f>
        <v>4.1662734947670081</v>
      </c>
      <c r="C17" s="67">
        <f>SUMPRODUCT('Country of Revenues - P&amp;G'!$D$4:$D$150,'Country of Revenues - P&amp;G'!$D$4:$D$150)</f>
        <v>0.36840581496711255</v>
      </c>
      <c r="D17" s="67">
        <f>'HHI Index Submultiplier'!C17</f>
        <v>1.1000000000000001</v>
      </c>
      <c r="E17" s="61">
        <f>Tabella2[[#This Row],[Revenue Exposure - Intermediate Component]]*Tabella2[[#This Row],[HHI Index - Submultiplier]]</f>
        <v>4.5829008442437091</v>
      </c>
    </row>
    <row r="18" spans="1:5" ht="19" x14ac:dyDescent="0.25">
      <c r="A18" s="72" t="s">
        <v>13</v>
      </c>
      <c r="B18" s="61">
        <f>'Country of Revenues - Reliance'!$J$9</f>
        <v>4.9082044936366929</v>
      </c>
      <c r="C18" s="67">
        <f>SUMPRODUCT('Country of Revenues - Reliance'!$D$4:$D$150,'Country of Revenues - Reliance'!$D$4:$D$150)</f>
        <v>0.69171595972788547</v>
      </c>
      <c r="D18" s="67">
        <f>'HHI Index Submultiplier'!C18</f>
        <v>1.5</v>
      </c>
      <c r="E18" s="61">
        <f>Tabella2[[#This Row],[Revenue Exposure - Intermediate Component]]*Tabella2[[#This Row],[HHI Index - Submultiplier]]</f>
        <v>7.3623067404550397</v>
      </c>
    </row>
    <row r="19" spans="1:5" ht="19" x14ac:dyDescent="0.25">
      <c r="A19" s="72" t="s">
        <v>6</v>
      </c>
      <c r="B19" s="62">
        <f>'Country of Revenues - Samsung'!$J$9</f>
        <v>4.0305108185247978</v>
      </c>
      <c r="C19" s="67">
        <f>SUMPRODUCT('Country of Revenues - Samsung'!$D$4:$D$150,'Country of Revenues - Samsung'!$D$4:$D$150)</f>
        <v>0.17706430599658435</v>
      </c>
      <c r="D19" s="67">
        <f>'HHI Index Submultiplier'!C19</f>
        <v>1</v>
      </c>
      <c r="E19" s="62">
        <f>Tabella2[[#This Row],[Revenue Exposure - Intermediate Component]]*Tabella2[[#This Row],[HHI Index - Submultiplier]]</f>
        <v>4.0305108185247978</v>
      </c>
    </row>
    <row r="20" spans="1:5" ht="19" x14ac:dyDescent="0.25">
      <c r="A20" s="72" t="s">
        <v>14</v>
      </c>
      <c r="B20" s="62">
        <f>'Country of Revenues - SAP'!$J$9</f>
        <v>3.9690702989567925</v>
      </c>
      <c r="C20" s="67">
        <f>SUMPRODUCT('Country of Revenues - SAP'!$D$4:$D$150,'Country of Revenues - SAP'!$D$4:$D$150)</f>
        <v>0.2802919132054868</v>
      </c>
      <c r="D20" s="67">
        <f>'HHI Index Submultiplier'!C20</f>
        <v>1.1000000000000001</v>
      </c>
      <c r="E20" s="62">
        <f>Tabella2[[#This Row],[Revenue Exposure - Intermediate Component]]*Tabella2[[#This Row],[HHI Index - Submultiplier]]</f>
        <v>4.3659773288524724</v>
      </c>
    </row>
    <row r="21" spans="1:5" ht="19" x14ac:dyDescent="0.25">
      <c r="A21" s="72" t="s">
        <v>15</v>
      </c>
      <c r="B21" s="61">
        <f>'Country of Revenues - Sony'!$J$9</f>
        <v>3.9318580373530141</v>
      </c>
      <c r="C21" s="67">
        <f>SUMPRODUCT('Country of Revenues - Sony'!$D$4:$D$150,'Country of Revenues - Sony'!$D$4:$D$150)</f>
        <v>0.16957249405570279</v>
      </c>
      <c r="D21" s="67">
        <f>'HHI Index Submultiplier'!C21</f>
        <v>1</v>
      </c>
      <c r="E21" s="61">
        <f>Tabella2[[#This Row],[Revenue Exposure - Intermediate Component]]*Tabella2[[#This Row],[HHI Index - Submultiplier]]</f>
        <v>3.9318580373530141</v>
      </c>
    </row>
    <row r="22" spans="1:5" ht="19" x14ac:dyDescent="0.25">
      <c r="A22" s="72" t="s">
        <v>16</v>
      </c>
      <c r="B22" s="62">
        <f>'Country of Revenues - Tencent'!$J$9</f>
        <v>4.2558827981073541</v>
      </c>
      <c r="C22" s="67">
        <f>SUMPRODUCT('Country of Revenues - Tencent'!$D$4:$D$150,'Country of Revenues - Tencent'!$D$4:$D$150)</f>
        <v>1</v>
      </c>
      <c r="D22" s="67">
        <f>'HHI Index Submultiplier'!C22</f>
        <v>1.5</v>
      </c>
      <c r="E22" s="62">
        <f>Tabella2[[#This Row],[Revenue Exposure - Intermediate Component]]*Tabella2[[#This Row],[HHI Index - Submultiplier]]</f>
        <v>6.3838241971610312</v>
      </c>
    </row>
    <row r="23" spans="1:5" ht="19" x14ac:dyDescent="0.25">
      <c r="A23" s="72" t="s">
        <v>17</v>
      </c>
      <c r="B23" s="61">
        <f>'Country of Revenues - Total En'!$J$9</f>
        <v>3.8600720695477033</v>
      </c>
      <c r="C23" s="67">
        <f>SUMPRODUCT('Country of Revenues - Total En'!$D$4:$D$150,'Country of Revenues - Total En'!$D$4:$D$150)</f>
        <v>0.1324343078876124</v>
      </c>
      <c r="D23" s="67">
        <f>'HHI Index Submultiplier'!C23</f>
        <v>0.9</v>
      </c>
      <c r="E23" s="61">
        <f>Tabella2[[#This Row],[Revenue Exposure - Intermediate Component]]*Tabella2[[#This Row],[HHI Index - Submultiplier]]</f>
        <v>3.4740648625929329</v>
      </c>
    </row>
    <row r="24" spans="1:5" ht="19" x14ac:dyDescent="0.25">
      <c r="A24" s="72" t="s">
        <v>18</v>
      </c>
      <c r="B24" s="62">
        <f>'Country of Revenues - Toyota'!$J$9</f>
        <v>4.0129565213980154</v>
      </c>
      <c r="C24" s="67">
        <f>SUMPRODUCT('Country of Revenues - Toyota'!$D$4:$D$150,'Country of Revenues - Toyota'!$D$4:$D$150)</f>
        <v>0.24135179321089978</v>
      </c>
      <c r="D24" s="67">
        <f>'HHI Index Submultiplier'!C24</f>
        <v>1</v>
      </c>
      <c r="E24" s="62">
        <f>Tabella2[[#This Row],[Revenue Exposure - Intermediate Component]]*Tabella2[[#This Row],[HHI Index - Submultiplier]]</f>
        <v>4.0129565213980154</v>
      </c>
    </row>
    <row r="25" spans="1:5" ht="19" x14ac:dyDescent="0.25">
      <c r="A25" s="72" t="s">
        <v>19</v>
      </c>
      <c r="B25" s="61">
        <f>'Country of Revenues - TSMC'!$J$9</f>
        <v>4.1677912999297027</v>
      </c>
      <c r="C25" s="67">
        <f>SUMPRODUCT('Country of Revenues - TSMC'!$D$4:$D$150,'Country of Revenues - TSMC'!$D$4:$D$150)</f>
        <v>0.64773113531755655</v>
      </c>
      <c r="D25" s="67">
        <f>'HHI Index Submultiplier'!C25</f>
        <v>1.5</v>
      </c>
      <c r="E25" s="61">
        <f>Tabella2[[#This Row],[Revenue Exposure - Intermediate Component]]*Tabella2[[#This Row],[HHI Index - Submultiplier]]</f>
        <v>6.2516869498945535</v>
      </c>
    </row>
    <row r="26" spans="1:5" ht="19" x14ac:dyDescent="0.25">
      <c r="A26" s="72" t="s">
        <v>20</v>
      </c>
      <c r="B26" s="62">
        <f>'Country of Revenues - VW'!$J$9</f>
        <v>3.8082591859434998</v>
      </c>
      <c r="C26" s="67">
        <f>SUMPRODUCT('Country of Revenues - VW'!$D$4:$D$150,'Country of Revenues - VW'!$D$4:$D$150)</f>
        <v>0.11745963854155091</v>
      </c>
      <c r="D26" s="67">
        <f>'HHI Index Submultiplier'!C26</f>
        <v>0.9</v>
      </c>
      <c r="E26" s="62">
        <f>Tabella2[[#This Row],[Revenue Exposure - Intermediate Component]]*Tabella2[[#This Row],[HHI Index - Submultiplier]]</f>
        <v>3.4274332673491497</v>
      </c>
    </row>
    <row r="27" spans="1:5" ht="19" x14ac:dyDescent="0.25">
      <c r="A27" s="72" t="s">
        <v>194</v>
      </c>
      <c r="B27" s="84">
        <f>'Country of Revenues - Leonardo'!J9</f>
        <v>3.8791580319865355</v>
      </c>
      <c r="C27" s="67">
        <f>SUMPRODUCT('Country of Revenues - Leonardo'!$D$4:$D$150,'Country of Revenues - Leonardo'!$D$4:$D$150)</f>
        <v>0.23540648927671579</v>
      </c>
      <c r="D27" s="67">
        <f>'HHI Index Submultiplier'!C27</f>
        <v>1</v>
      </c>
      <c r="E27" s="85">
        <f>Tabella2[[#This Row],[Revenue Exposure - Intermediate Component]]*Tabella2[[#This Row],[HHI Index - Submultiplier]]</f>
        <v>3.8791580319865355</v>
      </c>
    </row>
    <row r="28" spans="1:5" ht="19" x14ac:dyDescent="0.25">
      <c r="A28" s="72" t="s">
        <v>196</v>
      </c>
      <c r="B28" s="84">
        <f>'Country of Revenues - Pfizer'!J9</f>
        <v>3.8028426278038312</v>
      </c>
      <c r="C28" s="67">
        <f>SUMPRODUCT('Country of Revenues - Pfizer'!$D$4:$D$150,'Country of Revenues - Pfizer'!$D$4:$D$150)</f>
        <v>0.30129960128247074</v>
      </c>
      <c r="D28" s="67">
        <f>'HHI Index Submultiplier'!C28</f>
        <v>1.1000000000000001</v>
      </c>
      <c r="E28" s="85">
        <f>Tabella2[[#This Row],[Revenue Exposure - Intermediate Component]]*Tabella2[[#This Row],[HHI Index - Submultiplier]]</f>
        <v>4.1831268905842149</v>
      </c>
    </row>
    <row r="29" spans="1:5" ht="19" x14ac:dyDescent="0.25">
      <c r="A29" s="72" t="s">
        <v>195</v>
      </c>
      <c r="B29" s="84">
        <f>'Country of Revenues - Prysmian'!J9</f>
        <v>4.0533355984534172</v>
      </c>
      <c r="C29" s="67">
        <f>SUMPRODUCT('Country of Revenues - Prysmian'!$D$4:$D$150,'Country of Revenues - Prysmian'!$D$4:$D$150)</f>
        <v>0.29061244743291381</v>
      </c>
      <c r="D29" s="67">
        <f>'HHI Index Submultiplier'!C29</f>
        <v>1.1000000000000001</v>
      </c>
      <c r="E29" s="85">
        <f>Tabella2[[#This Row],[Revenue Exposure - Intermediate Component]]*Tabella2[[#This Row],[HHI Index - Submultiplier]]</f>
        <v>4.4586691582987594</v>
      </c>
    </row>
    <row r="30" spans="1:5" ht="19" x14ac:dyDescent="0.25">
      <c r="A30" s="72" t="s">
        <v>197</v>
      </c>
      <c r="B30" s="84">
        <f>'Country of Revenues - Unicredit'!J9</f>
        <v>3.8442375884331725</v>
      </c>
      <c r="C30" s="67">
        <f>SUMPRODUCT('Country of Revenues - Unicredit'!$D$4:$D$150,'Country of Revenues - Unicredit'!$D$4:$D$150)</f>
        <v>0.26467469240234776</v>
      </c>
      <c r="D30" s="67">
        <f>'HHI Index Submultiplier'!C30</f>
        <v>1.1000000000000001</v>
      </c>
      <c r="E30" s="85">
        <f>Tabella2[[#This Row],[Revenue Exposure - Intermediate Component]]*Tabella2[[#This Row],[HHI Index - Submultiplier]]</f>
        <v>4.22866134727649</v>
      </c>
    </row>
    <row r="31" spans="1:5" ht="19" x14ac:dyDescent="0.25">
      <c r="A31" s="72" t="s">
        <v>198</v>
      </c>
      <c r="B31" s="84">
        <f>'Country of Revenues - Campari'!J9</f>
        <v>4.0853962459764235</v>
      </c>
      <c r="C31" s="67">
        <f>SUMPRODUCT('Country of Revenues - Campari'!$D$4:$D$150,'Country of Revenues - Campari'!$D$4:$D$150)</f>
        <v>0.1881737955812377</v>
      </c>
      <c r="D31" s="67">
        <f>'HHI Index Submultiplier'!C31</f>
        <v>1</v>
      </c>
      <c r="E31" s="85">
        <f>Tabella2[[#This Row],[Revenue Exposure - Intermediate Component]]*Tabella2[[#This Row],[HHI Index - Submultiplier]]</f>
        <v>4.0853962459764235</v>
      </c>
    </row>
    <row r="32" spans="1:5" ht="19" x14ac:dyDescent="0.25">
      <c r="A32" s="72" t="s">
        <v>199</v>
      </c>
      <c r="B32" s="84">
        <f>'Country of Revenues - Moncler'!J9</f>
        <v>4.1525922833920541</v>
      </c>
      <c r="C32" s="67">
        <f>SUMPRODUCT('Country of Revenues - Moncler'!$D$4:$D$150,'Country of Revenues - Moncler'!$D$4:$D$150)</f>
        <v>0.17333342537219282</v>
      </c>
      <c r="D32" s="67">
        <f>'HHI Index Submultiplier'!C32</f>
        <v>1</v>
      </c>
      <c r="E32" s="85">
        <f>Tabella2[[#This Row],[Revenue Exposure - Intermediate Component]]*Tabella2[[#This Row],[HHI Index - Submultiplier]]</f>
        <v>4.1525922833920541</v>
      </c>
    </row>
    <row r="33" spans="1:5" ht="19" x14ac:dyDescent="0.25">
      <c r="A33" s="72" t="s">
        <v>200</v>
      </c>
      <c r="B33" s="84">
        <f>'Country of Revenues - Ferrari'!J9</f>
        <v>3.8924321492201757</v>
      </c>
      <c r="C33" s="67">
        <f>SUMPRODUCT('Country of Revenues - Ferrari'!$D$4:$D$150,'Country of Revenues - Ferrari'!$D$4:$D$150)</f>
        <v>0.17568747952275429</v>
      </c>
      <c r="D33" s="67">
        <f>'HHI Index Submultiplier'!C33</f>
        <v>1</v>
      </c>
      <c r="E33" s="85">
        <f>Tabella2[[#This Row],[Revenue Exposure - Intermediate Component]]*Tabella2[[#This Row],[HHI Index - Submultiplier]]</f>
        <v>3.8924321492201757</v>
      </c>
    </row>
    <row r="34" spans="1:5" ht="19" x14ac:dyDescent="0.25">
      <c r="A34" s="72" t="s">
        <v>201</v>
      </c>
      <c r="B34" s="84">
        <f>'Country of Revenues - Alibaba'!J9</f>
        <v>4.2377450300374813</v>
      </c>
      <c r="C34" s="67">
        <f>SUMPRODUCT('Country of Revenues - Alibaba'!$D$4:$D$150,'Country of Revenues - Alibaba'!$D$4:$D$150)</f>
        <v>0.84141613665496939</v>
      </c>
      <c r="D34" s="67">
        <f>'HHI Index Submultiplier'!C34</f>
        <v>1.5</v>
      </c>
      <c r="E34" s="85">
        <f>Tabella2[[#This Row],[Revenue Exposure - Intermediate Component]]*Tabella2[[#This Row],[HHI Index - Submultiplier]]</f>
        <v>6.3566175450562223</v>
      </c>
    </row>
    <row r="35" spans="1:5" ht="19" x14ac:dyDescent="0.25">
      <c r="A35" s="72" t="s">
        <v>202</v>
      </c>
      <c r="B35" s="84">
        <f>'Country of Revenues - Nestlè'!J9</f>
        <v>4.1328503601557962</v>
      </c>
      <c r="C35" s="67">
        <f>SUMPRODUCT('Country of Revenues - Nestlè'!$D$4:$D$150,'Country of Revenues - Nestlè'!$D$4:$D$150)</f>
        <v>0.19454961634274426</v>
      </c>
      <c r="D35" s="67">
        <f>'HHI Index Submultiplier'!C35</f>
        <v>1</v>
      </c>
      <c r="E35" s="85">
        <f>Tabella2[[#This Row],[Revenue Exposure - Intermediate Component]]*Tabella2[[#This Row],[HHI Index - Submultiplier]]</f>
        <v>4.1328503601557962</v>
      </c>
    </row>
    <row r="36" spans="1:5" ht="19" x14ac:dyDescent="0.25">
      <c r="A36" s="72" t="s">
        <v>203</v>
      </c>
      <c r="B36" s="84">
        <f>'Country of Revenues - Gazprom'!J9</f>
        <v>5.3482934981964876</v>
      </c>
      <c r="C36" s="67">
        <f>SUMPRODUCT('Country of Revenues - Gazprom'!$D$4:$D$150,'Country of Revenues - Gazprom'!$D$4:$D$150)</f>
        <v>0.40840312163869658</v>
      </c>
      <c r="D36" s="67">
        <f>'HHI Index Submultiplier'!C36</f>
        <v>1.25</v>
      </c>
      <c r="E36" s="85">
        <f>Tabella2[[#This Row],[Revenue Exposure - Intermediate Component]]*Tabella2[[#This Row],[HHI Index - Submultiplier]]</f>
        <v>6.6853668727456093</v>
      </c>
    </row>
    <row r="37" spans="1:5" ht="19" x14ac:dyDescent="0.25">
      <c r="A37" s="72" t="s">
        <v>204</v>
      </c>
      <c r="B37" s="84">
        <f>'Country of Revenues - Novartis'!J9</f>
        <v>4.1413445525236954</v>
      </c>
      <c r="C37" s="67">
        <f>SUMPRODUCT('Country of Revenues - Novartis'!$D$4:$D$150,'Country of Revenues - Novartis'!$D$4:$D$150)</f>
        <v>0.29855218071935363</v>
      </c>
      <c r="D37" s="67">
        <f>'HHI Index Submultiplier'!C37</f>
        <v>1.1000000000000001</v>
      </c>
      <c r="E37" s="85">
        <f>Tabella2[[#This Row],[Revenue Exposure - Intermediate Component]]*Tabella2[[#This Row],[HHI Index - Submultiplier]]</f>
        <v>4.5554790077760652</v>
      </c>
    </row>
    <row r="38" spans="1:5" ht="19" x14ac:dyDescent="0.25">
      <c r="A38" s="72" t="s">
        <v>205</v>
      </c>
      <c r="B38" s="84">
        <f>'Country of Revenues - Moderna'!J9</f>
        <v>4.2350375510566742</v>
      </c>
      <c r="C38" s="67">
        <f>SUMPRODUCT('Country of Revenues - Moderna'!$D$4:$D$150,'Country of Revenues - Moderna'!$D$4:$D$150)</f>
        <v>0.54497414391860832</v>
      </c>
      <c r="D38" s="67">
        <f>'HHI Index Submultiplier'!C38</f>
        <v>1.25</v>
      </c>
      <c r="E38" s="85">
        <f>Tabella2[[#This Row],[Revenue Exposure - Intermediate Component]]*Tabella2[[#This Row],[HHI Index - Submultiplier]]</f>
        <v>5.2937969388208428</v>
      </c>
    </row>
    <row r="39" spans="1:5" ht="19" x14ac:dyDescent="0.25">
      <c r="A39" s="72" t="s">
        <v>206</v>
      </c>
      <c r="B39" s="84">
        <f>'Country of Revenues - HSBC'!J9</f>
        <v>4.0654656434569745</v>
      </c>
      <c r="C39" s="67">
        <f>SUMPRODUCT('Country of Revenues - HSBC'!$D$4:$D$150,'Country of Revenues - HSBC'!$D$4:$D$150)</f>
        <v>0.44440517227516962</v>
      </c>
      <c r="D39" s="67">
        <f>'HHI Index Submultiplier'!C39</f>
        <v>1.25</v>
      </c>
      <c r="E39" s="85">
        <f>Tabella2[[#This Row],[Revenue Exposure - Intermediate Component]]*Tabella2[[#This Row],[HHI Index - Submultiplier]]</f>
        <v>5.0818320543212181</v>
      </c>
    </row>
    <row r="40" spans="1:5" ht="19" x14ac:dyDescent="0.25">
      <c r="A40" s="72" t="s">
        <v>207</v>
      </c>
      <c r="B40" s="84">
        <f>'Country of Revenues - Walmart'!J9</f>
        <v>4.2456253143747649</v>
      </c>
      <c r="C40" s="67">
        <f>SUMPRODUCT('Country of Revenues - Walmart'!$D$4:$D$150,'Country of Revenues - Walmart'!$D$4:$D$150)</f>
        <v>0.70861442278714792</v>
      </c>
      <c r="D40" s="67">
        <f>'HHI Index Submultiplier'!C40</f>
        <v>1.5</v>
      </c>
      <c r="E40" s="85">
        <f>Tabella2[[#This Row],[Revenue Exposure - Intermediate Component]]*Tabella2[[#This Row],[HHI Index - Submultiplier]]</f>
        <v>6.3684379715621473</v>
      </c>
    </row>
    <row r="41" spans="1:5" ht="19" x14ac:dyDescent="0.25">
      <c r="A41" s="72" t="s">
        <v>208</v>
      </c>
      <c r="B41" s="84">
        <f>'Country of Revenues - Unilever'!J9</f>
        <v>4.2197325701583344</v>
      </c>
      <c r="C41" s="67">
        <f>SUMPRODUCT('Country of Revenues - Unilever'!$D$4:$D$150,'Country of Revenues - Unilever'!$D$4:$D$150)</f>
        <v>0.16791757172161417</v>
      </c>
      <c r="D41" s="67">
        <f>'HHI Index Submultiplier'!C41</f>
        <v>1</v>
      </c>
      <c r="E41" s="85">
        <f>Tabella2[[#This Row],[Revenue Exposure - Intermediate Component]]*Tabella2[[#This Row],[HHI Index - Submultiplier]]</f>
        <v>4.2197325701583344</v>
      </c>
    </row>
    <row r="42" spans="1:5" ht="19" x14ac:dyDescent="0.25">
      <c r="A42" s="72" t="s">
        <v>209</v>
      </c>
      <c r="B42" s="84">
        <f>'Country of Revenues - Coca-Cola'!J9</f>
        <v>4.1598974552144483</v>
      </c>
      <c r="C42" s="67">
        <f>SUMPRODUCT('Country of Revenues - Coca-Cola'!$D$4:$D$150,'Country of Revenues - Coca-Cola'!$D$4:$D$150)</f>
        <v>0.29664268128849924</v>
      </c>
      <c r="D42" s="67">
        <f>'HHI Index Submultiplier'!C42</f>
        <v>1.1000000000000001</v>
      </c>
      <c r="E42" s="85">
        <f>Tabella2[[#This Row],[Revenue Exposure - Intermediate Component]]*Tabella2[[#This Row],[HHI Index - Submultiplier]]</f>
        <v>4.5758872007358935</v>
      </c>
    </row>
    <row r="43" spans="1:5" ht="19" x14ac:dyDescent="0.25">
      <c r="A43" s="72" t="s">
        <v>210</v>
      </c>
      <c r="B43" s="84">
        <f>'Country of Revenues - CAT'!J9</f>
        <v>4.1991219611544714</v>
      </c>
      <c r="C43" s="67">
        <f>SUMPRODUCT('Country of Revenues - CAT'!$D$4:$D$150,'Country of Revenues - CAT'!$D$4:$D$150)</f>
        <v>0.30905433886278683</v>
      </c>
      <c r="D43" s="67">
        <f>'HHI Index Submultiplier'!C43</f>
        <v>1.1000000000000001</v>
      </c>
      <c r="E43" s="85">
        <f>Tabella2[[#This Row],[Revenue Exposure - Intermediate Component]]*Tabella2[[#This Row],[HHI Index - Submultiplier]]</f>
        <v>4.6190341572699189</v>
      </c>
    </row>
    <row r="44" spans="1:5" ht="19" x14ac:dyDescent="0.25">
      <c r="A44" s="72" t="s">
        <v>211</v>
      </c>
      <c r="B44" s="84">
        <f>'Country of Revenues - Tesla'!J9</f>
        <v>4.2471186910710781</v>
      </c>
      <c r="C44" s="67">
        <f>SUMPRODUCT('Country of Revenues - Tesla'!$D$4:$D$150,'Country of Revenues - Tesla'!$D$4:$D$150)</f>
        <v>0.45454153484012377</v>
      </c>
      <c r="D44" s="67">
        <f>'HHI Index Submultiplier'!C44</f>
        <v>1.25</v>
      </c>
      <c r="E44" s="85">
        <f>Tabella2[[#This Row],[Revenue Exposure - Intermediate Component]]*Tabella2[[#This Row],[HHI Index - Submultiplier]]</f>
        <v>5.3088983638388481</v>
      </c>
    </row>
    <row r="45" spans="1:5" ht="19" x14ac:dyDescent="0.25">
      <c r="A45" s="72" t="s">
        <v>212</v>
      </c>
      <c r="B45" s="84">
        <f>'Country of Revenues - Alphabet'!J9</f>
        <v>4.1232121795693004</v>
      </c>
      <c r="C45" s="67">
        <f>SUMPRODUCT('Country of Revenues - Alphabet'!$D$4:$D$150,'Country of Revenues - Alphabet'!$D$4:$D$150)</f>
        <v>0.43898976240631798</v>
      </c>
      <c r="D45" s="67">
        <f>'HHI Index Submultiplier'!C45</f>
        <v>1.25</v>
      </c>
      <c r="E45" s="85">
        <f>Tabella2[[#This Row],[Revenue Exposure - Intermediate Component]]*Tabella2[[#This Row],[HHI Index - Submultiplier]]</f>
        <v>5.1540152244616255</v>
      </c>
    </row>
    <row r="46" spans="1:5" ht="19" x14ac:dyDescent="0.25">
      <c r="A46" s="72" t="s">
        <v>213</v>
      </c>
      <c r="B46" s="84">
        <f>'Country of Revenues - S.Aramco'!J9</f>
        <v>4.3613476497042019</v>
      </c>
      <c r="C46" s="67">
        <f>SUMPRODUCT('Country of Revenues - S.Aramco'!$D$4:$D$150,'Country of Revenues - S.Aramco'!$D$4:$D$150)</f>
        <v>0.53464361955424733</v>
      </c>
      <c r="D46" s="67">
        <f>'HHI Index Submultiplier'!C46</f>
        <v>1.25</v>
      </c>
      <c r="E46" s="85">
        <f>Tabella2[[#This Row],[Revenue Exposure - Intermediate Component]]*Tabella2[[#This Row],[HHI Index - Submultiplier]]</f>
        <v>5.4516845621302519</v>
      </c>
    </row>
    <row r="47" spans="1:5" ht="19" x14ac:dyDescent="0.25">
      <c r="A47" s="72" t="s">
        <v>214</v>
      </c>
      <c r="B47" s="84">
        <f>'Country of Revenues - Shell'!J9</f>
        <v>4.0022446792339004</v>
      </c>
      <c r="C47" s="67">
        <f>SUMPRODUCT('Country of Revenues - Shell'!$D$4:$D$150,'Country of Revenues - Shell'!$D$4:$D$150)</f>
        <v>0.1248309301450751</v>
      </c>
      <c r="D47" s="67">
        <f>'HHI Index Submultiplier'!C47</f>
        <v>0.9</v>
      </c>
      <c r="E47" s="85">
        <f>Tabella2[[#This Row],[Revenue Exposure - Intermediate Component]]*Tabella2[[#This Row],[HHI Index - Submultiplier]]</f>
        <v>3.6020202113105104</v>
      </c>
    </row>
    <row r="48" spans="1:5" ht="19" x14ac:dyDescent="0.25">
      <c r="A48" s="72" t="s">
        <v>215</v>
      </c>
      <c r="B48" s="84">
        <f>'Country of Revenues - Chevron'!J9</f>
        <v>4.1450347317612328</v>
      </c>
      <c r="C48" s="67">
        <f>SUMPRODUCT('Country of Revenues - Chevron'!$D$4:$D$150,'Country of Revenues - Chevron'!$D$4:$D$150)</f>
        <v>0.18778266697854262</v>
      </c>
      <c r="D48" s="67">
        <f>'HHI Index Submultiplier'!C48</f>
        <v>1</v>
      </c>
      <c r="E48" s="85">
        <f>Tabella2[[#This Row],[Revenue Exposure - Intermediate Component]]*Tabella2[[#This Row],[HHI Index - Submultiplier]]</f>
        <v>4.1450347317612328</v>
      </c>
    </row>
    <row r="49" spans="1:5" ht="19" x14ac:dyDescent="0.25">
      <c r="A49" s="88" t="s">
        <v>216</v>
      </c>
      <c r="B49" s="86">
        <f>'Country of Revenues - Exxon'!J9</f>
        <v>4.1577917946172267</v>
      </c>
      <c r="C49" s="82">
        <f>SUMPRODUCT('Country of Revenues - Exxon'!$D$4:$D$150,'Country of Revenues - Exxon'!$D$4:$D$150)</f>
        <v>0.33532793878749489</v>
      </c>
      <c r="D49" s="82">
        <f>'HHI Index Submultiplier'!C49</f>
        <v>1.1000000000000001</v>
      </c>
      <c r="E49" s="87">
        <f>Tabella2[[#This Row],[Revenue Exposure - Intermediate Component]]*Tabella2[[#This Row],[HHI Index - Submultiplier]]</f>
        <v>4.5735709740789501</v>
      </c>
    </row>
  </sheetData>
  <sortState xmlns:xlrd2="http://schemas.microsoft.com/office/spreadsheetml/2017/richdata2" ref="A2:D26">
    <sortCondition ref="A2:A26"/>
  </sortState>
  <conditionalFormatting sqref="B2:B49">
    <cfRule type="colorScale" priority="8">
      <colorScale>
        <cfvo type="min"/>
        <cfvo type="percentile" val="50"/>
        <cfvo type="max"/>
        <color rgb="FF00B050"/>
        <color theme="0"/>
        <color rgb="FFFF7674"/>
      </colorScale>
    </cfRule>
    <cfRule type="colorScale" priority="9">
      <colorScale>
        <cfvo type="min"/>
        <cfvo type="percentile" val="50"/>
        <cfvo type="max"/>
        <color rgb="FF73F187"/>
        <color theme="0"/>
        <color rgb="FFFF7674"/>
      </colorScale>
    </cfRule>
    <cfRule type="colorScale" priority="10">
      <colorScale>
        <cfvo type="min"/>
        <cfvo type="percentile" val="50"/>
        <cfvo type="max"/>
        <color rgb="FF73F187"/>
        <color theme="0"/>
        <color rgb="FFFF7674"/>
      </colorScale>
    </cfRule>
  </conditionalFormatting>
  <conditionalFormatting sqref="E2:E49">
    <cfRule type="colorScale" priority="1">
      <colorScale>
        <cfvo type="min"/>
        <cfvo type="percentile" val="50"/>
        <cfvo type="max"/>
        <color rgb="FF00B050"/>
        <color theme="0"/>
        <color rgb="FFFF7674"/>
      </colorScale>
    </cfRule>
    <cfRule type="colorScale" priority="2">
      <colorScale>
        <cfvo type="min"/>
        <cfvo type="percentile" val="50"/>
        <cfvo type="max"/>
        <color rgb="FF73F187"/>
        <color theme="0"/>
        <color rgb="FFFF7674"/>
      </colorScale>
    </cfRule>
    <cfRule type="colorScale" priority="3">
      <colorScale>
        <cfvo type="min"/>
        <cfvo type="percentile" val="50"/>
        <cfvo type="max"/>
        <color rgb="FF73F187"/>
        <color theme="0"/>
        <color rgb="FFFF7674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5855A-1A9C-B442-8294-3E3C715D3615}">
  <dimension ref="A1:C49"/>
  <sheetViews>
    <sheetView tabSelected="1" topLeftCell="A4" workbookViewId="0">
      <selection activeCell="B42" sqref="B42"/>
    </sheetView>
  </sheetViews>
  <sheetFormatPr baseColWidth="10" defaultRowHeight="16" x14ac:dyDescent="0.2"/>
  <cols>
    <col min="1" max="1" width="19.83203125" bestFit="1" customWidth="1"/>
    <col min="2" max="2" width="36.33203125" bestFit="1" customWidth="1"/>
    <col min="3" max="3" width="46.6640625" bestFit="1" customWidth="1"/>
    <col min="4" max="4" width="20.33203125" bestFit="1" customWidth="1"/>
    <col min="5" max="5" width="28.1640625" bestFit="1" customWidth="1"/>
  </cols>
  <sheetData>
    <row r="1" spans="1:3" ht="19" x14ac:dyDescent="0.25">
      <c r="A1" s="64" t="s">
        <v>0</v>
      </c>
      <c r="B1" s="71" t="s">
        <v>192</v>
      </c>
      <c r="C1" s="65" t="s">
        <v>191</v>
      </c>
    </row>
    <row r="2" spans="1:3" ht="19" x14ac:dyDescent="0.25">
      <c r="A2" s="66" t="s">
        <v>9</v>
      </c>
      <c r="B2" s="67">
        <f>SUMPRODUCT('Country of Revenues - Allianz'!$D$4:$D$150,'Country of Revenues - Allianz'!$D$4:$D$150)</f>
        <v>9.2718980213814098E-2</v>
      </c>
      <c r="C2" s="68">
        <f>IF(B2&lt;0.15,0.9,
IF(B2&lt;0.25,1,
IF(B2&lt;0.4,1.1,
IF(B2&lt;0.6,1.25,
1.5))))</f>
        <v>0.9</v>
      </c>
    </row>
    <row r="3" spans="1:3" ht="19" x14ac:dyDescent="0.25">
      <c r="A3" s="69" t="s">
        <v>7</v>
      </c>
      <c r="B3" s="67">
        <f>SUMPRODUCT('Country of Revenues - Amazon'!$D$4:$D$150,'Country of Revenues - Amazon'!$D$4:$D$150)</f>
        <v>0.65874178174350972</v>
      </c>
      <c r="C3" s="68">
        <f t="shared" ref="C3:C26" si="0">IF(B3&lt;0.15,0.9,
IF(B3&lt;0.25,1,
IF(B3&lt;0.4,1.1,
IF(B3&lt;0.6,1.25,
1.5))))</f>
        <v>1.5</v>
      </c>
    </row>
    <row r="4" spans="1:3" ht="19" x14ac:dyDescent="0.25">
      <c r="A4" s="66" t="s">
        <v>1</v>
      </c>
      <c r="B4" s="67">
        <f>SUMPRODUCT('Country of Revenues - Apple'!$D$4:$D$150,'Country of Revenues - Apple'!$D$4:$D$150)</f>
        <v>0.23058349155441957</v>
      </c>
      <c r="C4" s="68">
        <f t="shared" si="0"/>
        <v>1</v>
      </c>
    </row>
    <row r="5" spans="1:3" ht="19" x14ac:dyDescent="0.25">
      <c r="A5" s="69" t="s">
        <v>22</v>
      </c>
      <c r="B5" s="67">
        <f>SUMPRODUCT('Country of Revenues - ASML'!$D$4:$D$150,'Country of Revenues - ASML'!$D$4:$D$150)</f>
        <v>0.39167225044914439</v>
      </c>
      <c r="C5" s="68">
        <f t="shared" si="0"/>
        <v>1.1000000000000001</v>
      </c>
    </row>
    <row r="6" spans="1:3" ht="19" x14ac:dyDescent="0.25">
      <c r="A6" s="66" t="s">
        <v>23</v>
      </c>
      <c r="B6" s="67">
        <f>SUMPRODUCT('Country of Revenues - BNP'!$D$4:$D$150,'Country of Revenues - BNP'!$D$4:$D$150)</f>
        <v>0.12116873622300038</v>
      </c>
      <c r="C6" s="68">
        <f>IF(B6&lt;0.15,0.9,
IF(B6&lt;0.25,1,
IF(B6&lt;0.4,1.1,
IF(B6&lt;0.6,1.25,
1.5))))</f>
        <v>0.9</v>
      </c>
    </row>
    <row r="7" spans="1:3" ht="19" x14ac:dyDescent="0.25">
      <c r="A7" s="69" t="s">
        <v>24</v>
      </c>
      <c r="B7" s="67">
        <f>SUMPRODUCT('Country of Revenues - Eli LIlly'!$D$4:$D$150,'Country of Revenues - Eli LIlly'!$D$4:$D$150)</f>
        <v>0.16582393669260242</v>
      </c>
      <c r="C7" s="68">
        <f t="shared" si="0"/>
        <v>1</v>
      </c>
    </row>
    <row r="8" spans="1:3" ht="19" x14ac:dyDescent="0.25">
      <c r="A8" s="66" t="s">
        <v>25</v>
      </c>
      <c r="B8" s="67">
        <f>SUMPRODUCT('Country of Revenues - ENI'!$D$4:$D$150,'Country of Revenues - ENI'!$D$4:$D$150)</f>
        <v>0.18768843280045519</v>
      </c>
      <c r="C8" s="68">
        <f t="shared" si="0"/>
        <v>1</v>
      </c>
    </row>
    <row r="9" spans="1:3" ht="19" x14ac:dyDescent="0.25">
      <c r="A9" s="69" t="s">
        <v>4</v>
      </c>
      <c r="B9" s="67">
        <f>SUMPRODUCT('Country of Revenues - Ford'!$D$4:$D$150,'Country of Revenues - Ford'!$D$4:$D$150)</f>
        <v>0.59893054140241708</v>
      </c>
      <c r="C9" s="68">
        <f t="shared" si="0"/>
        <v>1.25</v>
      </c>
    </row>
    <row r="10" spans="1:3" ht="19" x14ac:dyDescent="0.25">
      <c r="A10" s="66" t="s">
        <v>21</v>
      </c>
      <c r="B10" s="67">
        <f>SUMPRODUCT('Country of Revenues - JP Morgan'!$D$4:$D$150,'Country of Revenues - JP Morgan'!$D$4:$D$150)</f>
        <v>0.52924521393773272</v>
      </c>
      <c r="C10" s="68">
        <f t="shared" si="0"/>
        <v>1.25</v>
      </c>
    </row>
    <row r="11" spans="1:3" ht="19" x14ac:dyDescent="0.25">
      <c r="A11" s="69" t="s">
        <v>10</v>
      </c>
      <c r="B11" s="67">
        <f>SUMPRODUCT('Country of Revenues - Oreal'!$D$4:$D$150,'Country of Revenues - Oreal'!$D$4:$D$150)</f>
        <v>0.15308301177190325</v>
      </c>
      <c r="C11" s="68">
        <f t="shared" si="0"/>
        <v>1</v>
      </c>
    </row>
    <row r="12" spans="1:3" ht="19" x14ac:dyDescent="0.25">
      <c r="A12" s="66" t="s">
        <v>11</v>
      </c>
      <c r="B12" s="67">
        <f>SUMPRODUCT('Country of Revenues - LVMH'!$D$4:$D$150,'Country of Revenues - LVMH'!$D$4:$D$150)</f>
        <v>0.16976330854406524</v>
      </c>
      <c r="C12" s="68">
        <f t="shared" si="0"/>
        <v>1</v>
      </c>
    </row>
    <row r="13" spans="1:3" ht="19" x14ac:dyDescent="0.25">
      <c r="A13" s="69" t="s">
        <v>2</v>
      </c>
      <c r="B13" s="67">
        <f>SUMPRODUCT('Country of Revenues - Meta'!$D$4:$D$150,'Country of Revenues - Meta'!$D$4:$D$150)</f>
        <v>0.22300630009053132</v>
      </c>
      <c r="C13" s="68">
        <f t="shared" si="0"/>
        <v>1</v>
      </c>
    </row>
    <row r="14" spans="1:3" ht="19" x14ac:dyDescent="0.25">
      <c r="A14" s="66" t="s">
        <v>3</v>
      </c>
      <c r="B14" s="67">
        <f>SUMPRODUCT('Country of Revenues - Microsoft'!$D$4:$D$150,'Country of Revenues - Microsoft'!$D$4:$D$150)</f>
        <v>0.40182631793021228</v>
      </c>
      <c r="C14" s="68">
        <f t="shared" si="0"/>
        <v>1.25</v>
      </c>
    </row>
    <row r="15" spans="1:3" ht="19" x14ac:dyDescent="0.25">
      <c r="A15" s="69" t="s">
        <v>12</v>
      </c>
      <c r="B15" s="67">
        <f>SUMPRODUCT('Country of Revenues - Nordisk'!$D$4:$D$150,'Country of Revenues - Nordisk'!$D$4:$D$150)</f>
        <v>0.43061928786284431</v>
      </c>
      <c r="C15" s="68">
        <f t="shared" si="0"/>
        <v>1.25</v>
      </c>
    </row>
    <row r="16" spans="1:3" ht="19" x14ac:dyDescent="0.25">
      <c r="A16" s="70" t="s">
        <v>8</v>
      </c>
      <c r="B16" s="67">
        <f>SUMPRODUCT('Country of Revenues - NVIDIA'!$D$4:$D$150,'Country of Revenues - NVIDIA'!$D$4:$D$150)</f>
        <v>0.59301667857108264</v>
      </c>
      <c r="C16" s="68">
        <f t="shared" si="0"/>
        <v>1.25</v>
      </c>
    </row>
    <row r="17" spans="1:3" ht="19" x14ac:dyDescent="0.25">
      <c r="A17" s="69" t="s">
        <v>5</v>
      </c>
      <c r="B17" s="67">
        <f>SUMPRODUCT('Country of Revenues - P&amp;G'!$D$4:$D$150,'Country of Revenues - P&amp;G'!$D$4:$D$150)</f>
        <v>0.36840581496711255</v>
      </c>
      <c r="C17" s="68">
        <f t="shared" si="0"/>
        <v>1.1000000000000001</v>
      </c>
    </row>
    <row r="18" spans="1:3" ht="19" x14ac:dyDescent="0.25">
      <c r="A18" s="66" t="s">
        <v>13</v>
      </c>
      <c r="B18" s="67">
        <f>SUMPRODUCT('Country of Revenues - Reliance'!$D$4:$D$150,'Country of Revenues - Reliance'!$D$4:$D$150)</f>
        <v>0.69171595972788547</v>
      </c>
      <c r="C18" s="68">
        <f t="shared" si="0"/>
        <v>1.5</v>
      </c>
    </row>
    <row r="19" spans="1:3" ht="19" x14ac:dyDescent="0.25">
      <c r="A19" s="69" t="s">
        <v>6</v>
      </c>
      <c r="B19" s="67">
        <f>SUMPRODUCT('Country of Revenues - Samsung'!$D$4:$D$150,'Country of Revenues - Samsung'!$D$4:$D$150)</f>
        <v>0.17706430599658435</v>
      </c>
      <c r="C19" s="68">
        <f t="shared" si="0"/>
        <v>1</v>
      </c>
    </row>
    <row r="20" spans="1:3" ht="19" x14ac:dyDescent="0.25">
      <c r="A20" s="70" t="s">
        <v>14</v>
      </c>
      <c r="B20" s="67">
        <f>SUMPRODUCT('Country of Revenues - SAP'!$D$4:$D$150,'Country of Revenues - SAP'!$D$4:$D$150)</f>
        <v>0.2802919132054868</v>
      </c>
      <c r="C20" s="68">
        <f t="shared" si="0"/>
        <v>1.1000000000000001</v>
      </c>
    </row>
    <row r="21" spans="1:3" ht="19" x14ac:dyDescent="0.25">
      <c r="A21" s="69" t="s">
        <v>15</v>
      </c>
      <c r="B21" s="67">
        <f>SUMPRODUCT('Country of Revenues - Sony'!$D$4:$D$150,'Country of Revenues - Sony'!$D$4:$D$150)</f>
        <v>0.16957249405570279</v>
      </c>
      <c r="C21" s="68">
        <f t="shared" si="0"/>
        <v>1</v>
      </c>
    </row>
    <row r="22" spans="1:3" ht="19" x14ac:dyDescent="0.25">
      <c r="A22" s="69" t="s">
        <v>16</v>
      </c>
      <c r="B22" s="67">
        <f>SUMPRODUCT('Country of Revenues - Tencent'!$D$4:$D$150,'Country of Revenues - Tencent'!$D$4:$D$150)</f>
        <v>1</v>
      </c>
      <c r="C22" s="68">
        <f t="shared" si="0"/>
        <v>1.5</v>
      </c>
    </row>
    <row r="23" spans="1:3" ht="19" x14ac:dyDescent="0.25">
      <c r="A23" s="69" t="s">
        <v>187</v>
      </c>
      <c r="B23" s="67">
        <f>SUMPRODUCT('Country of Revenues - Total En'!$D$4:$D$150,'Country of Revenues - Total En'!$D$4:$D$150)</f>
        <v>0.1324343078876124</v>
      </c>
      <c r="C23" s="68">
        <f t="shared" si="0"/>
        <v>0.9</v>
      </c>
    </row>
    <row r="24" spans="1:3" ht="19" x14ac:dyDescent="0.25">
      <c r="A24" s="70" t="s">
        <v>18</v>
      </c>
      <c r="B24" s="67">
        <f>SUMPRODUCT('Country of Revenues - Toyota'!$D$4:$D$150,'Country of Revenues - Toyota'!$D$4:$D$150)</f>
        <v>0.24135179321089978</v>
      </c>
      <c r="C24" s="68">
        <f t="shared" si="0"/>
        <v>1</v>
      </c>
    </row>
    <row r="25" spans="1:3" ht="19" x14ac:dyDescent="0.25">
      <c r="A25" s="69" t="s">
        <v>19</v>
      </c>
      <c r="B25" s="67">
        <f>SUMPRODUCT('Country of Revenues - TSMC'!$D$4:$D$150,'Country of Revenues - TSMC'!$D$4:$D$150)</f>
        <v>0.64773113531755655</v>
      </c>
      <c r="C25" s="68">
        <f t="shared" si="0"/>
        <v>1.5</v>
      </c>
    </row>
    <row r="26" spans="1:3" ht="19" x14ac:dyDescent="0.25">
      <c r="A26" s="66" t="s">
        <v>20</v>
      </c>
      <c r="B26" s="67">
        <f>SUMPRODUCT('Country of Revenues - VW'!$D$4:$D$150,'Country of Revenues - VW'!$D$4:$D$150)</f>
        <v>0.11745963854155091</v>
      </c>
      <c r="C26" s="68">
        <f t="shared" si="0"/>
        <v>0.9</v>
      </c>
    </row>
    <row r="27" spans="1:3" ht="19" x14ac:dyDescent="0.25">
      <c r="A27" s="69" t="s">
        <v>194</v>
      </c>
      <c r="B27" s="67">
        <f>SUMPRODUCT('Country of Revenues - Leonardo'!$D$4:$D$150,'Country of Revenues - Leonardo'!$D$4:$D$150)</f>
        <v>0.23540648927671579</v>
      </c>
      <c r="C27" s="68">
        <f t="shared" ref="C27:C49" si="1">IF(B27&lt;0.15,0.9,
IF(B27&lt;0.25,1,
IF(B27&lt;0.4,1.1,
IF(B27&lt;0.6,1.25,
1.5))))</f>
        <v>1</v>
      </c>
    </row>
    <row r="28" spans="1:3" ht="19" x14ac:dyDescent="0.25">
      <c r="A28" s="66" t="s">
        <v>196</v>
      </c>
      <c r="B28" s="67">
        <f>SUMPRODUCT('Country of Revenues - Pfizer'!$D$4:$D$150,'Country of Revenues - Pfizer'!$D$4:$D$150)</f>
        <v>0.30129960128247074</v>
      </c>
      <c r="C28" s="68">
        <f t="shared" si="1"/>
        <v>1.1000000000000001</v>
      </c>
    </row>
    <row r="29" spans="1:3" ht="19" x14ac:dyDescent="0.25">
      <c r="A29" s="69" t="s">
        <v>195</v>
      </c>
      <c r="B29" s="67">
        <f>SUMPRODUCT('Country of Revenues - Prysmian'!$D$4:$D$150,'Country of Revenues - Prysmian'!$D$4:$D$150)</f>
        <v>0.29061244743291381</v>
      </c>
      <c r="C29" s="68">
        <f t="shared" si="1"/>
        <v>1.1000000000000001</v>
      </c>
    </row>
    <row r="30" spans="1:3" ht="19" x14ac:dyDescent="0.25">
      <c r="A30" s="66" t="s">
        <v>197</v>
      </c>
      <c r="B30" s="67">
        <f>SUMPRODUCT('Country of Revenues - Unicredit'!$D$4:$D$150,'Country of Revenues - Unicredit'!$D$4:$D$150)</f>
        <v>0.26467469240234776</v>
      </c>
      <c r="C30" s="68">
        <f t="shared" si="1"/>
        <v>1.1000000000000001</v>
      </c>
    </row>
    <row r="31" spans="1:3" ht="19" x14ac:dyDescent="0.25">
      <c r="A31" s="69" t="s">
        <v>198</v>
      </c>
      <c r="B31" s="67">
        <f>SUMPRODUCT('Country of Revenues - Campari'!$D$4:$D$150,'Country of Revenues - Campari'!$D$4:$D$150)</f>
        <v>0.1881737955812377</v>
      </c>
      <c r="C31" s="68">
        <f t="shared" si="1"/>
        <v>1</v>
      </c>
    </row>
    <row r="32" spans="1:3" ht="19" x14ac:dyDescent="0.25">
      <c r="A32" s="66" t="s">
        <v>199</v>
      </c>
      <c r="B32" s="67">
        <f>SUMPRODUCT('Country of Revenues - Moncler'!$D$4:$D$150,'Country of Revenues - Moncler'!$D$4:$D$150)</f>
        <v>0.17333342537219282</v>
      </c>
      <c r="C32" s="68">
        <f t="shared" si="1"/>
        <v>1</v>
      </c>
    </row>
    <row r="33" spans="1:3" ht="19" x14ac:dyDescent="0.25">
      <c r="A33" s="69" t="s">
        <v>200</v>
      </c>
      <c r="B33" s="67">
        <f>SUMPRODUCT('Country of Revenues - Ferrari'!$D$4:$D$150,'Country of Revenues - Ferrari'!$D$4:$D$150)</f>
        <v>0.17568747952275429</v>
      </c>
      <c r="C33" s="68">
        <f t="shared" si="1"/>
        <v>1</v>
      </c>
    </row>
    <row r="34" spans="1:3" ht="19" x14ac:dyDescent="0.25">
      <c r="A34" s="70" t="s">
        <v>201</v>
      </c>
      <c r="B34" s="67">
        <f>SUMPRODUCT('Country of Revenues - Alibaba'!$D$4:$D$150,'Country of Revenues - Alibaba'!$D$4:$D$150)</f>
        <v>0.84141613665496939</v>
      </c>
      <c r="C34" s="68">
        <f t="shared" si="1"/>
        <v>1.5</v>
      </c>
    </row>
    <row r="35" spans="1:3" ht="19" x14ac:dyDescent="0.25">
      <c r="A35" s="69" t="s">
        <v>202</v>
      </c>
      <c r="B35" s="67">
        <f>SUMPRODUCT('Country of Revenues - Nestlè'!$D$4:$D$150,'Country of Revenues - Nestlè'!$D$4:$D$150)</f>
        <v>0.19454961634274426</v>
      </c>
      <c r="C35" s="68">
        <f t="shared" si="1"/>
        <v>1</v>
      </c>
    </row>
    <row r="36" spans="1:3" ht="19" x14ac:dyDescent="0.25">
      <c r="A36" s="66" t="s">
        <v>203</v>
      </c>
      <c r="B36" s="67">
        <f>SUMPRODUCT('Country of Revenues - Gazprom'!$D$4:$D$150,'Country of Revenues - Gazprom'!$D$4:$D$150)</f>
        <v>0.40840312163869658</v>
      </c>
      <c r="C36" s="68">
        <f t="shared" si="1"/>
        <v>1.25</v>
      </c>
    </row>
    <row r="37" spans="1:3" ht="19" x14ac:dyDescent="0.25">
      <c r="A37" s="69" t="s">
        <v>204</v>
      </c>
      <c r="B37" s="67">
        <f>SUMPRODUCT('Country of Revenues - Novartis'!$D$4:$D$150,'Country of Revenues - Novartis'!$D$4:$D$150)</f>
        <v>0.29855218071935363</v>
      </c>
      <c r="C37" s="68">
        <f t="shared" si="1"/>
        <v>1.1000000000000001</v>
      </c>
    </row>
    <row r="38" spans="1:3" ht="19" x14ac:dyDescent="0.25">
      <c r="A38" s="70" t="s">
        <v>205</v>
      </c>
      <c r="B38" s="67">
        <f>SUMPRODUCT('Country of Revenues - Moderna'!$D$4:$D$150,'Country of Revenues - Moderna'!$D$4:$D$150)</f>
        <v>0.54497414391860832</v>
      </c>
      <c r="C38" s="68">
        <f t="shared" si="1"/>
        <v>1.25</v>
      </c>
    </row>
    <row r="39" spans="1:3" ht="19" x14ac:dyDescent="0.25">
      <c r="A39" s="69" t="s">
        <v>206</v>
      </c>
      <c r="B39" s="67">
        <f>SUMPRODUCT('Country of Revenues - HSBC'!$D$4:$D$150,'Country of Revenues - HSBC'!$D$4:$D$150)</f>
        <v>0.44440517227516962</v>
      </c>
      <c r="C39" s="68">
        <f t="shared" si="1"/>
        <v>1.25</v>
      </c>
    </row>
    <row r="40" spans="1:3" ht="19" x14ac:dyDescent="0.25">
      <c r="A40" s="66" t="s">
        <v>207</v>
      </c>
      <c r="B40" s="67">
        <f>SUMPRODUCT('Country of Revenues - Walmart'!$D$4:$D$150,'Country of Revenues - Walmart'!$D$4:$D$150)</f>
        <v>0.70861442278714792</v>
      </c>
      <c r="C40" s="68">
        <f t="shared" si="1"/>
        <v>1.5</v>
      </c>
    </row>
    <row r="41" spans="1:3" ht="19" x14ac:dyDescent="0.25">
      <c r="A41" s="69" t="s">
        <v>208</v>
      </c>
      <c r="B41" s="67">
        <f>SUMPRODUCT('Country of Revenues - Unilever'!$D$4:$D$150,'Country of Revenues - Unilever'!$D$4:$D$150)</f>
        <v>0.16791757172161417</v>
      </c>
      <c r="C41" s="68">
        <f t="shared" si="1"/>
        <v>1</v>
      </c>
    </row>
    <row r="42" spans="1:3" ht="19" x14ac:dyDescent="0.25">
      <c r="A42" s="66" t="s">
        <v>209</v>
      </c>
      <c r="B42" s="67">
        <f>SUMPRODUCT('Country of Revenues - Coca-Cola'!$D$4:$D$150,'Country of Revenues - Coca-Cola'!$D$4:$D$150)</f>
        <v>0.29664268128849924</v>
      </c>
      <c r="C42" s="68">
        <f t="shared" si="1"/>
        <v>1.1000000000000001</v>
      </c>
    </row>
    <row r="43" spans="1:3" ht="19" x14ac:dyDescent="0.25">
      <c r="A43" s="69" t="s">
        <v>210</v>
      </c>
      <c r="B43" s="67">
        <f>SUMPRODUCT('Country of Revenues - CAT'!$D$4:$D$150,'Country of Revenues - CAT'!$D$4:$D$150)</f>
        <v>0.30905433886278683</v>
      </c>
      <c r="C43" s="68">
        <f t="shared" si="1"/>
        <v>1.1000000000000001</v>
      </c>
    </row>
    <row r="44" spans="1:3" ht="19" x14ac:dyDescent="0.25">
      <c r="A44" s="66" t="s">
        <v>211</v>
      </c>
      <c r="B44" s="67">
        <f>SUMPRODUCT('Country of Revenues - Tesla'!$D$4:$D$150,'Country of Revenues - Tesla'!$D$4:$D$150)</f>
        <v>0.45454153484012377</v>
      </c>
      <c r="C44" s="68">
        <f t="shared" si="1"/>
        <v>1.25</v>
      </c>
    </row>
    <row r="45" spans="1:3" ht="19" x14ac:dyDescent="0.25">
      <c r="A45" s="69" t="s">
        <v>212</v>
      </c>
      <c r="B45" s="67">
        <f>SUMPRODUCT('Country of Revenues - Alphabet'!$D$4:$D$150,'Country of Revenues - Alphabet'!$D$4:$D$150)</f>
        <v>0.43898976240631798</v>
      </c>
      <c r="C45" s="68">
        <f t="shared" si="1"/>
        <v>1.25</v>
      </c>
    </row>
    <row r="46" spans="1:3" ht="19" x14ac:dyDescent="0.25">
      <c r="A46" s="66" t="s">
        <v>213</v>
      </c>
      <c r="B46" s="67">
        <f>SUMPRODUCT('Country of Revenues - S.Aramco'!$D$4:$D$150,'Country of Revenues - S.Aramco'!$D$4:$D$150)</f>
        <v>0.53464361955424733</v>
      </c>
      <c r="C46" s="68">
        <f t="shared" si="1"/>
        <v>1.25</v>
      </c>
    </row>
    <row r="47" spans="1:3" ht="19" x14ac:dyDescent="0.25">
      <c r="A47" s="69" t="s">
        <v>214</v>
      </c>
      <c r="B47" s="67">
        <f>SUMPRODUCT('Country of Revenues - Shell'!$D$4:$D$150,'Country of Revenues - Shell'!$D$4:$D$150)</f>
        <v>0.1248309301450751</v>
      </c>
      <c r="C47" s="68">
        <f t="shared" si="1"/>
        <v>0.9</v>
      </c>
    </row>
    <row r="48" spans="1:3" ht="19" x14ac:dyDescent="0.25">
      <c r="A48" s="70" t="s">
        <v>215</v>
      </c>
      <c r="B48" s="67">
        <f>SUMPRODUCT('Country of Revenues - Chevron'!$D$4:$D$150,'Country of Revenues - Chevron'!$D$4:$D$150)</f>
        <v>0.18778266697854262</v>
      </c>
      <c r="C48" s="68">
        <f t="shared" si="1"/>
        <v>1</v>
      </c>
    </row>
    <row r="49" spans="1:3" ht="19" x14ac:dyDescent="0.25">
      <c r="A49" s="69" t="s">
        <v>216</v>
      </c>
      <c r="B49" s="82">
        <f>SUMPRODUCT('Country of Revenues - Exxon'!$D$4:$D$150,'Country of Revenues - Exxon'!$D$4:$D$150)</f>
        <v>0.33532793878749489</v>
      </c>
      <c r="C49" s="83">
        <f t="shared" si="1"/>
        <v>1.1000000000000001</v>
      </c>
    </row>
  </sheetData>
  <conditionalFormatting sqref="C2:C49">
    <cfRule type="colorScale" priority="1">
      <colorScale>
        <cfvo type="min"/>
        <cfvo type="percentile" val="50"/>
        <cfvo type="max"/>
        <color rgb="FF00B050"/>
        <color theme="0"/>
        <color rgb="FFFF7D7C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50C1-E07D-F043-990A-A4CDFCD75BB2}">
  <dimension ref="A1:J151"/>
  <sheetViews>
    <sheetView workbookViewId="0">
      <selection activeCell="D6" sqref="D6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20" customHeight="1" x14ac:dyDescent="0.2">
      <c r="A1" s="76" t="s">
        <v>26</v>
      </c>
      <c r="B1" s="77"/>
      <c r="C1" s="77"/>
      <c r="D1" s="77"/>
    </row>
    <row r="2" spans="1:10" ht="17" customHeight="1" x14ac:dyDescent="0.2">
      <c r="A2" s="76"/>
      <c r="B2" s="77"/>
      <c r="C2" s="77"/>
      <c r="D2" s="77"/>
    </row>
    <row r="3" spans="1:10" ht="19" x14ac:dyDescent="0.25">
      <c r="A3" s="5" t="s">
        <v>27</v>
      </c>
      <c r="B3" s="5" t="s">
        <v>28</v>
      </c>
      <c r="C3" s="6" t="s">
        <v>29</v>
      </c>
      <c r="D3" s="6" t="s">
        <v>30</v>
      </c>
    </row>
    <row r="4" spans="1:10" ht="20" thickBot="1" x14ac:dyDescent="0.3">
      <c r="A4" s="49" t="s">
        <v>31</v>
      </c>
      <c r="B4" s="59">
        <v>4.3705708278452811</v>
      </c>
      <c r="C4" s="39">
        <v>0</v>
      </c>
      <c r="D4" s="30">
        <f>C4/$C$151</f>
        <v>0</v>
      </c>
      <c r="E4" s="3"/>
    </row>
    <row r="5" spans="1:10" ht="20" thickBot="1" x14ac:dyDescent="0.3">
      <c r="A5" s="50" t="s">
        <v>32</v>
      </c>
      <c r="B5" s="59">
        <v>5.2136193198580543</v>
      </c>
      <c r="C5" s="40">
        <v>0</v>
      </c>
      <c r="D5" s="31">
        <f t="shared" ref="D5:D68" si="0">C5/$C$151</f>
        <v>0</v>
      </c>
      <c r="E5" s="3"/>
      <c r="G5" s="13" t="s">
        <v>33</v>
      </c>
      <c r="H5" s="14"/>
      <c r="I5" s="14"/>
      <c r="J5" s="15"/>
    </row>
    <row r="6" spans="1:10" ht="20" thickBot="1" x14ac:dyDescent="0.3">
      <c r="A6" s="51" t="s">
        <v>34</v>
      </c>
      <c r="B6" s="59">
        <v>5.6305966049142544</v>
      </c>
      <c r="C6" s="41">
        <v>0</v>
      </c>
      <c r="D6" s="32">
        <f t="shared" si="0"/>
        <v>0</v>
      </c>
      <c r="E6" s="3"/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0" t="s">
        <v>38</v>
      </c>
      <c r="B7" s="59">
        <v>4.3620978216044497</v>
      </c>
      <c r="C7" s="40">
        <v>5.6000000000000008E-3</v>
      </c>
      <c r="D7" s="31">
        <f t="shared" si="0"/>
        <v>6.6571564431764157E-3</v>
      </c>
      <c r="E7" s="3"/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1" t="s">
        <v>40</v>
      </c>
      <c r="B8" s="59">
        <v>4.7882033268855917</v>
      </c>
      <c r="C8" s="41">
        <v>0</v>
      </c>
      <c r="D8" s="32">
        <f t="shared" si="0"/>
        <v>0</v>
      </c>
      <c r="E8" s="3"/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0.43354731336186397</v>
      </c>
    </row>
    <row r="9" spans="1:10" ht="23" thickBot="1" x14ac:dyDescent="0.35">
      <c r="A9" s="50" t="s">
        <v>42</v>
      </c>
      <c r="B9" s="59">
        <v>3.2228923328507717</v>
      </c>
      <c r="C9" s="40">
        <v>1.6500000000000001E-2</v>
      </c>
      <c r="D9" s="31">
        <f t="shared" si="0"/>
        <v>1.9614835948644795E-2</v>
      </c>
      <c r="E9" s="3"/>
      <c r="G9" s="26" t="s">
        <v>43</v>
      </c>
      <c r="H9" s="27"/>
      <c r="I9" s="27"/>
      <c r="J9" s="63">
        <f>SUMPRODUCT(B4:B150,D4:D150)</f>
        <v>4.1049432163174231</v>
      </c>
    </row>
    <row r="10" spans="1:10" ht="19" x14ac:dyDescent="0.25">
      <c r="A10" s="51" t="s">
        <v>44</v>
      </c>
      <c r="B10" s="59">
        <v>3.4101851325072063</v>
      </c>
      <c r="C10" s="41">
        <v>0</v>
      </c>
      <c r="D10" s="32">
        <f t="shared" si="0"/>
        <v>0</v>
      </c>
      <c r="E10" s="3"/>
    </row>
    <row r="11" spans="1:10" ht="19" x14ac:dyDescent="0.25">
      <c r="A11" s="50" t="s">
        <v>45</v>
      </c>
      <c r="B11" s="59">
        <v>5.2109258806256893</v>
      </c>
      <c r="C11" s="40">
        <v>0</v>
      </c>
      <c r="D11" s="31">
        <f t="shared" si="0"/>
        <v>0</v>
      </c>
      <c r="E11" s="3"/>
    </row>
    <row r="12" spans="1:10" ht="19" x14ac:dyDescent="0.25">
      <c r="A12" s="51" t="s">
        <v>46</v>
      </c>
      <c r="B12" s="59">
        <v>4.2572307249236632</v>
      </c>
      <c r="C12" s="41">
        <v>0</v>
      </c>
      <c r="D12" s="32">
        <f t="shared" si="0"/>
        <v>0</v>
      </c>
      <c r="E12" s="3"/>
    </row>
    <row r="13" spans="1:10" ht="19" x14ac:dyDescent="0.25">
      <c r="A13" s="50" t="s">
        <v>47</v>
      </c>
      <c r="B13" s="59">
        <v>6.2938646029657299</v>
      </c>
      <c r="C13" s="40">
        <v>0</v>
      </c>
      <c r="D13" s="31">
        <f t="shared" si="0"/>
        <v>0</v>
      </c>
      <c r="E13" s="3"/>
    </row>
    <row r="14" spans="1:10" ht="19" x14ac:dyDescent="0.25">
      <c r="A14" s="51" t="s">
        <v>48</v>
      </c>
      <c r="B14" s="59">
        <v>5.4470391561857463</v>
      </c>
      <c r="C14" s="41">
        <v>0</v>
      </c>
      <c r="D14" s="32">
        <f t="shared" si="0"/>
        <v>0</v>
      </c>
      <c r="E14" s="3"/>
    </row>
    <row r="15" spans="1:10" ht="19" x14ac:dyDescent="0.25">
      <c r="A15" s="50" t="s">
        <v>49</v>
      </c>
      <c r="B15" s="59">
        <v>3.3272157363952584</v>
      </c>
      <c r="C15" s="40">
        <v>0</v>
      </c>
      <c r="D15" s="31">
        <f t="shared" si="0"/>
        <v>0</v>
      </c>
      <c r="E15" s="3"/>
    </row>
    <row r="16" spans="1:10" ht="19" x14ac:dyDescent="0.25">
      <c r="A16" s="51" t="s">
        <v>50</v>
      </c>
      <c r="B16" s="59">
        <v>5.9976203843116958</v>
      </c>
      <c r="C16" s="41">
        <v>0</v>
      </c>
      <c r="D16" s="32">
        <f t="shared" si="0"/>
        <v>0</v>
      </c>
      <c r="E16" s="3"/>
    </row>
    <row r="17" spans="1:5" ht="19" x14ac:dyDescent="0.25">
      <c r="A17" s="50" t="s">
        <v>51</v>
      </c>
      <c r="B17" s="59">
        <v>5.0248646415497609</v>
      </c>
      <c r="C17" s="40">
        <v>0</v>
      </c>
      <c r="D17" s="31">
        <f t="shared" si="0"/>
        <v>0</v>
      </c>
      <c r="E17" s="3"/>
    </row>
    <row r="18" spans="1:5" ht="19" x14ac:dyDescent="0.25">
      <c r="A18" s="51" t="s">
        <v>52</v>
      </c>
      <c r="B18" s="59">
        <v>5.4119734583646606</v>
      </c>
      <c r="C18" s="41">
        <v>0</v>
      </c>
      <c r="D18" s="32">
        <f t="shared" si="0"/>
        <v>0</v>
      </c>
      <c r="E18" s="3"/>
    </row>
    <row r="19" spans="1:5" ht="19" x14ac:dyDescent="0.25">
      <c r="A19" s="50" t="s">
        <v>53</v>
      </c>
      <c r="B19" s="59">
        <v>5.3424605477454783</v>
      </c>
      <c r="C19" s="40">
        <v>0</v>
      </c>
      <c r="D19" s="31">
        <f t="shared" si="0"/>
        <v>0</v>
      </c>
      <c r="E19" s="3"/>
    </row>
    <row r="20" spans="1:5" ht="19" x14ac:dyDescent="0.25">
      <c r="A20" s="51" t="s">
        <v>54</v>
      </c>
      <c r="B20" s="59">
        <v>4.3392269255836116</v>
      </c>
      <c r="C20" s="41">
        <v>0</v>
      </c>
      <c r="D20" s="32">
        <f t="shared" si="0"/>
        <v>0</v>
      </c>
      <c r="E20" s="3"/>
    </row>
    <row r="21" spans="1:5" ht="19" x14ac:dyDescent="0.25">
      <c r="A21" s="50" t="s">
        <v>55</v>
      </c>
      <c r="B21" s="59">
        <v>5.3528879548903774</v>
      </c>
      <c r="C21" s="40">
        <v>1.89E-2</v>
      </c>
      <c r="D21" s="31">
        <f t="shared" si="0"/>
        <v>2.24679029957204E-2</v>
      </c>
      <c r="E21" s="3"/>
    </row>
    <row r="22" spans="1:5" ht="19" x14ac:dyDescent="0.25">
      <c r="A22" s="51" t="s">
        <v>56</v>
      </c>
      <c r="B22" s="59">
        <v>4.4305511295739555</v>
      </c>
      <c r="C22" s="41">
        <v>0</v>
      </c>
      <c r="D22" s="32">
        <f t="shared" si="0"/>
        <v>0</v>
      </c>
      <c r="E22" s="3"/>
    </row>
    <row r="23" spans="1:5" ht="19" x14ac:dyDescent="0.25">
      <c r="A23" s="50" t="s">
        <v>57</v>
      </c>
      <c r="B23" s="59">
        <v>6.5469989858167894</v>
      </c>
      <c r="C23" s="40">
        <v>0</v>
      </c>
      <c r="D23" s="31">
        <f t="shared" si="0"/>
        <v>0</v>
      </c>
      <c r="E23" s="3"/>
    </row>
    <row r="24" spans="1:5" ht="19" x14ac:dyDescent="0.25">
      <c r="A24" s="51" t="s">
        <v>58</v>
      </c>
      <c r="B24" s="59">
        <v>6.3316257862325482</v>
      </c>
      <c r="C24" s="41">
        <v>0</v>
      </c>
      <c r="D24" s="32">
        <f t="shared" si="0"/>
        <v>0</v>
      </c>
      <c r="E24" s="3"/>
    </row>
    <row r="25" spans="1:5" ht="19" x14ac:dyDescent="0.25">
      <c r="A25" s="50" t="s">
        <v>59</v>
      </c>
      <c r="B25" s="59">
        <v>5.6374100513783132</v>
      </c>
      <c r="C25" s="40">
        <v>0</v>
      </c>
      <c r="D25" s="31">
        <f t="shared" si="0"/>
        <v>0</v>
      </c>
      <c r="E25" s="3"/>
    </row>
    <row r="26" spans="1:5" ht="19" x14ac:dyDescent="0.25">
      <c r="A26" s="51" t="s">
        <v>60</v>
      </c>
      <c r="B26" s="59">
        <v>6.8290168498118629</v>
      </c>
      <c r="C26" s="41">
        <v>0</v>
      </c>
      <c r="D26" s="32">
        <f t="shared" si="0"/>
        <v>0</v>
      </c>
      <c r="E26" s="3"/>
    </row>
    <row r="27" spans="1:5" ht="19" x14ac:dyDescent="0.25">
      <c r="A27" s="50" t="s">
        <v>61</v>
      </c>
      <c r="B27" s="59">
        <v>3.4431913474650511</v>
      </c>
      <c r="C27" s="40">
        <v>0</v>
      </c>
      <c r="D27" s="31">
        <f t="shared" si="0"/>
        <v>0</v>
      </c>
      <c r="E27" s="3"/>
    </row>
    <row r="28" spans="1:5" ht="19" x14ac:dyDescent="0.25">
      <c r="A28" s="51" t="s">
        <v>62</v>
      </c>
      <c r="B28" s="59">
        <v>6.7936201324767405</v>
      </c>
      <c r="C28" s="41">
        <v>0</v>
      </c>
      <c r="D28" s="32">
        <f t="shared" si="0"/>
        <v>0</v>
      </c>
      <c r="E28" s="3"/>
    </row>
    <row r="29" spans="1:5" ht="19" x14ac:dyDescent="0.25">
      <c r="A29" s="50" t="s">
        <v>63</v>
      </c>
      <c r="B29" s="59">
        <v>6.8383191750945294</v>
      </c>
      <c r="C29" s="40">
        <v>0</v>
      </c>
      <c r="D29" s="31">
        <f t="shared" si="0"/>
        <v>0</v>
      </c>
      <c r="E29" s="3"/>
    </row>
    <row r="30" spans="1:5" ht="19" x14ac:dyDescent="0.25">
      <c r="A30" s="51" t="s">
        <v>64</v>
      </c>
      <c r="B30" s="59">
        <v>4.3579262651505353</v>
      </c>
      <c r="C30" s="41">
        <v>0</v>
      </c>
      <c r="D30" s="32">
        <f t="shared" si="0"/>
        <v>0</v>
      </c>
      <c r="E30" s="3"/>
    </row>
    <row r="31" spans="1:5" ht="19" x14ac:dyDescent="0.25">
      <c r="A31" s="50" t="s">
        <v>65</v>
      </c>
      <c r="B31" s="59">
        <v>4.2558827981073541</v>
      </c>
      <c r="C31" s="40">
        <v>0.14300000000000002</v>
      </c>
      <c r="D31" s="31">
        <f t="shared" si="0"/>
        <v>0.1699952448882549</v>
      </c>
      <c r="E31" s="1" t="s">
        <v>66</v>
      </c>
    </row>
    <row r="32" spans="1:5" ht="19" x14ac:dyDescent="0.25">
      <c r="A32" s="51" t="s">
        <v>67</v>
      </c>
      <c r="B32" s="59">
        <v>5.7247940072371959</v>
      </c>
      <c r="C32" s="41">
        <v>0</v>
      </c>
      <c r="D32" s="32">
        <f t="shared" si="0"/>
        <v>0</v>
      </c>
      <c r="E32" s="3"/>
    </row>
    <row r="33" spans="1:5" ht="19" x14ac:dyDescent="0.25">
      <c r="A33" s="50" t="s">
        <v>68</v>
      </c>
      <c r="B33" s="59">
        <v>5.6489161047332477</v>
      </c>
      <c r="C33" s="40">
        <v>0</v>
      </c>
      <c r="D33" s="31">
        <f t="shared" si="0"/>
        <v>0</v>
      </c>
      <c r="E33" s="3"/>
    </row>
    <row r="34" spans="1:5" ht="19" x14ac:dyDescent="0.25">
      <c r="A34" s="51" t="s">
        <v>69</v>
      </c>
      <c r="B34" s="59">
        <v>4.2297467795287353</v>
      </c>
      <c r="C34" s="41">
        <v>0</v>
      </c>
      <c r="D34" s="32">
        <f t="shared" si="0"/>
        <v>0</v>
      </c>
      <c r="E34" s="3"/>
    </row>
    <row r="35" spans="1:5" ht="19" x14ac:dyDescent="0.25">
      <c r="A35" s="50" t="s">
        <v>70</v>
      </c>
      <c r="B35" s="59">
        <v>5.5958391680617687</v>
      </c>
      <c r="C35" s="40">
        <v>0</v>
      </c>
      <c r="D35" s="31">
        <f t="shared" si="0"/>
        <v>0</v>
      </c>
      <c r="E35" s="3"/>
    </row>
    <row r="36" spans="1:5" ht="19" x14ac:dyDescent="0.25">
      <c r="A36" s="51" t="s">
        <v>71</v>
      </c>
      <c r="B36" s="59">
        <v>4.2818306896749707</v>
      </c>
      <c r="C36" s="41">
        <v>0</v>
      </c>
      <c r="D36" s="32">
        <f t="shared" si="0"/>
        <v>0</v>
      </c>
      <c r="E36" s="3"/>
    </row>
    <row r="37" spans="1:5" ht="19" x14ac:dyDescent="0.25">
      <c r="A37" s="50" t="s">
        <v>72</v>
      </c>
      <c r="B37" s="59">
        <v>4.665702306747229</v>
      </c>
      <c r="C37" s="40">
        <v>0</v>
      </c>
      <c r="D37" s="31">
        <f t="shared" si="0"/>
        <v>0</v>
      </c>
      <c r="E37" s="3"/>
    </row>
    <row r="38" spans="1:5" ht="19" x14ac:dyDescent="0.25">
      <c r="A38" s="51" t="s">
        <v>73</v>
      </c>
      <c r="B38" s="59">
        <v>3.7484970292180693</v>
      </c>
      <c r="C38" s="41">
        <v>0</v>
      </c>
      <c r="D38" s="32">
        <f t="shared" si="0"/>
        <v>0</v>
      </c>
      <c r="E38" s="3"/>
    </row>
    <row r="39" spans="1:5" ht="19" x14ac:dyDescent="0.25">
      <c r="A39" s="50" t="s">
        <v>74</v>
      </c>
      <c r="B39" s="59">
        <v>3.1990775661028361</v>
      </c>
      <c r="C39" s="40">
        <v>0</v>
      </c>
      <c r="D39" s="31">
        <f t="shared" si="0"/>
        <v>0</v>
      </c>
      <c r="E39" s="3"/>
    </row>
    <row r="40" spans="1:5" ht="19" x14ac:dyDescent="0.25">
      <c r="A40" s="51" t="s">
        <v>75</v>
      </c>
      <c r="B40" s="59">
        <v>5.9780558706115094</v>
      </c>
      <c r="C40" s="41">
        <v>0</v>
      </c>
      <c r="D40" s="32">
        <f t="shared" si="0"/>
        <v>0</v>
      </c>
      <c r="E40" s="3"/>
    </row>
    <row r="41" spans="1:5" ht="19" x14ac:dyDescent="0.25">
      <c r="A41" s="50" t="s">
        <v>76</v>
      </c>
      <c r="B41" s="59">
        <v>4.6951385888474393</v>
      </c>
      <c r="C41" s="40">
        <v>0</v>
      </c>
      <c r="D41" s="31">
        <f t="shared" si="0"/>
        <v>0</v>
      </c>
      <c r="E41" s="3"/>
    </row>
    <row r="42" spans="1:5" ht="19" x14ac:dyDescent="0.25">
      <c r="A42" s="51" t="s">
        <v>77</v>
      </c>
      <c r="B42" s="59">
        <v>5.7086243658486353</v>
      </c>
      <c r="C42" s="41">
        <v>0</v>
      </c>
      <c r="D42" s="32">
        <f t="shared" si="0"/>
        <v>0</v>
      </c>
      <c r="E42" s="3"/>
    </row>
    <row r="43" spans="1:5" ht="19" x14ac:dyDescent="0.25">
      <c r="A43" s="50" t="s">
        <v>78</v>
      </c>
      <c r="B43" s="59">
        <v>5.6039767437648544</v>
      </c>
      <c r="C43" s="40">
        <v>0</v>
      </c>
      <c r="D43" s="31">
        <f t="shared" si="0"/>
        <v>0</v>
      </c>
      <c r="E43" s="3"/>
    </row>
    <row r="44" spans="1:5" ht="19" x14ac:dyDescent="0.25">
      <c r="A44" s="51" t="s">
        <v>79</v>
      </c>
      <c r="B44" s="59">
        <v>4.7929202889816001</v>
      </c>
      <c r="C44" s="41">
        <v>0</v>
      </c>
      <c r="D44" s="32">
        <f t="shared" si="0"/>
        <v>0</v>
      </c>
      <c r="E44" s="3"/>
    </row>
    <row r="45" spans="1:5" ht="19" x14ac:dyDescent="0.25">
      <c r="A45" s="50" t="s">
        <v>80</v>
      </c>
      <c r="B45" s="59">
        <v>3.5745795767056725</v>
      </c>
      <c r="C45" s="40">
        <v>0</v>
      </c>
      <c r="D45" s="31">
        <f t="shared" si="0"/>
        <v>0</v>
      </c>
      <c r="E45" s="3"/>
    </row>
    <row r="46" spans="1:5" ht="19" x14ac:dyDescent="0.25">
      <c r="A46" s="51" t="s">
        <v>81</v>
      </c>
      <c r="B46" s="59">
        <v>4.4965923559879277</v>
      </c>
      <c r="C46" s="41">
        <v>0</v>
      </c>
      <c r="D46" s="32">
        <f t="shared" si="0"/>
        <v>0</v>
      </c>
      <c r="E46" s="3"/>
    </row>
    <row r="47" spans="1:5" ht="19" x14ac:dyDescent="0.25">
      <c r="A47" s="50" t="s">
        <v>82</v>
      </c>
      <c r="B47" s="59">
        <v>6.927950682570712</v>
      </c>
      <c r="C47" s="40">
        <v>0</v>
      </c>
      <c r="D47" s="31">
        <f t="shared" si="0"/>
        <v>0</v>
      </c>
      <c r="E47" s="3"/>
    </row>
    <row r="48" spans="1:5" ht="19" x14ac:dyDescent="0.25">
      <c r="A48" s="51" t="s">
        <v>83</v>
      </c>
      <c r="B48" s="59">
        <v>3.3483394041152907</v>
      </c>
      <c r="C48" s="41">
        <v>0</v>
      </c>
      <c r="D48" s="32">
        <f t="shared" si="0"/>
        <v>0</v>
      </c>
      <c r="E48" s="3"/>
    </row>
    <row r="49" spans="1:5" ht="19" x14ac:dyDescent="0.25">
      <c r="A49" s="50" t="s">
        <v>84</v>
      </c>
      <c r="B49" s="59">
        <v>3.6488472849850422</v>
      </c>
      <c r="C49" s="40">
        <v>2.2400000000000003E-2</v>
      </c>
      <c r="D49" s="31">
        <f t="shared" si="0"/>
        <v>2.6628625772705663E-2</v>
      </c>
      <c r="E49" s="3"/>
    </row>
    <row r="50" spans="1:5" ht="19" x14ac:dyDescent="0.25">
      <c r="A50" s="51" t="s">
        <v>85</v>
      </c>
      <c r="B50" s="59">
        <v>5.7823719673887926</v>
      </c>
      <c r="C50" s="41">
        <v>0</v>
      </c>
      <c r="D50" s="32">
        <f t="shared" si="0"/>
        <v>0</v>
      </c>
      <c r="E50" s="3"/>
    </row>
    <row r="51" spans="1:5" ht="19" x14ac:dyDescent="0.25">
      <c r="A51" s="50" t="s">
        <v>86</v>
      </c>
      <c r="B51" s="59">
        <v>5.3790271999040362</v>
      </c>
      <c r="C51" s="40">
        <v>0</v>
      </c>
      <c r="D51" s="31">
        <f t="shared" si="0"/>
        <v>0</v>
      </c>
      <c r="E51" s="3"/>
    </row>
    <row r="52" spans="1:5" ht="19" x14ac:dyDescent="0.25">
      <c r="A52" s="51" t="s">
        <v>87</v>
      </c>
      <c r="B52" s="59">
        <v>4.9290675473985939</v>
      </c>
      <c r="C52" s="41">
        <v>0</v>
      </c>
      <c r="D52" s="32">
        <f t="shared" si="0"/>
        <v>0</v>
      </c>
      <c r="E52" s="3"/>
    </row>
    <row r="53" spans="1:5" ht="19" x14ac:dyDescent="0.25">
      <c r="A53" s="50" t="s">
        <v>88</v>
      </c>
      <c r="B53" s="59">
        <v>3.4167336021772097</v>
      </c>
      <c r="C53" s="40">
        <v>3.4200000000000001E-2</v>
      </c>
      <c r="D53" s="31">
        <f t="shared" si="0"/>
        <v>4.0656205420827395E-2</v>
      </c>
      <c r="E53" s="3"/>
    </row>
    <row r="54" spans="1:5" ht="19" x14ac:dyDescent="0.25">
      <c r="A54" s="51" t="s">
        <v>89</v>
      </c>
      <c r="B54" s="59">
        <v>4.6272251474478185</v>
      </c>
      <c r="C54" s="41">
        <v>0</v>
      </c>
      <c r="D54" s="32">
        <f t="shared" si="0"/>
        <v>0</v>
      </c>
      <c r="E54" s="3"/>
    </row>
    <row r="55" spans="1:5" ht="19" x14ac:dyDescent="0.25">
      <c r="A55" s="50" t="s">
        <v>90</v>
      </c>
      <c r="B55" s="59">
        <v>4.3382922337238083</v>
      </c>
      <c r="C55" s="40">
        <v>0</v>
      </c>
      <c r="D55" s="31">
        <f t="shared" si="0"/>
        <v>0</v>
      </c>
      <c r="E55" s="3"/>
    </row>
    <row r="56" spans="1:5" ht="19" x14ac:dyDescent="0.25">
      <c r="A56" s="51" t="s">
        <v>91</v>
      </c>
      <c r="B56" s="59">
        <v>5.450113492883502</v>
      </c>
      <c r="C56" s="41">
        <v>0</v>
      </c>
      <c r="D56" s="32">
        <f t="shared" si="0"/>
        <v>0</v>
      </c>
      <c r="E56" s="3"/>
    </row>
    <row r="57" spans="1:5" ht="19" x14ac:dyDescent="0.25">
      <c r="A57" s="50" t="s">
        <v>92</v>
      </c>
      <c r="B57" s="59">
        <v>6.3557356106090603</v>
      </c>
      <c r="C57" s="40">
        <v>0</v>
      </c>
      <c r="D57" s="31">
        <f t="shared" si="0"/>
        <v>0</v>
      </c>
      <c r="E57" s="3"/>
    </row>
    <row r="58" spans="1:5" ht="19" x14ac:dyDescent="0.25">
      <c r="A58" s="51" t="s">
        <v>93</v>
      </c>
      <c r="B58" s="59">
        <v>5.9434838790990074</v>
      </c>
      <c r="C58" s="41">
        <v>0</v>
      </c>
      <c r="D58" s="32">
        <f t="shared" si="0"/>
        <v>0</v>
      </c>
      <c r="E58" s="3"/>
    </row>
    <row r="59" spans="1:5" ht="19" x14ac:dyDescent="0.25">
      <c r="A59" s="50" t="s">
        <v>94</v>
      </c>
      <c r="B59" s="59">
        <v>4.9174638740379848</v>
      </c>
      <c r="C59" s="40">
        <v>0</v>
      </c>
      <c r="D59" s="31">
        <f t="shared" si="0"/>
        <v>0</v>
      </c>
      <c r="E59" s="3"/>
    </row>
    <row r="60" spans="1:5" ht="19" x14ac:dyDescent="0.25">
      <c r="A60" s="51" t="s">
        <v>95</v>
      </c>
      <c r="B60" s="59">
        <v>6.5330241147248609</v>
      </c>
      <c r="C60" s="41">
        <v>0</v>
      </c>
      <c r="D60" s="32">
        <f t="shared" si="0"/>
        <v>0</v>
      </c>
      <c r="E60" s="3"/>
    </row>
    <row r="61" spans="1:5" ht="19" x14ac:dyDescent="0.25">
      <c r="A61" s="50" t="s">
        <v>96</v>
      </c>
      <c r="B61" s="59">
        <v>5.7658823887989872</v>
      </c>
      <c r="C61" s="40">
        <v>0</v>
      </c>
      <c r="D61" s="31">
        <f t="shared" si="0"/>
        <v>0</v>
      </c>
      <c r="E61" s="3"/>
    </row>
    <row r="62" spans="1:5" ht="19" x14ac:dyDescent="0.25">
      <c r="A62" s="51" t="s">
        <v>97</v>
      </c>
      <c r="B62" s="59">
        <v>3.6278897079089987</v>
      </c>
      <c r="C62" s="41">
        <v>0</v>
      </c>
      <c r="D62" s="32">
        <f t="shared" si="0"/>
        <v>0</v>
      </c>
      <c r="E62" s="3"/>
    </row>
    <row r="63" spans="1:5" ht="19" x14ac:dyDescent="0.25">
      <c r="A63" s="50" t="s">
        <v>98</v>
      </c>
      <c r="B63" s="59">
        <v>3.3752937482227585</v>
      </c>
      <c r="C63" s="40">
        <v>0</v>
      </c>
      <c r="D63" s="31">
        <f t="shared" si="0"/>
        <v>0</v>
      </c>
      <c r="E63" s="3"/>
    </row>
    <row r="64" spans="1:5" ht="19" x14ac:dyDescent="0.25">
      <c r="A64" s="51" t="s">
        <v>99</v>
      </c>
      <c r="B64" s="59">
        <v>5.0659580961290027</v>
      </c>
      <c r="C64" s="41">
        <v>2.7799999999999998E-2</v>
      </c>
      <c r="D64" s="32">
        <f t="shared" si="0"/>
        <v>3.3048026628625771E-2</v>
      </c>
      <c r="E64" s="3"/>
    </row>
    <row r="65" spans="1:5" ht="19" x14ac:dyDescent="0.25">
      <c r="A65" s="50" t="s">
        <v>100</v>
      </c>
      <c r="B65" s="59">
        <v>4.9248047791749228</v>
      </c>
      <c r="C65" s="40">
        <v>1.2800000000000001E-2</v>
      </c>
      <c r="D65" s="31">
        <f t="shared" si="0"/>
        <v>1.5216357584403236E-2</v>
      </c>
      <c r="E65" s="3"/>
    </row>
    <row r="66" spans="1:5" ht="19" x14ac:dyDescent="0.25">
      <c r="A66" s="51" t="s">
        <v>101</v>
      </c>
      <c r="B66" s="59">
        <v>5.8793658240107565</v>
      </c>
      <c r="C66" s="41">
        <v>0</v>
      </c>
      <c r="D66" s="32">
        <f t="shared" si="0"/>
        <v>0</v>
      </c>
      <c r="E66" s="3"/>
    </row>
    <row r="67" spans="1:5" ht="19" x14ac:dyDescent="0.25">
      <c r="A67" s="50" t="s">
        <v>102</v>
      </c>
      <c r="B67" s="59">
        <v>6.0491810448870345</v>
      </c>
      <c r="C67" s="40">
        <v>0</v>
      </c>
      <c r="D67" s="31">
        <f t="shared" si="0"/>
        <v>0</v>
      </c>
      <c r="E67" s="3"/>
    </row>
    <row r="68" spans="1:5" ht="19" x14ac:dyDescent="0.25">
      <c r="A68" s="51" t="s">
        <v>103</v>
      </c>
      <c r="B68" s="59">
        <v>3.253942686762922</v>
      </c>
      <c r="C68" s="41">
        <v>0</v>
      </c>
      <c r="D68" s="32">
        <f t="shared" si="0"/>
        <v>0</v>
      </c>
      <c r="E68" s="3"/>
    </row>
    <row r="69" spans="1:5" ht="19" x14ac:dyDescent="0.25">
      <c r="A69" s="50" t="s">
        <v>104</v>
      </c>
      <c r="B69" s="59">
        <v>4.6082974679305195</v>
      </c>
      <c r="C69" s="40">
        <v>0</v>
      </c>
      <c r="D69" s="31">
        <f t="shared" ref="D69:D132" si="1">C69/$C$151</f>
        <v>0</v>
      </c>
      <c r="E69" s="3"/>
    </row>
    <row r="70" spans="1:5" ht="19" x14ac:dyDescent="0.25">
      <c r="A70" s="51" t="s">
        <v>105</v>
      </c>
      <c r="B70" s="59">
        <v>3.8382882812123826</v>
      </c>
      <c r="C70" s="41">
        <v>1.72E-2</v>
      </c>
      <c r="D70" s="32">
        <f t="shared" si="1"/>
        <v>2.0446980504041846E-2</v>
      </c>
      <c r="E70" s="3"/>
    </row>
    <row r="71" spans="1:5" ht="19" x14ac:dyDescent="0.25">
      <c r="A71" s="50" t="s">
        <v>106</v>
      </c>
      <c r="B71" s="59">
        <v>4.7451218036873231</v>
      </c>
      <c r="C71" s="40">
        <v>0</v>
      </c>
      <c r="D71" s="31">
        <f t="shared" si="1"/>
        <v>0</v>
      </c>
      <c r="E71" s="3"/>
    </row>
    <row r="72" spans="1:5" ht="19" x14ac:dyDescent="0.25">
      <c r="A72" s="51" t="s">
        <v>107</v>
      </c>
      <c r="B72" s="59">
        <v>3.3755878841798577</v>
      </c>
      <c r="C72" s="41">
        <v>6.9000000000000006E-2</v>
      </c>
      <c r="D72" s="32">
        <f t="shared" si="1"/>
        <v>8.2025677603423691E-2</v>
      </c>
      <c r="E72" s="3"/>
    </row>
    <row r="73" spans="1:5" ht="19" x14ac:dyDescent="0.25">
      <c r="A73" s="50" t="s">
        <v>108</v>
      </c>
      <c r="B73" s="59">
        <v>5.1303864841692146</v>
      </c>
      <c r="C73" s="40">
        <v>0</v>
      </c>
      <c r="D73" s="31">
        <f t="shared" si="1"/>
        <v>0</v>
      </c>
      <c r="E73" s="3"/>
    </row>
    <row r="74" spans="1:5" ht="19" x14ac:dyDescent="0.25">
      <c r="A74" s="51" t="s">
        <v>109</v>
      </c>
      <c r="B74" s="59">
        <v>4.5379079915092131</v>
      </c>
      <c r="C74" s="41">
        <v>0</v>
      </c>
      <c r="D74" s="32">
        <f t="shared" si="1"/>
        <v>0</v>
      </c>
      <c r="E74" s="3"/>
    </row>
    <row r="75" spans="1:5" ht="19" x14ac:dyDescent="0.25">
      <c r="A75" s="50" t="s">
        <v>110</v>
      </c>
      <c r="B75" s="59">
        <v>6.1313349307646918</v>
      </c>
      <c r="C75" s="40">
        <v>0</v>
      </c>
      <c r="D75" s="31">
        <f t="shared" si="1"/>
        <v>0</v>
      </c>
      <c r="E75" s="3"/>
    </row>
    <row r="76" spans="1:5" ht="19" x14ac:dyDescent="0.25">
      <c r="A76" s="51" t="s">
        <v>111</v>
      </c>
      <c r="B76" s="59">
        <v>4.2961051501975707</v>
      </c>
      <c r="C76" s="41">
        <v>0</v>
      </c>
      <c r="D76" s="32">
        <f t="shared" si="1"/>
        <v>0</v>
      </c>
      <c r="E76" s="3"/>
    </row>
    <row r="77" spans="1:5" ht="19" x14ac:dyDescent="0.25">
      <c r="A77" s="50" t="s">
        <v>112</v>
      </c>
      <c r="B77" s="59">
        <v>5.373680321889462</v>
      </c>
      <c r="C77" s="40">
        <v>0</v>
      </c>
      <c r="D77" s="31">
        <f t="shared" si="1"/>
        <v>0</v>
      </c>
      <c r="E77" s="3"/>
    </row>
    <row r="78" spans="1:5" ht="19" x14ac:dyDescent="0.25">
      <c r="A78" s="51" t="s">
        <v>113</v>
      </c>
      <c r="B78" s="59">
        <v>5.1391788730224306</v>
      </c>
      <c r="C78" s="41">
        <v>0</v>
      </c>
      <c r="D78" s="32">
        <f t="shared" si="1"/>
        <v>0</v>
      </c>
      <c r="E78" s="3"/>
    </row>
    <row r="79" spans="1:5" ht="19" x14ac:dyDescent="0.25">
      <c r="A79" s="50" t="s">
        <v>114</v>
      </c>
      <c r="B79" s="59">
        <v>3.9664492327048539</v>
      </c>
      <c r="C79" s="40">
        <v>0</v>
      </c>
      <c r="D79" s="31">
        <f t="shared" si="1"/>
        <v>0</v>
      </c>
      <c r="E79" s="3"/>
    </row>
    <row r="80" spans="1:5" ht="19" x14ac:dyDescent="0.25">
      <c r="A80" s="51" t="s">
        <v>115</v>
      </c>
      <c r="B80" s="59">
        <v>6.1238543404169867</v>
      </c>
      <c r="C80" s="41">
        <v>0</v>
      </c>
      <c r="D80" s="32">
        <f t="shared" si="1"/>
        <v>0</v>
      </c>
      <c r="E80" s="3"/>
    </row>
    <row r="81" spans="1:5" ht="19" x14ac:dyDescent="0.25">
      <c r="A81" s="50" t="s">
        <v>116</v>
      </c>
      <c r="B81" s="59">
        <v>5.48860822118026</v>
      </c>
      <c r="C81" s="40">
        <v>0</v>
      </c>
      <c r="D81" s="31">
        <f t="shared" si="1"/>
        <v>0</v>
      </c>
      <c r="E81" s="3"/>
    </row>
    <row r="82" spans="1:5" ht="19" x14ac:dyDescent="0.25">
      <c r="A82" s="51" t="s">
        <v>117</v>
      </c>
      <c r="B82" s="59">
        <v>5.9675040107987867</v>
      </c>
      <c r="C82" s="41">
        <v>0</v>
      </c>
      <c r="D82" s="32">
        <f t="shared" si="1"/>
        <v>0</v>
      </c>
      <c r="E82" s="3"/>
    </row>
    <row r="83" spans="1:5" ht="19" x14ac:dyDescent="0.25">
      <c r="A83" s="50" t="s">
        <v>118</v>
      </c>
      <c r="B83" s="59">
        <v>5.6755260890564418</v>
      </c>
      <c r="C83" s="40">
        <v>0</v>
      </c>
      <c r="D83" s="31">
        <f t="shared" si="1"/>
        <v>0</v>
      </c>
      <c r="E83" s="3"/>
    </row>
    <row r="84" spans="1:5" ht="19" x14ac:dyDescent="0.25">
      <c r="A84" s="51" t="s">
        <v>119</v>
      </c>
      <c r="B84" s="59">
        <v>3.9263549476589308</v>
      </c>
      <c r="C84" s="41">
        <v>0</v>
      </c>
      <c r="D84" s="32">
        <f t="shared" si="1"/>
        <v>0</v>
      </c>
      <c r="E84" s="3"/>
    </row>
    <row r="85" spans="1:5" ht="19" x14ac:dyDescent="0.25">
      <c r="A85" s="50" t="s">
        <v>120</v>
      </c>
      <c r="B85" s="59">
        <v>5.8210372928345899</v>
      </c>
      <c r="C85" s="40">
        <v>0</v>
      </c>
      <c r="D85" s="31">
        <f t="shared" si="1"/>
        <v>0</v>
      </c>
      <c r="E85" s="3"/>
    </row>
    <row r="86" spans="1:5" ht="19" x14ac:dyDescent="0.25">
      <c r="A86" s="51" t="s">
        <v>121</v>
      </c>
      <c r="B86" s="59">
        <v>5.5779364438856991</v>
      </c>
      <c r="C86" s="41">
        <v>0</v>
      </c>
      <c r="D86" s="32">
        <f t="shared" si="1"/>
        <v>0</v>
      </c>
      <c r="E86" s="3"/>
    </row>
    <row r="87" spans="1:5" ht="19" x14ac:dyDescent="0.25">
      <c r="A87" s="50" t="s">
        <v>122</v>
      </c>
      <c r="B87" s="59">
        <v>4.0335588563178906</v>
      </c>
      <c r="C87" s="40">
        <v>4.5000000000000005E-3</v>
      </c>
      <c r="D87" s="31">
        <f t="shared" si="1"/>
        <v>5.3495007132667626E-3</v>
      </c>
      <c r="E87" s="3"/>
    </row>
    <row r="88" spans="1:5" ht="19" x14ac:dyDescent="0.25">
      <c r="A88" s="51" t="s">
        <v>123</v>
      </c>
      <c r="B88" s="59">
        <v>7.1049758774245326</v>
      </c>
      <c r="C88" s="41">
        <v>0</v>
      </c>
      <c r="D88" s="32">
        <f t="shared" si="1"/>
        <v>0</v>
      </c>
      <c r="E88" s="3"/>
    </row>
    <row r="89" spans="1:5" ht="19" x14ac:dyDescent="0.25">
      <c r="A89" s="50" t="s">
        <v>124</v>
      </c>
      <c r="B89" s="59">
        <v>6.2753028505143282</v>
      </c>
      <c r="C89" s="40">
        <v>0</v>
      </c>
      <c r="D89" s="31">
        <f t="shared" si="1"/>
        <v>0</v>
      </c>
      <c r="E89" s="3"/>
    </row>
    <row r="90" spans="1:5" ht="19" x14ac:dyDescent="0.25">
      <c r="A90" s="51" t="s">
        <v>125</v>
      </c>
      <c r="B90" s="59">
        <v>3.4654790256975891</v>
      </c>
      <c r="C90" s="41">
        <v>0</v>
      </c>
      <c r="D90" s="32">
        <f t="shared" si="1"/>
        <v>0</v>
      </c>
      <c r="E90" s="3"/>
    </row>
    <row r="91" spans="1:5" ht="19" x14ac:dyDescent="0.25">
      <c r="A91" s="50" t="s">
        <v>126</v>
      </c>
      <c r="B91" s="59">
        <v>5.4234078040770983</v>
      </c>
      <c r="C91" s="40">
        <v>9.1000000000000004E-3</v>
      </c>
      <c r="D91" s="31">
        <f t="shared" si="1"/>
        <v>1.0817879220161674E-2</v>
      </c>
      <c r="E91" s="3"/>
    </row>
    <row r="92" spans="1:5" ht="19" x14ac:dyDescent="0.25">
      <c r="A92" s="51" t="s">
        <v>127</v>
      </c>
      <c r="B92" s="59">
        <v>5.1376667464547303</v>
      </c>
      <c r="C92" s="41">
        <v>0</v>
      </c>
      <c r="D92" s="32">
        <f t="shared" si="1"/>
        <v>0</v>
      </c>
      <c r="E92" s="3"/>
    </row>
    <row r="93" spans="1:5" ht="19" x14ac:dyDescent="0.25">
      <c r="A93" s="50" t="s">
        <v>128</v>
      </c>
      <c r="B93" s="59">
        <v>4.6510069196773065</v>
      </c>
      <c r="C93" s="40">
        <v>0</v>
      </c>
      <c r="D93" s="31">
        <f t="shared" si="1"/>
        <v>0</v>
      </c>
      <c r="E93" s="3"/>
    </row>
    <row r="94" spans="1:5" ht="19" x14ac:dyDescent="0.25">
      <c r="A94" s="51" t="s">
        <v>129</v>
      </c>
      <c r="B94" s="59">
        <v>5.1009280794553211</v>
      </c>
      <c r="C94" s="41">
        <v>0</v>
      </c>
      <c r="D94" s="32">
        <f t="shared" si="1"/>
        <v>0</v>
      </c>
      <c r="E94" s="3"/>
    </row>
    <row r="95" spans="1:5" ht="19" x14ac:dyDescent="0.25">
      <c r="A95" s="50" t="s">
        <v>130</v>
      </c>
      <c r="B95" s="59">
        <v>6.2957088620382402</v>
      </c>
      <c r="C95" s="40">
        <v>0</v>
      </c>
      <c r="D95" s="31">
        <f t="shared" si="1"/>
        <v>0</v>
      </c>
      <c r="E95" s="3"/>
    </row>
    <row r="96" spans="1:5" ht="19" x14ac:dyDescent="0.25">
      <c r="A96" s="51" t="s">
        <v>131</v>
      </c>
      <c r="B96" s="59">
        <v>4.6400800634309949</v>
      </c>
      <c r="C96" s="41">
        <v>0</v>
      </c>
      <c r="D96" s="32">
        <f t="shared" si="1"/>
        <v>0</v>
      </c>
      <c r="E96" s="3"/>
    </row>
    <row r="97" spans="1:5" ht="19" x14ac:dyDescent="0.25">
      <c r="A97" s="50" t="s">
        <v>132</v>
      </c>
      <c r="B97" s="59">
        <v>5.7812106231736005</v>
      </c>
      <c r="C97" s="40">
        <v>0</v>
      </c>
      <c r="D97" s="31">
        <f t="shared" si="1"/>
        <v>0</v>
      </c>
      <c r="E97" s="3"/>
    </row>
    <row r="98" spans="1:5" ht="19" x14ac:dyDescent="0.25">
      <c r="A98" s="51" t="s">
        <v>133</v>
      </c>
      <c r="B98" s="59">
        <v>3.5907872747385401</v>
      </c>
      <c r="C98" s="41">
        <v>9.7000000000000003E-3</v>
      </c>
      <c r="D98" s="32">
        <f t="shared" si="1"/>
        <v>1.1531145981930576E-2</v>
      </c>
      <c r="E98" s="3"/>
    </row>
    <row r="99" spans="1:5" ht="19" x14ac:dyDescent="0.25">
      <c r="A99" s="50" t="s">
        <v>134</v>
      </c>
      <c r="B99" s="59">
        <v>3.3163390659638341</v>
      </c>
      <c r="C99" s="40">
        <v>0</v>
      </c>
      <c r="D99" s="31">
        <f t="shared" si="1"/>
        <v>0</v>
      </c>
      <c r="E99" s="3"/>
    </row>
    <row r="100" spans="1:5" ht="19" x14ac:dyDescent="0.25">
      <c r="A100" s="51" t="s">
        <v>135</v>
      </c>
      <c r="B100" s="59">
        <v>5.8020732010296063</v>
      </c>
      <c r="C100" s="41">
        <v>0</v>
      </c>
      <c r="D100" s="32">
        <f t="shared" si="1"/>
        <v>0</v>
      </c>
      <c r="E100" s="3"/>
    </row>
    <row r="101" spans="1:5" ht="19" x14ac:dyDescent="0.25">
      <c r="A101" s="50" t="s">
        <v>136</v>
      </c>
      <c r="B101" s="59">
        <v>7.0685249610665801</v>
      </c>
      <c r="C101" s="40">
        <v>0</v>
      </c>
      <c r="D101" s="31">
        <f t="shared" si="1"/>
        <v>0</v>
      </c>
      <c r="E101" s="3"/>
    </row>
    <row r="102" spans="1:5" ht="19" x14ac:dyDescent="0.25">
      <c r="A102" s="51" t="s">
        <v>137</v>
      </c>
      <c r="B102" s="59">
        <v>6.5035912603709098</v>
      </c>
      <c r="C102" s="41">
        <v>0</v>
      </c>
      <c r="D102" s="32">
        <f t="shared" si="1"/>
        <v>0</v>
      </c>
      <c r="E102" s="3"/>
    </row>
    <row r="103" spans="1:5" ht="19" x14ac:dyDescent="0.25">
      <c r="A103" s="50" t="s">
        <v>138</v>
      </c>
      <c r="B103" s="59">
        <v>4.1624840904381539</v>
      </c>
      <c r="C103" s="40">
        <v>0</v>
      </c>
      <c r="D103" s="31">
        <f t="shared" si="1"/>
        <v>0</v>
      </c>
      <c r="E103" s="3"/>
    </row>
    <row r="104" spans="1:5" ht="19" x14ac:dyDescent="0.25">
      <c r="A104" s="51" t="s">
        <v>139</v>
      </c>
      <c r="B104" s="59">
        <v>3.3787152608913655</v>
      </c>
      <c r="C104" s="41">
        <v>0</v>
      </c>
      <c r="D104" s="32">
        <f t="shared" si="1"/>
        <v>0</v>
      </c>
      <c r="E104" s="3"/>
    </row>
    <row r="105" spans="1:5" ht="19" x14ac:dyDescent="0.25">
      <c r="A105" s="50" t="s">
        <v>140</v>
      </c>
      <c r="B105" s="59">
        <v>4.0162254988757935</v>
      </c>
      <c r="C105" s="40">
        <v>0</v>
      </c>
      <c r="D105" s="31">
        <f t="shared" si="1"/>
        <v>0</v>
      </c>
      <c r="E105" s="3"/>
    </row>
    <row r="106" spans="1:5" ht="19" x14ac:dyDescent="0.25">
      <c r="A106" s="51" t="s">
        <v>141</v>
      </c>
      <c r="B106" s="59">
        <v>6.648668082818161</v>
      </c>
      <c r="C106" s="41">
        <v>0</v>
      </c>
      <c r="D106" s="32">
        <f t="shared" si="1"/>
        <v>0</v>
      </c>
      <c r="E106" s="3"/>
    </row>
    <row r="107" spans="1:5" ht="19" x14ac:dyDescent="0.25">
      <c r="A107" s="50" t="s">
        <v>142</v>
      </c>
      <c r="B107" s="59">
        <v>4.5635733416096631</v>
      </c>
      <c r="C107" s="40">
        <v>0</v>
      </c>
      <c r="D107" s="31">
        <f t="shared" si="1"/>
        <v>0</v>
      </c>
      <c r="E107" s="3"/>
    </row>
    <row r="108" spans="1:5" ht="19" x14ac:dyDescent="0.25">
      <c r="A108" s="51" t="s">
        <v>143</v>
      </c>
      <c r="B108" s="59">
        <v>5.3398873222843388</v>
      </c>
      <c r="C108" s="41">
        <v>0</v>
      </c>
      <c r="D108" s="32">
        <f t="shared" si="1"/>
        <v>0</v>
      </c>
      <c r="E108" s="3"/>
    </row>
    <row r="109" spans="1:5" ht="19" x14ac:dyDescent="0.25">
      <c r="A109" s="50" t="s">
        <v>144</v>
      </c>
      <c r="B109" s="59">
        <v>4.7159164073345954</v>
      </c>
      <c r="C109" s="40">
        <v>0</v>
      </c>
      <c r="D109" s="31">
        <f t="shared" si="1"/>
        <v>0</v>
      </c>
      <c r="E109" s="3"/>
    </row>
    <row r="110" spans="1:5" ht="19" x14ac:dyDescent="0.25">
      <c r="A110" s="51" t="s">
        <v>145</v>
      </c>
      <c r="B110" s="59">
        <v>5.2817219635350439</v>
      </c>
      <c r="C110" s="41">
        <v>0</v>
      </c>
      <c r="D110" s="32">
        <f t="shared" si="1"/>
        <v>0</v>
      </c>
      <c r="E110" s="3"/>
    </row>
    <row r="111" spans="1:5" ht="19" x14ac:dyDescent="0.25">
      <c r="A111" s="50" t="s">
        <v>146</v>
      </c>
      <c r="B111" s="59">
        <v>5.8016442493647551</v>
      </c>
      <c r="C111" s="40">
        <v>0</v>
      </c>
      <c r="D111" s="31">
        <f t="shared" si="1"/>
        <v>0</v>
      </c>
      <c r="E111" s="3"/>
    </row>
    <row r="112" spans="1:5" ht="19" x14ac:dyDescent="0.25">
      <c r="A112" s="51" t="s">
        <v>147</v>
      </c>
      <c r="B112" s="59">
        <v>4.1502930814875194</v>
      </c>
      <c r="C112" s="41">
        <v>6.6E-3</v>
      </c>
      <c r="D112" s="32">
        <f t="shared" si="1"/>
        <v>7.8459343794579171E-3</v>
      </c>
      <c r="E112" s="3"/>
    </row>
    <row r="113" spans="1:5" ht="19" x14ac:dyDescent="0.25">
      <c r="A113" s="50" t="s">
        <v>148</v>
      </c>
      <c r="B113" s="59">
        <v>3.4281858950270068</v>
      </c>
      <c r="C113" s="40">
        <v>0</v>
      </c>
      <c r="D113" s="31">
        <f t="shared" si="1"/>
        <v>0</v>
      </c>
      <c r="E113" s="3"/>
    </row>
    <row r="114" spans="1:5" ht="19" x14ac:dyDescent="0.25">
      <c r="A114" s="51" t="s">
        <v>149</v>
      </c>
      <c r="B114" s="59">
        <v>3.1959809471990606</v>
      </c>
      <c r="C114" s="41">
        <v>0</v>
      </c>
      <c r="D114" s="32">
        <f t="shared" si="1"/>
        <v>0</v>
      </c>
      <c r="E114" s="3"/>
    </row>
    <row r="115" spans="1:5" ht="19" x14ac:dyDescent="0.25">
      <c r="A115" s="50" t="s">
        <v>150</v>
      </c>
      <c r="B115" s="59">
        <v>4.0482582591129548</v>
      </c>
      <c r="C115" s="40">
        <v>0</v>
      </c>
      <c r="D115" s="31">
        <f t="shared" si="1"/>
        <v>0</v>
      </c>
      <c r="E115" s="3"/>
    </row>
    <row r="116" spans="1:5" ht="19" x14ac:dyDescent="0.25">
      <c r="A116" s="51" t="s">
        <v>151</v>
      </c>
      <c r="B116" s="59">
        <v>5.9582623064002229</v>
      </c>
      <c r="C116" s="41">
        <v>0</v>
      </c>
      <c r="D116" s="32">
        <f t="shared" si="1"/>
        <v>0</v>
      </c>
      <c r="E116" s="3"/>
    </row>
    <row r="117" spans="1:5" ht="19" x14ac:dyDescent="0.25">
      <c r="A117" s="50" t="s">
        <v>152</v>
      </c>
      <c r="B117" s="59">
        <v>5.4717687502053103</v>
      </c>
      <c r="C117" s="40">
        <v>0</v>
      </c>
      <c r="D117" s="31">
        <f t="shared" si="1"/>
        <v>0</v>
      </c>
      <c r="E117" s="3"/>
    </row>
    <row r="118" spans="1:5" ht="19" x14ac:dyDescent="0.25">
      <c r="A118" s="51" t="s">
        <v>153</v>
      </c>
      <c r="B118" s="59">
        <v>4.4233746630959043</v>
      </c>
      <c r="C118" s="41">
        <v>9.300000000000001E-3</v>
      </c>
      <c r="D118" s="32">
        <f t="shared" si="1"/>
        <v>1.1055634807417976E-2</v>
      </c>
      <c r="E118" s="3"/>
    </row>
    <row r="119" spans="1:5" ht="19" x14ac:dyDescent="0.25">
      <c r="A119" s="50" t="s">
        <v>154</v>
      </c>
      <c r="B119" s="59">
        <v>5.3961053213656953</v>
      </c>
      <c r="C119" s="40">
        <v>0</v>
      </c>
      <c r="D119" s="31">
        <f t="shared" si="1"/>
        <v>0</v>
      </c>
      <c r="E119" s="3"/>
    </row>
    <row r="120" spans="1:5" ht="19" x14ac:dyDescent="0.25">
      <c r="A120" s="51" t="s">
        <v>155</v>
      </c>
      <c r="B120" s="59">
        <v>5.0353573500743858</v>
      </c>
      <c r="C120" s="41">
        <v>0</v>
      </c>
      <c r="D120" s="32">
        <f t="shared" si="1"/>
        <v>0</v>
      </c>
      <c r="E120" s="3"/>
    </row>
    <row r="121" spans="1:5" ht="19" x14ac:dyDescent="0.25">
      <c r="A121" s="50" t="s">
        <v>156</v>
      </c>
      <c r="B121" s="59">
        <v>5.6408231615395454</v>
      </c>
      <c r="C121" s="40">
        <v>0</v>
      </c>
      <c r="D121" s="31">
        <f t="shared" si="1"/>
        <v>0</v>
      </c>
      <c r="E121" s="3"/>
    </row>
    <row r="122" spans="1:5" ht="19" x14ac:dyDescent="0.25">
      <c r="A122" s="51" t="s">
        <v>157</v>
      </c>
      <c r="B122" s="59">
        <v>3.0386535635012972</v>
      </c>
      <c r="C122" s="41">
        <v>4.8999999999999998E-3</v>
      </c>
      <c r="D122" s="32">
        <f t="shared" si="1"/>
        <v>5.8250118877793628E-3</v>
      </c>
      <c r="E122" s="3"/>
    </row>
    <row r="123" spans="1:5" ht="19" x14ac:dyDescent="0.25">
      <c r="A123" s="50" t="s">
        <v>158</v>
      </c>
      <c r="B123" s="59">
        <v>3.791880207241451</v>
      </c>
      <c r="C123" s="40">
        <v>0</v>
      </c>
      <c r="D123" s="31">
        <f t="shared" si="1"/>
        <v>0</v>
      </c>
      <c r="E123" s="3"/>
    </row>
    <row r="124" spans="1:5" ht="19" x14ac:dyDescent="0.25">
      <c r="A124" s="51" t="s">
        <v>159</v>
      </c>
      <c r="B124" s="59">
        <v>3.4781584832038352</v>
      </c>
      <c r="C124" s="41">
        <v>0</v>
      </c>
      <c r="D124" s="32">
        <f t="shared" si="1"/>
        <v>0</v>
      </c>
      <c r="E124" s="3"/>
    </row>
    <row r="125" spans="1:5" ht="19" x14ac:dyDescent="0.25">
      <c r="A125" s="50" t="s">
        <v>160</v>
      </c>
      <c r="B125" s="59">
        <v>5.2224005392752639</v>
      </c>
      <c r="C125" s="40">
        <v>0</v>
      </c>
      <c r="D125" s="31">
        <f t="shared" si="1"/>
        <v>0</v>
      </c>
      <c r="E125" s="3"/>
    </row>
    <row r="126" spans="1:5" ht="19" x14ac:dyDescent="0.25">
      <c r="A126" s="51" t="s">
        <v>161</v>
      </c>
      <c r="B126" s="59">
        <v>3.5667851803481079</v>
      </c>
      <c r="C126" s="41">
        <v>1.5800000000000002E-2</v>
      </c>
      <c r="D126" s="32">
        <f t="shared" si="1"/>
        <v>1.8782691393247744E-2</v>
      </c>
      <c r="E126" s="3"/>
    </row>
    <row r="127" spans="1:5" ht="19" x14ac:dyDescent="0.25">
      <c r="A127" s="50" t="s">
        <v>162</v>
      </c>
      <c r="B127" s="59">
        <v>3.7006443947932954</v>
      </c>
      <c r="C127" s="40">
        <v>1.2699999999999999E-2</v>
      </c>
      <c r="D127" s="31">
        <f t="shared" si="1"/>
        <v>1.5097479790775083E-2</v>
      </c>
      <c r="E127" s="3"/>
    </row>
    <row r="128" spans="1:5" ht="19" x14ac:dyDescent="0.25">
      <c r="A128" s="51" t="s">
        <v>163</v>
      </c>
      <c r="B128" s="59">
        <v>5.1109914616879202</v>
      </c>
      <c r="C128" s="41">
        <v>0</v>
      </c>
      <c r="D128" s="32">
        <f t="shared" si="1"/>
        <v>0</v>
      </c>
      <c r="E128" s="3"/>
    </row>
    <row r="129" spans="1:5" ht="19" x14ac:dyDescent="0.25">
      <c r="A129" s="50" t="s">
        <v>164</v>
      </c>
      <c r="B129" s="59">
        <v>7.0987237940608701</v>
      </c>
      <c r="C129" s="40">
        <v>0</v>
      </c>
      <c r="D129" s="31">
        <f t="shared" si="1"/>
        <v>0</v>
      </c>
      <c r="E129" s="3"/>
    </row>
    <row r="130" spans="1:5" ht="19" x14ac:dyDescent="0.25">
      <c r="A130" s="51" t="s">
        <v>165</v>
      </c>
      <c r="B130" s="59">
        <v>3.5240069552478133</v>
      </c>
      <c r="C130" s="41">
        <v>0</v>
      </c>
      <c r="D130" s="32">
        <f t="shared" si="1"/>
        <v>0</v>
      </c>
      <c r="E130" s="3"/>
    </row>
    <row r="131" spans="1:5" ht="19" x14ac:dyDescent="0.25">
      <c r="A131" s="50" t="s">
        <v>166</v>
      </c>
      <c r="B131" s="59">
        <v>2.7770010876672497</v>
      </c>
      <c r="C131" s="40">
        <v>0</v>
      </c>
      <c r="D131" s="31">
        <f t="shared" si="1"/>
        <v>0</v>
      </c>
      <c r="E131" s="3"/>
    </row>
    <row r="132" spans="1:5" ht="19" x14ac:dyDescent="0.25">
      <c r="A132" s="51" t="s">
        <v>167</v>
      </c>
      <c r="B132" s="59">
        <v>7.3330533031040499</v>
      </c>
      <c r="C132" s="41">
        <v>0</v>
      </c>
      <c r="D132" s="32">
        <f t="shared" si="1"/>
        <v>0</v>
      </c>
      <c r="E132" s="3"/>
    </row>
    <row r="133" spans="1:5" ht="19" x14ac:dyDescent="0.25">
      <c r="A133" s="50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  <c r="E133" s="3"/>
    </row>
    <row r="134" spans="1:5" ht="19" x14ac:dyDescent="0.25">
      <c r="A134" s="51" t="s">
        <v>169</v>
      </c>
      <c r="B134" s="59">
        <v>5.2061146997824723</v>
      </c>
      <c r="C134" s="41">
        <v>5.7999999999999996E-3</v>
      </c>
      <c r="D134" s="32">
        <f t="shared" si="2"/>
        <v>6.8949120304327149E-3</v>
      </c>
      <c r="E134" s="3"/>
    </row>
    <row r="135" spans="1:5" ht="19" x14ac:dyDescent="0.25">
      <c r="A135" s="50" t="s">
        <v>170</v>
      </c>
      <c r="B135" s="59">
        <v>5.1473122500344015</v>
      </c>
      <c r="C135" s="40">
        <v>0</v>
      </c>
      <c r="D135" s="31">
        <f t="shared" si="2"/>
        <v>0</v>
      </c>
      <c r="E135" s="3"/>
    </row>
    <row r="136" spans="1:5" ht="19" x14ac:dyDescent="0.25">
      <c r="A136" s="51" t="s">
        <v>171</v>
      </c>
      <c r="B136" s="59">
        <v>5.8734951860587028</v>
      </c>
      <c r="C136" s="41">
        <v>0</v>
      </c>
      <c r="D136" s="32">
        <f t="shared" si="2"/>
        <v>0</v>
      </c>
      <c r="E136" s="3"/>
    </row>
    <row r="137" spans="1:5" ht="19" x14ac:dyDescent="0.25">
      <c r="A137" s="50" t="s">
        <v>172</v>
      </c>
      <c r="B137" s="59">
        <v>4.3829710171749507</v>
      </c>
      <c r="C137" s="40">
        <v>0</v>
      </c>
      <c r="D137" s="31">
        <f t="shared" si="2"/>
        <v>0</v>
      </c>
      <c r="E137" s="3"/>
    </row>
    <row r="138" spans="1:5" ht="19" x14ac:dyDescent="0.25">
      <c r="A138" s="51" t="s">
        <v>173</v>
      </c>
      <c r="B138" s="59">
        <v>5.1269871649881278</v>
      </c>
      <c r="C138" s="41">
        <v>0</v>
      </c>
      <c r="D138" s="32">
        <f t="shared" si="2"/>
        <v>0</v>
      </c>
      <c r="E138" s="3"/>
    </row>
    <row r="139" spans="1:5" ht="19" x14ac:dyDescent="0.25">
      <c r="A139" s="50" t="s">
        <v>174</v>
      </c>
      <c r="B139" s="59">
        <v>5.2574384214456868</v>
      </c>
      <c r="C139" s="40">
        <v>7.7000000000000002E-3</v>
      </c>
      <c r="D139" s="31">
        <f t="shared" si="2"/>
        <v>9.1535901093675702E-3</v>
      </c>
      <c r="E139" s="3"/>
    </row>
    <row r="140" spans="1:5" ht="19" x14ac:dyDescent="0.25">
      <c r="A140" s="51" t="s">
        <v>175</v>
      </c>
      <c r="B140" s="59">
        <v>6.2888889425300309</v>
      </c>
      <c r="C140" s="41">
        <v>0</v>
      </c>
      <c r="D140" s="32">
        <f t="shared" si="2"/>
        <v>0</v>
      </c>
      <c r="E140" s="3"/>
    </row>
    <row r="141" spans="1:5" ht="19" x14ac:dyDescent="0.25">
      <c r="A141" s="50" t="s">
        <v>176</v>
      </c>
      <c r="B141" s="59">
        <v>6.3476767840395238</v>
      </c>
      <c r="C141" s="40">
        <v>0</v>
      </c>
      <c r="D141" s="31">
        <f t="shared" si="2"/>
        <v>0</v>
      </c>
      <c r="E141" s="3"/>
    </row>
    <row r="142" spans="1:5" ht="19" x14ac:dyDescent="0.25">
      <c r="A142" s="51" t="s">
        <v>177</v>
      </c>
      <c r="B142" s="59">
        <v>3.7156413836197295</v>
      </c>
      <c r="C142" s="41">
        <v>0</v>
      </c>
      <c r="D142" s="32">
        <f t="shared" si="2"/>
        <v>0</v>
      </c>
      <c r="E142" s="3"/>
    </row>
    <row r="143" spans="1:5" ht="19" x14ac:dyDescent="0.25">
      <c r="A143" s="50" t="s">
        <v>178</v>
      </c>
      <c r="B143" s="59">
        <v>3.3179607898236139</v>
      </c>
      <c r="C143" s="40">
        <v>2.3E-2</v>
      </c>
      <c r="D143" s="31">
        <f t="shared" si="2"/>
        <v>2.7341892534474561E-2</v>
      </c>
      <c r="E143" s="3"/>
    </row>
    <row r="144" spans="1:5" ht="19" x14ac:dyDescent="0.25">
      <c r="A144" s="51" t="s">
        <v>179</v>
      </c>
      <c r="B144" s="59">
        <v>4.1903553610988471</v>
      </c>
      <c r="C144" s="41">
        <v>0.36469999999999997</v>
      </c>
      <c r="D144" s="32">
        <f t="shared" si="2"/>
        <v>0.43354731336186397</v>
      </c>
      <c r="E144" s="3"/>
    </row>
    <row r="145" spans="1:5" ht="19" x14ac:dyDescent="0.25">
      <c r="A145" s="50" t="s">
        <v>180</v>
      </c>
      <c r="B145" s="59">
        <v>3.9104307580301834</v>
      </c>
      <c r="C145" s="40">
        <v>0</v>
      </c>
      <c r="D145" s="31">
        <f t="shared" si="2"/>
        <v>0</v>
      </c>
      <c r="E145" s="3"/>
    </row>
    <row r="146" spans="1:5" ht="19" x14ac:dyDescent="0.25">
      <c r="A146" s="51" t="s">
        <v>181</v>
      </c>
      <c r="B146" s="59">
        <v>5.7741934156294281</v>
      </c>
      <c r="C146" s="41">
        <v>0</v>
      </c>
      <c r="D146" s="32">
        <f t="shared" si="2"/>
        <v>0</v>
      </c>
      <c r="E146" s="3"/>
    </row>
    <row r="147" spans="1:5" ht="19" x14ac:dyDescent="0.25">
      <c r="A147" s="50" t="s">
        <v>182</v>
      </c>
      <c r="B147" s="59">
        <v>4.3230065548271748</v>
      </c>
      <c r="C147" s="40">
        <v>0</v>
      </c>
      <c r="D147" s="31">
        <f t="shared" si="2"/>
        <v>0</v>
      </c>
      <c r="E147" s="3"/>
    </row>
    <row r="148" spans="1:5" ht="19" x14ac:dyDescent="0.25">
      <c r="A148" s="51" t="s">
        <v>183</v>
      </c>
      <c r="B148" s="59">
        <v>6.3044304196425287</v>
      </c>
      <c r="C148" s="41">
        <v>0</v>
      </c>
      <c r="D148" s="32">
        <f t="shared" si="2"/>
        <v>0</v>
      </c>
      <c r="E148" s="3"/>
    </row>
    <row r="149" spans="1:5" ht="19" x14ac:dyDescent="0.25">
      <c r="A149" s="50" t="s">
        <v>184</v>
      </c>
      <c r="B149" s="59">
        <v>4.9494000233782742</v>
      </c>
      <c r="C149" s="40">
        <v>0</v>
      </c>
      <c r="D149" s="31">
        <f t="shared" si="2"/>
        <v>0</v>
      </c>
      <c r="E149" s="3"/>
    </row>
    <row r="150" spans="1:5" ht="19" x14ac:dyDescent="0.25">
      <c r="A150" s="52" t="s">
        <v>185</v>
      </c>
      <c r="B150" s="59">
        <v>6.1447845309536486</v>
      </c>
      <c r="C150" s="42">
        <v>0</v>
      </c>
      <c r="D150" s="33">
        <f t="shared" si="2"/>
        <v>0</v>
      </c>
      <c r="E150" s="3"/>
    </row>
    <row r="151" spans="1:5" ht="19" x14ac:dyDescent="0.25">
      <c r="A151" s="43" t="s">
        <v>186</v>
      </c>
      <c r="B151" s="44"/>
      <c r="C151" s="34">
        <f>SUM(C4:C150)</f>
        <v>0.84119999999999995</v>
      </c>
      <c r="D151" s="34">
        <f>SUM(D4:D150)</f>
        <v>1.0000000000000002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E4:E150">
    <cfRule type="duplicateValues" dxfId="14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E17D6-AF5B-7D49-8E43-E737F8F1980F}">
  <dimension ref="A1:J151"/>
  <sheetViews>
    <sheetView topLeftCell="A2" workbookViewId="0">
      <selection activeCell="E22" sqref="E2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194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Italy</v>
      </c>
      <c r="I8" s="24">
        <f>INDEX(B4:B150,MATCH(MAX(D4:D150),D4:D150,0))</f>
        <v>3.8382882812123826</v>
      </c>
      <c r="J8" s="25">
        <f>INDEX(D4:D150,MATCH(MAX(D4:D150),D4:D150,0))</f>
        <v>0.31051707843931414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3.8791580319865355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1.26E-2</v>
      </c>
      <c r="D27" s="31">
        <f t="shared" si="0"/>
        <v>1.7010935601458079E-2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6.3700000000000007E-2</v>
      </c>
      <c r="D31" s="31">
        <f t="shared" si="0"/>
        <v>8.5999729985149195E-2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2.5899999999999999E-2</v>
      </c>
      <c r="D49" s="31">
        <f t="shared" si="0"/>
        <v>3.4966923180774941E-2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3.8199999999999998E-2</v>
      </c>
      <c r="D53" s="31">
        <f t="shared" si="0"/>
        <v>5.1572836506007823E-2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0</v>
      </c>
      <c r="D64" s="32">
        <f t="shared" si="0"/>
        <v>0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0.23</v>
      </c>
      <c r="D70" s="32">
        <f t="shared" si="1"/>
        <v>0.31051707843931414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0</v>
      </c>
      <c r="D72" s="32">
        <f t="shared" si="1"/>
        <v>0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1.03E-2</v>
      </c>
      <c r="D91" s="31">
        <f t="shared" si="1"/>
        <v>1.3905764817064938E-2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0.13</v>
      </c>
      <c r="D143" s="31">
        <f t="shared" si="2"/>
        <v>0.1755096530309167</v>
      </c>
    </row>
    <row r="144" spans="1:4" ht="19" x14ac:dyDescent="0.25">
      <c r="A144" s="29" t="s">
        <v>179</v>
      </c>
      <c r="B144" s="59">
        <v>4.1903553610988471</v>
      </c>
      <c r="C144" s="41">
        <v>0.23</v>
      </c>
      <c r="D144" s="32">
        <f t="shared" si="2"/>
        <v>0.31051707843931414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0.74070000000000003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638F4-A53E-CA40-A3E1-ED83FF06EEB4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195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4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0.48344545574462472</v>
      </c>
    </row>
    <row r="9" spans="1:10" ht="23" thickBot="1" x14ac:dyDescent="0.35">
      <c r="A9" s="2" t="s">
        <v>42</v>
      </c>
      <c r="B9" s="59">
        <v>3.2228923328507717</v>
      </c>
      <c r="C9" s="4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4.0533355984534172</v>
      </c>
    </row>
    <row r="10" spans="1:10" ht="19" x14ac:dyDescent="0.25">
      <c r="A10" s="29" t="s">
        <v>44</v>
      </c>
      <c r="B10" s="59">
        <v>3.4101851325072063</v>
      </c>
      <c r="C10" s="4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">
        <v>2.5399999999999999E-2</v>
      </c>
      <c r="D21" s="31">
        <f t="shared" si="0"/>
        <v>3.3504814668249568E-2</v>
      </c>
    </row>
    <row r="22" spans="1:5" ht="19" x14ac:dyDescent="0.25">
      <c r="A22" s="29" t="s">
        <v>56</v>
      </c>
      <c r="B22" s="59">
        <v>4.4305511295739555</v>
      </c>
      <c r="C22" s="4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">
        <v>3.0899999999999997E-2</v>
      </c>
      <c r="D27" s="31">
        <f t="shared" si="0"/>
        <v>4.0759794222398095E-2</v>
      </c>
    </row>
    <row r="28" spans="1:5" ht="19" x14ac:dyDescent="0.25">
      <c r="A28" s="29" t="s">
        <v>62</v>
      </c>
      <c r="B28" s="59">
        <v>6.7936201324767405</v>
      </c>
      <c r="C28" s="4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">
        <v>2.8399999999999998E-2</v>
      </c>
      <c r="D31" s="31">
        <f t="shared" si="0"/>
        <v>3.7462076243239675E-2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">
        <v>3.1600000000000003E-2</v>
      </c>
      <c r="D49" s="31">
        <f t="shared" si="0"/>
        <v>4.1683155256562465E-2</v>
      </c>
    </row>
    <row r="50" spans="1:4" ht="19" x14ac:dyDescent="0.25">
      <c r="A50" s="29" t="s">
        <v>85</v>
      </c>
      <c r="B50" s="59">
        <v>5.7823719673887926</v>
      </c>
      <c r="C50" s="4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">
        <v>5.2600000000000001E-2</v>
      </c>
      <c r="D53" s="31">
        <f t="shared" si="0"/>
        <v>6.9383986281493212E-2</v>
      </c>
    </row>
    <row r="54" spans="1:4" ht="19" x14ac:dyDescent="0.25">
      <c r="A54" s="29" t="s">
        <v>89</v>
      </c>
      <c r="B54" s="59">
        <v>4.6272251474478185</v>
      </c>
      <c r="C54" s="4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">
        <v>0</v>
      </c>
      <c r="D64" s="32">
        <f t="shared" si="0"/>
        <v>0</v>
      </c>
    </row>
    <row r="65" spans="1:4" ht="19" x14ac:dyDescent="0.25">
      <c r="A65" s="2" t="s">
        <v>100</v>
      </c>
      <c r="B65" s="59">
        <v>4.9248047791749228</v>
      </c>
      <c r="C65" s="4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">
        <v>0.15859999999999999</v>
      </c>
      <c r="D70" s="32">
        <f t="shared" si="1"/>
        <v>0.2092072285978103</v>
      </c>
    </row>
    <row r="71" spans="1:4" ht="19" x14ac:dyDescent="0.25">
      <c r="A71" s="2" t="s">
        <v>106</v>
      </c>
      <c r="B71" s="59">
        <v>4.7451218036873231</v>
      </c>
      <c r="C71" s="4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">
        <v>0</v>
      </c>
      <c r="D72" s="32">
        <f t="shared" si="1"/>
        <v>0</v>
      </c>
    </row>
    <row r="73" spans="1:4" ht="19" x14ac:dyDescent="0.25">
      <c r="A73" s="2" t="s">
        <v>108</v>
      </c>
      <c r="B73" s="59">
        <v>5.1303864841692146</v>
      </c>
      <c r="C73" s="4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">
        <v>2.0499999999999997E-2</v>
      </c>
      <c r="D91" s="31">
        <f t="shared" si="1"/>
        <v>2.7041287429099059E-2</v>
      </c>
    </row>
    <row r="92" spans="1:4" ht="19" x14ac:dyDescent="0.25">
      <c r="A92" s="29" t="s">
        <v>127</v>
      </c>
      <c r="B92" s="59">
        <v>5.1376667464547303</v>
      </c>
      <c r="C92" s="4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">
        <v>2.2400000000000003E-2</v>
      </c>
      <c r="D98" s="32">
        <f t="shared" si="1"/>
        <v>2.954755309325947E-2</v>
      </c>
    </row>
    <row r="99" spans="1:4" ht="19" x14ac:dyDescent="0.25">
      <c r="A99" s="2" t="s">
        <v>134</v>
      </c>
      <c r="B99" s="59">
        <v>3.3163390659638341</v>
      </c>
      <c r="C99" s="4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">
        <v>2.12E-2</v>
      </c>
      <c r="D127" s="31">
        <f t="shared" si="1"/>
        <v>2.7964648463263422E-2</v>
      </c>
    </row>
    <row r="128" spans="1:4" ht="19" x14ac:dyDescent="0.25">
      <c r="A128" s="29" t="s">
        <v>163</v>
      </c>
      <c r="B128" s="59">
        <v>5.1109914616879202</v>
      </c>
      <c r="C128" s="4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">
        <v>0</v>
      </c>
      <c r="D143" s="31">
        <f t="shared" si="2"/>
        <v>0</v>
      </c>
    </row>
    <row r="144" spans="1:4" ht="19" x14ac:dyDescent="0.25">
      <c r="A144" s="29" t="s">
        <v>179</v>
      </c>
      <c r="B144" s="59">
        <v>4.1903553610988471</v>
      </c>
      <c r="C144" s="4">
        <v>0.36649999999999999</v>
      </c>
      <c r="D144" s="32">
        <f t="shared" si="2"/>
        <v>0.48344545574462472</v>
      </c>
    </row>
    <row r="145" spans="1:4" ht="19" x14ac:dyDescent="0.25">
      <c r="A145" s="2" t="s">
        <v>180</v>
      </c>
      <c r="B145" s="59">
        <v>3.9104307580301834</v>
      </c>
      <c r="C145" s="4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0.7581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4AE6E-4743-174E-B878-5FF213C17ACC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196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Czech Republic</v>
      </c>
      <c r="I8" s="24">
        <f>INDEX(B4:B150,MATCH(MAX(D4:D150),D4:D150,0))</f>
        <v>3.7484970292180693</v>
      </c>
      <c r="J8" s="25">
        <f>INDEX(D4:D150,MATCH(MAX(D4:D150),D4:D150,0))</f>
        <v>0.47139788368207503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3.8028426278038312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0</v>
      </c>
      <c r="D27" s="31">
        <f t="shared" si="0"/>
        <v>0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0</v>
      </c>
      <c r="D31" s="31">
        <f t="shared" si="0"/>
        <v>0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0.59250000000000003</v>
      </c>
      <c r="D38" s="32">
        <f t="shared" si="0"/>
        <v>0.47139788368207503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2.5899999999999999E-2</v>
      </c>
      <c r="D49" s="31">
        <f t="shared" si="0"/>
        <v>2.0606253480786062E-2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3.8199999999999998E-2</v>
      </c>
      <c r="D53" s="31">
        <f t="shared" si="0"/>
        <v>3.0392234863553188E-2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0</v>
      </c>
      <c r="D64" s="32">
        <f t="shared" si="0"/>
        <v>0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0.23</v>
      </c>
      <c r="D70" s="32">
        <f t="shared" si="1"/>
        <v>0.18298989577532027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0</v>
      </c>
      <c r="D72" s="32">
        <f t="shared" si="1"/>
        <v>0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1.03E-2</v>
      </c>
      <c r="D91" s="31">
        <f t="shared" si="1"/>
        <v>8.1947648977643422E-3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0.13</v>
      </c>
      <c r="D143" s="31">
        <f t="shared" si="2"/>
        <v>0.10342907152518101</v>
      </c>
    </row>
    <row r="144" spans="1:4" ht="19" x14ac:dyDescent="0.25">
      <c r="A144" s="29" t="s">
        <v>179</v>
      </c>
      <c r="B144" s="59">
        <v>4.1903553610988471</v>
      </c>
      <c r="C144" s="41">
        <v>0.23</v>
      </c>
      <c r="D144" s="32">
        <f t="shared" si="2"/>
        <v>0.18298989577532027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1.2568999999999999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EF116-5283-9B48-A4A8-4E52ED89D6F7}">
  <dimension ref="A1:J151"/>
  <sheetViews>
    <sheetView zoomScale="92"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197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Italy</v>
      </c>
      <c r="I8" s="24">
        <f>INDEX(B4:B150,MATCH(MAX(D4:D150),D4:D150,0))</f>
        <v>3.8382882812123826</v>
      </c>
      <c r="J8" s="25">
        <f>INDEX(D4:D150,MATCH(MAX(D4:D150),D4:D150,0))</f>
        <v>0.44118542575865216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3.8442375884331725</v>
      </c>
    </row>
    <row r="10" spans="1:10" ht="19" x14ac:dyDescent="0.25">
      <c r="A10" s="29" t="s">
        <v>44</v>
      </c>
      <c r="B10" s="59">
        <v>3.4101851325072063</v>
      </c>
      <c r="C10" s="41">
        <v>0.1066</v>
      </c>
      <c r="D10" s="32">
        <f t="shared" si="0"/>
        <v>0.10819039886329038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3.1099999999999999E-2</v>
      </c>
      <c r="D22" s="32">
        <f t="shared" si="0"/>
        <v>3.1563990662742313E-2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0</v>
      </c>
      <c r="D27" s="31">
        <f t="shared" si="0"/>
        <v>0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0</v>
      </c>
      <c r="D31" s="31">
        <f t="shared" si="0"/>
        <v>0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3.2899999999999999E-2</v>
      </c>
      <c r="D36" s="32">
        <f t="shared" si="0"/>
        <v>3.3390845427788494E-2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2.6699999999999998E-2</v>
      </c>
      <c r="D38" s="32">
        <f t="shared" si="0"/>
        <v>2.7098345681518317E-2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0.22260000000000002</v>
      </c>
      <c r="D53" s="31">
        <f t="shared" si="0"/>
        <v>0.22592103927737747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2.1000000000000001E-2</v>
      </c>
      <c r="D62" s="32">
        <f t="shared" si="0"/>
        <v>2.1313305592205421E-2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0</v>
      </c>
      <c r="D64" s="32">
        <f t="shared" si="0"/>
        <v>0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0.43469999999999998</v>
      </c>
      <c r="D70" s="32">
        <f t="shared" si="1"/>
        <v>0.44118542575865216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0</v>
      </c>
      <c r="D72" s="32">
        <f t="shared" si="1"/>
        <v>0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0</v>
      </c>
      <c r="D91" s="31">
        <f t="shared" si="1"/>
        <v>0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3.8599999999999995E-2</v>
      </c>
      <c r="D115" s="31">
        <f t="shared" si="1"/>
        <v>3.917588551710139E-2</v>
      </c>
    </row>
    <row r="116" spans="1:4" ht="19" x14ac:dyDescent="0.25">
      <c r="A116" s="29" t="s">
        <v>151</v>
      </c>
      <c r="B116" s="59">
        <v>5.9582623064002229</v>
      </c>
      <c r="C116" s="41">
        <v>4.5199999999999997E-2</v>
      </c>
      <c r="D116" s="32">
        <f t="shared" si="1"/>
        <v>4.5874352988937377E-2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1.32E-2</v>
      </c>
      <c r="D120" s="32">
        <f t="shared" si="1"/>
        <v>1.3396934943671978E-2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1.2699999999999999E-2</v>
      </c>
      <c r="D123" s="31">
        <f t="shared" si="1"/>
        <v>1.2889475286714707E-2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0</v>
      </c>
      <c r="D143" s="31">
        <f t="shared" si="2"/>
        <v>0</v>
      </c>
    </row>
    <row r="144" spans="1:4" ht="19" x14ac:dyDescent="0.25">
      <c r="A144" s="29" t="s">
        <v>179</v>
      </c>
      <c r="B144" s="59">
        <v>4.1903553610988471</v>
      </c>
      <c r="C144" s="41">
        <v>0</v>
      </c>
      <c r="D144" s="32">
        <f t="shared" si="2"/>
        <v>0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0.98529999999999995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C167B-EB80-654C-AA14-6300E8B33764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198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1.03E-2</v>
      </c>
      <c r="D7" s="31">
        <f t="shared" si="0"/>
        <v>1.3144461459928534E-2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0.35043389484430831</v>
      </c>
    </row>
    <row r="9" spans="1:10" ht="23" thickBot="1" x14ac:dyDescent="0.35">
      <c r="A9" s="2" t="s">
        <v>42</v>
      </c>
      <c r="B9" s="59">
        <v>3.2228923328507717</v>
      </c>
      <c r="C9" s="40">
        <v>3.4500000000000003E-2</v>
      </c>
      <c r="D9" s="31">
        <f t="shared" si="0"/>
        <v>4.4027565084226644E-2</v>
      </c>
      <c r="G9" s="26" t="s">
        <v>43</v>
      </c>
      <c r="H9" s="27"/>
      <c r="I9" s="27"/>
      <c r="J9" s="63">
        <f>SUMPRODUCT(B4:B150,D4:D150)</f>
        <v>4.0853962459764235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4.1500000000000002E-2</v>
      </c>
      <c r="D21" s="31">
        <f t="shared" si="0"/>
        <v>5.2960694231750892E-2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0</v>
      </c>
      <c r="D27" s="31">
        <f t="shared" si="0"/>
        <v>0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6.0999999999999995E-3</v>
      </c>
      <c r="D30" s="32">
        <f t="shared" si="0"/>
        <v>7.7845839714139851E-3</v>
      </c>
    </row>
    <row r="31" spans="1:5" ht="19" x14ac:dyDescent="0.25">
      <c r="A31" s="2" t="s">
        <v>65</v>
      </c>
      <c r="B31" s="59">
        <v>4.2558827981073541</v>
      </c>
      <c r="C31" s="40">
        <v>0</v>
      </c>
      <c r="D31" s="31">
        <f t="shared" si="0"/>
        <v>0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6.5000000000000006E-3</v>
      </c>
      <c r="D32" s="32">
        <f t="shared" si="0"/>
        <v>8.2950484941296584E-3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3.0999999999999999E-3</v>
      </c>
      <c r="D42" s="32">
        <f t="shared" si="0"/>
        <v>3.9561000510464515E-3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5.28E-2</v>
      </c>
      <c r="D49" s="31">
        <f t="shared" si="0"/>
        <v>6.7381316998468596E-2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7.8799999999999995E-2</v>
      </c>
      <c r="D53" s="31">
        <f t="shared" si="0"/>
        <v>0.10056151097498722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0</v>
      </c>
      <c r="D64" s="32">
        <f t="shared" si="0"/>
        <v>0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0.1527</v>
      </c>
      <c r="D70" s="32">
        <f t="shared" si="1"/>
        <v>0.19486983154670748</v>
      </c>
    </row>
    <row r="71" spans="1:4" ht="19" x14ac:dyDescent="0.25">
      <c r="A71" s="2" t="s">
        <v>106</v>
      </c>
      <c r="B71" s="59">
        <v>4.7451218036873231</v>
      </c>
      <c r="C71" s="40">
        <v>4.3799999999999999E-2</v>
      </c>
      <c r="D71" s="31">
        <f t="shared" si="1"/>
        <v>5.5895865237365998E-2</v>
      </c>
    </row>
    <row r="72" spans="1:4" ht="19" x14ac:dyDescent="0.25">
      <c r="A72" s="29" t="s">
        <v>107</v>
      </c>
      <c r="B72" s="59">
        <v>3.3755878841798577</v>
      </c>
      <c r="C72" s="41">
        <v>0</v>
      </c>
      <c r="D72" s="32">
        <f t="shared" si="1"/>
        <v>0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2.92E-2</v>
      </c>
      <c r="D91" s="31">
        <f t="shared" si="1"/>
        <v>3.7263910158243999E-2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6.0000000000000001E-3</v>
      </c>
      <c r="D110" s="32">
        <f t="shared" si="1"/>
        <v>7.6569678407350681E-3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4.3700000000000003E-2</v>
      </c>
      <c r="D143" s="31">
        <f t="shared" si="2"/>
        <v>5.5768249106687082E-2</v>
      </c>
    </row>
    <row r="144" spans="1:4" ht="19" x14ac:dyDescent="0.25">
      <c r="A144" s="29" t="s">
        <v>179</v>
      </c>
      <c r="B144" s="59">
        <v>4.1903553610988471</v>
      </c>
      <c r="C144" s="41">
        <v>0.27460000000000001</v>
      </c>
      <c r="D144" s="32">
        <f t="shared" si="2"/>
        <v>0.35043389484430831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0.78360000000000007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DE4D4-5EA3-7B4C-89BC-905EBCA7DDA0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199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China</v>
      </c>
      <c r="I8" s="24">
        <f>INDEX(B4:B150,MATCH(MAX(D4:D150),D4:D150,0))</f>
        <v>4.2558827981073541</v>
      </c>
      <c r="J8" s="25">
        <f>INDEX(D4:D150,MATCH(MAX(D4:D150),D4:D150,0))</f>
        <v>0.35758071107478545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4.1525922833920541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7.1999999999999998E-3</v>
      </c>
      <c r="D13" s="31">
        <f t="shared" si="0"/>
        <v>9.8079280751941136E-3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0</v>
      </c>
      <c r="D27" s="31">
        <f t="shared" si="0"/>
        <v>0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0.26250000000000001</v>
      </c>
      <c r="D31" s="31">
        <f t="shared" si="0"/>
        <v>0.35758071107478545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3.0699999999999998E-2</v>
      </c>
      <c r="D49" s="31">
        <f t="shared" si="0"/>
        <v>4.1819915542841569E-2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5.16E-2</v>
      </c>
      <c r="D53" s="31">
        <f t="shared" si="0"/>
        <v>7.0290151205557816E-2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5.0799999999999998E-2</v>
      </c>
      <c r="D64" s="32">
        <f t="shared" si="0"/>
        <v>6.9200381419425139E-2</v>
      </c>
    </row>
    <row r="65" spans="1:4" ht="19" x14ac:dyDescent="0.25">
      <c r="A65" s="2" t="s">
        <v>100</v>
      </c>
      <c r="B65" s="59">
        <v>4.9248047791749228</v>
      </c>
      <c r="C65" s="40">
        <v>1.8700000000000001E-2</v>
      </c>
      <c r="D65" s="31">
        <f t="shared" si="0"/>
        <v>2.5473368750851381E-2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5.9400000000000001E-2</v>
      </c>
      <c r="D70" s="32">
        <f t="shared" si="1"/>
        <v>8.0915406620351446E-2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4.8300000000000003E-2</v>
      </c>
      <c r="D72" s="32">
        <f t="shared" si="1"/>
        <v>6.5794850837760516E-2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0</v>
      </c>
      <c r="D91" s="31">
        <f t="shared" si="1"/>
        <v>0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2.2200000000000001E-2</v>
      </c>
      <c r="D98" s="32">
        <f t="shared" si="1"/>
        <v>3.0241111565181854E-2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5.3E-3</v>
      </c>
      <c r="D111" s="31">
        <f t="shared" si="1"/>
        <v>7.219724833129001E-3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1.5800000000000002E-2</v>
      </c>
      <c r="D116" s="32">
        <f t="shared" si="1"/>
        <v>2.1522953276120419E-2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2.64E-2</v>
      </c>
      <c r="D126" s="32">
        <f t="shared" si="1"/>
        <v>3.5962402942378416E-2</v>
      </c>
    </row>
    <row r="127" spans="1:4" ht="19" x14ac:dyDescent="0.25">
      <c r="A127" s="2" t="s">
        <v>162</v>
      </c>
      <c r="B127" s="59">
        <v>3.7006443947932954</v>
      </c>
      <c r="C127" s="40">
        <v>2.07E-2</v>
      </c>
      <c r="D127" s="31">
        <f t="shared" si="1"/>
        <v>2.8197793216183077E-2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0</v>
      </c>
      <c r="D143" s="31">
        <f t="shared" si="2"/>
        <v>0</v>
      </c>
    </row>
    <row r="144" spans="1:4" ht="19" x14ac:dyDescent="0.25">
      <c r="A144" s="29" t="s">
        <v>179</v>
      </c>
      <c r="B144" s="59">
        <v>4.1903553610988471</v>
      </c>
      <c r="C144" s="41">
        <v>9.9700000000000011E-2</v>
      </c>
      <c r="D144" s="32">
        <f t="shared" si="2"/>
        <v>0.13581255959678518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1.4800000000000001E-2</v>
      </c>
      <c r="D147" s="31">
        <f t="shared" si="2"/>
        <v>2.0160741043454569E-2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0.73410000000000009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DBA60-3E85-6646-B56D-69A361E335CB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200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0.36281564830563912</v>
      </c>
    </row>
    <row r="9" spans="1:10" ht="23" thickBot="1" x14ac:dyDescent="0.35">
      <c r="A9" s="2" t="s">
        <v>42</v>
      </c>
      <c r="B9" s="59">
        <v>3.2228923328507717</v>
      </c>
      <c r="C9" s="40">
        <v>9.4999999999999998E-3</v>
      </c>
      <c r="D9" s="31">
        <f t="shared" si="0"/>
        <v>1.2429674211696976E-2</v>
      </c>
      <c r="G9" s="26" t="s">
        <v>43</v>
      </c>
      <c r="H9" s="27"/>
      <c r="I9" s="27"/>
      <c r="J9" s="63">
        <f>SUMPRODUCT(B4:B150,D4:D150)</f>
        <v>3.8924321492201757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1.4999999999999999E-2</v>
      </c>
      <c r="D15" s="31">
        <f t="shared" si="0"/>
        <v>1.9625801386889963E-2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1.3100000000000001E-2</v>
      </c>
      <c r="D27" s="31">
        <f t="shared" si="0"/>
        <v>1.7139866544550568E-2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4.36E-2</v>
      </c>
      <c r="D31" s="31">
        <f t="shared" si="0"/>
        <v>5.704566269789349E-2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3.2400000000000005E-2</v>
      </c>
      <c r="D49" s="31">
        <f t="shared" si="0"/>
        <v>4.2391730995682324E-2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8.0700000000000008E-2</v>
      </c>
      <c r="D53" s="31">
        <f t="shared" si="0"/>
        <v>0.10558681146146801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2.6600000000000002E-2</v>
      </c>
      <c r="D64" s="32">
        <f t="shared" si="0"/>
        <v>3.4803087792751534E-2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7.3899999999999993E-2</v>
      </c>
      <c r="D70" s="32">
        <f t="shared" si="1"/>
        <v>9.6689781499411209E-2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2.69E-2</v>
      </c>
      <c r="D72" s="32">
        <f t="shared" si="1"/>
        <v>3.5195603820489335E-2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1.1399999999999999E-2</v>
      </c>
      <c r="D91" s="31">
        <f t="shared" si="1"/>
        <v>1.4915609054036369E-2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2.4500000000000001E-2</v>
      </c>
      <c r="D98" s="32">
        <f t="shared" si="1"/>
        <v>3.2055475598586937E-2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1.44E-2</v>
      </c>
      <c r="D126" s="32">
        <f t="shared" si="1"/>
        <v>1.8840769331414365E-2</v>
      </c>
    </row>
    <row r="127" spans="1:4" ht="19" x14ac:dyDescent="0.25">
      <c r="A127" s="2" t="s">
        <v>162</v>
      </c>
      <c r="B127" s="59">
        <v>3.7006443947932954</v>
      </c>
      <c r="C127" s="40">
        <v>2.06E-2</v>
      </c>
      <c r="D127" s="31">
        <f t="shared" si="1"/>
        <v>2.6952767237995549E-2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8.6400000000000005E-2</v>
      </c>
      <c r="D143" s="31">
        <f t="shared" si="2"/>
        <v>0.11304461598848618</v>
      </c>
    </row>
    <row r="144" spans="1:4" ht="19" x14ac:dyDescent="0.25">
      <c r="A144" s="29" t="s">
        <v>179</v>
      </c>
      <c r="B144" s="59">
        <v>4.1903553610988471</v>
      </c>
      <c r="C144" s="41">
        <v>0.27729999999999999</v>
      </c>
      <c r="D144" s="32">
        <f t="shared" si="2"/>
        <v>0.36281564830563912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8.0000000000000002E-3</v>
      </c>
      <c r="D147" s="31">
        <f t="shared" si="2"/>
        <v>1.046709407300798E-2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0.76430000000000009</v>
      </c>
      <c r="D151" s="34">
        <f>SUM(D4:D150)</f>
        <v>0.99999999999999989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46FF4-5AD2-6C40-A717-A63052A49E39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201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China</v>
      </c>
      <c r="I8" s="24">
        <f>INDEX(B4:B150,MATCH(MAX(D4:D150),D4:D150,0))</f>
        <v>4.2558827981073541</v>
      </c>
      <c r="J8" s="25">
        <f>INDEX(D4:D150,MATCH(MAX(D4:D150),D4:D150,0))</f>
        <v>0.91447206497661826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4.2377450300374813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0</v>
      </c>
      <c r="D27" s="31">
        <f t="shared" si="0"/>
        <v>0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0.74309999999999998</v>
      </c>
      <c r="D31" s="31">
        <f t="shared" si="0"/>
        <v>0.91447206497661826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0</v>
      </c>
      <c r="D53" s="31">
        <f t="shared" si="0"/>
        <v>0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0</v>
      </c>
      <c r="D64" s="32">
        <f t="shared" si="0"/>
        <v>0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</v>
      </c>
      <c r="D70" s="32">
        <f t="shared" si="1"/>
        <v>0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1.2500000000000001E-2</v>
      </c>
      <c r="D72" s="32">
        <f t="shared" si="1"/>
        <v>1.5382722126507507E-2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0</v>
      </c>
      <c r="D91" s="31">
        <f t="shared" si="1"/>
        <v>0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0</v>
      </c>
      <c r="D143" s="31">
        <f t="shared" si="2"/>
        <v>0</v>
      </c>
    </row>
    <row r="144" spans="1:4" ht="19" x14ac:dyDescent="0.25">
      <c r="A144" s="29" t="s">
        <v>179</v>
      </c>
      <c r="B144" s="59">
        <v>4.1903553610988471</v>
      </c>
      <c r="C144" s="41">
        <v>5.7000000000000002E-2</v>
      </c>
      <c r="D144" s="32">
        <f t="shared" si="2"/>
        <v>7.014521289687424E-2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0.81259999999999999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85EE8-021E-8D49-A889-9AD46C0975EC}">
  <dimension ref="A1:J151"/>
  <sheetViews>
    <sheetView zoomScaleNormal="100"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202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0.4045598480050665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4.1328503601557962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4.4299999999999999E-2</v>
      </c>
      <c r="D21" s="31">
        <f t="shared" si="0"/>
        <v>5.611146295123496E-2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7.5800000000000006E-2</v>
      </c>
      <c r="D27" s="31">
        <f t="shared" si="0"/>
        <v>9.6010132995566821E-2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5.1200000000000002E-2</v>
      </c>
      <c r="D31" s="31">
        <f t="shared" si="0"/>
        <v>6.4851171627612419E-2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3.78E-2</v>
      </c>
      <c r="D49" s="31">
        <f t="shared" si="0"/>
        <v>4.787840405319823E-2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2.1499999999999998E-2</v>
      </c>
      <c r="D53" s="31">
        <f t="shared" si="0"/>
        <v>2.7232425585813805E-2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2.2400000000000003E-2</v>
      </c>
      <c r="D64" s="32">
        <f t="shared" si="0"/>
        <v>2.8372387587080435E-2</v>
      </c>
    </row>
    <row r="65" spans="1:4" ht="19" x14ac:dyDescent="0.25">
      <c r="A65" s="2" t="s">
        <v>100</v>
      </c>
      <c r="B65" s="59">
        <v>4.9248047791749228</v>
      </c>
      <c r="C65" s="40">
        <v>1.18E-2</v>
      </c>
      <c r="D65" s="31">
        <f t="shared" si="0"/>
        <v>1.4946168461051299E-2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2.5699999999999997E-2</v>
      </c>
      <c r="D70" s="32">
        <f t="shared" si="1"/>
        <v>3.2552248258391384E-2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4.2800000000000005E-2</v>
      </c>
      <c r="D72" s="32">
        <f t="shared" si="1"/>
        <v>5.4211526282457262E-2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9.7000000000000003E-3</v>
      </c>
      <c r="D87" s="31">
        <f t="shared" si="1"/>
        <v>1.2286257124762509E-2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4.0099999999999997E-2</v>
      </c>
      <c r="D91" s="31">
        <f t="shared" si="1"/>
        <v>5.0791640278657374E-2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1.5100000000000001E-2</v>
      </c>
      <c r="D98" s="32">
        <f t="shared" si="1"/>
        <v>1.9126029132362256E-2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7.0999999999999995E-3</v>
      </c>
      <c r="D112" s="32">
        <f t="shared" si="1"/>
        <v>8.9930335655478144E-3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1.3000000000000001E-2</v>
      </c>
      <c r="D127" s="31">
        <f t="shared" si="1"/>
        <v>1.6466117796073466E-2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1.1699999999999999E-2</v>
      </c>
      <c r="D134" s="32">
        <f t="shared" si="2"/>
        <v>1.4819506016466116E-2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4.0099999999999997E-2</v>
      </c>
      <c r="D143" s="31">
        <f t="shared" si="2"/>
        <v>5.0791640278657374E-2</v>
      </c>
    </row>
    <row r="144" spans="1:4" ht="19" x14ac:dyDescent="0.25">
      <c r="A144" s="29" t="s">
        <v>179</v>
      </c>
      <c r="B144" s="59">
        <v>4.1903553610988471</v>
      </c>
      <c r="C144" s="41">
        <v>0.31940000000000002</v>
      </c>
      <c r="D144" s="32">
        <f t="shared" si="2"/>
        <v>0.4045598480050665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0.78949999999999998</v>
      </c>
      <c r="D151" s="34">
        <f>SUM(D4:D150)</f>
        <v>0.99999999999999989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1C137-9094-4A44-9181-29AA2A5B81F7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203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Russia</v>
      </c>
      <c r="I8" s="24">
        <f>INDEX(B4:B150,MATCH(MAX(D4:D150),D4:D150,0))</f>
        <v>5.9582623064002229</v>
      </c>
      <c r="J8" s="25">
        <f>INDEX(D4:D150,MATCH(MAX(D4:D150),D4:D150,0))</f>
        <v>0.6268141803473708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5.3482934981964876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3.6499999999999998E-2</v>
      </c>
      <c r="D14" s="32">
        <f t="shared" si="0"/>
        <v>4.342136569117297E-2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0</v>
      </c>
      <c r="D27" s="31">
        <f t="shared" si="0"/>
        <v>0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7.2599999999999998E-2</v>
      </c>
      <c r="D31" s="31">
        <f t="shared" si="0"/>
        <v>8.6366880799428974E-2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1.2E-2</v>
      </c>
      <c r="D48" s="32">
        <f t="shared" si="0"/>
        <v>1.4275517487508922E-2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1.66E-2</v>
      </c>
      <c r="D53" s="31">
        <f t="shared" si="0"/>
        <v>1.9747799191054009E-2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0</v>
      </c>
      <c r="D64" s="32">
        <f t="shared" si="0"/>
        <v>0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1.6799999999999999E-2</v>
      </c>
      <c r="D70" s="32">
        <f t="shared" si="1"/>
        <v>1.9985724482512488E-2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0</v>
      </c>
      <c r="D72" s="32">
        <f t="shared" si="1"/>
        <v>0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2.1099999999999997E-2</v>
      </c>
      <c r="D74" s="32">
        <f t="shared" si="1"/>
        <v>2.510111824886985E-2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0</v>
      </c>
      <c r="D91" s="31">
        <f t="shared" si="1"/>
        <v>0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2.52E-2</v>
      </c>
      <c r="D98" s="32">
        <f t="shared" si="1"/>
        <v>2.9978586723768737E-2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1.3500000000000002E-2</v>
      </c>
      <c r="D112" s="32">
        <f t="shared" si="1"/>
        <v>1.6059957173447541E-2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0.52689999999999992</v>
      </c>
      <c r="D116" s="32">
        <f t="shared" si="1"/>
        <v>0.6268141803473708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1.4999999999999999E-2</v>
      </c>
      <c r="D126" s="32">
        <f t="shared" si="1"/>
        <v>1.7844396859386151E-2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2.8999999999999998E-2</v>
      </c>
      <c r="D139" s="31">
        <f t="shared" si="2"/>
        <v>3.4499167261479891E-2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8.8999999999999999E-3</v>
      </c>
      <c r="D141" s="31">
        <f t="shared" si="2"/>
        <v>1.058767546990245E-2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1.4199999999999999E-2</v>
      </c>
      <c r="D143" s="31">
        <f t="shared" si="2"/>
        <v>1.6892695693552222E-2</v>
      </c>
    </row>
    <row r="144" spans="1:4" ht="19" x14ac:dyDescent="0.25">
      <c r="A144" s="29" t="s">
        <v>179</v>
      </c>
      <c r="B144" s="59">
        <v>4.1903553610988471</v>
      </c>
      <c r="C144" s="41">
        <v>3.2300000000000002E-2</v>
      </c>
      <c r="D144" s="32">
        <f t="shared" si="2"/>
        <v>3.8424934570544848E-2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0.84060000000000001</v>
      </c>
      <c r="D151" s="34">
        <f>SUM(D4:D150)</f>
        <v>0.99999999999999978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AAE4C-C8B4-7F4A-922D-EA50EE3B4795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204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0.51257470119521908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4.1413445525236954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5.7699999999999994E-2</v>
      </c>
      <c r="D27" s="31">
        <f t="shared" si="0"/>
        <v>7.183764940239043E-2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0.10880000000000001</v>
      </c>
      <c r="D31" s="31">
        <f t="shared" si="0"/>
        <v>0.13545816733067731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1.43E-2</v>
      </c>
      <c r="D49" s="31">
        <f t="shared" si="0"/>
        <v>1.7803784860557767E-2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2.9600000000000001E-2</v>
      </c>
      <c r="D53" s="31">
        <f t="shared" si="0"/>
        <v>3.6852589641434265E-2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2.1299999999999999E-2</v>
      </c>
      <c r="D64" s="32">
        <f t="shared" si="0"/>
        <v>2.6518924302788842E-2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1.3899999999999999E-2</v>
      </c>
      <c r="D70" s="32">
        <f t="shared" si="1"/>
        <v>1.7305776892430277E-2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2.7000000000000003E-2</v>
      </c>
      <c r="D72" s="32">
        <f t="shared" si="1"/>
        <v>3.3615537848605583E-2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6.7900000000000002E-2</v>
      </c>
      <c r="D91" s="31">
        <f t="shared" si="1"/>
        <v>8.4536852589641429E-2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1.7399999999999999E-2</v>
      </c>
      <c r="D126" s="32">
        <f t="shared" si="1"/>
        <v>2.1663346613545815E-2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1.49E-2</v>
      </c>
      <c r="D131" s="31">
        <f t="shared" si="1"/>
        <v>1.8550796812749005E-2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1.8700000000000001E-2</v>
      </c>
      <c r="D143" s="31">
        <f t="shared" si="2"/>
        <v>2.328187250996016E-2</v>
      </c>
    </row>
    <row r="144" spans="1:4" ht="19" x14ac:dyDescent="0.25">
      <c r="A144" s="29" t="s">
        <v>179</v>
      </c>
      <c r="B144" s="59">
        <v>4.1903553610988471</v>
      </c>
      <c r="C144" s="41">
        <v>0.41170000000000001</v>
      </c>
      <c r="D144" s="32">
        <f t="shared" si="2"/>
        <v>0.51257470119521908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0.80320000000000003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725AC-9F91-244C-8727-189B69EB58AC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205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0.72479435957696836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4.2350375510566742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4.99E-2</v>
      </c>
      <c r="D27" s="31">
        <f t="shared" si="0"/>
        <v>5.8636897767332552E-2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8.6699999999999999E-2</v>
      </c>
      <c r="D31" s="31">
        <f t="shared" si="0"/>
        <v>0.1018801410105758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0</v>
      </c>
      <c r="D53" s="31">
        <f t="shared" si="0"/>
        <v>0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1.7000000000000001E-2</v>
      </c>
      <c r="D64" s="32">
        <f t="shared" si="0"/>
        <v>1.9976498237367805E-2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</v>
      </c>
      <c r="D70" s="32">
        <f t="shared" si="1"/>
        <v>0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2.18E-2</v>
      </c>
      <c r="D72" s="32">
        <f t="shared" si="1"/>
        <v>2.5616921269095181E-2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5.8799999999999998E-2</v>
      </c>
      <c r="D91" s="31">
        <f t="shared" si="1"/>
        <v>6.9095182138660394E-2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0</v>
      </c>
      <c r="D143" s="31">
        <f t="shared" si="2"/>
        <v>0</v>
      </c>
    </row>
    <row r="144" spans="1:4" ht="19" x14ac:dyDescent="0.25">
      <c r="A144" s="29" t="s">
        <v>179</v>
      </c>
      <c r="B144" s="59">
        <v>4.1903553610988471</v>
      </c>
      <c r="C144" s="41">
        <v>0.61680000000000001</v>
      </c>
      <c r="D144" s="32">
        <f t="shared" si="2"/>
        <v>0.72479435957696836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0.85099999999999998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92330-7848-2644-9570-4F9D50B8D626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206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China</v>
      </c>
      <c r="I8" s="24">
        <f>INDEX(B4:B150,MATCH(MAX(D4:D150),D4:D150,0))</f>
        <v>4.2558827981073541</v>
      </c>
      <c r="J8" s="25">
        <f>INDEX(D4:D150,MATCH(MAX(D4:D150),D4:D150,0))</f>
        <v>0.61499540018399257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4.0654656434569745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0</v>
      </c>
      <c r="D27" s="31">
        <f t="shared" si="0"/>
        <v>0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0.26739999999999997</v>
      </c>
      <c r="D31" s="31">
        <f t="shared" si="0"/>
        <v>0.61499540018399257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0</v>
      </c>
      <c r="D53" s="31">
        <f t="shared" si="0"/>
        <v>0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0</v>
      </c>
      <c r="D64" s="32">
        <f t="shared" si="0"/>
        <v>0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</v>
      </c>
      <c r="D70" s="32">
        <f t="shared" si="1"/>
        <v>0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0</v>
      </c>
      <c r="D72" s="32">
        <f t="shared" si="1"/>
        <v>0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9.4999999999999998E-3</v>
      </c>
      <c r="D91" s="31">
        <f t="shared" si="1"/>
        <v>2.1849126034958598E-2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1.6799999999999999E-2</v>
      </c>
      <c r="D139" s="31">
        <f t="shared" si="2"/>
        <v>3.8638454461821521E-2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1.6E-2</v>
      </c>
      <c r="D142" s="32">
        <f t="shared" si="2"/>
        <v>3.6798528058877643E-2</v>
      </c>
    </row>
    <row r="143" spans="1:4" ht="19" x14ac:dyDescent="0.25">
      <c r="A143" s="2" t="s">
        <v>178</v>
      </c>
      <c r="B143" s="59">
        <v>3.3179607898236139</v>
      </c>
      <c r="C143" s="40">
        <v>0.1076</v>
      </c>
      <c r="D143" s="31">
        <f t="shared" si="2"/>
        <v>0.24747010119595214</v>
      </c>
    </row>
    <row r="144" spans="1:4" ht="19" x14ac:dyDescent="0.25">
      <c r="A144" s="29" t="s">
        <v>179</v>
      </c>
      <c r="B144" s="59">
        <v>4.1903553610988471</v>
      </c>
      <c r="C144" s="41">
        <v>1.7500000000000002E-2</v>
      </c>
      <c r="D144" s="32">
        <f t="shared" si="2"/>
        <v>4.0248390064397427E-2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0.43480000000000002</v>
      </c>
      <c r="D151" s="34">
        <f>SUM(D4:D150)</f>
        <v>0.99999999999999989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A6918-FBD7-4940-9AB0-FC74EECDD6E0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207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0.83769364932799839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4.2456253143747649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3.3300000000000003E-2</v>
      </c>
      <c r="D27" s="31">
        <f t="shared" si="0"/>
        <v>3.4164358264081256E-2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3.4799999999999998E-2</v>
      </c>
      <c r="D31" s="31">
        <f t="shared" si="0"/>
        <v>3.5703293321021852E-2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0</v>
      </c>
      <c r="D53" s="31">
        <f t="shared" si="0"/>
        <v>0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1.38E-2</v>
      </c>
      <c r="D64" s="32">
        <f t="shared" si="0"/>
        <v>1.4158202523853494E-2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</v>
      </c>
      <c r="D70" s="32">
        <f t="shared" si="1"/>
        <v>0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1.4499999999999999E-2</v>
      </c>
      <c r="D72" s="32">
        <f t="shared" si="1"/>
        <v>1.4876372217092438E-2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6.1799999999999994E-2</v>
      </c>
      <c r="D91" s="31">
        <f t="shared" si="1"/>
        <v>6.3404124345952592E-2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0</v>
      </c>
      <c r="D143" s="31">
        <f t="shared" si="2"/>
        <v>0</v>
      </c>
    </row>
    <row r="144" spans="1:4" ht="19" x14ac:dyDescent="0.25">
      <c r="A144" s="29" t="s">
        <v>179</v>
      </c>
      <c r="B144" s="59">
        <v>4.1903553610988471</v>
      </c>
      <c r="C144" s="41">
        <v>0.8165</v>
      </c>
      <c r="D144" s="32">
        <f t="shared" si="2"/>
        <v>0.83769364932799839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0.97470000000000001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2D9F0-5E3F-FD4D-9660-8B118FF849E1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208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1.7500000000000002E-2</v>
      </c>
      <c r="D7" s="31">
        <f t="shared" si="0"/>
        <v>2.2545735635145583E-2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China</v>
      </c>
      <c r="I8" s="24">
        <f>INDEX(B4:B150,MATCH(MAX(D4:D150),D4:D150,0))</f>
        <v>4.2558827981073541</v>
      </c>
      <c r="J8" s="25">
        <f>INDEX(D4:D150,MATCH(MAX(D4:D150),D4:D150,0))</f>
        <v>0.28227261015202265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4.2197325701583344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7.0599999999999996E-2</v>
      </c>
      <c r="D21" s="31">
        <f t="shared" si="0"/>
        <v>9.0955939190930174E-2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2.8300000000000002E-2</v>
      </c>
      <c r="D27" s="31">
        <f t="shared" si="0"/>
        <v>3.6459675341406858E-2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0.21909999999999999</v>
      </c>
      <c r="D31" s="31">
        <f t="shared" si="0"/>
        <v>0.28227261015202265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2.7300000000000001E-2</v>
      </c>
      <c r="D53" s="31">
        <f t="shared" si="0"/>
        <v>3.5171347590827108E-2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4.9699999999999994E-2</v>
      </c>
      <c r="D64" s="32">
        <f t="shared" si="0"/>
        <v>6.4029889203813445E-2</v>
      </c>
    </row>
    <row r="65" spans="1:4" ht="19" x14ac:dyDescent="0.25">
      <c r="A65" s="2" t="s">
        <v>100</v>
      </c>
      <c r="B65" s="59">
        <v>4.9248047791749228</v>
      </c>
      <c r="C65" s="40">
        <v>1.4499999999999999E-2</v>
      </c>
      <c r="D65" s="31">
        <f t="shared" si="0"/>
        <v>1.8680752383406336E-2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</v>
      </c>
      <c r="D70" s="32">
        <f t="shared" si="1"/>
        <v>0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4.8499999999999995E-2</v>
      </c>
      <c r="D72" s="32">
        <f t="shared" si="1"/>
        <v>6.2483895903117745E-2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6.0999999999999995E-3</v>
      </c>
      <c r="D87" s="31">
        <f t="shared" si="1"/>
        <v>7.8587992785364592E-3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0</v>
      </c>
      <c r="D91" s="31">
        <f t="shared" si="1"/>
        <v>0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2.2599999999999999E-2</v>
      </c>
      <c r="D126" s="32">
        <f t="shared" si="1"/>
        <v>2.911620716310229E-2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1.09E-2</v>
      </c>
      <c r="D134" s="32">
        <f t="shared" si="2"/>
        <v>1.4042772481319247E-2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5.3699999999999998E-2</v>
      </c>
      <c r="D143" s="31">
        <f t="shared" si="2"/>
        <v>6.9183200206132431E-2</v>
      </c>
    </row>
    <row r="144" spans="1:4" ht="19" x14ac:dyDescent="0.25">
      <c r="A144" s="29" t="s">
        <v>179</v>
      </c>
      <c r="B144" s="59">
        <v>4.1903553610988471</v>
      </c>
      <c r="C144" s="41">
        <v>0.1938</v>
      </c>
      <c r="D144" s="32">
        <f t="shared" si="2"/>
        <v>0.24967791806235506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1.3600000000000001E-2</v>
      </c>
      <c r="D147" s="31">
        <f t="shared" si="2"/>
        <v>1.7521257407884568E-2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0.7762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B8048-C656-3F4F-8283-5FD131C1E0F5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209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0.50347003154574133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4.1598974552144483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1.6799999999999999E-2</v>
      </c>
      <c r="D21" s="31">
        <f t="shared" si="0"/>
        <v>2.1198738170347002E-2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0.11119999999999999</v>
      </c>
      <c r="D27" s="31">
        <f t="shared" si="0"/>
        <v>0.14031545741324922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5.9000000000000004E-2</v>
      </c>
      <c r="D31" s="31">
        <f t="shared" si="0"/>
        <v>7.4447949526813884E-2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1.83E-2</v>
      </c>
      <c r="D49" s="31">
        <f t="shared" si="0"/>
        <v>2.3091482649842274E-2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3.7599999999999995E-2</v>
      </c>
      <c r="D53" s="31">
        <f t="shared" si="0"/>
        <v>4.7444794952681384E-2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0</v>
      </c>
      <c r="D64" s="32">
        <f t="shared" si="0"/>
        <v>0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1.77E-2</v>
      </c>
      <c r="D70" s="32">
        <f t="shared" si="1"/>
        <v>2.2334384858044166E-2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0</v>
      </c>
      <c r="D72" s="32">
        <f t="shared" si="1"/>
        <v>0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9.0500000000000011E-2</v>
      </c>
      <c r="D91" s="31">
        <f t="shared" si="1"/>
        <v>0.11419558359621453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1.03E-2</v>
      </c>
      <c r="D98" s="32">
        <f t="shared" si="1"/>
        <v>1.2996845425867508E-2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8.8000000000000005E-3</v>
      </c>
      <c r="D127" s="31">
        <f t="shared" si="1"/>
        <v>1.1104100946372241E-2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2.3300000000000001E-2</v>
      </c>
      <c r="D143" s="31">
        <f t="shared" si="2"/>
        <v>2.94006309148265E-2</v>
      </c>
    </row>
    <row r="144" spans="1:4" ht="19" x14ac:dyDescent="0.25">
      <c r="A144" s="29" t="s">
        <v>179</v>
      </c>
      <c r="B144" s="59">
        <v>4.1903553610988471</v>
      </c>
      <c r="C144" s="41">
        <v>0.39899999999999997</v>
      </c>
      <c r="D144" s="32">
        <f t="shared" si="2"/>
        <v>0.50347003154574133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0.79249999999999998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16742-DAAD-6043-B053-782404061ADA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210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0.51385449829029595</v>
      </c>
    </row>
    <row r="9" spans="1:10" ht="23" thickBot="1" x14ac:dyDescent="0.35">
      <c r="A9" s="2" t="s">
        <v>42</v>
      </c>
      <c r="B9" s="59">
        <v>3.2228923328507717</v>
      </c>
      <c r="C9" s="40">
        <v>9.1999999999999998E-3</v>
      </c>
      <c r="D9" s="31">
        <f t="shared" si="0"/>
        <v>1.0847777384742366E-2</v>
      </c>
      <c r="G9" s="26" t="s">
        <v>43</v>
      </c>
      <c r="H9" s="27"/>
      <c r="I9" s="27"/>
      <c r="J9" s="63">
        <f>SUMPRODUCT(B4:B150,D4:D150)</f>
        <v>4.1991219611544714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1.24E-2</v>
      </c>
      <c r="D21" s="31">
        <f t="shared" si="0"/>
        <v>1.4620917344652753E-2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0.1057</v>
      </c>
      <c r="D27" s="31">
        <f t="shared" si="0"/>
        <v>0.12463152930079001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0.11699999999999999</v>
      </c>
      <c r="D31" s="31">
        <f t="shared" si="0"/>
        <v>0.13795542978422357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1.38E-2</v>
      </c>
      <c r="D53" s="31">
        <f t="shared" si="0"/>
        <v>1.6271666077113549E-2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2.2400000000000003E-2</v>
      </c>
      <c r="D64" s="32">
        <f t="shared" si="0"/>
        <v>2.641197971937272E-2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</v>
      </c>
      <c r="D70" s="32">
        <f t="shared" si="1"/>
        <v>0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2.9600000000000001E-2</v>
      </c>
      <c r="D72" s="32">
        <f t="shared" si="1"/>
        <v>3.490154462917109E-2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7.2599999999999998E-2</v>
      </c>
      <c r="D91" s="31">
        <f t="shared" si="1"/>
        <v>8.5603112840466927E-2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1.9099999999999999E-2</v>
      </c>
      <c r="D126" s="32">
        <f t="shared" si="1"/>
        <v>2.2520929135715129E-2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7.9000000000000008E-3</v>
      </c>
      <c r="D134" s="32">
        <f t="shared" si="2"/>
        <v>9.3149392760287723E-3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2.5999999999999999E-3</v>
      </c>
      <c r="D139" s="31">
        <f t="shared" si="2"/>
        <v>3.0656762174271902E-3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0</v>
      </c>
      <c r="D143" s="31">
        <f t="shared" si="2"/>
        <v>0</v>
      </c>
    </row>
    <row r="144" spans="1:4" ht="19" x14ac:dyDescent="0.25">
      <c r="A144" s="29" t="s">
        <v>179</v>
      </c>
      <c r="B144" s="59">
        <v>4.1903553610988471</v>
      </c>
      <c r="C144" s="41">
        <v>0.43579999999999997</v>
      </c>
      <c r="D144" s="32">
        <f t="shared" si="2"/>
        <v>0.51385449829029595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0.84809999999999997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7DA8E-93E7-CD4F-9705-2A1F2A4E2945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211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0.61226231106777174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4.2471186910710781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4.4199999999999996E-2</v>
      </c>
      <c r="D27" s="31">
        <f t="shared" si="0"/>
        <v>5.3876157971721107E-2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0.22109999999999999</v>
      </c>
      <c r="D31" s="31">
        <f t="shared" si="0"/>
        <v>0.26950268161872254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0</v>
      </c>
      <c r="D53" s="31">
        <f t="shared" si="0"/>
        <v>0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0</v>
      </c>
      <c r="D64" s="32">
        <f t="shared" si="0"/>
        <v>0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</v>
      </c>
      <c r="D70" s="32">
        <f t="shared" si="1"/>
        <v>0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0</v>
      </c>
      <c r="D72" s="32">
        <f t="shared" si="1"/>
        <v>0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5.28E-2</v>
      </c>
      <c r="D91" s="31">
        <f t="shared" si="1"/>
        <v>6.4358849341784499E-2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0</v>
      </c>
      <c r="D143" s="31">
        <f t="shared" si="2"/>
        <v>0</v>
      </c>
    </row>
    <row r="144" spans="1:4" ht="19" x14ac:dyDescent="0.25">
      <c r="A144" s="29" t="s">
        <v>179</v>
      </c>
      <c r="B144" s="59">
        <v>4.1903553610988471</v>
      </c>
      <c r="C144" s="41">
        <v>0.50229999999999997</v>
      </c>
      <c r="D144" s="32">
        <f t="shared" si="2"/>
        <v>0.61226231106777174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0.82040000000000002</v>
      </c>
      <c r="D151" s="34">
        <f>SUM(D4:D150)</f>
        <v>0.99999999999999989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51609-26E5-264E-ABA5-FC52B33F5A3B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212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0.6468142186452045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4.1232121795693004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2.5600000000000001E-2</v>
      </c>
      <c r="D27" s="31">
        <f t="shared" si="0"/>
        <v>3.4339369550637155E-2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7.7300000000000008E-2</v>
      </c>
      <c r="D31" s="31">
        <f t="shared" si="0"/>
        <v>0.10368879946344735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2.2099999999999998E-2</v>
      </c>
      <c r="D49" s="31">
        <f t="shared" si="0"/>
        <v>2.9644533869885976E-2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4.5400000000000003E-2</v>
      </c>
      <c r="D53" s="31">
        <f t="shared" si="0"/>
        <v>6.0898725687458084E-2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1.6299999999999999E-2</v>
      </c>
      <c r="D64" s="32">
        <f t="shared" si="0"/>
        <v>2.186452045606975E-2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</v>
      </c>
      <c r="D70" s="32">
        <f t="shared" si="1"/>
        <v>0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1.9400000000000001E-2</v>
      </c>
      <c r="D72" s="32">
        <f t="shared" si="1"/>
        <v>2.6022803487592221E-2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2.9700000000000001E-2</v>
      </c>
      <c r="D91" s="31">
        <f t="shared" si="1"/>
        <v>3.983903420523139E-2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2.75E-2</v>
      </c>
      <c r="D143" s="31">
        <f t="shared" si="2"/>
        <v>3.6887994634473509E-2</v>
      </c>
    </row>
    <row r="144" spans="1:4" ht="19" x14ac:dyDescent="0.25">
      <c r="A144" s="29" t="s">
        <v>179</v>
      </c>
      <c r="B144" s="59">
        <v>4.1903553610988471</v>
      </c>
      <c r="C144" s="41">
        <v>0.48219999999999996</v>
      </c>
      <c r="D144" s="32">
        <f t="shared" si="2"/>
        <v>0.6468142186452045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0.74550000000000005</v>
      </c>
      <c r="D151" s="34">
        <f>SUM(D4:D150)</f>
        <v>0.99999999999999989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448E5-1B8C-0B43-BF57-906BD9DFB9FC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213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Saudi Arabia</v>
      </c>
      <c r="I8" s="24">
        <f>INDEX(B4:B150,MATCH(MAX(D4:D150),D4:D150,0))</f>
        <v>4.4233746630959043</v>
      </c>
      <c r="J8" s="25">
        <f>INDEX(D4:D150,MATCH(MAX(D4:D150),D4:D150,0))</f>
        <v>0.71459112773917688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4.3613476497042019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0</v>
      </c>
      <c r="D27" s="31">
        <f t="shared" si="0"/>
        <v>0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9.8900000000000002E-2</v>
      </c>
      <c r="D31" s="31">
        <f t="shared" si="0"/>
        <v>0.13214858364510959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0</v>
      </c>
      <c r="D53" s="31">
        <f t="shared" si="0"/>
        <v>0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2.69E-2</v>
      </c>
      <c r="D64" s="32">
        <f t="shared" si="0"/>
        <v>3.5943345804382687E-2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</v>
      </c>
      <c r="D70" s="32">
        <f t="shared" si="1"/>
        <v>0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1.7600000000000001E-2</v>
      </c>
      <c r="D72" s="32">
        <f t="shared" si="1"/>
        <v>2.3516835916622129E-2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0</v>
      </c>
      <c r="D91" s="31">
        <f t="shared" si="1"/>
        <v>0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0.53479999999999994</v>
      </c>
      <c r="D118" s="32">
        <f t="shared" si="1"/>
        <v>0.71459112773917688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2.6000000000000002E-2</v>
      </c>
      <c r="D142" s="32">
        <f t="shared" si="2"/>
        <v>3.4740780331373601E-2</v>
      </c>
    </row>
    <row r="143" spans="1:4" ht="19" x14ac:dyDescent="0.25">
      <c r="A143" s="2" t="s">
        <v>178</v>
      </c>
      <c r="B143" s="59">
        <v>3.3179607898236139</v>
      </c>
      <c r="C143" s="40">
        <v>0</v>
      </c>
      <c r="D143" s="31">
        <f t="shared" si="2"/>
        <v>0</v>
      </c>
    </row>
    <row r="144" spans="1:4" ht="19" x14ac:dyDescent="0.25">
      <c r="A144" s="29" t="s">
        <v>179</v>
      </c>
      <c r="B144" s="59">
        <v>4.1903553610988471</v>
      </c>
      <c r="C144" s="41">
        <v>4.4199999999999996E-2</v>
      </c>
      <c r="D144" s="32">
        <f t="shared" si="2"/>
        <v>5.9059326563335117E-2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0.74839999999999995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9E9A7-5FD4-4145-9E94-7705A108A027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214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0.26361974405850092</v>
      </c>
    </row>
    <row r="9" spans="1:10" ht="23" thickBot="1" x14ac:dyDescent="0.35">
      <c r="A9" s="2" t="s">
        <v>42</v>
      </c>
      <c r="B9" s="59">
        <v>3.2228923328507717</v>
      </c>
      <c r="C9" s="40">
        <v>1.11E-2</v>
      </c>
      <c r="D9" s="31">
        <f t="shared" si="0"/>
        <v>1.3528336380255941E-2</v>
      </c>
      <c r="G9" s="26" t="s">
        <v>43</v>
      </c>
      <c r="H9" s="27"/>
      <c r="I9" s="27"/>
      <c r="J9" s="63">
        <f>SUMPRODUCT(B4:B150,D4:D150)</f>
        <v>4.0022446792339004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3.5099999999999999E-2</v>
      </c>
      <c r="D27" s="31">
        <f t="shared" si="0"/>
        <v>4.2778793418647168E-2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0.1457</v>
      </c>
      <c r="D31" s="31">
        <f t="shared" si="0"/>
        <v>0.17757464960390004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3.3000000000000002E-2</v>
      </c>
      <c r="D49" s="31">
        <f t="shared" si="0"/>
        <v>4.0219378427787937E-2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6.7799999999999999E-2</v>
      </c>
      <c r="D53" s="31">
        <f t="shared" si="0"/>
        <v>8.2632541133455209E-2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2.81E-2</v>
      </c>
      <c r="D64" s="32">
        <f t="shared" si="0"/>
        <v>3.4247410115783056E-2</v>
      </c>
    </row>
    <row r="65" spans="1:4" ht="19" x14ac:dyDescent="0.25">
      <c r="A65" s="2" t="s">
        <v>100</v>
      </c>
      <c r="B65" s="59">
        <v>4.9248047791749228</v>
      </c>
      <c r="C65" s="40">
        <v>0.01</v>
      </c>
      <c r="D65" s="31">
        <f t="shared" si="0"/>
        <v>1.2187690432663011E-2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3.1200000000000002E-2</v>
      </c>
      <c r="D70" s="32">
        <f t="shared" si="1"/>
        <v>3.8025594149908595E-2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3.5699999999999996E-2</v>
      </c>
      <c r="D72" s="32">
        <f t="shared" si="1"/>
        <v>4.3510054844606939E-2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4.0899999999999999E-2</v>
      </c>
      <c r="D91" s="31">
        <f t="shared" si="1"/>
        <v>4.984765386959171E-2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1.9E-2</v>
      </c>
      <c r="D98" s="32">
        <f t="shared" si="1"/>
        <v>2.3156611822059719E-2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9.1000000000000004E-3</v>
      </c>
      <c r="D112" s="32">
        <f t="shared" si="1"/>
        <v>1.109079829372334E-2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2.3E-2</v>
      </c>
      <c r="D126" s="32">
        <f t="shared" si="1"/>
        <v>2.8031687995124923E-2</v>
      </c>
    </row>
    <row r="127" spans="1:4" ht="19" x14ac:dyDescent="0.25">
      <c r="A127" s="2" t="s">
        <v>162</v>
      </c>
      <c r="B127" s="59">
        <v>3.7006443947932954</v>
      </c>
      <c r="C127" s="40">
        <v>1.6E-2</v>
      </c>
      <c r="D127" s="31">
        <f t="shared" si="1"/>
        <v>1.9500304692260818E-2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3.0200000000000001E-2</v>
      </c>
      <c r="D131" s="31">
        <f t="shared" si="1"/>
        <v>3.6806825106642294E-2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9.8999999999999991E-3</v>
      </c>
      <c r="D134" s="32">
        <f t="shared" si="2"/>
        <v>1.206581352833638E-2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3.9900000000000005E-2</v>
      </c>
      <c r="D143" s="31">
        <f t="shared" si="2"/>
        <v>4.8628884826325415E-2</v>
      </c>
    </row>
    <row r="144" spans="1:4" ht="19" x14ac:dyDescent="0.25">
      <c r="A144" s="29" t="s">
        <v>179</v>
      </c>
      <c r="B144" s="59">
        <v>4.1903553610988471</v>
      </c>
      <c r="C144" s="41">
        <v>0.21629999999999999</v>
      </c>
      <c r="D144" s="32">
        <f t="shared" si="2"/>
        <v>0.26361974405850092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1.8500000000000003E-2</v>
      </c>
      <c r="D147" s="31">
        <f t="shared" si="2"/>
        <v>2.2547227300426572E-2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0.82050000000000001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E6FE0-5D42-3445-A590-D0F86D50F56D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215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0.36103416435826408</v>
      </c>
    </row>
    <row r="9" spans="1:10" ht="23" thickBot="1" x14ac:dyDescent="0.35">
      <c r="A9" s="2" t="s">
        <v>42</v>
      </c>
      <c r="B9" s="59">
        <v>3.2228923328507717</v>
      </c>
      <c r="C9" s="40">
        <v>1.03E-2</v>
      </c>
      <c r="D9" s="31">
        <f t="shared" si="0"/>
        <v>1.35865980741327E-2</v>
      </c>
      <c r="G9" s="26" t="s">
        <v>43</v>
      </c>
      <c r="H9" s="27"/>
      <c r="I9" s="27"/>
      <c r="J9" s="63">
        <f>SUMPRODUCT(B4:B150,D4:D150)</f>
        <v>4.1450347317612328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1.47E-2</v>
      </c>
      <c r="D21" s="31">
        <f t="shared" si="0"/>
        <v>1.9390581717451522E-2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5.8299999999999998E-2</v>
      </c>
      <c r="D27" s="31">
        <f t="shared" si="0"/>
        <v>7.6902783273974401E-2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0.1391</v>
      </c>
      <c r="D31" s="31">
        <f t="shared" si="0"/>
        <v>0.18348502836037461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1.9E-2</v>
      </c>
      <c r="D49" s="31">
        <f t="shared" si="0"/>
        <v>2.5062656641604009E-2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3.9199999999999999E-2</v>
      </c>
      <c r="D53" s="31">
        <f t="shared" si="0"/>
        <v>5.1708217913204062E-2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2.7200000000000002E-2</v>
      </c>
      <c r="D64" s="32">
        <f t="shared" si="0"/>
        <v>3.5879171613243638E-2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1.83E-2</v>
      </c>
      <c r="D70" s="32">
        <f t="shared" si="1"/>
        <v>2.4139295607439652E-2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3.3799999999999997E-2</v>
      </c>
      <c r="D72" s="32">
        <f t="shared" si="1"/>
        <v>4.4585147078221865E-2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6.8400000000000002E-2</v>
      </c>
      <c r="D91" s="31">
        <f t="shared" si="1"/>
        <v>9.0225563909774445E-2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1.0700000000000001E-2</v>
      </c>
      <c r="D98" s="32">
        <f t="shared" si="1"/>
        <v>1.4114232950798049E-2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2.18E-2</v>
      </c>
      <c r="D126" s="32">
        <f t="shared" si="1"/>
        <v>2.8756100778261445E-2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2.3599999999999999E-2</v>
      </c>
      <c r="D143" s="31">
        <f t="shared" si="2"/>
        <v>3.1130457723255508E-2</v>
      </c>
    </row>
    <row r="144" spans="1:4" ht="19" x14ac:dyDescent="0.25">
      <c r="A144" s="29" t="s">
        <v>179</v>
      </c>
      <c r="B144" s="59">
        <v>4.1903553610988471</v>
      </c>
      <c r="C144" s="41">
        <v>0.2737</v>
      </c>
      <c r="D144" s="32">
        <f t="shared" si="2"/>
        <v>0.36103416435826408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0.7581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FFAE4-0CEB-5A44-9D35-82923D8C2907}">
  <dimension ref="A1:J151"/>
  <sheetViews>
    <sheetView workbookViewId="0">
      <selection sqref="A1:D2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216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0.54424382123191184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4.1577917946172267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8.4499999999999992E-2</v>
      </c>
      <c r="D27" s="31">
        <f t="shared" si="0"/>
        <v>0.10820847739787423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0.1007</v>
      </c>
      <c r="D31" s="31">
        <f t="shared" si="0"/>
        <v>0.12895377128953769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2.7099999999999999E-2</v>
      </c>
      <c r="D53" s="31">
        <f t="shared" si="0"/>
        <v>3.4703547189140732E-2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1.9699999999999999E-2</v>
      </c>
      <c r="D64" s="32">
        <f t="shared" si="0"/>
        <v>2.5227301831220385E-2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</v>
      </c>
      <c r="D70" s="32">
        <f t="shared" si="1"/>
        <v>0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2.5099999999999997E-2</v>
      </c>
      <c r="D72" s="32">
        <f t="shared" si="1"/>
        <v>3.2142399795108204E-2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6.5299999999999997E-2</v>
      </c>
      <c r="D91" s="31">
        <f t="shared" si="1"/>
        <v>8.3621462415161982E-2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1.6E-2</v>
      </c>
      <c r="D126" s="32">
        <f t="shared" si="1"/>
        <v>2.0489179152260211E-2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1.7500000000000002E-2</v>
      </c>
      <c r="D143" s="31">
        <f t="shared" si="2"/>
        <v>2.2410039697784608E-2</v>
      </c>
    </row>
    <row r="144" spans="1:4" ht="19" x14ac:dyDescent="0.25">
      <c r="A144" s="29" t="s">
        <v>179</v>
      </c>
      <c r="B144" s="59">
        <v>4.1903553610988471</v>
      </c>
      <c r="C144" s="41">
        <v>0.42499999999999999</v>
      </c>
      <c r="D144" s="32">
        <f t="shared" si="2"/>
        <v>0.54424382123191184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0.78090000000000004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4420-7FA7-E242-9B9E-DC0BF5A95BB5}">
  <dimension ref="A1:J151"/>
  <sheetViews>
    <sheetView topLeftCell="A6" workbookViewId="0">
      <selection activeCell="F22" sqref="A1:XFD1048576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2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0.43093111464578499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4.0756275288239578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1.2500000000000001E-2</v>
      </c>
      <c r="D21" s="31">
        <f t="shared" si="0"/>
        <v>1.5294261593050289E-2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8.1699999999999995E-2</v>
      </c>
      <c r="D27" s="31">
        <f t="shared" si="0"/>
        <v>9.9963293772176678E-2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9.1199999999999989E-2</v>
      </c>
      <c r="D31" s="31">
        <f t="shared" si="0"/>
        <v>0.1115869325828949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2.1099999999999997E-2</v>
      </c>
      <c r="D49" s="31">
        <f t="shared" si="0"/>
        <v>2.5816713569068884E-2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4.3499999999999997E-2</v>
      </c>
      <c r="D53" s="31">
        <f t="shared" si="0"/>
        <v>5.3224030343815003E-2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1.8000000000000002E-2</v>
      </c>
      <c r="D64" s="32">
        <f t="shared" si="0"/>
        <v>2.2023736693992418E-2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1.9099999999999999E-2</v>
      </c>
      <c r="D68" s="32">
        <f t="shared" si="0"/>
        <v>2.3369631714180841E-2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2.0299999999999999E-2</v>
      </c>
      <c r="D70" s="32">
        <f t="shared" si="1"/>
        <v>2.4837880827113669E-2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2.1899999999999999E-2</v>
      </c>
      <c r="D72" s="32">
        <f t="shared" si="1"/>
        <v>2.6795546311024106E-2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6.7099999999999993E-2</v>
      </c>
      <c r="D91" s="31">
        <f t="shared" si="1"/>
        <v>8.2099596231493946E-2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1.2E-2</v>
      </c>
      <c r="D98" s="32">
        <f t="shared" si="1"/>
        <v>1.4682491129328278E-2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1.01E-2</v>
      </c>
      <c r="D127" s="31">
        <f t="shared" si="1"/>
        <v>1.2357763367184632E-2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2.0299999999999999E-2</v>
      </c>
      <c r="D131" s="31">
        <f t="shared" si="1"/>
        <v>2.4837880827113669E-2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2.63E-2</v>
      </c>
      <c r="D143" s="31">
        <f t="shared" si="2"/>
        <v>3.2179126391777807E-2</v>
      </c>
    </row>
    <row r="144" spans="1:4" ht="19" x14ac:dyDescent="0.25">
      <c r="A144" s="29" t="s">
        <v>179</v>
      </c>
      <c r="B144" s="59">
        <v>4.1903553610988471</v>
      </c>
      <c r="C144" s="41">
        <v>0.35220000000000001</v>
      </c>
      <c r="D144" s="32">
        <f t="shared" si="2"/>
        <v>0.43093111464578499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0.81729999999999992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291FE-EEE9-CF41-9B67-9514C9D1DDC6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3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  <c r="E4" s="4"/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E5" s="4"/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E6" s="4"/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E7" s="4"/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E8" s="4"/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0.61485919712402637</v>
      </c>
    </row>
    <row r="9" spans="1:10" ht="23" thickBot="1" x14ac:dyDescent="0.35">
      <c r="A9" s="2" t="s">
        <v>42</v>
      </c>
      <c r="B9" s="59">
        <v>3.2228923328507717</v>
      </c>
      <c r="C9" s="40">
        <v>0.01</v>
      </c>
      <c r="D9" s="31">
        <f t="shared" si="0"/>
        <v>1.1983223487118035E-2</v>
      </c>
      <c r="E9" s="4"/>
      <c r="G9" s="26" t="s">
        <v>43</v>
      </c>
      <c r="H9" s="27"/>
      <c r="I9" s="27"/>
      <c r="J9" s="63">
        <f>SUMPRODUCT(B4:B150,D4:D150)</f>
        <v>4.1699698181640921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  <c r="E10" s="4"/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  <c r="E11" s="4"/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  <c r="E12" s="4"/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  <c r="E13" s="4"/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  <c r="E14" s="4"/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  <c r="E15" s="4"/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  <c r="E16" s="4"/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  <c r="E17" s="4"/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  <c r="E18" s="4"/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  <c r="E19" s="4"/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  <c r="E20" s="4"/>
    </row>
    <row r="21" spans="1:5" ht="19" x14ac:dyDescent="0.25">
      <c r="A21" s="2" t="s">
        <v>55</v>
      </c>
      <c r="B21" s="59">
        <v>5.3528879548903774</v>
      </c>
      <c r="C21" s="40">
        <v>1.5100000000000001E-2</v>
      </c>
      <c r="D21" s="31">
        <f t="shared" si="0"/>
        <v>1.8094667465548234E-2</v>
      </c>
      <c r="E21" s="4"/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  <c r="E22" s="4"/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  <c r="E23" s="4"/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  <c r="E24" s="4"/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  <c r="E25" s="4"/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  <c r="E26" s="4"/>
    </row>
    <row r="27" spans="1:5" ht="19" x14ac:dyDescent="0.25">
      <c r="A27" s="2" t="s">
        <v>61</v>
      </c>
      <c r="B27" s="59">
        <v>3.4431913474650511</v>
      </c>
      <c r="C27" s="40">
        <v>0</v>
      </c>
      <c r="D27" s="31">
        <f t="shared" si="0"/>
        <v>0</v>
      </c>
      <c r="E27" s="4"/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  <c r="E28" s="4"/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  <c r="E29" s="4"/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  <c r="E30" s="4"/>
    </row>
    <row r="31" spans="1:5" ht="19" x14ac:dyDescent="0.25">
      <c r="A31" s="2" t="s">
        <v>65</v>
      </c>
      <c r="B31" s="59">
        <v>4.2558827981073541</v>
      </c>
      <c r="C31" s="40">
        <v>0.1124</v>
      </c>
      <c r="D31" s="31">
        <f t="shared" si="0"/>
        <v>0.1346914319952067</v>
      </c>
      <c r="E31" s="58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  <c r="E32" s="4"/>
    </row>
    <row r="33" spans="1:5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  <c r="E33" s="4"/>
    </row>
    <row r="34" spans="1:5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  <c r="E34" s="4"/>
    </row>
    <row r="35" spans="1:5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  <c r="E35" s="4"/>
    </row>
    <row r="36" spans="1:5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  <c r="E36" s="4"/>
    </row>
    <row r="37" spans="1:5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  <c r="E37" s="4"/>
    </row>
    <row r="38" spans="1:5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  <c r="E38" s="4"/>
    </row>
    <row r="39" spans="1:5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  <c r="E39" s="4"/>
    </row>
    <row r="40" spans="1:5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  <c r="E40" s="4"/>
    </row>
    <row r="41" spans="1:5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  <c r="E41" s="4"/>
    </row>
    <row r="42" spans="1:5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  <c r="E42" s="4"/>
    </row>
    <row r="43" spans="1:5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  <c r="E43" s="4"/>
    </row>
    <row r="44" spans="1:5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  <c r="E44" s="4"/>
    </row>
    <row r="45" spans="1:5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  <c r="E45" s="4"/>
    </row>
    <row r="46" spans="1:5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  <c r="E46" s="4"/>
    </row>
    <row r="47" spans="1:5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  <c r="E47" s="4"/>
    </row>
    <row r="48" spans="1:5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  <c r="E48" s="4"/>
    </row>
    <row r="49" spans="1:5" ht="19" x14ac:dyDescent="0.25">
      <c r="A49" s="2" t="s">
        <v>84</v>
      </c>
      <c r="B49" s="59">
        <v>3.6488472849850422</v>
      </c>
      <c r="C49" s="40">
        <v>1.95E-2</v>
      </c>
      <c r="D49" s="31">
        <f t="shared" si="0"/>
        <v>2.3367285799880167E-2</v>
      </c>
      <c r="E49" s="4"/>
    </row>
    <row r="50" spans="1:5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  <c r="E50" s="4"/>
    </row>
    <row r="51" spans="1:5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  <c r="E51" s="4"/>
    </row>
    <row r="52" spans="1:5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  <c r="E52" s="4"/>
    </row>
    <row r="53" spans="1:5" ht="19" x14ac:dyDescent="0.25">
      <c r="A53" s="2" t="s">
        <v>88</v>
      </c>
      <c r="B53" s="59">
        <v>3.4167336021772097</v>
      </c>
      <c r="C53" s="40">
        <v>2.81E-2</v>
      </c>
      <c r="D53" s="31">
        <f t="shared" si="0"/>
        <v>3.3672857998801674E-2</v>
      </c>
      <c r="E53" s="4"/>
    </row>
    <row r="54" spans="1:5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  <c r="E54" s="4"/>
    </row>
    <row r="55" spans="1:5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  <c r="E55" s="4"/>
    </row>
    <row r="56" spans="1:5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  <c r="E56" s="4"/>
    </row>
    <row r="57" spans="1:5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  <c r="E57" s="4"/>
    </row>
    <row r="58" spans="1:5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  <c r="E58" s="4"/>
    </row>
    <row r="59" spans="1:5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  <c r="E59" s="4"/>
    </row>
    <row r="60" spans="1:5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  <c r="E60" s="4"/>
    </row>
    <row r="61" spans="1:5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  <c r="E61" s="4"/>
    </row>
    <row r="62" spans="1:5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  <c r="E62" s="4"/>
    </row>
    <row r="63" spans="1:5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  <c r="E63" s="4"/>
    </row>
    <row r="64" spans="1:5" ht="19" x14ac:dyDescent="0.25">
      <c r="A64" s="29" t="s">
        <v>99</v>
      </c>
      <c r="B64" s="59">
        <v>5.0659580961290027</v>
      </c>
      <c r="C64" s="41">
        <v>2.3599999999999999E-2</v>
      </c>
      <c r="D64" s="32">
        <f t="shared" si="0"/>
        <v>2.8280407429598562E-2</v>
      </c>
      <c r="E64" s="4"/>
    </row>
    <row r="65" spans="1:5" ht="19" x14ac:dyDescent="0.25">
      <c r="A65" s="2" t="s">
        <v>100</v>
      </c>
      <c r="B65" s="59">
        <v>4.9248047791749228</v>
      </c>
      <c r="C65" s="40">
        <v>9.0000000000000011E-3</v>
      </c>
      <c r="D65" s="31">
        <f t="shared" si="0"/>
        <v>1.0784901138406232E-2</v>
      </c>
      <c r="E65" s="4"/>
    </row>
    <row r="66" spans="1:5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  <c r="E66" s="4"/>
    </row>
    <row r="67" spans="1:5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  <c r="E67" s="4"/>
    </row>
    <row r="68" spans="1:5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  <c r="E68" s="4"/>
    </row>
    <row r="69" spans="1:5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  <c r="E69" s="4"/>
    </row>
    <row r="70" spans="1:5" ht="19" x14ac:dyDescent="0.25">
      <c r="A70" s="29" t="s">
        <v>105</v>
      </c>
      <c r="B70" s="59">
        <v>3.8382882812123826</v>
      </c>
      <c r="C70" s="41">
        <v>1.47E-2</v>
      </c>
      <c r="D70" s="32">
        <f t="shared" si="1"/>
        <v>1.761533852606351E-2</v>
      </c>
      <c r="E70" s="4"/>
    </row>
    <row r="71" spans="1:5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  <c r="E71" s="4"/>
    </row>
    <row r="72" spans="1:5" ht="19" x14ac:dyDescent="0.25">
      <c r="A72" s="29" t="s">
        <v>107</v>
      </c>
      <c r="B72" s="59">
        <v>3.3755878841798577</v>
      </c>
      <c r="C72" s="41">
        <v>2.5699999999999997E-2</v>
      </c>
      <c r="D72" s="32">
        <f t="shared" si="1"/>
        <v>3.0796884361893345E-2</v>
      </c>
      <c r="E72" s="4"/>
    </row>
    <row r="73" spans="1:5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  <c r="E73" s="4"/>
    </row>
    <row r="74" spans="1:5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  <c r="E74" s="4"/>
    </row>
    <row r="75" spans="1:5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  <c r="E75" s="4"/>
    </row>
    <row r="76" spans="1:5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  <c r="E76" s="4"/>
    </row>
    <row r="77" spans="1:5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  <c r="E77" s="4"/>
    </row>
    <row r="78" spans="1:5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  <c r="E78" s="4"/>
    </row>
    <row r="79" spans="1:5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  <c r="E79" s="4"/>
    </row>
    <row r="80" spans="1:5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  <c r="E80" s="4"/>
    </row>
    <row r="81" spans="1:5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  <c r="E81" s="4"/>
    </row>
    <row r="82" spans="1:5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  <c r="E82" s="4"/>
    </row>
    <row r="83" spans="1:5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  <c r="E83" s="4"/>
    </row>
    <row r="84" spans="1:5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  <c r="E84" s="4"/>
    </row>
    <row r="85" spans="1:5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  <c r="E85" s="4"/>
    </row>
    <row r="86" spans="1:5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  <c r="E86" s="4"/>
    </row>
    <row r="87" spans="1:5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  <c r="E87" s="4"/>
    </row>
    <row r="88" spans="1:5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  <c r="E88" s="4"/>
    </row>
    <row r="89" spans="1:5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  <c r="E89" s="4"/>
    </row>
    <row r="90" spans="1:5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  <c r="E90" s="4"/>
    </row>
    <row r="91" spans="1:5" ht="19" x14ac:dyDescent="0.25">
      <c r="A91" s="2" t="s">
        <v>126</v>
      </c>
      <c r="B91" s="59">
        <v>5.4234078040770983</v>
      </c>
      <c r="C91" s="40">
        <v>0</v>
      </c>
      <c r="D91" s="31">
        <f t="shared" si="1"/>
        <v>0</v>
      </c>
      <c r="E91" s="4"/>
    </row>
    <row r="92" spans="1:5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  <c r="E92" s="4"/>
    </row>
    <row r="93" spans="1:5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  <c r="E93" s="4"/>
    </row>
    <row r="94" spans="1:5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  <c r="E94" s="4"/>
    </row>
    <row r="95" spans="1:5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  <c r="E95" s="4"/>
    </row>
    <row r="96" spans="1:5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  <c r="E96" s="4"/>
    </row>
    <row r="97" spans="1:5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  <c r="E97" s="4"/>
    </row>
    <row r="98" spans="1:5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  <c r="E98" s="4"/>
    </row>
    <row r="99" spans="1:5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  <c r="E99" s="4"/>
    </row>
    <row r="100" spans="1:5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  <c r="E100" s="4"/>
    </row>
    <row r="101" spans="1:5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  <c r="E101" s="4"/>
    </row>
    <row r="102" spans="1:5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  <c r="E102" s="4"/>
    </row>
    <row r="103" spans="1:5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  <c r="E103" s="4"/>
    </row>
    <row r="104" spans="1:5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  <c r="E104" s="4"/>
    </row>
    <row r="105" spans="1:5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  <c r="E105" s="4"/>
    </row>
    <row r="106" spans="1:5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  <c r="E106" s="4"/>
    </row>
    <row r="107" spans="1:5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  <c r="E107" s="4"/>
    </row>
    <row r="108" spans="1:5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  <c r="E108" s="4"/>
    </row>
    <row r="109" spans="1:5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  <c r="E109" s="4"/>
    </row>
    <row r="110" spans="1:5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  <c r="E110" s="4"/>
    </row>
    <row r="111" spans="1:5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  <c r="E111" s="4"/>
    </row>
    <row r="112" spans="1:5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  <c r="E112" s="4"/>
    </row>
    <row r="113" spans="1:5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  <c r="E113" s="4"/>
    </row>
    <row r="114" spans="1:5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  <c r="E114" s="4"/>
    </row>
    <row r="115" spans="1:5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  <c r="E115" s="4"/>
    </row>
    <row r="116" spans="1:5" ht="19" x14ac:dyDescent="0.25">
      <c r="A116" s="29" t="s">
        <v>151</v>
      </c>
      <c r="B116" s="59">
        <v>5.9582623064002229</v>
      </c>
      <c r="C116" s="41">
        <v>1.2500000000000001E-2</v>
      </c>
      <c r="D116" s="32">
        <f t="shared" si="1"/>
        <v>1.4979029358897543E-2</v>
      </c>
      <c r="E116" s="4"/>
    </row>
    <row r="117" spans="1:5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  <c r="E117" s="4"/>
    </row>
    <row r="118" spans="1:5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  <c r="E118" s="4"/>
    </row>
    <row r="119" spans="1:5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  <c r="E119" s="4"/>
    </row>
    <row r="120" spans="1:5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  <c r="E120" s="4"/>
    </row>
    <row r="121" spans="1:5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  <c r="E121" s="4"/>
    </row>
    <row r="122" spans="1:5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  <c r="E122" s="4"/>
    </row>
    <row r="123" spans="1:5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  <c r="E123" s="4"/>
    </row>
    <row r="124" spans="1:5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  <c r="E124" s="4"/>
    </row>
    <row r="125" spans="1:5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  <c r="E125" s="4"/>
    </row>
    <row r="126" spans="1:5" ht="19" x14ac:dyDescent="0.25">
      <c r="A126" s="29" t="s">
        <v>161</v>
      </c>
      <c r="B126" s="59">
        <v>3.5667851803481079</v>
      </c>
      <c r="C126" s="41">
        <v>1.1599999999999999E-2</v>
      </c>
      <c r="D126" s="32">
        <f t="shared" si="1"/>
        <v>1.3900539245056919E-2</v>
      </c>
      <c r="E126" s="4"/>
    </row>
    <row r="127" spans="1:5" ht="19" x14ac:dyDescent="0.25">
      <c r="A127" s="2" t="s">
        <v>162</v>
      </c>
      <c r="B127" s="59">
        <v>3.7006443947932954</v>
      </c>
      <c r="C127" s="40">
        <v>1.06E-2</v>
      </c>
      <c r="D127" s="31">
        <f t="shared" si="1"/>
        <v>1.2702216896345117E-2</v>
      </c>
      <c r="E127" s="4"/>
    </row>
    <row r="128" spans="1:5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  <c r="E128" s="4"/>
    </row>
    <row r="129" spans="1:5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  <c r="E129" s="4"/>
    </row>
    <row r="130" spans="1:5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  <c r="E130" s="4"/>
    </row>
    <row r="131" spans="1:5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  <c r="E131" s="4"/>
    </row>
    <row r="132" spans="1:5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  <c r="E132" s="4"/>
    </row>
    <row r="133" spans="1:5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  <c r="E133" s="4"/>
    </row>
    <row r="134" spans="1:5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  <c r="E134" s="4"/>
    </row>
    <row r="135" spans="1:5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  <c r="E135" s="4"/>
    </row>
    <row r="136" spans="1:5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  <c r="E136" s="4"/>
    </row>
    <row r="137" spans="1:5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  <c r="E137" s="4"/>
    </row>
    <row r="138" spans="1:5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  <c r="E138" s="4"/>
    </row>
    <row r="139" spans="1:5" ht="19" x14ac:dyDescent="0.25">
      <c r="A139" s="2" t="s">
        <v>174</v>
      </c>
      <c r="B139" s="59">
        <v>5.2574384214456868</v>
      </c>
      <c r="C139" s="40">
        <v>7.3000000000000001E-3</v>
      </c>
      <c r="D139" s="31">
        <f t="shared" si="2"/>
        <v>8.7477531455961658E-3</v>
      </c>
      <c r="E139" s="4"/>
    </row>
    <row r="140" spans="1:5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  <c r="E140" s="4"/>
    </row>
    <row r="141" spans="1:5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  <c r="E141" s="4"/>
    </row>
    <row r="142" spans="1:5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  <c r="E142" s="4"/>
    </row>
    <row r="143" spans="1:5" ht="19" x14ac:dyDescent="0.25">
      <c r="A143" s="2" t="s">
        <v>178</v>
      </c>
      <c r="B143" s="59">
        <v>3.3179607898236139</v>
      </c>
      <c r="C143" s="40">
        <v>2.1299999999999999E-2</v>
      </c>
      <c r="D143" s="31">
        <f t="shared" si="2"/>
        <v>2.5524266027561412E-2</v>
      </c>
      <c r="E143" s="4"/>
    </row>
    <row r="144" spans="1:5" ht="19" x14ac:dyDescent="0.25">
      <c r="A144" s="29" t="s">
        <v>179</v>
      </c>
      <c r="B144" s="59">
        <v>4.1903553610988471</v>
      </c>
      <c r="C144" s="41">
        <v>0.5131</v>
      </c>
      <c r="D144" s="32">
        <f t="shared" si="2"/>
        <v>0.61485919712402637</v>
      </c>
      <c r="E144" s="4"/>
    </row>
    <row r="145" spans="1:5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  <c r="E145" s="4"/>
    </row>
    <row r="146" spans="1:5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  <c r="E146" s="4"/>
    </row>
    <row r="147" spans="1:5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  <c r="E147" s="4"/>
    </row>
    <row r="148" spans="1:5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  <c r="E148" s="4"/>
    </row>
    <row r="149" spans="1:5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  <c r="E149" s="4"/>
    </row>
    <row r="150" spans="1:5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  <c r="E150" s="4"/>
    </row>
    <row r="151" spans="1:5" ht="19" x14ac:dyDescent="0.25">
      <c r="A151" s="43" t="s">
        <v>186</v>
      </c>
      <c r="B151" s="44"/>
      <c r="C151" s="34">
        <f>SUM(C4:C150)</f>
        <v>0.83450000000000002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659D6-ED65-744F-8EF5-F89082E49733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6" t="s">
        <v>4</v>
      </c>
      <c r="B1" s="77"/>
      <c r="C1" s="77"/>
      <c r="D1" s="77"/>
    </row>
    <row r="2" spans="1:10" ht="17" customHeight="1" thickBot="1" x14ac:dyDescent="0.25">
      <c r="A2" s="76"/>
      <c r="B2" s="77"/>
      <c r="C2" s="77"/>
      <c r="D2" s="77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0.76264274061990212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4.0784836148139307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7.7699999999999991E-2</v>
      </c>
      <c r="D27" s="31">
        <f t="shared" si="0"/>
        <v>9.0538336052202267E-2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4.7100000000000003E-2</v>
      </c>
      <c r="D31" s="31">
        <f t="shared" si="0"/>
        <v>5.4882311815427638E-2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0</v>
      </c>
      <c r="D53" s="31">
        <f t="shared" si="0"/>
        <v>0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0</v>
      </c>
      <c r="D64" s="32">
        <f t="shared" si="0"/>
        <v>0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</v>
      </c>
      <c r="D70" s="32">
        <f t="shared" si="1"/>
        <v>0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0</v>
      </c>
      <c r="D72" s="32">
        <f t="shared" si="1"/>
        <v>0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1.32E-2</v>
      </c>
      <c r="D91" s="31">
        <f t="shared" si="1"/>
        <v>1.5381030062922395E-2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6.5700000000000008E-2</v>
      </c>
      <c r="D143" s="31">
        <f t="shared" si="2"/>
        <v>7.6555581449545565E-2</v>
      </c>
    </row>
    <row r="144" spans="1:4" ht="19" x14ac:dyDescent="0.25">
      <c r="A144" s="29" t="s">
        <v>179</v>
      </c>
      <c r="B144" s="59">
        <v>4.1903553610988471</v>
      </c>
      <c r="C144" s="41">
        <v>0.65450000000000008</v>
      </c>
      <c r="D144" s="32">
        <f t="shared" si="2"/>
        <v>0.76264274061990212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0.85820000000000007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918-B3F6-1747-B809-1911F34AC94A}">
  <dimension ref="A1:J151"/>
  <sheetViews>
    <sheetView topLeftCell="A14"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5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0.58563798219584573</v>
      </c>
    </row>
    <row r="9" spans="1:10" ht="23" thickBot="1" x14ac:dyDescent="0.35">
      <c r="A9" s="54" t="s">
        <v>42</v>
      </c>
      <c r="B9" s="59">
        <v>3.2228923328507717</v>
      </c>
      <c r="C9" s="46">
        <v>1.03E-2</v>
      </c>
      <c r="D9" s="36">
        <f t="shared" si="0"/>
        <v>1.2225519287833827E-2</v>
      </c>
      <c r="G9" s="26" t="s">
        <v>43</v>
      </c>
      <c r="H9" s="27"/>
      <c r="I9" s="27"/>
      <c r="J9" s="63">
        <f>SUMPRODUCT(B4:B150,D4:D150)</f>
        <v>4.1662734947670081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1.5800000000000002E-2</v>
      </c>
      <c r="D21" s="36">
        <f t="shared" si="0"/>
        <v>1.8753709198813057E-2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0.11699999999999999</v>
      </c>
      <c r="D31" s="36">
        <f t="shared" si="0"/>
        <v>0.13887240356083086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2.0299999999999999E-2</v>
      </c>
      <c r="D49" s="36">
        <f t="shared" si="0"/>
        <v>2.4094955489614239E-2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2.9300000000000003E-2</v>
      </c>
      <c r="D53" s="36">
        <f t="shared" si="0"/>
        <v>3.4777448071216618E-2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2.4500000000000001E-2</v>
      </c>
      <c r="D64" s="37">
        <f t="shared" si="0"/>
        <v>2.9080118694362018E-2</v>
      </c>
    </row>
    <row r="65" spans="1:4" ht="19" x14ac:dyDescent="0.25">
      <c r="A65" s="54" t="s">
        <v>100</v>
      </c>
      <c r="B65" s="59">
        <v>4.9248047791749228</v>
      </c>
      <c r="C65" s="46">
        <v>9.3999999999999986E-3</v>
      </c>
      <c r="D65" s="36">
        <f t="shared" si="0"/>
        <v>1.1157270029673589E-2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1.5300000000000001E-2</v>
      </c>
      <c r="D70" s="37">
        <f t="shared" si="1"/>
        <v>1.8160237388724035E-2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2.69E-2</v>
      </c>
      <c r="D72" s="37">
        <f t="shared" si="1"/>
        <v>3.1928783382789316E-2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7.0999999999999995E-3</v>
      </c>
      <c r="D98" s="37">
        <f t="shared" si="1"/>
        <v>8.4272997032640937E-3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1.3000000000000001E-2</v>
      </c>
      <c r="D116" s="37">
        <f t="shared" si="1"/>
        <v>1.5430267062314542E-2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7.0999999999999995E-3</v>
      </c>
      <c r="D118" s="37">
        <f t="shared" si="1"/>
        <v>8.4272997032640937E-3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1.21E-2</v>
      </c>
      <c r="D126" s="37">
        <f t="shared" si="1"/>
        <v>1.4362017804154302E-2</v>
      </c>
    </row>
    <row r="127" spans="1:4" ht="19" x14ac:dyDescent="0.25">
      <c r="A127" s="54" t="s">
        <v>162</v>
      </c>
      <c r="B127" s="59">
        <v>3.7006443947932954</v>
      </c>
      <c r="C127" s="46">
        <v>1.11E-2</v>
      </c>
      <c r="D127" s="36">
        <f t="shared" si="1"/>
        <v>1.3175074183976261E-2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7.7000000000000002E-3</v>
      </c>
      <c r="D139" s="36">
        <f t="shared" si="2"/>
        <v>9.1394658753709192E-3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2.2200000000000001E-2</v>
      </c>
      <c r="D143" s="36">
        <f t="shared" si="2"/>
        <v>2.6350148367952523E-2</v>
      </c>
    </row>
    <row r="144" spans="1:4" ht="19" x14ac:dyDescent="0.25">
      <c r="A144" s="55" t="s">
        <v>179</v>
      </c>
      <c r="B144" s="59">
        <v>4.1903553610988471</v>
      </c>
      <c r="C144" s="47">
        <v>0.49340000000000006</v>
      </c>
      <c r="D144" s="37">
        <f t="shared" si="2"/>
        <v>0.58563798219584573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0.84250000000000003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D2470-1EBD-4C44-99EA-F139EBFB05BA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6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0.33784252514741586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4.0305108185247978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2.46E-2</v>
      </c>
      <c r="D21" s="36">
        <f t="shared" si="0"/>
        <v>2.8442594519597637E-2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2.3199999999999998E-2</v>
      </c>
      <c r="D27" s="36">
        <f t="shared" si="0"/>
        <v>2.6823910278644926E-2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9.3999999999999986E-3</v>
      </c>
      <c r="D30" s="37">
        <f t="shared" si="0"/>
        <v>1.0868308474968202E-2</v>
      </c>
    </row>
    <row r="31" spans="1:5" ht="19" x14ac:dyDescent="0.25">
      <c r="A31" s="54" t="s">
        <v>65</v>
      </c>
      <c r="B31" s="59">
        <v>4.2558827981073541</v>
      </c>
      <c r="C31" s="46">
        <v>0.14180000000000001</v>
      </c>
      <c r="D31" s="36">
        <f t="shared" si="0"/>
        <v>0.1639495895479246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1.8200000000000001E-2</v>
      </c>
      <c r="D49" s="36">
        <f t="shared" si="0"/>
        <v>2.1042895132385244E-2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3.6499999999999998E-2</v>
      </c>
      <c r="D53" s="36">
        <f t="shared" si="0"/>
        <v>4.2201410567695677E-2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1.5900000000000001E-2</v>
      </c>
      <c r="D64" s="37">
        <f t="shared" si="0"/>
        <v>1.8383628165105793E-2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1.49E-2</v>
      </c>
      <c r="D70" s="37">
        <f t="shared" si="1"/>
        <v>1.7227425135853854E-2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4.6500000000000007E-2</v>
      </c>
      <c r="D72" s="37">
        <f t="shared" si="1"/>
        <v>5.3763440860215055E-2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2.3300000000000001E-2</v>
      </c>
      <c r="D91" s="36">
        <f t="shared" si="1"/>
        <v>2.6939530581570122E-2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1.5300000000000001E-2</v>
      </c>
      <c r="D98" s="37">
        <f t="shared" si="1"/>
        <v>1.7689906347554629E-2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6.9999999999999993E-3</v>
      </c>
      <c r="D110" s="37">
        <f t="shared" si="1"/>
        <v>8.093421204763555E-3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1.7500000000000002E-2</v>
      </c>
      <c r="D122" s="37">
        <f t="shared" si="1"/>
        <v>2.0233553011908892E-2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0.13980000000000001</v>
      </c>
      <c r="D126" s="37">
        <f t="shared" si="1"/>
        <v>0.16163718348942074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1.8000000000000002E-2</v>
      </c>
      <c r="D143" s="36">
        <f t="shared" si="2"/>
        <v>2.081165452653486E-2</v>
      </c>
    </row>
    <row r="144" spans="1:4" ht="19" x14ac:dyDescent="0.25">
      <c r="A144" s="55" t="s">
        <v>179</v>
      </c>
      <c r="B144" s="59">
        <v>4.1903553610988471</v>
      </c>
      <c r="C144" s="47">
        <v>0.29220000000000002</v>
      </c>
      <c r="D144" s="37">
        <f t="shared" si="2"/>
        <v>0.33784252514741586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2.0799999999999999E-2</v>
      </c>
      <c r="D147" s="36">
        <f t="shared" si="2"/>
        <v>2.4049023008440279E-2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0.86490000000000011</v>
      </c>
      <c r="D151" s="34">
        <f>SUM(D4:D150)</f>
        <v>0.99999999999999989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2EEAE-7773-C147-822F-7608C87B04EB}">
  <dimension ref="A1:J151"/>
  <sheetViews>
    <sheetView workbookViewId="0">
      <selection activeCell="C20" sqref="C20"/>
    </sheetView>
  </sheetViews>
  <sheetFormatPr baseColWidth="10" defaultColWidth="10.6640625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7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0.80343489001293966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4.0292105155147819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</v>
      </c>
      <c r="D31" s="36">
        <f t="shared" si="0"/>
        <v>0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6.4000000000000001E-2</v>
      </c>
      <c r="D53" s="36">
        <f t="shared" si="0"/>
        <v>7.528526055758146E-2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4.2800000000000005E-2</v>
      </c>
      <c r="D72" s="37">
        <f t="shared" si="1"/>
        <v>5.0347017997882611E-2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6.0299999999999999E-2</v>
      </c>
      <c r="D143" s="36">
        <f t="shared" si="2"/>
        <v>7.0932831431596288E-2</v>
      </c>
    </row>
    <row r="144" spans="1:4" ht="19" x14ac:dyDescent="0.25">
      <c r="A144" s="55" t="s">
        <v>179</v>
      </c>
      <c r="B144" s="59">
        <v>4.1903553610988471</v>
      </c>
      <c r="C144" s="47">
        <v>0.68299999999999994</v>
      </c>
      <c r="D144" s="37">
        <f t="shared" si="2"/>
        <v>0.80343489001293966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0.85009999999999997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DD6D2-5320-1C43-8850-61520C6588B4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8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0.71565792191695932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4.2089875687093015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0.27529999999999999</v>
      </c>
      <c r="D31" s="36">
        <f t="shared" si="0"/>
        <v>0.28434207808304068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</v>
      </c>
      <c r="D53" s="36">
        <f t="shared" si="0"/>
        <v>0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0.69290000000000007</v>
      </c>
      <c r="D144" s="37">
        <f t="shared" si="2"/>
        <v>0.71565792191695932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0.96820000000000006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D6C5-8FCF-5848-A291-8E954808B326}">
  <dimension ref="A1:J151"/>
  <sheetViews>
    <sheetView topLeftCell="A118"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9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9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3.3E-3</v>
      </c>
      <c r="D7" s="36">
        <f t="shared" si="0"/>
        <v>3.5939882378566764E-3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Germany</v>
      </c>
      <c r="I8" s="24">
        <f>INDEX(B4:B150,MATCH(MAX(D4:D150),D4:D150,0))</f>
        <v>3.4167336021772097</v>
      </c>
      <c r="J8" s="25">
        <f>INDEX(D4:D150,MATCH(MAX(D4:D150),D4:D150,0))</f>
        <v>0.18133304291004138</v>
      </c>
    </row>
    <row r="9" spans="1:10" ht="23" thickBot="1" x14ac:dyDescent="0.35">
      <c r="A9" s="54" t="s">
        <v>42</v>
      </c>
      <c r="B9" s="59">
        <v>3.2228923328507717</v>
      </c>
      <c r="C9" s="46">
        <v>5.5899999999999998E-2</v>
      </c>
      <c r="D9" s="36">
        <f t="shared" si="0"/>
        <v>6.087998257460249E-2</v>
      </c>
      <c r="G9" s="26" t="s">
        <v>43</v>
      </c>
      <c r="H9" s="27"/>
      <c r="I9" s="27"/>
      <c r="J9" s="63">
        <f>SUMPRODUCT(B4:B150,D4:D150)</f>
        <v>3.7720216483913744</v>
      </c>
    </row>
    <row r="10" spans="1:10" ht="19" x14ac:dyDescent="0.25">
      <c r="A10" s="55" t="s">
        <v>44</v>
      </c>
      <c r="B10" s="59">
        <v>3.4101851325072063</v>
      </c>
      <c r="C10" s="47">
        <v>1.5800000000000002E-2</v>
      </c>
      <c r="D10" s="37">
        <f t="shared" si="0"/>
        <v>1.7207580047919845E-2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3.9699999999999999E-2</v>
      </c>
      <c r="D15" s="36">
        <f t="shared" si="0"/>
        <v>4.3236767588760619E-2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1.2800000000000001E-2</v>
      </c>
      <c r="D21" s="36">
        <f t="shared" si="0"/>
        <v>1.3940318013504685E-2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1.15E-2</v>
      </c>
      <c r="D27" s="36">
        <f t="shared" si="0"/>
        <v>1.2524504465258116E-2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1.9E-3</v>
      </c>
      <c r="D30" s="37">
        <f t="shared" si="0"/>
        <v>2.0692659551296015E-3</v>
      </c>
    </row>
    <row r="31" spans="1:5" ht="19" x14ac:dyDescent="0.25">
      <c r="A31" s="54" t="s">
        <v>65</v>
      </c>
      <c r="B31" s="59">
        <v>4.2558827981073541</v>
      </c>
      <c r="C31" s="46">
        <v>3.1699999999999999E-2</v>
      </c>
      <c r="D31" s="36">
        <f t="shared" si="0"/>
        <v>3.4524068830320193E-2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2.18E-2</v>
      </c>
      <c r="D38" s="37">
        <f t="shared" si="0"/>
        <v>2.3742104116750165E-2</v>
      </c>
    </row>
    <row r="39" spans="1:4" ht="19" x14ac:dyDescent="0.25">
      <c r="A39" s="54" t="s">
        <v>74</v>
      </c>
      <c r="B39" s="59">
        <v>3.1990775661028361</v>
      </c>
      <c r="C39" s="46">
        <v>5.1999999999999998E-3</v>
      </c>
      <c r="D39" s="36">
        <f t="shared" si="0"/>
        <v>5.6632541929862775E-3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1.8E-3</v>
      </c>
      <c r="D43" s="36">
        <f t="shared" si="0"/>
        <v>1.960357220649096E-3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4.4400000000000002E-2</v>
      </c>
      <c r="D49" s="36">
        <f t="shared" si="0"/>
        <v>4.8355478109344374E-2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0.16649999999999998</v>
      </c>
      <c r="D53" s="36">
        <f t="shared" si="0"/>
        <v>0.18133304291004138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1.3899999999999999E-2</v>
      </c>
      <c r="D68" s="37">
        <f t="shared" si="0"/>
        <v>1.5138314092790242E-2</v>
      </c>
    </row>
    <row r="69" spans="1:4" ht="19" x14ac:dyDescent="0.25">
      <c r="A69" s="54" t="s">
        <v>104</v>
      </c>
      <c r="B69" s="59">
        <v>4.6082974679305195</v>
      </c>
      <c r="C69" s="46">
        <v>3.2000000000000002E-3</v>
      </c>
      <c r="D69" s="36">
        <f t="shared" ref="D69:D132" si="1">C69/$C$151</f>
        <v>3.4850795033761713E-3</v>
      </c>
    </row>
    <row r="70" spans="1:4" ht="19" x14ac:dyDescent="0.25">
      <c r="A70" s="55" t="s">
        <v>105</v>
      </c>
      <c r="B70" s="59">
        <v>3.8382882812123826</v>
      </c>
      <c r="C70" s="47">
        <v>3.7499999999999999E-2</v>
      </c>
      <c r="D70" s="37">
        <f t="shared" si="1"/>
        <v>4.0840775430189505E-2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1.37E-2</v>
      </c>
      <c r="D91" s="36">
        <f t="shared" si="1"/>
        <v>1.4920496623829233E-2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8.4700000000000011E-2</v>
      </c>
      <c r="D98" s="37">
        <f t="shared" si="1"/>
        <v>9.2245698104988047E-2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8.0000000000000002E-3</v>
      </c>
      <c r="D104" s="37">
        <f t="shared" si="1"/>
        <v>8.7126987584404281E-3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1.6000000000000001E-3</v>
      </c>
      <c r="D110" s="37">
        <f t="shared" si="1"/>
        <v>1.7425397516880857E-3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2.8300000000000002E-2</v>
      </c>
      <c r="D112" s="37">
        <f t="shared" si="1"/>
        <v>3.0821171857983016E-2</v>
      </c>
    </row>
    <row r="113" spans="1:4" ht="19" x14ac:dyDescent="0.25">
      <c r="A113" s="54" t="s">
        <v>148</v>
      </c>
      <c r="B113" s="59">
        <v>3.4281858950270068</v>
      </c>
      <c r="C113" s="46">
        <v>9.1999999999999998E-3</v>
      </c>
      <c r="D113" s="36">
        <f t="shared" si="1"/>
        <v>1.0019603572206492E-2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6.0999999999999995E-3</v>
      </c>
      <c r="D115" s="36">
        <f t="shared" si="1"/>
        <v>6.6434328033108253E-3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6.0000000000000001E-3</v>
      </c>
      <c r="D123" s="36">
        <f t="shared" si="1"/>
        <v>6.5345240688303207E-3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4.3E-3</v>
      </c>
      <c r="D125" s="36">
        <f t="shared" si="1"/>
        <v>4.6830755826617297E-3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3.5499999999999997E-2</v>
      </c>
      <c r="D127" s="36">
        <f t="shared" si="1"/>
        <v>3.8662600740579395E-2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1.9199999999999998E-2</v>
      </c>
      <c r="D131" s="36">
        <f t="shared" si="1"/>
        <v>2.0910477020257025E-2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2.4500000000000001E-2</v>
      </c>
      <c r="D139" s="36">
        <f t="shared" si="2"/>
        <v>2.668263994772381E-2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4.4400000000000002E-2</v>
      </c>
      <c r="D143" s="36">
        <f t="shared" si="2"/>
        <v>4.8355478109344374E-2</v>
      </c>
    </row>
    <row r="144" spans="1:4" ht="19" x14ac:dyDescent="0.25">
      <c r="A144" s="55" t="s">
        <v>179</v>
      </c>
      <c r="B144" s="59">
        <v>4.1903553610988471</v>
      </c>
      <c r="C144" s="47">
        <v>0.16579999999999998</v>
      </c>
      <c r="D144" s="37">
        <f t="shared" si="2"/>
        <v>0.18057068176867783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0.91819999999999991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4C061-23EA-B545-8DCA-9139330515DB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8.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22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China</v>
      </c>
      <c r="I8" s="24">
        <f>INDEX(B4:B150,MATCH(MAX(D4:D150),D4:D150,0))</f>
        <v>4.2558827981073541</v>
      </c>
      <c r="J8" s="25">
        <f>INDEX(D4:D150,MATCH(MAX(D4:D150),D4:D150,0))</f>
        <v>0.55560073185606829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4.0105682808258125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0.54659999999999997</v>
      </c>
      <c r="D31" s="36">
        <f t="shared" si="0"/>
        <v>0.55560073185606829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</v>
      </c>
      <c r="D53" s="36">
        <f t="shared" si="0"/>
        <v>0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4.3499999999999997E-2</v>
      </c>
      <c r="D72" s="37">
        <f t="shared" si="1"/>
        <v>4.4216304126855052E-2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1E-4</v>
      </c>
      <c r="D98" s="37">
        <f t="shared" si="1"/>
        <v>1.016466761536898E-4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1.8600000000000002E-2</v>
      </c>
      <c r="D122" s="37">
        <f t="shared" si="1"/>
        <v>1.8906281764586301E-2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0.24979999999999999</v>
      </c>
      <c r="D126" s="37">
        <f t="shared" si="1"/>
        <v>0.25391339703191707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0.12520000000000001</v>
      </c>
      <c r="D144" s="37">
        <f t="shared" si="2"/>
        <v>0.1272616385444196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0.9837999999999999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18537-6A13-1140-AF93-8F50EA52A354}">
  <dimension ref="A1:J151"/>
  <sheetViews>
    <sheetView topLeftCell="A50"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8.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23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France</v>
      </c>
      <c r="I8" s="24">
        <f>INDEX(B4:B150,MATCH(MAX(D4:D150),D4:D150,0))</f>
        <v>3.6488472849850422</v>
      </c>
      <c r="J8" s="25">
        <f>INDEX(D4:D150,MATCH(MAX(D4:D150),D4:D150,0))</f>
        <v>0.27093353064496245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3.7290288133781155</v>
      </c>
    </row>
    <row r="10" spans="1:10" ht="19" x14ac:dyDescent="0.25">
      <c r="A10" s="55" t="s">
        <v>44</v>
      </c>
      <c r="B10" s="59">
        <v>3.4101851325072063</v>
      </c>
      <c r="C10" s="47">
        <v>7.9000000000000008E-3</v>
      </c>
      <c r="D10" s="37">
        <f t="shared" si="0"/>
        <v>9.7422616845480366E-3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4.9599999999999998E-2</v>
      </c>
      <c r="D15" s="36">
        <f t="shared" si="0"/>
        <v>6.1166605006782608E-2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3.9300000000000002E-2</v>
      </c>
      <c r="D31" s="36">
        <f t="shared" si="0"/>
        <v>4.8464668886422514E-2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7.8000000000000005E-3</v>
      </c>
      <c r="D38" s="37">
        <f t="shared" si="0"/>
        <v>9.6189419163892013E-3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0.21969999999999998</v>
      </c>
      <c r="D49" s="36">
        <f t="shared" si="0"/>
        <v>0.27093353064496245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9.9299999999999999E-2</v>
      </c>
      <c r="D53" s="36">
        <f t="shared" si="0"/>
        <v>0.12245652978172406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1.01E-2</v>
      </c>
      <c r="D68" s="37">
        <f t="shared" si="0"/>
        <v>1.2455296584042425E-2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6.1399999999999996E-2</v>
      </c>
      <c r="D70" s="37">
        <f t="shared" si="1"/>
        <v>7.5718337649525236E-2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2.7699999999999999E-2</v>
      </c>
      <c r="D98" s="37">
        <f t="shared" si="1"/>
        <v>3.4159575779997543E-2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1.8600000000000002E-2</v>
      </c>
      <c r="D112" s="37">
        <f t="shared" si="1"/>
        <v>2.2937476877543481E-2</v>
      </c>
    </row>
    <row r="113" spans="1:4" ht="19" x14ac:dyDescent="0.25">
      <c r="A113" s="54" t="s">
        <v>148</v>
      </c>
      <c r="B113" s="59">
        <v>3.4281858950270068</v>
      </c>
      <c r="C113" s="46">
        <v>8.5000000000000006E-3</v>
      </c>
      <c r="D113" s="36">
        <f t="shared" si="1"/>
        <v>1.0482180293501052E-2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1.2500000000000001E-2</v>
      </c>
      <c r="D116" s="37">
        <f t="shared" si="1"/>
        <v>1.5414971019854489E-2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9.7999999999999997E-3</v>
      </c>
      <c r="D118" s="37">
        <f t="shared" si="1"/>
        <v>1.2085337279565919E-2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5.1500000000000004E-2</v>
      </c>
      <c r="D127" s="36">
        <f t="shared" si="1"/>
        <v>6.3509680601800497E-2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9.300000000000001E-3</v>
      </c>
      <c r="D130" s="37">
        <f t="shared" si="1"/>
        <v>1.146873843877174E-2</v>
      </c>
    </row>
    <row r="131" spans="1:4" ht="19" x14ac:dyDescent="0.25">
      <c r="A131" s="54" t="s">
        <v>166</v>
      </c>
      <c r="B131" s="59">
        <v>2.7770010876672497</v>
      </c>
      <c r="C131" s="46">
        <v>2.5000000000000001E-2</v>
      </c>
      <c r="D131" s="36">
        <f t="shared" si="1"/>
        <v>3.0829942039708978E-2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1.7500000000000002E-2</v>
      </c>
      <c r="D139" s="36">
        <f t="shared" si="2"/>
        <v>2.1580959427796285E-2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7.8000000000000005E-3</v>
      </c>
      <c r="D142" s="37">
        <f t="shared" si="2"/>
        <v>9.6189419163892013E-3</v>
      </c>
    </row>
    <row r="143" spans="1:4" ht="19" x14ac:dyDescent="0.25">
      <c r="A143" s="54" t="s">
        <v>178</v>
      </c>
      <c r="B143" s="59">
        <v>3.3179607898236139</v>
      </c>
      <c r="C143" s="46">
        <v>5.2900000000000003E-2</v>
      </c>
      <c r="D143" s="36">
        <f t="shared" si="2"/>
        <v>6.5236157356024199E-2</v>
      </c>
    </row>
    <row r="144" spans="1:4" ht="19" x14ac:dyDescent="0.25">
      <c r="A144" s="55" t="s">
        <v>179</v>
      </c>
      <c r="B144" s="59">
        <v>4.1903553610988471</v>
      </c>
      <c r="C144" s="47">
        <v>7.4700000000000003E-2</v>
      </c>
      <c r="D144" s="37">
        <f t="shared" si="2"/>
        <v>9.2119866814650425E-2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0.81089999999999973</v>
      </c>
      <c r="D151" s="34">
        <f>SUM(D4:D150)</f>
        <v>1.0000000000000002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DE9A7-34FB-DA4F-8E7A-A444BF39F503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24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0.33785952351561538</v>
      </c>
    </row>
    <row r="9" spans="1:10" ht="23" thickBot="1" x14ac:dyDescent="0.35">
      <c r="A9" s="54" t="s">
        <v>42</v>
      </c>
      <c r="B9" s="59">
        <v>3.2228923328507717</v>
      </c>
      <c r="C9" s="46">
        <v>1.03E-2</v>
      </c>
      <c r="D9" s="36">
        <f t="shared" si="0"/>
        <v>1.2714479693864956E-2</v>
      </c>
      <c r="G9" s="26" t="s">
        <v>43</v>
      </c>
      <c r="H9" s="27"/>
      <c r="I9" s="27"/>
      <c r="J9" s="63">
        <f>SUMPRODUCT(B4:B150,D4:D150)</f>
        <v>4.1002007312436222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1.47E-2</v>
      </c>
      <c r="D21" s="36">
        <f t="shared" si="0"/>
        <v>1.8145907912603385E-2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5.8299999999999998E-2</v>
      </c>
      <c r="D27" s="36">
        <f t="shared" si="0"/>
        <v>7.1966423898284171E-2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0.1391</v>
      </c>
      <c r="D31" s="36">
        <f t="shared" si="0"/>
        <v>0.17170719664238984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1.9E-2</v>
      </c>
      <c r="D49" s="36">
        <f t="shared" si="0"/>
        <v>2.3453894580915936E-2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3.9199999999999999E-2</v>
      </c>
      <c r="D53" s="36">
        <f t="shared" si="0"/>
        <v>4.8389087766942354E-2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2.7200000000000002E-2</v>
      </c>
      <c r="D64" s="37">
        <f t="shared" si="0"/>
        <v>3.3576101715837553E-2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1.66E-2</v>
      </c>
      <c r="D68" s="37">
        <f t="shared" si="0"/>
        <v>2.0491297370694977E-2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1.83E-2</v>
      </c>
      <c r="D70" s="37">
        <f t="shared" si="1"/>
        <v>2.2589803727934826E-2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3.3799999999999997E-2</v>
      </c>
      <c r="D72" s="37">
        <f t="shared" si="1"/>
        <v>4.1723244043945194E-2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6.8400000000000002E-2</v>
      </c>
      <c r="D91" s="36">
        <f t="shared" si="1"/>
        <v>8.4434020491297376E-2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1.0700000000000001E-2</v>
      </c>
      <c r="D98" s="37">
        <f t="shared" si="1"/>
        <v>1.3208245895568451E-2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2.18E-2</v>
      </c>
      <c r="D126" s="37">
        <f t="shared" si="1"/>
        <v>2.6910257992840393E-2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1.8000000000000002E-2</v>
      </c>
      <c r="D131" s="36">
        <f t="shared" si="1"/>
        <v>2.2219479076657209E-2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2.3599999999999999E-2</v>
      </c>
      <c r="D143" s="36">
        <f t="shared" si="2"/>
        <v>2.9132205900506112E-2</v>
      </c>
    </row>
    <row r="144" spans="1:4" ht="19" x14ac:dyDescent="0.25">
      <c r="A144" s="55" t="s">
        <v>179</v>
      </c>
      <c r="B144" s="59">
        <v>4.1903553610988471</v>
      </c>
      <c r="C144" s="47">
        <v>0.2737</v>
      </c>
      <c r="D144" s="37">
        <f t="shared" si="2"/>
        <v>0.33785952351561538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1.7399999999999999E-2</v>
      </c>
      <c r="D147" s="36">
        <f t="shared" si="2"/>
        <v>2.1478829774101964E-2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0.81009999999999993</v>
      </c>
      <c r="D151" s="34">
        <f>SUM(D4:D150)</f>
        <v>1.0000000000000002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54050-5A01-6646-8540-A32A0F885EAB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8.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25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1.15E-2</v>
      </c>
      <c r="D5" s="36">
        <f t="shared" ref="D5:D68" si="0">C5/$C$151</f>
        <v>1.3153379846734533E-2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2.5000000000000001E-3</v>
      </c>
      <c r="D6" s="37">
        <f t="shared" si="0"/>
        <v>2.8594304014640287E-3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Italy</v>
      </c>
      <c r="I8" s="24">
        <f>INDEX(B4:B150,MATCH(MAX(D4:D150),D4:D150,0))</f>
        <v>3.8382882812123826</v>
      </c>
      <c r="J8" s="25">
        <f>INDEX(D4:D150,MATCH(MAX(D4:D150),D4:D150,0))</f>
        <v>0.39917648404437839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3.9368104426669146</v>
      </c>
    </row>
    <row r="10" spans="1:10" ht="19" x14ac:dyDescent="0.25">
      <c r="A10" s="55" t="s">
        <v>44</v>
      </c>
      <c r="B10" s="59">
        <v>3.4101851325072063</v>
      </c>
      <c r="C10" s="47">
        <v>1.34E-2</v>
      </c>
      <c r="D10" s="37">
        <f t="shared" si="0"/>
        <v>1.5326546951847195E-2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1.84E-2</v>
      </c>
      <c r="D15" s="36">
        <f t="shared" si="0"/>
        <v>2.1045407754775251E-2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0.05</v>
      </c>
      <c r="D31" s="36">
        <f t="shared" si="0"/>
        <v>5.718860802928058E-2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2E-3</v>
      </c>
      <c r="D35" s="36">
        <f t="shared" si="0"/>
        <v>2.2875443211712232E-3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8.1000000000000013E-3</v>
      </c>
      <c r="D38" s="37">
        <f t="shared" si="0"/>
        <v>9.2645545007434549E-3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1.29E-2</v>
      </c>
      <c r="D43" s="36">
        <f t="shared" si="0"/>
        <v>1.4754660871554389E-2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6.5000000000000002E-2</v>
      </c>
      <c r="D49" s="36">
        <f t="shared" si="0"/>
        <v>7.4345190438064757E-2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7.8399999999999997E-2</v>
      </c>
      <c r="D53" s="36">
        <f t="shared" si="0"/>
        <v>8.9671737389911937E-2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6.7000000000000002E-3</v>
      </c>
      <c r="D55" s="36">
        <f t="shared" si="0"/>
        <v>7.6632734759235974E-3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1.15E-2</v>
      </c>
      <c r="D64" s="37">
        <f t="shared" si="0"/>
        <v>1.3153379846734533E-2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0.34899999999999998</v>
      </c>
      <c r="D70" s="37">
        <f t="shared" si="1"/>
        <v>0.39917648404437839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1.2800000000000001E-2</v>
      </c>
      <c r="D72" s="37">
        <f t="shared" si="1"/>
        <v>1.4640283655495828E-2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1.8E-3</v>
      </c>
      <c r="D75" s="36">
        <f t="shared" si="1"/>
        <v>2.0587898890541008E-3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5.3E-3</v>
      </c>
      <c r="D83" s="36">
        <f t="shared" si="1"/>
        <v>6.0619924511037416E-3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9.7000000000000003E-3</v>
      </c>
      <c r="D94" s="37">
        <f t="shared" si="1"/>
        <v>1.1094589957680432E-2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1.9599999999999999E-2</v>
      </c>
      <c r="D98" s="37">
        <f t="shared" si="1"/>
        <v>2.2417934347477984E-2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6.1999999999999998E-3</v>
      </c>
      <c r="D102" s="37">
        <f t="shared" si="1"/>
        <v>7.0913873956307914E-3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1.9799999999999998E-2</v>
      </c>
      <c r="D112" s="37">
        <f t="shared" si="1"/>
        <v>2.2646688779595105E-2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9.7999999999999997E-3</v>
      </c>
      <c r="D115" s="36">
        <f t="shared" si="1"/>
        <v>1.1208967173738992E-2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1.1200000000000002E-2</v>
      </c>
      <c r="D125" s="36">
        <f t="shared" si="1"/>
        <v>1.2810248198558851E-2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3.4500000000000003E-2</v>
      </c>
      <c r="D127" s="36">
        <f t="shared" si="1"/>
        <v>3.9460139540203602E-2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7.4999999999999997E-3</v>
      </c>
      <c r="D130" s="37">
        <f t="shared" si="1"/>
        <v>8.5782912043920866E-3</v>
      </c>
    </row>
    <row r="131" spans="1:4" ht="19" x14ac:dyDescent="0.25">
      <c r="A131" s="54" t="s">
        <v>166</v>
      </c>
      <c r="B131" s="59">
        <v>2.7770010876672497</v>
      </c>
      <c r="C131" s="46">
        <v>1.32E-2</v>
      </c>
      <c r="D131" s="36">
        <f t="shared" si="1"/>
        <v>1.5097792519730072E-2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9.4999999999999998E-3</v>
      </c>
      <c r="D138" s="37">
        <f t="shared" si="2"/>
        <v>1.0865835525563309E-2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1.5900000000000001E-2</v>
      </c>
      <c r="D143" s="36">
        <f t="shared" si="2"/>
        <v>1.8185977353311223E-2</v>
      </c>
    </row>
    <row r="144" spans="1:4" ht="19" x14ac:dyDescent="0.25">
      <c r="A144" s="55" t="s">
        <v>179</v>
      </c>
      <c r="B144" s="59">
        <v>4.1903553610988471</v>
      </c>
      <c r="C144" s="47">
        <v>6.8099999999999994E-2</v>
      </c>
      <c r="D144" s="37">
        <f t="shared" si="2"/>
        <v>7.7890884135880134E-2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0.87429999999999986</v>
      </c>
      <c r="D151" s="34">
        <f>SUM(D4:D150)</f>
        <v>0.99999999999999978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53244-C789-9942-AB34-DDA156F46C4E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21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0.708662305436499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4.0328984623448072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0.13739999999999999</v>
      </c>
      <c r="D27" s="36">
        <f t="shared" si="0"/>
        <v>0.15497405819986465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3.4799999999999998E-2</v>
      </c>
      <c r="D31" s="36">
        <f t="shared" si="0"/>
        <v>3.9251071509136023E-2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1.01E-2</v>
      </c>
      <c r="D49" s="36">
        <f t="shared" si="0"/>
        <v>1.1391833972479134E-2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2.07E-2</v>
      </c>
      <c r="D53" s="36">
        <f t="shared" si="0"/>
        <v>2.334762012181367E-2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8.8000000000000005E-3</v>
      </c>
      <c r="D68" s="37">
        <f t="shared" si="0"/>
        <v>9.9255583126550886E-3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9.7000000000000003E-3</v>
      </c>
      <c r="D70" s="37">
        <f t="shared" si="1"/>
        <v>1.0940672230994812E-2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1.4800000000000001E-2</v>
      </c>
      <c r="D91" s="36">
        <f t="shared" si="1"/>
        <v>1.6692984434919921E-2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9.4999999999999998E-3</v>
      </c>
      <c r="D131" s="36">
        <f t="shared" si="1"/>
        <v>1.071509136025265E-2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1.2500000000000001E-2</v>
      </c>
      <c r="D143" s="36">
        <f t="shared" si="2"/>
        <v>1.4098804421385069E-2</v>
      </c>
    </row>
    <row r="144" spans="1:4" ht="19" x14ac:dyDescent="0.25">
      <c r="A144" s="55" t="s">
        <v>179</v>
      </c>
      <c r="B144" s="59">
        <v>4.1903553610988471</v>
      </c>
      <c r="C144" s="47">
        <v>0.62829999999999997</v>
      </c>
      <c r="D144" s="37">
        <f t="shared" si="2"/>
        <v>0.708662305436499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0.88659999999999994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C7E47-AD59-B94C-8735-C92152062EC5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10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6.1999999999999998E-3</v>
      </c>
      <c r="D7" s="36">
        <f t="shared" si="0"/>
        <v>7.5536062378167654E-3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0.30129142300194933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4.0242963704895498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3.0800000000000001E-2</v>
      </c>
      <c r="D15" s="36">
        <f t="shared" si="0"/>
        <v>3.7524366471734898E-2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2.6200000000000001E-2</v>
      </c>
      <c r="D21" s="36">
        <f t="shared" si="0"/>
        <v>3.1920077972709557E-2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1.8700000000000001E-2</v>
      </c>
      <c r="D27" s="36">
        <f t="shared" si="0"/>
        <v>2.2782651072124762E-2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4.8999999999999998E-3</v>
      </c>
      <c r="D30" s="37">
        <f t="shared" si="0"/>
        <v>5.9697855750487335E-3</v>
      </c>
    </row>
    <row r="31" spans="1:5" ht="19" x14ac:dyDescent="0.25">
      <c r="A31" s="54" t="s">
        <v>65</v>
      </c>
      <c r="B31" s="59">
        <v>4.2558827981073541</v>
      </c>
      <c r="C31" s="46">
        <v>0.16620000000000001</v>
      </c>
      <c r="D31" s="36">
        <f t="shared" si="0"/>
        <v>0.20248538011695913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5.2400000000000002E-2</v>
      </c>
      <c r="D49" s="36">
        <f t="shared" si="0"/>
        <v>6.3840155945419114E-2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6.2E-2</v>
      </c>
      <c r="D53" s="36">
        <f t="shared" si="0"/>
        <v>7.5536062378167651E-2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1.6799999999999999E-2</v>
      </c>
      <c r="D64" s="37">
        <f t="shared" si="0"/>
        <v>2.0467836257309944E-2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3.3700000000000001E-2</v>
      </c>
      <c r="D70" s="37">
        <f t="shared" si="1"/>
        <v>4.1057504873294355E-2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3.3099999999999997E-2</v>
      </c>
      <c r="D72" s="37">
        <f t="shared" si="1"/>
        <v>4.0326510721247565E-2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2.06E-2</v>
      </c>
      <c r="D91" s="36">
        <f t="shared" si="1"/>
        <v>2.5097465886939577E-2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3.4500000000000003E-2</v>
      </c>
      <c r="D98" s="37">
        <f t="shared" si="1"/>
        <v>4.2032163742690067E-2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1.7500000000000002E-2</v>
      </c>
      <c r="D126" s="37">
        <f t="shared" si="1"/>
        <v>2.1320662768031195E-2</v>
      </c>
    </row>
    <row r="127" spans="1:4" ht="19" x14ac:dyDescent="0.25">
      <c r="A127" s="54" t="s">
        <v>162</v>
      </c>
      <c r="B127" s="59">
        <v>3.7006443947932954</v>
      </c>
      <c r="C127" s="46">
        <v>2.9300000000000003E-2</v>
      </c>
      <c r="D127" s="36">
        <f t="shared" si="1"/>
        <v>3.5696881091617942E-2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2.06E-2</v>
      </c>
      <c r="D143" s="36">
        <f t="shared" si="2"/>
        <v>2.5097465886939577E-2</v>
      </c>
    </row>
    <row r="144" spans="1:4" ht="19" x14ac:dyDescent="0.25">
      <c r="A144" s="55" t="s">
        <v>179</v>
      </c>
      <c r="B144" s="59">
        <v>4.1903553610988471</v>
      </c>
      <c r="C144" s="47">
        <v>0.24729999999999999</v>
      </c>
      <c r="D144" s="37">
        <f t="shared" si="2"/>
        <v>0.30129142300194933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0.82079999999999986</v>
      </c>
      <c r="D151" s="34">
        <f>SUM(D4:D150)</f>
        <v>1.0000000000000004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E0E2-9026-9C4D-8A27-158311C03215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11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0.32008002000500124</v>
      </c>
    </row>
    <row r="9" spans="1:10" ht="23" thickBot="1" x14ac:dyDescent="0.35">
      <c r="A9" s="54" t="s">
        <v>42</v>
      </c>
      <c r="B9" s="59">
        <v>3.2228923328507717</v>
      </c>
      <c r="C9" s="46">
        <v>9.300000000000001E-3</v>
      </c>
      <c r="D9" s="36">
        <f t="shared" si="0"/>
        <v>1.1627906976744186E-2</v>
      </c>
      <c r="G9" s="26" t="s">
        <v>43</v>
      </c>
      <c r="H9" s="27"/>
      <c r="I9" s="27"/>
      <c r="J9" s="63">
        <f>SUMPRODUCT(B4:B150,D4:D150)</f>
        <v>4.0610136651551283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1.0800000000000001E-2</v>
      </c>
      <c r="D21" s="36">
        <f t="shared" si="0"/>
        <v>1.3503375843960989E-2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1.52E-2</v>
      </c>
      <c r="D27" s="36">
        <f t="shared" si="0"/>
        <v>1.9004751187796948E-2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0.1585</v>
      </c>
      <c r="D31" s="36">
        <f t="shared" si="0"/>
        <v>0.19817454363590897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8.3299999999999999E-2</v>
      </c>
      <c r="D49" s="36">
        <f t="shared" si="0"/>
        <v>0.10415103775943985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3.9699999999999999E-2</v>
      </c>
      <c r="D53" s="36">
        <f t="shared" si="0"/>
        <v>4.9637409352338083E-2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2.9600000000000001E-2</v>
      </c>
      <c r="D64" s="37">
        <f t="shared" si="0"/>
        <v>3.7009252313078271E-2</v>
      </c>
    </row>
    <row r="65" spans="1:4" ht="19" x14ac:dyDescent="0.25">
      <c r="A65" s="54" t="s">
        <v>100</v>
      </c>
      <c r="B65" s="59">
        <v>4.9248047791749228</v>
      </c>
      <c r="C65" s="46">
        <v>1.0700000000000001E-2</v>
      </c>
      <c r="D65" s="36">
        <f t="shared" si="0"/>
        <v>1.3378344586146536E-2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2.3E-2</v>
      </c>
      <c r="D70" s="37">
        <f t="shared" si="1"/>
        <v>2.8757189297324327E-2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7.8899999999999998E-2</v>
      </c>
      <c r="D72" s="37">
        <f t="shared" si="1"/>
        <v>9.8649662415603884E-2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1.32E-2</v>
      </c>
      <c r="D91" s="36">
        <f t="shared" si="1"/>
        <v>1.6504126031507877E-2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2.2099999999999998E-2</v>
      </c>
      <c r="D98" s="37">
        <f t="shared" si="1"/>
        <v>2.7631907976994243E-2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0.01</v>
      </c>
      <c r="D116" s="37">
        <f t="shared" si="1"/>
        <v>1.250312578144536E-2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7.4000000000000003E-3</v>
      </c>
      <c r="D122" s="37">
        <f t="shared" si="1"/>
        <v>9.2523130782695678E-3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1.8000000000000002E-2</v>
      </c>
      <c r="D126" s="37">
        <f t="shared" si="1"/>
        <v>2.2505626406601652E-2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6.3E-3</v>
      </c>
      <c r="D134" s="37">
        <f t="shared" si="2"/>
        <v>7.8769692423105771E-3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0.25600000000000001</v>
      </c>
      <c r="D144" s="37">
        <f t="shared" si="2"/>
        <v>0.32008002000500124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7.8000000000000005E-3</v>
      </c>
      <c r="D147" s="36">
        <f t="shared" si="2"/>
        <v>9.7524381095273824E-3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0.79980000000000007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3D78B-CD4C-224F-9BA7-F6AEF2512871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12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4.4000000000000003E-3</v>
      </c>
      <c r="D7" s="36">
        <f t="shared" si="0"/>
        <v>5.083766608896592E-3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0.64737146158290004</v>
      </c>
    </row>
    <row r="9" spans="1:10" ht="23" thickBot="1" x14ac:dyDescent="0.35">
      <c r="A9" s="54" t="s">
        <v>42</v>
      </c>
      <c r="B9" s="59">
        <v>3.2228923328507717</v>
      </c>
      <c r="C9" s="46">
        <v>9.0000000000000011E-3</v>
      </c>
      <c r="D9" s="36">
        <f t="shared" si="0"/>
        <v>1.0398613518197574E-2</v>
      </c>
      <c r="G9" s="26" t="s">
        <v>43</v>
      </c>
      <c r="H9" s="27"/>
      <c r="I9" s="27"/>
      <c r="J9" s="63">
        <f>SUMPRODUCT(B4:B150,D4:D150)</f>
        <v>4.1369088689340092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6.8000000000000005E-3</v>
      </c>
      <c r="D13" s="36">
        <f t="shared" si="0"/>
        <v>7.856730213749278E-3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1.8200000000000001E-2</v>
      </c>
      <c r="D21" s="36">
        <f t="shared" si="0"/>
        <v>2.1028307336799539E-2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6.0999999999999995E-3</v>
      </c>
      <c r="D27" s="36">
        <f t="shared" si="0"/>
        <v>7.0479491623339097E-3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5.7200000000000001E-2</v>
      </c>
      <c r="D31" s="36">
        <f t="shared" si="0"/>
        <v>6.608896591565569E-2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1.3000000000000001E-2</v>
      </c>
      <c r="D39" s="36">
        <f t="shared" si="0"/>
        <v>1.5020219526285385E-2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1.21E-2</v>
      </c>
      <c r="D49" s="36">
        <f t="shared" si="0"/>
        <v>1.3980358174465626E-2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4.58E-2</v>
      </c>
      <c r="D53" s="36">
        <f t="shared" si="0"/>
        <v>5.2917388792605428E-2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2.29E-2</v>
      </c>
      <c r="D64" s="37">
        <f t="shared" si="0"/>
        <v>2.6458694396302714E-2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4.3E-3</v>
      </c>
      <c r="D69" s="36">
        <f t="shared" ref="D69:D132" si="1">C69/$C$151</f>
        <v>4.9682264586943959E-3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2.2400000000000003E-2</v>
      </c>
      <c r="D72" s="37">
        <f t="shared" si="1"/>
        <v>2.5880993645291742E-2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1.4199999999999999E-2</v>
      </c>
      <c r="D91" s="36">
        <f t="shared" si="1"/>
        <v>1.6406701328711724E-2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2.0400000000000001E-2</v>
      </c>
      <c r="D98" s="37">
        <f t="shared" si="1"/>
        <v>2.3570190641247834E-2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1.46E-2</v>
      </c>
      <c r="D104" s="37">
        <f t="shared" si="1"/>
        <v>1.6868861929520508E-2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7.3000000000000001E-3</v>
      </c>
      <c r="D118" s="37">
        <f t="shared" si="1"/>
        <v>8.434430964760254E-3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2.2099999999999998E-2</v>
      </c>
      <c r="D130" s="37">
        <f t="shared" si="1"/>
        <v>2.5534373194685149E-2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4.4000000000000003E-3</v>
      </c>
      <c r="D142" s="37">
        <f t="shared" si="2"/>
        <v>5.083766608896592E-3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0.56030000000000002</v>
      </c>
      <c r="D144" s="37">
        <f t="shared" si="2"/>
        <v>0.64737146158290004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0.86550000000000005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E3935-87D6-EA4E-9BBF-BEFFD796016D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8.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13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India</v>
      </c>
      <c r="I8" s="24">
        <f>INDEX(B4:B150,MATCH(MAX(D4:D150),D4:D150,0))</f>
        <v>5.0659580961290027</v>
      </c>
      <c r="J8" s="25">
        <f>INDEX(D4:D150,MATCH(MAX(D4:D150),D4:D150,0))</f>
        <v>0.82268436174579285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4.9082044936366929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</v>
      </c>
      <c r="D31" s="36">
        <f t="shared" si="0"/>
        <v>0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</v>
      </c>
      <c r="D53" s="36">
        <f t="shared" si="0"/>
        <v>0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0.60130000000000006</v>
      </c>
      <c r="D64" s="37">
        <f t="shared" si="0"/>
        <v>0.82268436174579285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1.0700000000000001E-2</v>
      </c>
      <c r="D97" s="36">
        <f t="shared" si="1"/>
        <v>1.4639485565740866E-2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3.9699999999999999E-2</v>
      </c>
      <c r="D142" s="37">
        <f t="shared" si="2"/>
        <v>5.4316595977561902E-2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7.9199999999999993E-2</v>
      </c>
      <c r="D144" s="37">
        <f t="shared" si="2"/>
        <v>0.10835955671090435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0.73090000000000011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9E72E-19AB-A446-93DB-A79105AC0706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14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0.45573484518098561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3.9690702989567925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1.5100000000000001E-2</v>
      </c>
      <c r="D21" s="36">
        <f t="shared" si="0"/>
        <v>2.1950864951301063E-2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2.23E-2</v>
      </c>
      <c r="D27" s="36">
        <f t="shared" si="0"/>
        <v>3.2417502543974415E-2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6.0999999999999999E-2</v>
      </c>
      <c r="D31" s="36">
        <f t="shared" si="0"/>
        <v>8.8675679604593688E-2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0.15839999999999999</v>
      </c>
      <c r="D53" s="36">
        <f t="shared" si="0"/>
        <v>0.23026602703881377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2.0000000000000001E-4</v>
      </c>
      <c r="D63" s="36">
        <f t="shared" si="0"/>
        <v>2.9073993312981542E-4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4.2599999999999999E-2</v>
      </c>
      <c r="D72" s="37">
        <f t="shared" si="1"/>
        <v>6.1927605756650676E-2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2.2499999999999999E-2</v>
      </c>
      <c r="D91" s="36">
        <f t="shared" si="1"/>
        <v>3.270824247710423E-2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4.99E-2</v>
      </c>
      <c r="D98" s="37">
        <f t="shared" si="1"/>
        <v>7.2539613315888943E-2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2.3999999999999998E-3</v>
      </c>
      <c r="D125" s="36">
        <f t="shared" si="1"/>
        <v>3.4888791975577847E-3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0.3135</v>
      </c>
      <c r="D144" s="37">
        <f t="shared" si="2"/>
        <v>0.45573484518098561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0.68789999999999996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E2B51-7E5B-E943-8C0B-6F9AEFFD1490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15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0.33396226415094338</v>
      </c>
    </row>
    <row r="9" spans="1:10" ht="23" thickBot="1" x14ac:dyDescent="0.35">
      <c r="A9" s="54" t="s">
        <v>42</v>
      </c>
      <c r="B9" s="59">
        <v>3.2228923328507717</v>
      </c>
      <c r="C9" s="46">
        <v>1.9900000000000001E-2</v>
      </c>
      <c r="D9" s="36">
        <f t="shared" si="0"/>
        <v>2.0859538784067089E-2</v>
      </c>
      <c r="G9" s="26" t="s">
        <v>43</v>
      </c>
      <c r="H9" s="27"/>
      <c r="I9" s="27"/>
      <c r="J9" s="63">
        <f>SUMPRODUCT(B4:B150,D4:D150)</f>
        <v>3.9318580373530141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1.1200000000000002E-2</v>
      </c>
      <c r="D21" s="36">
        <f t="shared" si="0"/>
        <v>1.1740041928721176E-2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1.4499999999999999E-2</v>
      </c>
      <c r="D27" s="36">
        <f t="shared" si="0"/>
        <v>1.5199161425576519E-2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9.6000000000000002E-2</v>
      </c>
      <c r="D31" s="36">
        <f t="shared" si="0"/>
        <v>0.10062893081761007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3.8399999999999997E-2</v>
      </c>
      <c r="D49" s="36">
        <f t="shared" si="0"/>
        <v>4.0251572327044023E-2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6.7500000000000004E-2</v>
      </c>
      <c r="D53" s="36">
        <f t="shared" si="0"/>
        <v>7.0754716981132088E-2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3.0600000000000002E-2</v>
      </c>
      <c r="D64" s="37">
        <f t="shared" si="0"/>
        <v>3.2075471698113214E-2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2.9600000000000001E-2</v>
      </c>
      <c r="D70" s="37">
        <f t="shared" si="1"/>
        <v>3.1027253668763105E-2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0.17319999999999999</v>
      </c>
      <c r="D72" s="37">
        <f t="shared" si="1"/>
        <v>0.18155136268343816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1.15E-2</v>
      </c>
      <c r="D87" s="36">
        <f t="shared" si="1"/>
        <v>1.2054507337526206E-2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1.44E-2</v>
      </c>
      <c r="D91" s="36">
        <f t="shared" si="1"/>
        <v>1.509433962264151E-2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3.9399999999999998E-2</v>
      </c>
      <c r="D126" s="37">
        <f t="shared" si="1"/>
        <v>4.1299790356394132E-2</v>
      </c>
    </row>
    <row r="127" spans="1:4" ht="19" x14ac:dyDescent="0.25">
      <c r="A127" s="54" t="s">
        <v>162</v>
      </c>
      <c r="B127" s="59">
        <v>3.7006443947932954</v>
      </c>
      <c r="C127" s="46">
        <v>1.9799999999999998E-2</v>
      </c>
      <c r="D127" s="36">
        <f t="shared" si="1"/>
        <v>2.0754716981132074E-2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2.1600000000000001E-2</v>
      </c>
      <c r="D134" s="37">
        <f t="shared" si="2"/>
        <v>2.2641509433962266E-2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4.7800000000000002E-2</v>
      </c>
      <c r="D143" s="36">
        <f t="shared" si="2"/>
        <v>5.0104821802935018E-2</v>
      </c>
    </row>
    <row r="144" spans="1:4" ht="19" x14ac:dyDescent="0.25">
      <c r="A144" s="55" t="s">
        <v>179</v>
      </c>
      <c r="B144" s="59">
        <v>4.1903553610988471</v>
      </c>
      <c r="C144" s="47">
        <v>0.31859999999999999</v>
      </c>
      <c r="D144" s="37">
        <f t="shared" si="2"/>
        <v>0.33396226415094338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0.95399999999999996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1B722-4CA4-DE47-9F96-BB196AFEC19B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8.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16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China</v>
      </c>
      <c r="I8" s="24">
        <f>INDEX(B4:B150,MATCH(MAX(D4:D150),D4:D150,0))</f>
        <v>4.2558827981073541</v>
      </c>
      <c r="J8" s="25">
        <f>INDEX(D4:D150,MATCH(MAX(D4:D150),D4:D150,0))</f>
        <v>1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4.2558827981073541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0.90189999999999992</v>
      </c>
      <c r="D31" s="36">
        <f t="shared" si="0"/>
        <v>1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</v>
      </c>
      <c r="D53" s="36">
        <f t="shared" si="0"/>
        <v>0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</v>
      </c>
      <c r="D144" s="37">
        <f t="shared" si="2"/>
        <v>0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0.90189999999999992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3C0C4-EAEC-F345-906B-D4936DE9829C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8.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187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1.6200000000000003E-2</v>
      </c>
      <c r="D5" s="36">
        <f t="shared" ref="D5:D68" si="0">C5/$C$151</f>
        <v>1.8960674157303372E-2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France</v>
      </c>
      <c r="I8" s="24">
        <f>INDEX(B4:B150,MATCH(MAX(D4:D150),D4:D150,0))</f>
        <v>3.6488472849850422</v>
      </c>
      <c r="J8" s="25">
        <f>INDEX(D4:D150,MATCH(MAX(D4:D150),D4:D150,0))</f>
        <v>0.29482677902621723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3.8600720695477033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4.7400000000000005E-2</v>
      </c>
      <c r="D15" s="36">
        <f t="shared" si="0"/>
        <v>5.5477528089887644E-2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6.1600000000000002E-2</v>
      </c>
      <c r="D31" s="36">
        <f t="shared" si="0"/>
        <v>7.2097378277153554E-2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5.1000000000000004E-3</v>
      </c>
      <c r="D35" s="36">
        <f t="shared" si="0"/>
        <v>5.9691011235955055E-3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8.6999999999999994E-3</v>
      </c>
      <c r="D43" s="36">
        <f t="shared" si="0"/>
        <v>1.018258426966292E-2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0.25190000000000001</v>
      </c>
      <c r="D49" s="36">
        <f t="shared" si="0"/>
        <v>0.29482677902621723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9.2399999999999996E-2</v>
      </c>
      <c r="D53" s="36">
        <f t="shared" si="0"/>
        <v>0.10814606741573032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1.55E-2</v>
      </c>
      <c r="D64" s="37">
        <f t="shared" si="0"/>
        <v>1.8141385767790261E-2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5.8700000000000002E-2</v>
      </c>
      <c r="D70" s="37">
        <f t="shared" si="1"/>
        <v>6.8703183520599245E-2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1.9400000000000001E-2</v>
      </c>
      <c r="D94" s="37">
        <f t="shared" si="1"/>
        <v>2.2705992509363296E-2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2.6200000000000001E-2</v>
      </c>
      <c r="D98" s="37">
        <f t="shared" si="1"/>
        <v>3.0664794007490635E-2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5.1999999999999998E-3</v>
      </c>
      <c r="D102" s="37">
        <f t="shared" si="1"/>
        <v>6.0861423220973775E-3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1.7600000000000001E-2</v>
      </c>
      <c r="D112" s="37">
        <f t="shared" si="1"/>
        <v>2.059925093632959E-2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0.01</v>
      </c>
      <c r="D125" s="36">
        <f t="shared" si="1"/>
        <v>1.1704119850187265E-2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5.0799999999999998E-2</v>
      </c>
      <c r="D127" s="36">
        <f t="shared" si="1"/>
        <v>5.9456928838951303E-2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2.2799999999999997E-2</v>
      </c>
      <c r="D131" s="36">
        <f t="shared" si="1"/>
        <v>2.6685393258426962E-2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9.7000000000000003E-3</v>
      </c>
      <c r="D138" s="37">
        <f t="shared" si="2"/>
        <v>1.1352996254681648E-2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4.8099999999999997E-2</v>
      </c>
      <c r="D143" s="36">
        <f t="shared" si="2"/>
        <v>5.6296816479400741E-2</v>
      </c>
    </row>
    <row r="144" spans="1:4" ht="19" x14ac:dyDescent="0.25">
      <c r="A144" s="55" t="s">
        <v>179</v>
      </c>
      <c r="B144" s="59">
        <v>4.1903553610988471</v>
      </c>
      <c r="C144" s="47">
        <v>8.7100000000000011E-2</v>
      </c>
      <c r="D144" s="37">
        <f t="shared" si="2"/>
        <v>0.10194288389513109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0.85440000000000005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2635-1D67-E943-87A1-B68680123B6E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18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0.43298594280174502</v>
      </c>
    </row>
    <row r="9" spans="1:10" ht="23" thickBot="1" x14ac:dyDescent="0.35">
      <c r="A9" s="54" t="s">
        <v>42</v>
      </c>
      <c r="B9" s="59">
        <v>3.2228923328507717</v>
      </c>
      <c r="C9" s="46">
        <v>1.5700000000000002E-2</v>
      </c>
      <c r="D9" s="36">
        <f t="shared" si="0"/>
        <v>1.9025690741638394E-2</v>
      </c>
      <c r="G9" s="26" t="s">
        <v>43</v>
      </c>
      <c r="H9" s="27"/>
      <c r="I9" s="27"/>
      <c r="J9" s="63">
        <f>SUMPRODUCT(B4:B150,D4:D150)</f>
        <v>4.0129565213980154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1.38E-2</v>
      </c>
      <c r="D21" s="36">
        <f t="shared" si="0"/>
        <v>1.6723218613669415E-2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3.78E-2</v>
      </c>
      <c r="D27" s="36">
        <f t="shared" si="0"/>
        <v>4.5807077072224922E-2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7.8700000000000006E-2</v>
      </c>
      <c r="D31" s="36">
        <f t="shared" si="0"/>
        <v>9.5370819195346596E-2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1.3600000000000001E-2</v>
      </c>
      <c r="D49" s="36">
        <f t="shared" si="0"/>
        <v>1.6480853126514788E-2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2.41E-2</v>
      </c>
      <c r="D53" s="36">
        <f t="shared" si="0"/>
        <v>2.9205041202132818E-2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1.4499999999999999E-2</v>
      </c>
      <c r="D64" s="37">
        <f t="shared" si="0"/>
        <v>1.7571497818710615E-2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1.09E-2</v>
      </c>
      <c r="D70" s="37">
        <f t="shared" si="1"/>
        <v>1.3208919049927291E-2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0.16079999999999997</v>
      </c>
      <c r="D72" s="37">
        <f t="shared" si="1"/>
        <v>0.19486185167232184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2.7200000000000002E-2</v>
      </c>
      <c r="D91" s="36">
        <f t="shared" si="1"/>
        <v>3.2961706253029577E-2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9.7999999999999997E-3</v>
      </c>
      <c r="D98" s="37">
        <f t="shared" si="1"/>
        <v>1.187590887057683E-2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1.0200000000000001E-2</v>
      </c>
      <c r="D116" s="37">
        <f t="shared" si="1"/>
        <v>1.236063984488609E-2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1.72E-2</v>
      </c>
      <c r="D126" s="37">
        <f t="shared" si="1"/>
        <v>2.0843431895298112E-2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7.8000000000000005E-3</v>
      </c>
      <c r="D139" s="36">
        <f t="shared" si="2"/>
        <v>9.4522539990305396E-3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8.1000000000000013E-3</v>
      </c>
      <c r="D142" s="37">
        <f t="shared" si="2"/>
        <v>9.8158022297624836E-3</v>
      </c>
    </row>
    <row r="143" spans="1:4" ht="19" x14ac:dyDescent="0.25">
      <c r="A143" s="54" t="s">
        <v>178</v>
      </c>
      <c r="B143" s="59">
        <v>3.3179607898236139</v>
      </c>
      <c r="C143" s="46">
        <v>1.77E-2</v>
      </c>
      <c r="D143" s="36">
        <f t="shared" si="2"/>
        <v>2.1449345613184685E-2</v>
      </c>
    </row>
    <row r="144" spans="1:4" ht="19" x14ac:dyDescent="0.25">
      <c r="A144" s="55" t="s">
        <v>179</v>
      </c>
      <c r="B144" s="59">
        <v>4.1903553610988471</v>
      </c>
      <c r="C144" s="47">
        <v>0.35729999999999995</v>
      </c>
      <c r="D144" s="37">
        <f t="shared" si="2"/>
        <v>0.43298594280174502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0.82519999999999993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90AD3-5538-AE44-A898-D8CB29F37510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19</v>
      </c>
      <c r="B1" s="79"/>
      <c r="C1" s="79"/>
      <c r="D1" s="79"/>
    </row>
    <row r="2" spans="1:10" ht="17" customHeight="1" thickBot="1" x14ac:dyDescent="0.25">
      <c r="A2" s="78"/>
      <c r="B2" s="79"/>
      <c r="C2" s="79"/>
      <c r="D2" s="79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0.78477275123905943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4.1677912999297027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0.1646</v>
      </c>
      <c r="D31" s="36">
        <f t="shared" si="0"/>
        <v>0.17357376357692714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</v>
      </c>
      <c r="D53" s="36">
        <f t="shared" si="0"/>
        <v>0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3.95E-2</v>
      </c>
      <c r="D72" s="37">
        <f t="shared" si="1"/>
        <v>4.1653485184013503E-2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0.74419999999999997</v>
      </c>
      <c r="D144" s="37">
        <f t="shared" si="2"/>
        <v>0.78477275123905943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0.94829999999999992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84E5-7505-944C-8CAD-5EB1E1953E21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9" bestFit="1" customWidth="1"/>
    <col min="4" max="4" width="38" bestFit="1" customWidth="1"/>
    <col min="5" max="5" width="16" bestFit="1" customWidth="1"/>
    <col min="7" max="7" width="26.6640625" bestFit="1" customWidth="1"/>
    <col min="8" max="8" width="9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8" t="s">
        <v>20</v>
      </c>
      <c r="B1" s="79"/>
      <c r="C1" s="79"/>
      <c r="D1" s="79"/>
    </row>
    <row r="2" spans="1:10" ht="17" customHeight="1" thickBot="1" x14ac:dyDescent="0.25">
      <c r="A2" s="80"/>
      <c r="B2" s="81"/>
      <c r="C2" s="81"/>
      <c r="D2" s="81"/>
    </row>
    <row r="3" spans="1:10" ht="20" thickTop="1" x14ac:dyDescent="0.25">
      <c r="A3" s="10" t="s">
        <v>27</v>
      </c>
      <c r="B3" s="11" t="s">
        <v>28</v>
      </c>
      <c r="C3" s="12" t="s">
        <v>188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7.4000000000000003E-3</v>
      </c>
      <c r="D7" s="36">
        <f t="shared" si="0"/>
        <v>8.549971114962451E-3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Germany</v>
      </c>
      <c r="I8" s="24">
        <f>INDEX(B4:B150,MATCH(MAX(D4:D150),D4:D150,0))</f>
        <v>3.4167336021772097</v>
      </c>
      <c r="J8" s="25">
        <f>INDEX(D4:D150,MATCH(MAX(D4:D150),D4:D150,0))</f>
        <v>0.22645869439630273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3.8082591859434998</v>
      </c>
    </row>
    <row r="10" spans="1:10" ht="19" x14ac:dyDescent="0.25">
      <c r="A10" s="55" t="s">
        <v>44</v>
      </c>
      <c r="B10" s="59">
        <v>3.4101851325072063</v>
      </c>
      <c r="C10" s="47">
        <v>2.23E-2</v>
      </c>
      <c r="D10" s="37">
        <f t="shared" si="0"/>
        <v>2.5765453495089546E-2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3.5499999999999997E-2</v>
      </c>
      <c r="D15" s="36">
        <f t="shared" si="0"/>
        <v>4.1016753321779315E-2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3.1E-2</v>
      </c>
      <c r="D21" s="36">
        <f t="shared" si="0"/>
        <v>3.5817446562680537E-2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1.32E-2</v>
      </c>
      <c r="D27" s="36">
        <f t="shared" si="0"/>
        <v>1.5251299826689775E-2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5.0000000000000001E-3</v>
      </c>
      <c r="D30" s="37">
        <f t="shared" si="0"/>
        <v>5.7770075101097633E-3</v>
      </c>
    </row>
    <row r="31" spans="1:5" ht="19" x14ac:dyDescent="0.25">
      <c r="A31" s="54" t="s">
        <v>65</v>
      </c>
      <c r="B31" s="59">
        <v>4.2558827981073541</v>
      </c>
      <c r="C31" s="46">
        <v>6.1500000000000006E-2</v>
      </c>
      <c r="D31" s="36">
        <f t="shared" si="0"/>
        <v>7.1057192374350098E-2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4.7999999999999996E-3</v>
      </c>
      <c r="D32" s="37">
        <f t="shared" si="0"/>
        <v>5.5459272097053728E-3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2.8900000000000002E-2</v>
      </c>
      <c r="D38" s="37">
        <f t="shared" si="0"/>
        <v>3.3391103408434437E-2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3.95E-2</v>
      </c>
      <c r="D49" s="36">
        <f t="shared" si="0"/>
        <v>4.563835932986713E-2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0.19600000000000001</v>
      </c>
      <c r="D53" s="36">
        <f t="shared" si="0"/>
        <v>0.22645869439630273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1.3500000000000002E-2</v>
      </c>
      <c r="D62" s="37">
        <f t="shared" si="0"/>
        <v>1.5597920277296364E-2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3.44E-2</v>
      </c>
      <c r="D70" s="37">
        <f t="shared" si="1"/>
        <v>3.9745811669555174E-2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7.690000000000001E-2</v>
      </c>
      <c r="D98" s="37">
        <f t="shared" si="1"/>
        <v>8.8850375505488174E-2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1.1899999999999999E-2</v>
      </c>
      <c r="D104" s="37">
        <f t="shared" si="1"/>
        <v>1.3749277874061236E-2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4.3E-3</v>
      </c>
      <c r="D110" s="37">
        <f t="shared" si="1"/>
        <v>4.9682264586943968E-3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3.7000000000000005E-2</v>
      </c>
      <c r="D112" s="37">
        <f t="shared" si="1"/>
        <v>4.2749855574812257E-2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2.0499999999999997E-2</v>
      </c>
      <c r="D127" s="36">
        <f t="shared" si="1"/>
        <v>2.3685730791450029E-2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2.1600000000000001E-2</v>
      </c>
      <c r="D131" s="36">
        <f t="shared" si="1"/>
        <v>2.495667244367418E-2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2.7200000000000002E-2</v>
      </c>
      <c r="D143" s="36">
        <f t="shared" si="2"/>
        <v>3.1426920854997119E-2</v>
      </c>
    </row>
    <row r="144" spans="1:4" ht="19" x14ac:dyDescent="0.25">
      <c r="A144" s="55" t="s">
        <v>179</v>
      </c>
      <c r="B144" s="59">
        <v>4.1903553610988471</v>
      </c>
      <c r="C144" s="47">
        <v>0.17309999999999998</v>
      </c>
      <c r="D144" s="37">
        <f t="shared" si="2"/>
        <v>0.19999999999999998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0.86549999999999994</v>
      </c>
      <c r="D151" s="34">
        <f>SUM(D4:D150)</f>
        <v>0.99999999999999989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86DC0FFDEFA864DA147FFDEA823F2EE" ma:contentTypeVersion="3" ma:contentTypeDescription="Creare un nuovo documento." ma:contentTypeScope="" ma:versionID="efa000e167d9ce5db8cd2eb5b6f87cd4">
  <xsd:schema xmlns:xsd="http://www.w3.org/2001/XMLSchema" xmlns:xs="http://www.w3.org/2001/XMLSchema" xmlns:p="http://schemas.microsoft.com/office/2006/metadata/properties" xmlns:ns2="c41a64fd-65ba-4a6e-8004-8ade4c8fdb39" targetNamespace="http://schemas.microsoft.com/office/2006/metadata/properties" ma:root="true" ma:fieldsID="1f94584ddf2c7798ba84aeef6e679263" ns2:_="">
    <xsd:import namespace="c41a64fd-65ba-4a6e-8004-8ade4c8fdb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a64fd-65ba-4a6e-8004-8ade4c8fdb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F08ABC-13A0-4F5D-9E81-9ED665737C5C}">
  <ds:schemaRefs>
    <ds:schemaRef ds:uri="http://purl.org/dc/elements/1.1/"/>
    <ds:schemaRef ds:uri="http://www.w3.org/XML/1998/namespace"/>
    <ds:schemaRef ds:uri="c41a64fd-65ba-4a6e-8004-8ade4c8fdb39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9F87FD38-36B5-4F1F-813F-620930BEB1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a64fd-65ba-4a6e-8004-8ade4c8fdb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B530B0C-B530-42AC-84FD-C2059CBF0E6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50</vt:i4>
      </vt:variant>
    </vt:vector>
  </HeadingPairs>
  <TitlesOfParts>
    <vt:vector size="50" baseType="lpstr">
      <vt:lpstr>Revenue Exposure - Overall</vt:lpstr>
      <vt:lpstr>HHI Index Submultiplier</vt:lpstr>
      <vt:lpstr>Country of Revenues - Apple</vt:lpstr>
      <vt:lpstr>Country of Revenues - Leonardo</vt:lpstr>
      <vt:lpstr>Country of Revenues - Prysmian</vt:lpstr>
      <vt:lpstr>Country of Revenues - Pfizer</vt:lpstr>
      <vt:lpstr>Country of Revenues - Unicredit</vt:lpstr>
      <vt:lpstr>Country of Revenues - Campari</vt:lpstr>
      <vt:lpstr>Country of Revenues - Moncler</vt:lpstr>
      <vt:lpstr>Country of Revenues - Ferrari</vt:lpstr>
      <vt:lpstr>Country of Revenues - Alibaba</vt:lpstr>
      <vt:lpstr>Country of Revenues - Nestlè</vt:lpstr>
      <vt:lpstr>Country of Revenues - Gazprom</vt:lpstr>
      <vt:lpstr>Country of Revenues - Novartis</vt:lpstr>
      <vt:lpstr>Country of Revenues - Moderna</vt:lpstr>
      <vt:lpstr>Country of Revenues - HSBC</vt:lpstr>
      <vt:lpstr>Country of Revenues - Walmart</vt:lpstr>
      <vt:lpstr>Country of Revenues - Unilever</vt:lpstr>
      <vt:lpstr>Country of Revenues - Coca-Cola</vt:lpstr>
      <vt:lpstr>Country of Revenues - CAT</vt:lpstr>
      <vt:lpstr>Country of Revenues - Tesla</vt:lpstr>
      <vt:lpstr>Country of Revenues - Alphabet</vt:lpstr>
      <vt:lpstr>Country of Revenues - S.Aramco</vt:lpstr>
      <vt:lpstr>Country of Revenues - Shell</vt:lpstr>
      <vt:lpstr>Country of Revenues - Chevron</vt:lpstr>
      <vt:lpstr>Country of Revenues - Exxon</vt:lpstr>
      <vt:lpstr>Country of Revenues - Meta</vt:lpstr>
      <vt:lpstr>Country of Revenues - Microsoft</vt:lpstr>
      <vt:lpstr>Country of Revenues - Ford</vt:lpstr>
      <vt:lpstr>Country of Revenues - P&amp;G</vt:lpstr>
      <vt:lpstr>Country of Revenues - Samsung</vt:lpstr>
      <vt:lpstr>Country of Revenues - Amazon</vt:lpstr>
      <vt:lpstr>Country of Revenues - NVIDIA</vt:lpstr>
      <vt:lpstr>Country of Revenues - Allianz</vt:lpstr>
      <vt:lpstr>Country of Revenues - ASML</vt:lpstr>
      <vt:lpstr>Country of Revenues - BNP</vt:lpstr>
      <vt:lpstr>Country of Revenues - Eli LIlly</vt:lpstr>
      <vt:lpstr>Country of Revenues - ENI</vt:lpstr>
      <vt:lpstr>Country of Revenues - JP Morgan</vt:lpstr>
      <vt:lpstr>Country of Revenues - Oreal</vt:lpstr>
      <vt:lpstr>Country of Revenues - LVMH</vt:lpstr>
      <vt:lpstr>Country of Revenues - Nordisk</vt:lpstr>
      <vt:lpstr>Country of Revenues - Reliance</vt:lpstr>
      <vt:lpstr>Country of Revenues - SAP</vt:lpstr>
      <vt:lpstr>Country of Revenues - Sony</vt:lpstr>
      <vt:lpstr>Country of Revenues - Tencent</vt:lpstr>
      <vt:lpstr>Country of Revenues - Total En</vt:lpstr>
      <vt:lpstr>Country of Revenues - Toyota</vt:lpstr>
      <vt:lpstr>Country of Revenues - TSMC</vt:lpstr>
      <vt:lpstr>Country of Revenues - VW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Valerio Parigi</dc:creator>
  <cp:keywords/>
  <dc:description/>
  <cp:lastModifiedBy>VALERIO PARIGI</cp:lastModifiedBy>
  <cp:revision/>
  <dcterms:created xsi:type="dcterms:W3CDTF">2026-03-14T18:04:21Z</dcterms:created>
  <dcterms:modified xsi:type="dcterms:W3CDTF">2026-04-25T09:43:59Z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0x010100086DC0FFDEFA864DA147FFDEA823F2EE</vt:lpwstr>
  </property>
</Properties>
</file>