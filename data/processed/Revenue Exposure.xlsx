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131" documentId="13_ncr:1_{1CE1F3A9-E0E9-C14A-B11A-57B67BC3D524}" xr6:coauthVersionLast="47" xr6:coauthVersionMax="47" xr10:uidLastSave="{CFB7302D-9A04-C445-A961-96C361904942}"/>
  <bookViews>
    <workbookView xWindow="0" yWindow="600" windowWidth="28800" windowHeight="16100" activeTab="1" xr2:uid="{9B4BE803-A8C2-7D4F-BCD3-387D5EC2CF6C}"/>
  </bookViews>
  <sheets>
    <sheet name="Revenue Exposure - Overall" sheetId="1" r:id="rId1"/>
    <sheet name="HHI Index Submultiplier" sheetId="27" r:id="rId2"/>
    <sheet name="Country of Revenues - Apple" sheetId="2" r:id="rId3"/>
    <sheet name="Country of Revenues - Meta" sheetId="3" r:id="rId4"/>
    <sheet name="Country of Revenues - Microsoft" sheetId="4" r:id="rId5"/>
    <sheet name="Country of Revenues - Ford" sheetId="5" r:id="rId6"/>
    <sheet name="Country of Revenues - P&amp;G" sheetId="7" r:id="rId7"/>
    <sheet name="Country of Revenues - Samsung" sheetId="6" r:id="rId8"/>
    <sheet name="Country of Revenues - Amazon" sheetId="8" r:id="rId9"/>
    <sheet name="Country of Revenues - NVIDIA" sheetId="9" r:id="rId10"/>
    <sheet name="Country of Revenues - Allianz" sheetId="10" r:id="rId11"/>
    <sheet name="Country of Revenues - ASML" sheetId="11" r:id="rId12"/>
    <sheet name="Country of Revenues - BNP" sheetId="12" r:id="rId13"/>
    <sheet name="Country of Revenues - Eli LIlly" sheetId="13" r:id="rId14"/>
    <sheet name="Country of Revenues - ENI" sheetId="14" r:id="rId15"/>
    <sheet name="Country of Revenues - JP Morgan" sheetId="15" r:id="rId16"/>
    <sheet name="Country of Revenues - Oreal" sheetId="16" r:id="rId17"/>
    <sheet name="Country of Revenues - LVMH" sheetId="17" r:id="rId18"/>
    <sheet name="Country of Revenues - Nordisk" sheetId="18" r:id="rId19"/>
    <sheet name="Country of Revenues - Reliance" sheetId="19" r:id="rId20"/>
    <sheet name="Country of Revenues - SAP" sheetId="20" r:id="rId21"/>
    <sheet name="Country of Revenues - Sony" sheetId="21" r:id="rId22"/>
    <sheet name="Country of Revenues - Tencent" sheetId="22" r:id="rId23"/>
    <sheet name="Country of Revenues - Total En" sheetId="23" r:id="rId24"/>
    <sheet name="Country of Revenues - Toyota" sheetId="24" r:id="rId25"/>
    <sheet name="Country of Revenues - TSMC" sheetId="25" r:id="rId26"/>
    <sheet name="Country of Revenues - VW" sheetId="26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7" l="1"/>
  <c r="B2" i="27"/>
  <c r="D2" i="1" s="1"/>
  <c r="C6" i="27"/>
  <c r="E5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B26" i="27"/>
  <c r="C26" i="27" s="1"/>
  <c r="B25" i="27"/>
  <c r="C25" i="27" s="1"/>
  <c r="B24" i="27"/>
  <c r="C24" i="27" s="1"/>
  <c r="B23" i="27"/>
  <c r="B22" i="27"/>
  <c r="C22" i="27" s="1"/>
  <c r="B21" i="27"/>
  <c r="C21" i="27" s="1"/>
  <c r="B20" i="27"/>
  <c r="C20" i="27" s="1"/>
  <c r="B19" i="27"/>
  <c r="C19" i="27" s="1"/>
  <c r="B18" i="27"/>
  <c r="C18" i="27" s="1"/>
  <c r="B17" i="27"/>
  <c r="C17" i="27" s="1"/>
  <c r="B16" i="27"/>
  <c r="C16" i="27" s="1"/>
  <c r="B15" i="27"/>
  <c r="C15" i="27" s="1"/>
  <c r="B14" i="27"/>
  <c r="C14" i="27" s="1"/>
  <c r="B13" i="27"/>
  <c r="C13" i="27" s="1"/>
  <c r="B12" i="27"/>
  <c r="C12" i="27" s="1"/>
  <c r="B11" i="27"/>
  <c r="C11" i="27" s="1"/>
  <c r="B10" i="27"/>
  <c r="C10" i="27" s="1"/>
  <c r="B9" i="27"/>
  <c r="C9" i="27" s="1"/>
  <c r="B8" i="27"/>
  <c r="C8" i="27" s="1"/>
  <c r="B7" i="27"/>
  <c r="C7" i="27" s="1"/>
  <c r="B6" i="27"/>
  <c r="B5" i="27"/>
  <c r="C5" i="27" s="1"/>
  <c r="B4" i="27"/>
  <c r="C4" i="27" s="1"/>
  <c r="B3" i="27"/>
  <c r="C3" i="27" s="1"/>
  <c r="C23" i="27"/>
  <c r="J9" i="3"/>
  <c r="J9" i="4"/>
  <c r="J9" i="5"/>
  <c r="J9" i="7"/>
  <c r="J9" i="6"/>
  <c r="J9" i="8"/>
  <c r="J9" i="9"/>
  <c r="J9" i="10"/>
  <c r="J9" i="11"/>
  <c r="B5" i="1" s="1"/>
  <c r="J9" i="12"/>
  <c r="J9" i="13"/>
  <c r="J9" i="14"/>
  <c r="J9" i="15"/>
  <c r="J9" i="16"/>
  <c r="J9" i="17"/>
  <c r="J9" i="18"/>
  <c r="J9" i="19"/>
  <c r="J9" i="20"/>
  <c r="J9" i="21"/>
  <c r="J9" i="22"/>
  <c r="J9" i="23"/>
  <c r="J9" i="24"/>
  <c r="J9" i="25"/>
  <c r="J9" i="26"/>
  <c r="J9" i="2"/>
  <c r="J8" i="2"/>
  <c r="I8" i="2"/>
  <c r="H8" i="2"/>
  <c r="J7" i="2"/>
  <c r="I7" i="2"/>
  <c r="H7" i="2"/>
  <c r="B13" i="1"/>
  <c r="J8" i="3"/>
  <c r="I8" i="3"/>
  <c r="H8" i="3"/>
  <c r="J7" i="3"/>
  <c r="I7" i="3"/>
  <c r="H7" i="3"/>
  <c r="B14" i="1"/>
  <c r="J8" i="4"/>
  <c r="I8" i="4"/>
  <c r="H8" i="4"/>
  <c r="J7" i="4"/>
  <c r="I7" i="4"/>
  <c r="H7" i="4"/>
  <c r="B9" i="1"/>
  <c r="J8" i="5"/>
  <c r="I8" i="5"/>
  <c r="H8" i="5"/>
  <c r="J7" i="5"/>
  <c r="I7" i="5"/>
  <c r="H7" i="5"/>
  <c r="B17" i="1"/>
  <c r="J8" i="7"/>
  <c r="I8" i="7"/>
  <c r="H8" i="7"/>
  <c r="J7" i="7"/>
  <c r="I7" i="7"/>
  <c r="H7" i="7"/>
  <c r="B19" i="1"/>
  <c r="J8" i="6"/>
  <c r="I8" i="6"/>
  <c r="H8" i="6"/>
  <c r="J7" i="6"/>
  <c r="I7" i="6"/>
  <c r="H7" i="6"/>
  <c r="B3" i="1"/>
  <c r="J8" i="8"/>
  <c r="I8" i="8"/>
  <c r="H8" i="8"/>
  <c r="J7" i="8"/>
  <c r="I7" i="8"/>
  <c r="H7" i="8"/>
  <c r="B16" i="1"/>
  <c r="J8" i="9"/>
  <c r="I8" i="9"/>
  <c r="H8" i="9"/>
  <c r="J7" i="9"/>
  <c r="I7" i="9"/>
  <c r="H7" i="9"/>
  <c r="B2" i="1"/>
  <c r="J8" i="10"/>
  <c r="I8" i="10"/>
  <c r="H8" i="10"/>
  <c r="J7" i="10"/>
  <c r="I7" i="10"/>
  <c r="H7" i="10"/>
  <c r="J8" i="11"/>
  <c r="I8" i="11"/>
  <c r="H8" i="11"/>
  <c r="J7" i="11"/>
  <c r="I7" i="11"/>
  <c r="H7" i="11"/>
  <c r="B6" i="1"/>
  <c r="J8" i="12"/>
  <c r="I8" i="12"/>
  <c r="H8" i="12"/>
  <c r="J7" i="12"/>
  <c r="I7" i="12"/>
  <c r="H7" i="12"/>
  <c r="B7" i="1"/>
  <c r="J8" i="13"/>
  <c r="I8" i="13"/>
  <c r="H8" i="13"/>
  <c r="J7" i="13"/>
  <c r="I7" i="13"/>
  <c r="H7" i="13"/>
  <c r="B8" i="1"/>
  <c r="J8" i="14"/>
  <c r="I8" i="14"/>
  <c r="H8" i="14"/>
  <c r="J7" i="14"/>
  <c r="I7" i="14"/>
  <c r="H7" i="14"/>
  <c r="B10" i="1"/>
  <c r="J8" i="15"/>
  <c r="I8" i="15"/>
  <c r="H8" i="15"/>
  <c r="J7" i="15"/>
  <c r="I7" i="15"/>
  <c r="H7" i="15"/>
  <c r="B11" i="1"/>
  <c r="J8" i="16"/>
  <c r="I8" i="16"/>
  <c r="H8" i="16"/>
  <c r="J7" i="16"/>
  <c r="I7" i="16"/>
  <c r="H7" i="16"/>
  <c r="B12" i="1"/>
  <c r="J8" i="17"/>
  <c r="I8" i="17"/>
  <c r="H8" i="17"/>
  <c r="J7" i="17"/>
  <c r="I7" i="17"/>
  <c r="H7" i="17"/>
  <c r="B15" i="1"/>
  <c r="J8" i="18"/>
  <c r="I8" i="18"/>
  <c r="H8" i="18"/>
  <c r="J7" i="18"/>
  <c r="I7" i="18"/>
  <c r="H7" i="18"/>
  <c r="B18" i="1"/>
  <c r="J8" i="19"/>
  <c r="I8" i="19"/>
  <c r="H8" i="19"/>
  <c r="J7" i="19"/>
  <c r="I7" i="19"/>
  <c r="H7" i="19"/>
  <c r="B20" i="1"/>
  <c r="J8" i="20"/>
  <c r="I8" i="20"/>
  <c r="H8" i="20"/>
  <c r="J7" i="20"/>
  <c r="I7" i="20"/>
  <c r="H7" i="20"/>
  <c r="B21" i="1"/>
  <c r="J8" i="21"/>
  <c r="I8" i="21"/>
  <c r="H8" i="21"/>
  <c r="J7" i="21"/>
  <c r="I7" i="21"/>
  <c r="H7" i="21"/>
  <c r="B22" i="1"/>
  <c r="J8" i="22"/>
  <c r="I8" i="22"/>
  <c r="H8" i="22"/>
  <c r="J7" i="22"/>
  <c r="I7" i="22"/>
  <c r="H7" i="22"/>
  <c r="B23" i="1"/>
  <c r="J8" i="23"/>
  <c r="I8" i="23"/>
  <c r="H8" i="23"/>
  <c r="J7" i="23"/>
  <c r="I7" i="23"/>
  <c r="H7" i="23"/>
  <c r="B24" i="1"/>
  <c r="J8" i="24"/>
  <c r="I8" i="24"/>
  <c r="H8" i="24"/>
  <c r="J7" i="24"/>
  <c r="I7" i="24"/>
  <c r="H7" i="24"/>
  <c r="B25" i="1"/>
  <c r="J8" i="25"/>
  <c r="I8" i="25"/>
  <c r="H8" i="25"/>
  <c r="J7" i="25"/>
  <c r="I7" i="25"/>
  <c r="H7" i="25"/>
  <c r="B26" i="1"/>
  <c r="J8" i="26"/>
  <c r="I8" i="26"/>
  <c r="H8" i="26"/>
  <c r="J7" i="26"/>
  <c r="I7" i="26"/>
  <c r="H7" i="26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4" i="2"/>
  <c r="D4" i="3"/>
  <c r="D4" i="4"/>
  <c r="D4" i="5"/>
  <c r="D4" i="7"/>
  <c r="D4" i="6"/>
  <c r="D4" i="8"/>
  <c r="D4" i="9"/>
  <c r="D4" i="10"/>
  <c r="D4" i="11"/>
  <c r="D4" i="12"/>
  <c r="D4" i="13"/>
  <c r="D4" i="14"/>
  <c r="D4" i="15"/>
  <c r="D4" i="16"/>
  <c r="D4" i="17"/>
  <c r="D4" i="18"/>
  <c r="D4" i="19"/>
  <c r="D4" i="20"/>
  <c r="D4" i="21"/>
  <c r="D4" i="22"/>
  <c r="D4" i="23"/>
  <c r="D4" i="24"/>
  <c r="D4" i="25"/>
  <c r="D4" i="26"/>
  <c r="D151" i="2"/>
  <c r="C151" i="2"/>
  <c r="D151" i="3"/>
  <c r="C151" i="3"/>
  <c r="D151" i="4"/>
  <c r="C151" i="4"/>
  <c r="D151" i="5"/>
  <c r="C151" i="5"/>
  <c r="D151" i="7"/>
  <c r="C151" i="7"/>
  <c r="D151" i="6"/>
  <c r="C151" i="6"/>
  <c r="D151" i="8"/>
  <c r="C151" i="8"/>
  <c r="D151" i="9"/>
  <c r="C151" i="9"/>
  <c r="D151" i="10"/>
  <c r="C151" i="10"/>
  <c r="D151" i="11"/>
  <c r="C151" i="11"/>
  <c r="D151" i="12"/>
  <c r="C151" i="12"/>
  <c r="D151" i="13"/>
  <c r="C151" i="13"/>
  <c r="D151" i="14"/>
  <c r="C151" i="14"/>
  <c r="D151" i="15"/>
  <c r="C151" i="15"/>
  <c r="D151" i="16"/>
  <c r="C151" i="16"/>
  <c r="D151" i="17"/>
  <c r="C151" i="17"/>
  <c r="D151" i="18"/>
  <c r="C151" i="18"/>
  <c r="D151" i="19"/>
  <c r="C151" i="19"/>
  <c r="D151" i="20"/>
  <c r="C151" i="20"/>
  <c r="D151" i="21"/>
  <c r="C151" i="21"/>
  <c r="D151" i="22"/>
  <c r="C151" i="22"/>
  <c r="D151" i="23"/>
  <c r="C151" i="23"/>
  <c r="D151" i="24"/>
  <c r="C151" i="24"/>
  <c r="D151" i="25"/>
  <c r="C151" i="25"/>
  <c r="D151" i="26"/>
  <c r="C151" i="26"/>
  <c r="E2" i="1" l="1"/>
  <c r="B4" i="1"/>
</calcChain>
</file>

<file path=xl/sharedStrings.xml><?xml version="1.0" encoding="utf-8"?>
<sst xmlns="http://schemas.openxmlformats.org/spreadsheetml/2006/main" count="4083" uniqueCount="194">
  <si>
    <t>Company Name</t>
  </si>
  <si>
    <t>Apple</t>
  </si>
  <si>
    <t>Meta</t>
  </si>
  <si>
    <t>Microsoft</t>
  </si>
  <si>
    <t>Ford</t>
  </si>
  <si>
    <t>Procter &amp; Gamble</t>
  </si>
  <si>
    <t>Samsung</t>
  </si>
  <si>
    <t>Amazon</t>
  </si>
  <si>
    <t>NVIDIA</t>
  </si>
  <si>
    <t>Allianz</t>
  </si>
  <si>
    <t>L'Oreal</t>
  </si>
  <si>
    <t>LVMH</t>
  </si>
  <si>
    <t>Novo Nordisk</t>
  </si>
  <si>
    <t>Reliance Industries</t>
  </si>
  <si>
    <t>SAP</t>
  </si>
  <si>
    <t>Sony</t>
  </si>
  <si>
    <t>Tencent</t>
  </si>
  <si>
    <t>TotaleEnergies</t>
  </si>
  <si>
    <t>Toyota</t>
  </si>
  <si>
    <t>TSMC</t>
  </si>
  <si>
    <t>Volkswagen</t>
  </si>
  <si>
    <t>JP Morgan</t>
  </si>
  <si>
    <t>ASML</t>
  </si>
  <si>
    <t>BNP Paribas</t>
  </si>
  <si>
    <t>Eli Lilly</t>
  </si>
  <si>
    <t>ENI</t>
  </si>
  <si>
    <t>Apple Inc.</t>
  </si>
  <si>
    <t>Country of Revenue</t>
  </si>
  <si>
    <t>Country Geopolitical Risk Index</t>
  </si>
  <si>
    <t>Percentage of Revenues</t>
  </si>
  <si>
    <t>Percentage of Revenues Standardized</t>
  </si>
  <si>
    <t>Albania</t>
  </si>
  <si>
    <t>Algeria</t>
  </si>
  <si>
    <t>Main Data</t>
  </si>
  <si>
    <t>Angola</t>
  </si>
  <si>
    <t>Country</t>
  </si>
  <si>
    <t>Geopolitical Risk Index</t>
  </si>
  <si>
    <t>Value</t>
  </si>
  <si>
    <t>Argentina</t>
  </si>
  <si>
    <t>Minimum</t>
  </si>
  <si>
    <t>Armenia</t>
  </si>
  <si>
    <t>Maximum</t>
  </si>
  <si>
    <t>Australia</t>
  </si>
  <si>
    <t>Component - Revenues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</si>
  <si>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</si>
  <si>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</si>
  <si>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</si>
  <si>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</si>
  <si>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</si>
  <si>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</si>
  <si>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</si>
  <si>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</si>
  <si>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</si>
  <si>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</si>
  <si>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</si>
  <si>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</si>
  <si>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</si>
  <si>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</si>
  <si>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</si>
  <si>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</si>
  <si>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</si>
  <si>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</si>
  <si>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</si>
  <si>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</si>
  <si>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</si>
  <si>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</si>
  <si>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Includes Taiwan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</si>
  <si>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</si>
  <si>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</si>
  <si>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</si>
  <si>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</si>
  <si>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</si>
  <si>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</si>
  <si>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</si>
  <si>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</si>
  <si>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</si>
  <si>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</si>
  <si>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</si>
  <si>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</si>
  <si>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</si>
  <si>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</si>
  <si>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</si>
  <si>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</si>
  <si>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</si>
  <si>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</si>
  <si>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</si>
  <si>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</si>
  <si>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</si>
  <si>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</si>
  <si>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</si>
  <si>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</si>
  <si>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</si>
  <si>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</si>
  <si>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</si>
  <si>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</si>
  <si>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</si>
  <si>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</si>
  <si>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</si>
  <si>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</si>
  <si>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</si>
  <si>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</si>
  <si>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</si>
  <si>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</si>
  <si>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</si>
  <si>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</si>
  <si>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</si>
  <si>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</si>
  <si>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</si>
  <si>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</si>
  <si>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</si>
  <si>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</si>
  <si>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</si>
  <si>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</si>
  <si>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</si>
  <si>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</si>
  <si>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</si>
  <si>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</si>
  <si>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</si>
  <si>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</si>
  <si>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</si>
  <si>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</si>
  <si>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</si>
  <si>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</si>
  <si>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</si>
  <si>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</si>
  <si>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</si>
  <si>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</si>
  <si>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</si>
  <si>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</si>
  <si>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</si>
  <si>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</si>
  <si>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</si>
  <si>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</si>
  <si>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</si>
  <si>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</si>
  <si>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</si>
  <si>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</si>
  <si>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</si>
  <si>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</si>
  <si>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</si>
  <si>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</si>
  <si>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</si>
  <si>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</si>
  <si>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</si>
  <si>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</si>
  <si>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</si>
  <si>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</si>
  <si>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</si>
  <si>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</si>
  <si>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</si>
  <si>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</si>
  <si>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</si>
  <si>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</si>
  <si>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</si>
  <si>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</si>
  <si>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</si>
  <si>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</si>
  <si>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</si>
  <si>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</si>
  <si>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</si>
  <si>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</si>
  <si>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</si>
  <si>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</si>
  <si>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</si>
  <si>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</si>
  <si>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</si>
  <si>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</si>
  <si>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</si>
  <si>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</si>
  <si>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</si>
  <si>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</si>
  <si>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</si>
  <si>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</si>
  <si>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</si>
  <si>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</si>
  <si>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</si>
  <si>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</si>
  <si>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</si>
  <si>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</si>
  <si>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</si>
  <si>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</si>
  <si>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</si>
  <si>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</si>
  <si>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</si>
  <si>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</si>
  <si>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</si>
  <si>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TOTAL</t>
  </si>
  <si>
    <t>Total Energies</t>
  </si>
  <si>
    <t>Percentage of Revenues Raw</t>
  </si>
  <si>
    <t>Revenue Exposure - Intermediate Component</t>
  </si>
  <si>
    <t>HHI Index - Value</t>
  </si>
  <si>
    <t>HHI Index - Submultiplier</t>
  </si>
  <si>
    <t>HHI Index - Revenue Distribution</t>
  </si>
  <si>
    <t>Revenue Exposure - Final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</si>
</sst>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22"/>
      <color rgb="FF000000"/>
      <name val="Aptos Narrow"/>
      <scheme val="minor"/>
    </font>
    <font>
      <b/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1" applyNumberFormat="1" applyFont="1"/>
    <xf numFmtId="0" fontId="8" fillId="0" borderId="9" xfId="0" applyFont="1" applyBorder="1"/>
    <xf numFmtId="0" fontId="8" fillId="0" borderId="10" xfId="0" applyFont="1" applyBorder="1"/>
    <xf numFmtId="0" fontId="8" fillId="0" borderId="5" xfId="0" applyFont="1" applyBorder="1"/>
    <xf numFmtId="0" fontId="8" fillId="0" borderId="14" xfId="0" applyFont="1" applyBorder="1"/>
    <xf numFmtId="0" fontId="8" fillId="0" borderId="15" xfId="0" applyFont="1" applyBorder="1"/>
    <xf numFmtId="0" fontId="6" fillId="0" borderId="5" xfId="0" applyFont="1" applyBorder="1"/>
    <xf numFmtId="0" fontId="6" fillId="0" borderId="14" xfId="0" applyFont="1" applyBorder="1"/>
    <xf numFmtId="0" fontId="6" fillId="0" borderId="15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6" borderId="23" xfId="0" applyFont="1" applyFill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10" fontId="1" fillId="0" borderId="32" xfId="1" applyNumberFormat="1" applyFont="1" applyBorder="1"/>
    <xf numFmtId="0" fontId="9" fillId="7" borderId="33" xfId="0" applyFont="1" applyFill="1" applyBorder="1"/>
    <xf numFmtId="0" fontId="1" fillId="6" borderId="3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10" fontId="2" fillId="3" borderId="12" xfId="1" applyNumberFormat="1" applyFont="1" applyFill="1" applyBorder="1"/>
    <xf numFmtId="10" fontId="2" fillId="0" borderId="3" xfId="1" applyNumberFormat="1" applyFont="1" applyBorder="1"/>
    <xf numFmtId="10" fontId="2" fillId="3" borderId="3" xfId="1" applyNumberFormat="1" applyFont="1" applyFill="1" applyBorder="1"/>
    <xf numFmtId="10" fontId="2" fillId="3" borderId="4" xfId="1" applyNumberFormat="1" applyFont="1" applyFill="1" applyBorder="1"/>
    <xf numFmtId="10" fontId="2" fillId="4" borderId="2" xfId="0" applyNumberFormat="1" applyFont="1" applyFill="1" applyBorder="1"/>
    <xf numFmtId="10" fontId="11" fillId="2" borderId="18" xfId="1" applyNumberFormat="1" applyFont="1" applyFill="1" applyBorder="1"/>
    <xf numFmtId="10" fontId="11" fillId="0" borderId="3" xfId="1" applyNumberFormat="1" applyFont="1" applyBorder="1"/>
    <xf numFmtId="10" fontId="11" fillId="2" borderId="3" xfId="1" applyNumberFormat="1" applyFont="1" applyFill="1" applyBorder="1"/>
    <xf numFmtId="10" fontId="11" fillId="2" borderId="4" xfId="1" applyNumberFormat="1" applyFont="1" applyFill="1" applyBorder="1"/>
    <xf numFmtId="10" fontId="1" fillId="3" borderId="12" xfId="1" applyNumberFormat="1" applyFont="1" applyFill="1" applyBorder="1"/>
    <xf numFmtId="10" fontId="1" fillId="0" borderId="3" xfId="1" applyNumberFormat="1" applyFont="1" applyBorder="1"/>
    <xf numFmtId="10" fontId="1" fillId="3" borderId="3" xfId="1" applyNumberFormat="1" applyFont="1" applyFill="1" applyBorder="1"/>
    <xf numFmtId="10" fontId="1" fillId="3" borderId="4" xfId="1" applyNumberFormat="1" applyFont="1" applyFill="1" applyBorder="1"/>
    <xf numFmtId="0" fontId="2" fillId="4" borderId="2" xfId="0" applyFont="1" applyFill="1" applyBorder="1"/>
    <xf numFmtId="0" fontId="1" fillId="5" borderId="4" xfId="0" applyFont="1" applyFill="1" applyBorder="1"/>
    <xf numFmtId="10" fontId="12" fillId="2" borderId="18" xfId="1" applyNumberFormat="1" applyFont="1" applyFill="1" applyBorder="1"/>
    <xf numFmtId="10" fontId="12" fillId="0" borderId="3" xfId="1" applyNumberFormat="1" applyFont="1" applyBorder="1"/>
    <xf numFmtId="10" fontId="12" fillId="2" borderId="3" xfId="1" applyNumberFormat="1" applyFont="1" applyFill="1" applyBorder="1"/>
    <xf numFmtId="10" fontId="12" fillId="2" borderId="4" xfId="1" applyNumberFormat="1" applyFont="1" applyFill="1" applyBorder="1"/>
    <xf numFmtId="0" fontId="2" fillId="3" borderId="1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3" borderId="13" xfId="0" applyFont="1" applyFill="1" applyBorder="1"/>
    <xf numFmtId="0" fontId="11" fillId="2" borderId="17" xfId="0" applyFont="1" applyFill="1" applyBorder="1"/>
    <xf numFmtId="0" fontId="11" fillId="0" borderId="0" xfId="0" applyFont="1"/>
    <xf numFmtId="0" fontId="11" fillId="2" borderId="0" xfId="0" applyFont="1" applyFill="1"/>
    <xf numFmtId="0" fontId="11" fillId="2" borderId="8" xfId="0" applyFont="1" applyFill="1" applyBorder="1"/>
    <xf numFmtId="0" fontId="2" fillId="3" borderId="8" xfId="0" applyFont="1" applyFill="1" applyBorder="1"/>
    <xf numFmtId="10" fontId="1" fillId="0" borderId="0" xfId="1" applyNumberFormat="1" applyFont="1"/>
    <xf numFmtId="2" fontId="0" fillId="8" borderId="36" xfId="0" applyNumberFormat="1" applyFill="1" applyBorder="1" applyAlignment="1">
      <alignment horizontal="center" vertical="center"/>
    </xf>
    <xf numFmtId="0" fontId="10" fillId="9" borderId="16" xfId="0" applyFont="1" applyFill="1" applyBorder="1"/>
    <xf numFmtId="2" fontId="1" fillId="3" borderId="37" xfId="0" applyNumberFormat="1" applyFont="1" applyFill="1" applyBorder="1"/>
    <xf numFmtId="2" fontId="1" fillId="0" borderId="37" xfId="0" applyNumberFormat="1" applyFont="1" applyBorder="1"/>
    <xf numFmtId="2" fontId="10" fillId="9" borderId="35" xfId="0" applyNumberFormat="1" applyFont="1" applyFill="1" applyBorder="1"/>
    <xf numFmtId="0" fontId="10" fillId="9" borderId="2" xfId="0" applyFont="1" applyFill="1" applyBorder="1"/>
    <xf numFmtId="0" fontId="2" fillId="10" borderId="13" xfId="0" applyFont="1" applyFill="1" applyBorder="1"/>
    <xf numFmtId="0" fontId="11" fillId="2" borderId="39" xfId="0" applyFont="1" applyFill="1" applyBorder="1"/>
    <xf numFmtId="2" fontId="1" fillId="0" borderId="36" xfId="0" applyNumberFormat="1" applyFont="1" applyBorder="1"/>
    <xf numFmtId="0" fontId="1" fillId="0" borderId="40" xfId="0" applyFont="1" applyBorder="1"/>
    <xf numFmtId="0" fontId="11" fillId="0" borderId="39" xfId="0" applyFont="1" applyBorder="1"/>
    <xf numFmtId="0" fontId="11" fillId="3" borderId="39" xfId="0" applyFont="1" applyFill="1" applyBorder="1"/>
    <xf numFmtId="0" fontId="11" fillId="3" borderId="41" xfId="0" applyFont="1" applyFill="1" applyBorder="1"/>
    <xf numFmtId="0" fontId="13" fillId="10" borderId="4" xfId="0" applyFont="1" applyFill="1" applyBorder="1"/>
    <xf numFmtId="2" fontId="2" fillId="0" borderId="36" xfId="0" applyNumberFormat="1" applyFont="1" applyBorder="1"/>
    <xf numFmtId="0" fontId="2" fillId="10" borderId="16" xfId="0" applyFont="1" applyFill="1" applyBorder="1"/>
    <xf numFmtId="0" fontId="2" fillId="10" borderId="38" xfId="0" applyFont="1" applyFill="1" applyBorder="1"/>
    <xf numFmtId="0" fontId="14" fillId="7" borderId="0" xfId="0" applyFont="1" applyFill="1"/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2">
    <cellStyle name="Normale" xfId="0" builtinId="0"/>
    <cellStyle name="Percentuale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4"/>
      </font>
      <numFmt numFmtId="2" formatCode="0.0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colors>
    <mruColors>
      <color rgb="FFFF7674"/>
      <color rgb="FF73F1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16923-56E8-7043-BAF6-569646D886D5}" name="Tabella2" displayName="Tabella2" ref="A1:E26" totalsRowShown="0" tableBorderDxfId="14">
  <autoFilter ref="A1:E26" xr:uid="{13A16923-56E8-7043-BAF6-569646D886D5}"/>
  <tableColumns count="5">
    <tableColumn id="1" xr3:uid="{519EF7AA-C997-114C-AE85-4BCC9BBE7331}" name="Company Name" dataDxfId="13"/>
    <tableColumn id="2" xr3:uid="{2D41DE87-31E3-B540-B010-A30F0616BE69}" name="Revenue Exposure - Intermediate Component" dataDxfId="12"/>
    <tableColumn id="3" xr3:uid="{51C4AB08-0BB1-0847-8CAE-D58DE4CC083B}" name="HHI Index - Value" dataDxfId="0"/>
    <tableColumn id="4" xr3:uid="{6EF2E903-A2E9-1D42-BBD5-2467C7F126B2}" name="HHI Index - Submultiplier" dataDxfId="2">
      <calculatedColumnFormula>'HHI Index Submultiplier'!C2</calculatedColumnFormula>
    </tableColumn>
    <tableColumn id="5" xr3:uid="{F4C4F53F-AA98-2347-A9CD-11FB113E5467}" name="Revenue Exposure - Final Component" dataDxfId="1">
      <calculatedColumnFormula>Tabella2[[#This Row],[Revenue Exposure - Intermediate Component]]*Tabella2[[#This Row],[HHI Index - Submultiplier]]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02FA7-6C17-4340-88D0-045D1A8229D1}" name="Tabella28" displayName="Tabella28" ref="A1:C26" totalsRowShown="0" headerRowDxfId="11" dataDxfId="9" headerRowBorderDxfId="10" tableBorderDxfId="8" totalsRowBorderDxfId="7">
  <autoFilter ref="A1:C26" xr:uid="{07602FA7-6C17-4340-88D0-045D1A8229D1}"/>
  <tableColumns count="3">
    <tableColumn id="1" xr3:uid="{95EE4448-5535-4741-82C6-A35DA8EFA86A}" name="Company Name" dataDxfId="6"/>
    <tableColumn id="2" xr3:uid="{6CB57A4B-7654-E847-AAD1-F0FC72663D46}" name="HHI Index - Revenue Distribution" dataDxfId="5">
      <calculatedColumnFormula>SUMPRODUCT('Country of Revenues - Allianz'!$D$4:$D$150,'Country of Revenues - Allianz'!$D$4:$D$150)</calculatedColumnFormula>
    </tableColumn>
    <tableColumn id="5" xr3:uid="{58F63298-91EC-D646-AD54-E92E7056E561}" name="HHI Index - Submultiplier" dataDxfId="4">
      <calculatedColumnFormula>IF(B2&lt;0.15,0.9,
IF(B2&lt;0.25,1,
IF(B2&lt;0.4,1.1,
IF(B2&lt;0.6,1.25,
1.5))))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D037-03D5-624D-A602-7C2EC9723D23}">
  <sheetPr>
    <tabColor theme="7" tint="0.59999389629810485"/>
  </sheetPr>
  <dimension ref="A1:E26"/>
  <sheetViews>
    <sheetView workbookViewId="0">
      <selection activeCell="C15" sqref="C15"/>
    </sheetView>
  </sheetViews>
  <sheetFormatPr baseColWidth="10" defaultColWidth="11" defaultRowHeight="16" x14ac:dyDescent="0.2"/>
  <cols>
    <col min="1" max="1" width="19.83203125" bestFit="1" customWidth="1"/>
    <col min="2" max="2" width="46.33203125" customWidth="1"/>
    <col min="3" max="3" width="20" customWidth="1"/>
    <col min="4" max="4" width="27.6640625" customWidth="1"/>
    <col min="5" max="5" width="39.83203125" bestFit="1" customWidth="1"/>
  </cols>
  <sheetData>
    <row r="1" spans="1:5" ht="19" x14ac:dyDescent="0.25">
      <c r="A1" s="60" t="s">
        <v>0</v>
      </c>
      <c r="B1" s="74" t="s">
        <v>189</v>
      </c>
      <c r="C1" s="75" t="s">
        <v>190</v>
      </c>
      <c r="D1" s="74" t="s">
        <v>191</v>
      </c>
      <c r="E1" s="76" t="s">
        <v>193</v>
      </c>
    </row>
    <row r="2" spans="1:5" ht="19" x14ac:dyDescent="0.25">
      <c r="A2" s="73" t="s">
        <v>9</v>
      </c>
      <c r="B2" s="61">
        <f>'Country of Revenues - Allianz'!$J$9</f>
        <v>3.7720216483913744</v>
      </c>
      <c r="C2" s="67">
        <f>SUMPRODUCT('Country of Revenues - Allianz'!$D$4:$D$150,'Country of Revenues - Allianz'!$D$4:$D$150)</f>
        <v>9.2718980213814098E-2</v>
      </c>
      <c r="D2" s="61">
        <f>'HHI Index Submultiplier'!C2</f>
        <v>0.9</v>
      </c>
      <c r="E2" s="61">
        <f>Tabella2[[#This Row],[Revenue Exposure - Intermediate Component]]*Tabella2[[#This Row],[HHI Index - Submultiplier]]</f>
        <v>3.3948194835522369</v>
      </c>
    </row>
    <row r="3" spans="1:5" ht="19" x14ac:dyDescent="0.25">
      <c r="A3" s="73" t="s">
        <v>7</v>
      </c>
      <c r="B3" s="61">
        <f>'Country of Revenues - Amazon'!$J$9</f>
        <v>4.0292105155147819</v>
      </c>
      <c r="C3" s="67">
        <f>SUMPRODUCT('Country of Revenues - Amazon'!$D$4:$D$150,'Country of Revenues - Amazon'!$D$4:$D$150)</f>
        <v>0.65874178174350972</v>
      </c>
      <c r="D3" s="61">
        <f>'HHI Index Submultiplier'!C3</f>
        <v>1.5</v>
      </c>
      <c r="E3" s="61">
        <f>Tabella2[[#This Row],[Revenue Exposure - Intermediate Component]]*Tabella2[[#This Row],[HHI Index - Submultiplier]]</f>
        <v>6.0438157732721729</v>
      </c>
    </row>
    <row r="4" spans="1:5" ht="19" x14ac:dyDescent="0.25">
      <c r="A4" s="73" t="s">
        <v>1</v>
      </c>
      <c r="B4" s="61">
        <f>'Country of Revenues - Apple'!$J$9</f>
        <v>4.1049432163174231</v>
      </c>
      <c r="C4" s="67">
        <f>SUMPRODUCT('Country of Revenues - Apple'!$D$4:$D$150,'Country of Revenues - Apple'!$D$4:$D$150)</f>
        <v>0.23058349155441957</v>
      </c>
      <c r="D4" s="61">
        <f>'HHI Index Submultiplier'!C4</f>
        <v>1</v>
      </c>
      <c r="E4" s="61">
        <f>Tabella2[[#This Row],[Revenue Exposure - Intermediate Component]]*Tabella2[[#This Row],[HHI Index - Submultiplier]]</f>
        <v>4.1049432163174231</v>
      </c>
    </row>
    <row r="5" spans="1:5" ht="19" x14ac:dyDescent="0.25">
      <c r="A5" s="73" t="s">
        <v>22</v>
      </c>
      <c r="B5" s="62">
        <f>'Country of Revenues - ASML'!$J$9</f>
        <v>4.0105682808258125</v>
      </c>
      <c r="C5" s="67">
        <f>SUMPRODUCT('Country of Revenues - ASML'!$D$4:$D$150,'Country of Revenues - ASML'!$D$4:$D$150)</f>
        <v>0.39167225044914439</v>
      </c>
      <c r="D5" s="62">
        <f>'HHI Index Submultiplier'!C5</f>
        <v>1.1000000000000001</v>
      </c>
      <c r="E5" s="62">
        <f>Tabella2[[#This Row],[Revenue Exposure - Intermediate Component]]*Tabella2[[#This Row],[HHI Index - Submultiplier]]</f>
        <v>4.4116251089083942</v>
      </c>
    </row>
    <row r="6" spans="1:5" ht="19" x14ac:dyDescent="0.25">
      <c r="A6" s="73" t="s">
        <v>23</v>
      </c>
      <c r="B6" s="61">
        <f>'Country of Revenues - BNP'!$J$9</f>
        <v>3.7290288133781155</v>
      </c>
      <c r="C6" s="67">
        <f>SUMPRODUCT('Country of Revenues - BNP'!$D$4:$D$150,'Country of Revenues - BNP'!$D$4:$D$150)</f>
        <v>0.12116873622300038</v>
      </c>
      <c r="D6" s="61">
        <f>'HHI Index Submultiplier'!C6</f>
        <v>0.9</v>
      </c>
      <c r="E6" s="61">
        <f>Tabella2[[#This Row],[Revenue Exposure - Intermediate Component]]*Tabella2[[#This Row],[HHI Index - Submultiplier]]</f>
        <v>3.3561259320403041</v>
      </c>
    </row>
    <row r="7" spans="1:5" ht="19" x14ac:dyDescent="0.25">
      <c r="A7" s="73" t="s">
        <v>24</v>
      </c>
      <c r="B7" s="62">
        <f>'Country of Revenues - Eli LIlly'!$J$9</f>
        <v>4.1002007312436222</v>
      </c>
      <c r="C7" s="67">
        <f>SUMPRODUCT('Country of Revenues - Eli LIlly'!$D$4:$D$150,'Country of Revenues - Eli LIlly'!$D$4:$D$150)</f>
        <v>0.16582393669260242</v>
      </c>
      <c r="D7" s="62">
        <f>'HHI Index Submultiplier'!C7</f>
        <v>1</v>
      </c>
      <c r="E7" s="62">
        <f>Tabella2[[#This Row],[Revenue Exposure - Intermediate Component]]*Tabella2[[#This Row],[HHI Index - Submultiplier]]</f>
        <v>4.1002007312436222</v>
      </c>
    </row>
    <row r="8" spans="1:5" ht="19" x14ac:dyDescent="0.25">
      <c r="A8" s="73" t="s">
        <v>25</v>
      </c>
      <c r="B8" s="61">
        <f>'Country of Revenues - ENI'!$J$9</f>
        <v>3.9368104426669146</v>
      </c>
      <c r="C8" s="67">
        <f>SUMPRODUCT('Country of Revenues - ENI'!$D$4:$D$150,'Country of Revenues - ENI'!$D$4:$D$150)</f>
        <v>0.18768843280045519</v>
      </c>
      <c r="D8" s="61">
        <f>'HHI Index Submultiplier'!C8</f>
        <v>1</v>
      </c>
      <c r="E8" s="61">
        <f>Tabella2[[#This Row],[Revenue Exposure - Intermediate Component]]*Tabella2[[#This Row],[HHI Index - Submultiplier]]</f>
        <v>3.9368104426669146</v>
      </c>
    </row>
    <row r="9" spans="1:5" ht="19" x14ac:dyDescent="0.25">
      <c r="A9" s="73" t="s">
        <v>4</v>
      </c>
      <c r="B9" s="62">
        <f>'Country of Revenues - Ford'!$J$9</f>
        <v>4.0784836148139307</v>
      </c>
      <c r="C9" s="67">
        <f>SUMPRODUCT('Country of Revenues - Ford'!$D$4:$D$150,'Country of Revenues - Ford'!$D$4:$D$150)</f>
        <v>0.59893054140241708</v>
      </c>
      <c r="D9" s="62">
        <f>'HHI Index Submultiplier'!C9</f>
        <v>1.25</v>
      </c>
      <c r="E9" s="62">
        <f>Tabella2[[#This Row],[Revenue Exposure - Intermediate Component]]*Tabella2[[#This Row],[HHI Index - Submultiplier]]</f>
        <v>5.0981045185174132</v>
      </c>
    </row>
    <row r="10" spans="1:5" ht="19" x14ac:dyDescent="0.25">
      <c r="A10" s="73" t="s">
        <v>21</v>
      </c>
      <c r="B10" s="61">
        <f>'Country of Revenues - JP Morgan'!$J$9</f>
        <v>4.0328984623448072</v>
      </c>
      <c r="C10" s="67">
        <f>SUMPRODUCT('Country of Revenues - JP Morgan'!$D$4:$D$150,'Country of Revenues - JP Morgan'!$D$4:$D$150)</f>
        <v>0.52924521393773272</v>
      </c>
      <c r="D10" s="61">
        <f>'HHI Index Submultiplier'!C10</f>
        <v>1.25</v>
      </c>
      <c r="E10" s="61">
        <f>Tabella2[[#This Row],[Revenue Exposure - Intermediate Component]]*Tabella2[[#This Row],[HHI Index - Submultiplier]]</f>
        <v>5.041123077931009</v>
      </c>
    </row>
    <row r="11" spans="1:5" ht="19" x14ac:dyDescent="0.25">
      <c r="A11" s="73" t="s">
        <v>10</v>
      </c>
      <c r="B11" s="62">
        <f>'Country of Revenues - Oreal'!J9</f>
        <v>4.0242963704895498</v>
      </c>
      <c r="C11" s="67">
        <f>SUMPRODUCT('Country of Revenues - Oreal'!$D$4:$D$150,'Country of Revenues - Oreal'!$D$4:$D$150)</f>
        <v>0.15308301177190325</v>
      </c>
      <c r="D11" s="62">
        <f>'HHI Index Submultiplier'!C11</f>
        <v>1</v>
      </c>
      <c r="E11" s="62">
        <f>Tabella2[[#This Row],[Revenue Exposure - Intermediate Component]]*Tabella2[[#This Row],[HHI Index - Submultiplier]]</f>
        <v>4.0242963704895498</v>
      </c>
    </row>
    <row r="12" spans="1:5" ht="19" x14ac:dyDescent="0.25">
      <c r="A12" s="73" t="s">
        <v>11</v>
      </c>
      <c r="B12" s="61">
        <f>'Country of Revenues - LVMH'!$J$9</f>
        <v>4.0610136651551283</v>
      </c>
      <c r="C12" s="67">
        <f>SUMPRODUCT('Country of Revenues - LVMH'!$D$4:$D$150,'Country of Revenues - LVMH'!$D$4:$D$150)</f>
        <v>0.16976330854406524</v>
      </c>
      <c r="D12" s="61">
        <f>'HHI Index Submultiplier'!C12</f>
        <v>1</v>
      </c>
      <c r="E12" s="61">
        <f>Tabella2[[#This Row],[Revenue Exposure - Intermediate Component]]*Tabella2[[#This Row],[HHI Index - Submultiplier]]</f>
        <v>4.0610136651551283</v>
      </c>
    </row>
    <row r="13" spans="1:5" ht="19" x14ac:dyDescent="0.25">
      <c r="A13" s="73" t="s">
        <v>2</v>
      </c>
      <c r="B13" s="62">
        <f>'Country of Revenues - Meta'!$J$9</f>
        <v>4.0756275288239578</v>
      </c>
      <c r="C13" s="67">
        <f>SUMPRODUCT('Country of Revenues - Meta'!$D$4:$D$150,'Country of Revenues - Meta'!$D$4:$D$150)</f>
        <v>0.22300630009053132</v>
      </c>
      <c r="D13" s="62">
        <f>'HHI Index Submultiplier'!C13</f>
        <v>1</v>
      </c>
      <c r="E13" s="62">
        <f>Tabella2[[#This Row],[Revenue Exposure - Intermediate Component]]*Tabella2[[#This Row],[HHI Index - Submultiplier]]</f>
        <v>4.0756275288239578</v>
      </c>
    </row>
    <row r="14" spans="1:5" ht="19" x14ac:dyDescent="0.25">
      <c r="A14" s="73" t="s">
        <v>3</v>
      </c>
      <c r="B14" s="61">
        <f>'Country of Revenues - Microsoft'!$J$9</f>
        <v>4.1699698181640921</v>
      </c>
      <c r="C14" s="67">
        <f>SUMPRODUCT('Country of Revenues - Microsoft'!$D$4:$D$150,'Country of Revenues - Microsoft'!$D$4:$D$150)</f>
        <v>0.40182631793021228</v>
      </c>
      <c r="D14" s="61">
        <f>'HHI Index Submultiplier'!C14</f>
        <v>1.25</v>
      </c>
      <c r="E14" s="61">
        <f>Tabella2[[#This Row],[Revenue Exposure - Intermediate Component]]*Tabella2[[#This Row],[HHI Index - Submultiplier]]</f>
        <v>5.2124622727051149</v>
      </c>
    </row>
    <row r="15" spans="1:5" ht="19" x14ac:dyDescent="0.25">
      <c r="A15" s="73" t="s">
        <v>12</v>
      </c>
      <c r="B15" s="62">
        <f>'Country of Revenues - Nordisk'!$J$9</f>
        <v>4.1369088689340092</v>
      </c>
      <c r="C15" s="67">
        <f>SUMPRODUCT('Country of Revenues - Nordisk'!$D$4:$D$150,'Country of Revenues - Nordisk'!$D$4:$D$150)</f>
        <v>0.43061928786284431</v>
      </c>
      <c r="D15" s="62">
        <f>'HHI Index Submultiplier'!C15</f>
        <v>1.25</v>
      </c>
      <c r="E15" s="62">
        <f>Tabella2[[#This Row],[Revenue Exposure - Intermediate Component]]*Tabella2[[#This Row],[HHI Index - Submultiplier]]</f>
        <v>5.1711360861675111</v>
      </c>
    </row>
    <row r="16" spans="1:5" ht="19" x14ac:dyDescent="0.25">
      <c r="A16" s="73" t="s">
        <v>8</v>
      </c>
      <c r="B16" s="62">
        <f>'Country of Revenues - NVIDIA'!$J$9</f>
        <v>4.2089875687093015</v>
      </c>
      <c r="C16" s="67">
        <f>SUMPRODUCT('Country of Revenues - NVIDIA'!$D$4:$D$150,'Country of Revenues - NVIDIA'!$D$4:$D$150)</f>
        <v>0.59301667857108264</v>
      </c>
      <c r="D16" s="62">
        <f>'HHI Index Submultiplier'!C16</f>
        <v>1.25</v>
      </c>
      <c r="E16" s="62">
        <f>Tabella2[[#This Row],[Revenue Exposure - Intermediate Component]]*Tabella2[[#This Row],[HHI Index - Submultiplier]]</f>
        <v>5.2612344608866266</v>
      </c>
    </row>
    <row r="17" spans="1:5" ht="19" x14ac:dyDescent="0.25">
      <c r="A17" s="73" t="s">
        <v>5</v>
      </c>
      <c r="B17" s="61">
        <f>'Country of Revenues - P&amp;G'!$J$9</f>
        <v>4.1662734947670081</v>
      </c>
      <c r="C17" s="67">
        <f>SUMPRODUCT('Country of Revenues - P&amp;G'!$D$4:$D$150,'Country of Revenues - P&amp;G'!$D$4:$D$150)</f>
        <v>0.36840581496711255</v>
      </c>
      <c r="D17" s="61">
        <f>'HHI Index Submultiplier'!C17</f>
        <v>1.1000000000000001</v>
      </c>
      <c r="E17" s="61">
        <f>Tabella2[[#This Row],[Revenue Exposure - Intermediate Component]]*Tabella2[[#This Row],[HHI Index - Submultiplier]]</f>
        <v>4.5829008442437091</v>
      </c>
    </row>
    <row r="18" spans="1:5" ht="19" x14ac:dyDescent="0.25">
      <c r="A18" s="73" t="s">
        <v>13</v>
      </c>
      <c r="B18" s="61">
        <f>'Country of Revenues - Reliance'!$J$9</f>
        <v>4.9082044936366929</v>
      </c>
      <c r="C18" s="67">
        <f>SUMPRODUCT('Country of Revenues - Reliance'!$D$4:$D$150,'Country of Revenues - Reliance'!$D$4:$D$150)</f>
        <v>0.69171595972788547</v>
      </c>
      <c r="D18" s="61">
        <f>'HHI Index Submultiplier'!C18</f>
        <v>1.5</v>
      </c>
      <c r="E18" s="61">
        <f>Tabella2[[#This Row],[Revenue Exposure - Intermediate Component]]*Tabella2[[#This Row],[HHI Index - Submultiplier]]</f>
        <v>7.3623067404550397</v>
      </c>
    </row>
    <row r="19" spans="1:5" ht="19" x14ac:dyDescent="0.25">
      <c r="A19" s="73" t="s">
        <v>6</v>
      </c>
      <c r="B19" s="62">
        <f>'Country of Revenues - Samsung'!$J$9</f>
        <v>4.0305108185247978</v>
      </c>
      <c r="C19" s="67">
        <f>SUMPRODUCT('Country of Revenues - Samsung'!$D$4:$D$150,'Country of Revenues - Samsung'!$D$4:$D$150)</f>
        <v>0.17706430599658435</v>
      </c>
      <c r="D19" s="62">
        <f>'HHI Index Submultiplier'!C19</f>
        <v>1</v>
      </c>
      <c r="E19" s="62">
        <f>Tabella2[[#This Row],[Revenue Exposure - Intermediate Component]]*Tabella2[[#This Row],[HHI Index - Submultiplier]]</f>
        <v>4.0305108185247978</v>
      </c>
    </row>
    <row r="20" spans="1:5" ht="19" x14ac:dyDescent="0.25">
      <c r="A20" s="73" t="s">
        <v>14</v>
      </c>
      <c r="B20" s="62">
        <f>'Country of Revenues - SAP'!$J$9</f>
        <v>3.9690702989567925</v>
      </c>
      <c r="C20" s="67">
        <f>SUMPRODUCT('Country of Revenues - SAP'!$D$4:$D$150,'Country of Revenues - SAP'!$D$4:$D$150)</f>
        <v>0.2802919132054868</v>
      </c>
      <c r="D20" s="62">
        <f>'HHI Index Submultiplier'!C20</f>
        <v>1.1000000000000001</v>
      </c>
      <c r="E20" s="62">
        <f>Tabella2[[#This Row],[Revenue Exposure - Intermediate Component]]*Tabella2[[#This Row],[HHI Index - Submultiplier]]</f>
        <v>4.3659773288524724</v>
      </c>
    </row>
    <row r="21" spans="1:5" ht="19" x14ac:dyDescent="0.25">
      <c r="A21" s="73" t="s">
        <v>15</v>
      </c>
      <c r="B21" s="61">
        <f>'Country of Revenues - Sony'!$J$9</f>
        <v>3.9318580373530141</v>
      </c>
      <c r="C21" s="67">
        <f>SUMPRODUCT('Country of Revenues - Sony'!$D$4:$D$150,'Country of Revenues - Sony'!$D$4:$D$150)</f>
        <v>0.16957249405570279</v>
      </c>
      <c r="D21" s="61">
        <f>'HHI Index Submultiplier'!C21</f>
        <v>1</v>
      </c>
      <c r="E21" s="61">
        <f>Tabella2[[#This Row],[Revenue Exposure - Intermediate Component]]*Tabella2[[#This Row],[HHI Index - Submultiplier]]</f>
        <v>3.9318580373530141</v>
      </c>
    </row>
    <row r="22" spans="1:5" ht="19" x14ac:dyDescent="0.25">
      <c r="A22" s="73" t="s">
        <v>16</v>
      </c>
      <c r="B22" s="62">
        <f>'Country of Revenues - Tencent'!$J$9</f>
        <v>4.2558827981073541</v>
      </c>
      <c r="C22" s="67">
        <f>SUMPRODUCT('Country of Revenues - Tencent'!$D$4:$D$150,'Country of Revenues - Tencent'!$D$4:$D$150)</f>
        <v>1</v>
      </c>
      <c r="D22" s="62">
        <f>'HHI Index Submultiplier'!C22</f>
        <v>1.5</v>
      </c>
      <c r="E22" s="62">
        <f>Tabella2[[#This Row],[Revenue Exposure - Intermediate Component]]*Tabella2[[#This Row],[HHI Index - Submultiplier]]</f>
        <v>6.3838241971610312</v>
      </c>
    </row>
    <row r="23" spans="1:5" ht="19" x14ac:dyDescent="0.25">
      <c r="A23" s="73" t="s">
        <v>17</v>
      </c>
      <c r="B23" s="61">
        <f>'Country of Revenues - Total En'!$J$9</f>
        <v>3.8600720695477033</v>
      </c>
      <c r="C23" s="67">
        <f>SUMPRODUCT('Country of Revenues - Total En'!$D$4:$D$150,'Country of Revenues - Total En'!$D$4:$D$150)</f>
        <v>0.1324343078876124</v>
      </c>
      <c r="D23" s="61">
        <f>'HHI Index Submultiplier'!C23</f>
        <v>0.9</v>
      </c>
      <c r="E23" s="61">
        <f>Tabella2[[#This Row],[Revenue Exposure - Intermediate Component]]*Tabella2[[#This Row],[HHI Index - Submultiplier]]</f>
        <v>3.4740648625929329</v>
      </c>
    </row>
    <row r="24" spans="1:5" ht="19" x14ac:dyDescent="0.25">
      <c r="A24" s="73" t="s">
        <v>18</v>
      </c>
      <c r="B24" s="62">
        <f>'Country of Revenues - Toyota'!$J$9</f>
        <v>4.0129565213980154</v>
      </c>
      <c r="C24" s="67">
        <f>SUMPRODUCT('Country of Revenues - Toyota'!$D$4:$D$150,'Country of Revenues - Toyota'!$D$4:$D$150)</f>
        <v>0.24135179321089978</v>
      </c>
      <c r="D24" s="62">
        <f>'HHI Index Submultiplier'!C24</f>
        <v>1</v>
      </c>
      <c r="E24" s="62">
        <f>Tabella2[[#This Row],[Revenue Exposure - Intermediate Component]]*Tabella2[[#This Row],[HHI Index - Submultiplier]]</f>
        <v>4.0129565213980154</v>
      </c>
    </row>
    <row r="25" spans="1:5" ht="19" x14ac:dyDescent="0.25">
      <c r="A25" s="73" t="s">
        <v>19</v>
      </c>
      <c r="B25" s="61">
        <f>'Country of Revenues - TSMC'!$J$9</f>
        <v>4.1677912999297027</v>
      </c>
      <c r="C25" s="67">
        <f>SUMPRODUCT('Country of Revenues - TSMC'!$D$4:$D$150,'Country of Revenues - TSMC'!$D$4:$D$150)</f>
        <v>0.64773113531755655</v>
      </c>
      <c r="D25" s="61">
        <f>'HHI Index Submultiplier'!C25</f>
        <v>1.5</v>
      </c>
      <c r="E25" s="61">
        <f>Tabella2[[#This Row],[Revenue Exposure - Intermediate Component]]*Tabella2[[#This Row],[HHI Index - Submultiplier]]</f>
        <v>6.2516869498945535</v>
      </c>
    </row>
    <row r="26" spans="1:5" ht="19" x14ac:dyDescent="0.25">
      <c r="A26" s="73" t="s">
        <v>20</v>
      </c>
      <c r="B26" s="62">
        <f>'Country of Revenues - VW'!$J$9</f>
        <v>3.8082591859434998</v>
      </c>
      <c r="C26" s="67">
        <f>SUMPRODUCT('Country of Revenues - VW'!$D$4:$D$150,'Country of Revenues - VW'!$D$4:$D$150)</f>
        <v>0.11745963854155091</v>
      </c>
      <c r="D26" s="62">
        <f>'HHI Index Submultiplier'!C26</f>
        <v>0.9</v>
      </c>
      <c r="E26" s="62">
        <f>Tabella2[[#This Row],[Revenue Exposure - Intermediate Component]]*Tabella2[[#This Row],[HHI Index - Submultiplier]]</f>
        <v>3.4274332673491497</v>
      </c>
    </row>
  </sheetData>
  <sortState xmlns:xlrd2="http://schemas.microsoft.com/office/spreadsheetml/2017/richdata2" ref="A2:D26">
    <sortCondition ref="A2:A26"/>
  </sortState>
  <conditionalFormatting sqref="B2:B26">
    <cfRule type="colorScale" priority="8">
      <colorScale>
        <cfvo type="min"/>
        <cfvo type="percentile" val="50"/>
        <cfvo type="max"/>
        <color rgb="FF00B050"/>
        <color theme="0"/>
        <color rgb="FFFF7674"/>
      </colorScale>
    </cfRule>
    <cfRule type="colorScale" priority="9">
      <colorScale>
        <cfvo type="min"/>
        <cfvo type="percentile" val="50"/>
        <cfvo type="max"/>
        <color rgb="FF73F187"/>
        <color theme="0"/>
        <color rgb="FFFF7674"/>
      </colorScale>
    </cfRule>
    <cfRule type="colorScale" priority="10">
      <colorScale>
        <cfvo type="min"/>
        <cfvo type="percentile" val="50"/>
        <cfvo type="max"/>
        <color rgb="FF73F187"/>
        <color theme="0"/>
        <color rgb="FFFF7674"/>
      </colorScale>
    </cfRule>
  </conditionalFormatting>
  <conditionalFormatting sqref="E2:E26">
    <cfRule type="colorScale" priority="1">
      <colorScale>
        <cfvo type="min"/>
        <cfvo type="percentile" val="50"/>
        <cfvo type="max"/>
        <color rgb="FF00B050"/>
        <color theme="0"/>
        <color rgb="FFFF7674"/>
      </colorScale>
    </cfRule>
    <cfRule type="colorScale" priority="2">
      <colorScale>
        <cfvo type="min"/>
        <cfvo type="percentile" val="50"/>
        <cfvo type="max"/>
        <color rgb="FF73F187"/>
        <color theme="0"/>
        <color rgb="FFFF7674"/>
      </colorScale>
    </cfRule>
    <cfRule type="colorScale" priority="3">
      <colorScale>
        <cfvo type="min"/>
        <cfvo type="percentile" val="50"/>
        <cfvo type="max"/>
        <color rgb="FF73F187"/>
        <color theme="0"/>
        <color rgb="FFFF7674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855A-1A9C-B442-8294-3E3C715D3615}">
  <dimension ref="A1:C26"/>
  <sheetViews>
    <sheetView tabSelected="1" workbookViewId="0">
      <selection activeCell="C3" sqref="C3"/>
    </sheetView>
  </sheetViews>
  <sheetFormatPr baseColWidth="10" defaultRowHeight="16" x14ac:dyDescent="0.2"/>
  <cols>
    <col min="1" max="1" width="19.83203125" bestFit="1" customWidth="1"/>
    <col min="2" max="2" width="36.33203125" bestFit="1" customWidth="1"/>
    <col min="3" max="3" width="46.6640625" bestFit="1" customWidth="1"/>
    <col min="4" max="4" width="20.33203125" bestFit="1" customWidth="1"/>
    <col min="5" max="5" width="28.1640625" bestFit="1" customWidth="1"/>
  </cols>
  <sheetData>
    <row r="1" spans="1:3" ht="19" x14ac:dyDescent="0.25">
      <c r="A1" s="64" t="s">
        <v>0</v>
      </c>
      <c r="B1" s="72" t="s">
        <v>192</v>
      </c>
      <c r="C1" s="65" t="s">
        <v>191</v>
      </c>
    </row>
    <row r="2" spans="1:3" ht="19" x14ac:dyDescent="0.25">
      <c r="A2" s="66" t="s">
        <v>9</v>
      </c>
      <c r="B2" s="67">
        <f>SUMPRODUCT('Country of Revenues - Allianz'!$D$4:$D$150,'Country of Revenues - Allianz'!$D$4:$D$150)</f>
        <v>9.2718980213814098E-2</v>
      </c>
      <c r="C2" s="68">
        <f>IF(B2&lt;0.15,0.9,
IF(B2&lt;0.25,1,
IF(B2&lt;0.4,1.1,
IF(B2&lt;0.6,1.25,
1.5))))</f>
        <v>0.9</v>
      </c>
    </row>
    <row r="3" spans="1:3" ht="19" x14ac:dyDescent="0.25">
      <c r="A3" s="66" t="s">
        <v>7</v>
      </c>
      <c r="B3" s="67">
        <f>SUMPRODUCT('Country of Revenues - Amazon'!$D$4:$D$150,'Country of Revenues - Amazon'!$D$4:$D$150)</f>
        <v>0.65874178174350972</v>
      </c>
      <c r="C3" s="68">
        <f t="shared" ref="C3:C26" si="0">IF(B3&lt;0.15,0.9,
IF(B3&lt;0.25,1,
IF(B3&lt;0.4,1.1,
IF(B3&lt;0.6,1.25,
1.5))))</f>
        <v>1.5</v>
      </c>
    </row>
    <row r="4" spans="1:3" ht="19" x14ac:dyDescent="0.25">
      <c r="A4" s="66" t="s">
        <v>1</v>
      </c>
      <c r="B4" s="67">
        <f>SUMPRODUCT('Country of Revenues - Apple'!$D$4:$D$150,'Country of Revenues - Apple'!$D$4:$D$150)</f>
        <v>0.23058349155441957</v>
      </c>
      <c r="C4" s="68">
        <f t="shared" si="0"/>
        <v>1</v>
      </c>
    </row>
    <row r="5" spans="1:3" ht="19" x14ac:dyDescent="0.25">
      <c r="A5" s="69" t="s">
        <v>22</v>
      </c>
      <c r="B5" s="67">
        <f>SUMPRODUCT('Country of Revenues - ASML'!$D$4:$D$150,'Country of Revenues - ASML'!$D$4:$D$150)</f>
        <v>0.39167225044914439</v>
      </c>
      <c r="C5" s="68">
        <f t="shared" si="0"/>
        <v>1.1000000000000001</v>
      </c>
    </row>
    <row r="6" spans="1:3" ht="19" x14ac:dyDescent="0.25">
      <c r="A6" s="66" t="s">
        <v>23</v>
      </c>
      <c r="B6" s="67">
        <f>SUMPRODUCT('Country of Revenues - BNP'!$D$4:$D$150,'Country of Revenues - BNP'!$D$4:$D$150)</f>
        <v>0.12116873622300038</v>
      </c>
      <c r="C6" s="68">
        <f>IF(B6&lt;0.15,0.9,
IF(B6&lt;0.25,1,
IF(B6&lt;0.4,1.1,
IF(B6&lt;0.6,1.25,
1.5))))</f>
        <v>0.9</v>
      </c>
    </row>
    <row r="7" spans="1:3" ht="19" x14ac:dyDescent="0.25">
      <c r="A7" s="69" t="s">
        <v>24</v>
      </c>
      <c r="B7" s="67">
        <f>SUMPRODUCT('Country of Revenues - Eli LIlly'!$D$4:$D$150,'Country of Revenues - Eli LIlly'!$D$4:$D$150)</f>
        <v>0.16582393669260242</v>
      </c>
      <c r="C7" s="68">
        <f t="shared" si="0"/>
        <v>1</v>
      </c>
    </row>
    <row r="8" spans="1:3" ht="19" x14ac:dyDescent="0.25">
      <c r="A8" s="66" t="s">
        <v>25</v>
      </c>
      <c r="B8" s="67">
        <f>SUMPRODUCT('Country of Revenues - ENI'!$D$4:$D$150,'Country of Revenues - ENI'!$D$4:$D$150)</f>
        <v>0.18768843280045519</v>
      </c>
      <c r="C8" s="68">
        <f t="shared" si="0"/>
        <v>1</v>
      </c>
    </row>
    <row r="9" spans="1:3" ht="19" x14ac:dyDescent="0.25">
      <c r="A9" s="69" t="s">
        <v>4</v>
      </c>
      <c r="B9" s="67">
        <f>SUMPRODUCT('Country of Revenues - Ford'!$D$4:$D$150,'Country of Revenues - Ford'!$D$4:$D$150)</f>
        <v>0.59893054140241708</v>
      </c>
      <c r="C9" s="68">
        <f t="shared" si="0"/>
        <v>1.25</v>
      </c>
    </row>
    <row r="10" spans="1:3" ht="19" x14ac:dyDescent="0.25">
      <c r="A10" s="66" t="s">
        <v>21</v>
      </c>
      <c r="B10" s="67">
        <f>SUMPRODUCT('Country of Revenues - JP Morgan'!$D$4:$D$150,'Country of Revenues - JP Morgan'!$D$4:$D$150)</f>
        <v>0.52924521393773272</v>
      </c>
      <c r="C10" s="68">
        <f t="shared" si="0"/>
        <v>1.25</v>
      </c>
    </row>
    <row r="11" spans="1:3" ht="19" x14ac:dyDescent="0.25">
      <c r="A11" s="69" t="s">
        <v>10</v>
      </c>
      <c r="B11" s="67">
        <f>SUMPRODUCT('Country of Revenues - Oreal'!$D$4:$D$150,'Country of Revenues - Oreal'!$D$4:$D$150)</f>
        <v>0.15308301177190325</v>
      </c>
      <c r="C11" s="68">
        <f t="shared" si="0"/>
        <v>1</v>
      </c>
    </row>
    <row r="12" spans="1:3" ht="19" x14ac:dyDescent="0.25">
      <c r="A12" s="66" t="s">
        <v>11</v>
      </c>
      <c r="B12" s="67">
        <f>SUMPRODUCT('Country of Revenues - LVMH'!$D$4:$D$150,'Country of Revenues - LVMH'!$D$4:$D$150)</f>
        <v>0.16976330854406524</v>
      </c>
      <c r="C12" s="68">
        <f t="shared" si="0"/>
        <v>1</v>
      </c>
    </row>
    <row r="13" spans="1:3" ht="19" x14ac:dyDescent="0.25">
      <c r="A13" s="69" t="s">
        <v>2</v>
      </c>
      <c r="B13" s="67">
        <f>SUMPRODUCT('Country of Revenues - Meta'!$D$4:$D$150,'Country of Revenues - Meta'!$D$4:$D$150)</f>
        <v>0.22300630009053132</v>
      </c>
      <c r="C13" s="68">
        <f t="shared" si="0"/>
        <v>1</v>
      </c>
    </row>
    <row r="14" spans="1:3" ht="19" x14ac:dyDescent="0.25">
      <c r="A14" s="66" t="s">
        <v>3</v>
      </c>
      <c r="B14" s="67">
        <f>SUMPRODUCT('Country of Revenues - Microsoft'!$D$4:$D$150,'Country of Revenues - Microsoft'!$D$4:$D$150)</f>
        <v>0.40182631793021228</v>
      </c>
      <c r="C14" s="68">
        <f t="shared" si="0"/>
        <v>1.25</v>
      </c>
    </row>
    <row r="15" spans="1:3" ht="19" x14ac:dyDescent="0.25">
      <c r="A15" s="69" t="s">
        <v>12</v>
      </c>
      <c r="B15" s="67">
        <f>SUMPRODUCT('Country of Revenues - Nordisk'!$D$4:$D$150,'Country of Revenues - Nordisk'!$D$4:$D$150)</f>
        <v>0.43061928786284431</v>
      </c>
      <c r="C15" s="68">
        <f t="shared" si="0"/>
        <v>1.25</v>
      </c>
    </row>
    <row r="16" spans="1:3" ht="19" x14ac:dyDescent="0.25">
      <c r="A16" s="70" t="s">
        <v>8</v>
      </c>
      <c r="B16" s="67">
        <f>SUMPRODUCT('Country of Revenues - NVIDIA'!$D$4:$D$150,'Country of Revenues - NVIDIA'!$D$4:$D$150)</f>
        <v>0.59301667857108264</v>
      </c>
      <c r="C16" s="68">
        <f t="shared" si="0"/>
        <v>1.25</v>
      </c>
    </row>
    <row r="17" spans="1:3" ht="19" x14ac:dyDescent="0.25">
      <c r="A17" s="66" t="s">
        <v>5</v>
      </c>
      <c r="B17" s="67">
        <f>SUMPRODUCT('Country of Revenues - P&amp;G'!$D$4:$D$150,'Country of Revenues - P&amp;G'!$D$4:$D$150)</f>
        <v>0.36840581496711255</v>
      </c>
      <c r="C17" s="68">
        <f t="shared" si="0"/>
        <v>1.1000000000000001</v>
      </c>
    </row>
    <row r="18" spans="1:3" ht="19" x14ac:dyDescent="0.25">
      <c r="A18" s="66" t="s">
        <v>13</v>
      </c>
      <c r="B18" s="67">
        <f>SUMPRODUCT('Country of Revenues - Reliance'!$D$4:$D$150,'Country of Revenues - Reliance'!$D$4:$D$150)</f>
        <v>0.69171595972788547</v>
      </c>
      <c r="C18" s="68">
        <f t="shared" si="0"/>
        <v>1.5</v>
      </c>
    </row>
    <row r="19" spans="1:3" ht="19" x14ac:dyDescent="0.25">
      <c r="A19" s="69" t="s">
        <v>6</v>
      </c>
      <c r="B19" s="67">
        <f>SUMPRODUCT('Country of Revenues - Samsung'!$D$4:$D$150,'Country of Revenues - Samsung'!$D$4:$D$150)</f>
        <v>0.17706430599658435</v>
      </c>
      <c r="C19" s="68">
        <f t="shared" si="0"/>
        <v>1</v>
      </c>
    </row>
    <row r="20" spans="1:3" ht="19" x14ac:dyDescent="0.25">
      <c r="A20" s="70" t="s">
        <v>14</v>
      </c>
      <c r="B20" s="67">
        <f>SUMPRODUCT('Country of Revenues - SAP'!$D$4:$D$150,'Country of Revenues - SAP'!$D$4:$D$150)</f>
        <v>0.2802919132054868</v>
      </c>
      <c r="C20" s="68">
        <f t="shared" si="0"/>
        <v>1.1000000000000001</v>
      </c>
    </row>
    <row r="21" spans="1:3" ht="19" x14ac:dyDescent="0.25">
      <c r="A21" s="66" t="s">
        <v>15</v>
      </c>
      <c r="B21" s="67">
        <f>SUMPRODUCT('Country of Revenues - Sony'!$D$4:$D$150,'Country of Revenues - Sony'!$D$4:$D$150)</f>
        <v>0.16957249405570279</v>
      </c>
      <c r="C21" s="68">
        <f t="shared" si="0"/>
        <v>1</v>
      </c>
    </row>
    <row r="22" spans="1:3" ht="19" x14ac:dyDescent="0.25">
      <c r="A22" s="70" t="s">
        <v>16</v>
      </c>
      <c r="B22" s="67">
        <f>SUMPRODUCT('Country of Revenues - Tencent'!$D$4:$D$150,'Country of Revenues - Tencent'!$D$4:$D$150)</f>
        <v>1</v>
      </c>
      <c r="C22" s="68">
        <f t="shared" si="0"/>
        <v>1.5</v>
      </c>
    </row>
    <row r="23" spans="1:3" ht="19" x14ac:dyDescent="0.25">
      <c r="A23" s="66" t="s">
        <v>187</v>
      </c>
      <c r="B23" s="67">
        <f>SUMPRODUCT('Country of Revenues - Total En'!$D$4:$D$150,'Country of Revenues - Total En'!$D$4:$D$150)</f>
        <v>0.1324343078876124</v>
      </c>
      <c r="C23" s="68">
        <f t="shared" si="0"/>
        <v>0.9</v>
      </c>
    </row>
    <row r="24" spans="1:3" ht="19" x14ac:dyDescent="0.25">
      <c r="A24" s="70" t="s">
        <v>18</v>
      </c>
      <c r="B24" s="67">
        <f>SUMPRODUCT('Country of Revenues - Toyota'!$D$4:$D$150,'Country of Revenues - Toyota'!$D$4:$D$150)</f>
        <v>0.24135179321089978</v>
      </c>
      <c r="C24" s="68">
        <f t="shared" si="0"/>
        <v>1</v>
      </c>
    </row>
    <row r="25" spans="1:3" ht="19" x14ac:dyDescent="0.25">
      <c r="A25" s="66" t="s">
        <v>19</v>
      </c>
      <c r="B25" s="67">
        <f>SUMPRODUCT('Country of Revenues - TSMC'!$D$4:$D$150,'Country of Revenues - TSMC'!$D$4:$D$150)</f>
        <v>0.64773113531755655</v>
      </c>
      <c r="C25" s="68">
        <f t="shared" si="0"/>
        <v>1.5</v>
      </c>
    </row>
    <row r="26" spans="1:3" ht="19" x14ac:dyDescent="0.25">
      <c r="A26" s="71" t="s">
        <v>20</v>
      </c>
      <c r="B26" s="67">
        <f>SUMPRODUCT('Country of Revenues - VW'!$D$4:$D$150,'Country of Revenues - VW'!$D$4:$D$150)</f>
        <v>0.11745963854155091</v>
      </c>
      <c r="C26" s="68">
        <f t="shared" si="0"/>
        <v>0.9</v>
      </c>
    </row>
  </sheetData>
  <conditionalFormatting sqref="C2:C26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50C1-E07D-F043-990A-A4CDFCD75BB2}">
  <dimension ref="A1:J151"/>
  <sheetViews>
    <sheetView workbookViewId="0">
      <selection activeCell="D6" sqref="D6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20" customHeight="1" x14ac:dyDescent="0.2">
      <c r="A1" s="77" t="s">
        <v>26</v>
      </c>
      <c r="B1" s="78"/>
      <c r="C1" s="78"/>
      <c r="D1" s="78"/>
    </row>
    <row r="2" spans="1:10" ht="17" customHeight="1" x14ac:dyDescent="0.2">
      <c r="A2" s="77"/>
      <c r="B2" s="78"/>
      <c r="C2" s="78"/>
      <c r="D2" s="78"/>
    </row>
    <row r="3" spans="1:10" ht="19" x14ac:dyDescent="0.25">
      <c r="A3" s="5" t="s">
        <v>27</v>
      </c>
      <c r="B3" s="5" t="s">
        <v>28</v>
      </c>
      <c r="C3" s="6" t="s">
        <v>29</v>
      </c>
      <c r="D3" s="6" t="s">
        <v>30</v>
      </c>
    </row>
    <row r="4" spans="1:10" ht="20" thickBot="1" x14ac:dyDescent="0.3">
      <c r="A4" s="49" t="s">
        <v>31</v>
      </c>
      <c r="B4" s="59">
        <v>4.3705708278452811</v>
      </c>
      <c r="C4" s="39">
        <v>0</v>
      </c>
      <c r="D4" s="30">
        <f>C4/$C$151</f>
        <v>0</v>
      </c>
      <c r="E4" s="3"/>
    </row>
    <row r="5" spans="1:10" ht="20" thickBot="1" x14ac:dyDescent="0.3">
      <c r="A5" s="50" t="s">
        <v>32</v>
      </c>
      <c r="B5" s="59">
        <v>5.2136193198580543</v>
      </c>
      <c r="C5" s="40">
        <v>0</v>
      </c>
      <c r="D5" s="31">
        <f t="shared" ref="D5:D68" si="0">C5/$C$151</f>
        <v>0</v>
      </c>
      <c r="E5" s="3"/>
      <c r="G5" s="13" t="s">
        <v>33</v>
      </c>
      <c r="H5" s="14"/>
      <c r="I5" s="14"/>
      <c r="J5" s="15"/>
    </row>
    <row r="6" spans="1:10" ht="20" thickBot="1" x14ac:dyDescent="0.3">
      <c r="A6" s="51" t="s">
        <v>34</v>
      </c>
      <c r="B6" s="59">
        <v>5.6305966049142544</v>
      </c>
      <c r="C6" s="41">
        <v>0</v>
      </c>
      <c r="D6" s="32">
        <f t="shared" si="0"/>
        <v>0</v>
      </c>
      <c r="E6" s="3"/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0" t="s">
        <v>38</v>
      </c>
      <c r="B7" s="59">
        <v>4.3620978216044497</v>
      </c>
      <c r="C7" s="40">
        <v>5.6000000000000008E-3</v>
      </c>
      <c r="D7" s="31">
        <f t="shared" si="0"/>
        <v>6.6571564431764157E-3</v>
      </c>
      <c r="E7" s="3"/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1" t="s">
        <v>40</v>
      </c>
      <c r="B8" s="59">
        <v>4.7882033268855917</v>
      </c>
      <c r="C8" s="41">
        <v>0</v>
      </c>
      <c r="D8" s="32">
        <f t="shared" si="0"/>
        <v>0</v>
      </c>
      <c r="E8" s="3"/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0.43354731336186397</v>
      </c>
    </row>
    <row r="9" spans="1:10" ht="23" thickBot="1" x14ac:dyDescent="0.35">
      <c r="A9" s="50" t="s">
        <v>42</v>
      </c>
      <c r="B9" s="59">
        <v>3.2228923328507717</v>
      </c>
      <c r="C9" s="40">
        <v>1.6500000000000001E-2</v>
      </c>
      <c r="D9" s="31">
        <f t="shared" si="0"/>
        <v>1.9614835948644795E-2</v>
      </c>
      <c r="E9" s="3"/>
      <c r="G9" s="26" t="s">
        <v>43</v>
      </c>
      <c r="H9" s="27"/>
      <c r="I9" s="27"/>
      <c r="J9" s="63">
        <f>SUMPRODUCT(B4:B150,D4:D150)</f>
        <v>4.1049432163174231</v>
      </c>
    </row>
    <row r="10" spans="1:10" ht="19" x14ac:dyDescent="0.25">
      <c r="A10" s="51" t="s">
        <v>44</v>
      </c>
      <c r="B10" s="59">
        <v>3.4101851325072063</v>
      </c>
      <c r="C10" s="41">
        <v>0</v>
      </c>
      <c r="D10" s="32">
        <f t="shared" si="0"/>
        <v>0</v>
      </c>
      <c r="E10" s="3"/>
    </row>
    <row r="11" spans="1:10" ht="19" x14ac:dyDescent="0.25">
      <c r="A11" s="50" t="s">
        <v>45</v>
      </c>
      <c r="B11" s="59">
        <v>5.2109258806256893</v>
      </c>
      <c r="C11" s="40">
        <v>0</v>
      </c>
      <c r="D11" s="31">
        <f t="shared" si="0"/>
        <v>0</v>
      </c>
      <c r="E11" s="3"/>
    </row>
    <row r="12" spans="1:10" ht="19" x14ac:dyDescent="0.25">
      <c r="A12" s="51" t="s">
        <v>46</v>
      </c>
      <c r="B12" s="59">
        <v>4.2572307249236632</v>
      </c>
      <c r="C12" s="41">
        <v>0</v>
      </c>
      <c r="D12" s="32">
        <f t="shared" si="0"/>
        <v>0</v>
      </c>
      <c r="E12" s="3"/>
    </row>
    <row r="13" spans="1:10" ht="19" x14ac:dyDescent="0.25">
      <c r="A13" s="50" t="s">
        <v>47</v>
      </c>
      <c r="B13" s="59">
        <v>6.2938646029657299</v>
      </c>
      <c r="C13" s="40">
        <v>0</v>
      </c>
      <c r="D13" s="31">
        <f t="shared" si="0"/>
        <v>0</v>
      </c>
      <c r="E13" s="3"/>
    </row>
    <row r="14" spans="1:10" ht="19" x14ac:dyDescent="0.25">
      <c r="A14" s="51" t="s">
        <v>48</v>
      </c>
      <c r="B14" s="59">
        <v>5.4470391561857463</v>
      </c>
      <c r="C14" s="41">
        <v>0</v>
      </c>
      <c r="D14" s="32">
        <f t="shared" si="0"/>
        <v>0</v>
      </c>
      <c r="E14" s="3"/>
    </row>
    <row r="15" spans="1:10" ht="19" x14ac:dyDescent="0.25">
      <c r="A15" s="50" t="s">
        <v>49</v>
      </c>
      <c r="B15" s="59">
        <v>3.3272157363952584</v>
      </c>
      <c r="C15" s="40">
        <v>0</v>
      </c>
      <c r="D15" s="31">
        <f t="shared" si="0"/>
        <v>0</v>
      </c>
      <c r="E15" s="3"/>
    </row>
    <row r="16" spans="1:10" ht="19" x14ac:dyDescent="0.25">
      <c r="A16" s="51" t="s">
        <v>50</v>
      </c>
      <c r="B16" s="59">
        <v>5.9976203843116958</v>
      </c>
      <c r="C16" s="41">
        <v>0</v>
      </c>
      <c r="D16" s="32">
        <f t="shared" si="0"/>
        <v>0</v>
      </c>
      <c r="E16" s="3"/>
    </row>
    <row r="17" spans="1:5" ht="19" x14ac:dyDescent="0.25">
      <c r="A17" s="50" t="s">
        <v>51</v>
      </c>
      <c r="B17" s="59">
        <v>5.0248646415497609</v>
      </c>
      <c r="C17" s="40">
        <v>0</v>
      </c>
      <c r="D17" s="31">
        <f t="shared" si="0"/>
        <v>0</v>
      </c>
      <c r="E17" s="3"/>
    </row>
    <row r="18" spans="1:5" ht="19" x14ac:dyDescent="0.25">
      <c r="A18" s="51" t="s">
        <v>52</v>
      </c>
      <c r="B18" s="59">
        <v>5.4119734583646606</v>
      </c>
      <c r="C18" s="41">
        <v>0</v>
      </c>
      <c r="D18" s="32">
        <f t="shared" si="0"/>
        <v>0</v>
      </c>
      <c r="E18" s="3"/>
    </row>
    <row r="19" spans="1:5" ht="19" x14ac:dyDescent="0.25">
      <c r="A19" s="50" t="s">
        <v>53</v>
      </c>
      <c r="B19" s="59">
        <v>5.3424605477454783</v>
      </c>
      <c r="C19" s="40">
        <v>0</v>
      </c>
      <c r="D19" s="31">
        <f t="shared" si="0"/>
        <v>0</v>
      </c>
      <c r="E19" s="3"/>
    </row>
    <row r="20" spans="1:5" ht="19" x14ac:dyDescent="0.25">
      <c r="A20" s="51" t="s">
        <v>54</v>
      </c>
      <c r="B20" s="59">
        <v>4.3392269255836116</v>
      </c>
      <c r="C20" s="41">
        <v>0</v>
      </c>
      <c r="D20" s="32">
        <f t="shared" si="0"/>
        <v>0</v>
      </c>
      <c r="E20" s="3"/>
    </row>
    <row r="21" spans="1:5" ht="19" x14ac:dyDescent="0.25">
      <c r="A21" s="50" t="s">
        <v>55</v>
      </c>
      <c r="B21" s="59">
        <v>5.3528879548903774</v>
      </c>
      <c r="C21" s="40">
        <v>1.89E-2</v>
      </c>
      <c r="D21" s="31">
        <f t="shared" si="0"/>
        <v>2.24679029957204E-2</v>
      </c>
      <c r="E21" s="3"/>
    </row>
    <row r="22" spans="1:5" ht="19" x14ac:dyDescent="0.25">
      <c r="A22" s="51" t="s">
        <v>56</v>
      </c>
      <c r="B22" s="59">
        <v>4.4305511295739555</v>
      </c>
      <c r="C22" s="41">
        <v>0</v>
      </c>
      <c r="D22" s="32">
        <f t="shared" si="0"/>
        <v>0</v>
      </c>
      <c r="E22" s="3"/>
    </row>
    <row r="23" spans="1:5" ht="19" x14ac:dyDescent="0.25">
      <c r="A23" s="50" t="s">
        <v>57</v>
      </c>
      <c r="B23" s="59">
        <v>6.5469989858167894</v>
      </c>
      <c r="C23" s="40">
        <v>0</v>
      </c>
      <c r="D23" s="31">
        <f t="shared" si="0"/>
        <v>0</v>
      </c>
      <c r="E23" s="3"/>
    </row>
    <row r="24" spans="1:5" ht="19" x14ac:dyDescent="0.25">
      <c r="A24" s="51" t="s">
        <v>58</v>
      </c>
      <c r="B24" s="59">
        <v>6.3316257862325482</v>
      </c>
      <c r="C24" s="41">
        <v>0</v>
      </c>
      <c r="D24" s="32">
        <f t="shared" si="0"/>
        <v>0</v>
      </c>
      <c r="E24" s="3"/>
    </row>
    <row r="25" spans="1:5" ht="19" x14ac:dyDescent="0.25">
      <c r="A25" s="50" t="s">
        <v>59</v>
      </c>
      <c r="B25" s="59">
        <v>5.6374100513783132</v>
      </c>
      <c r="C25" s="40">
        <v>0</v>
      </c>
      <c r="D25" s="31">
        <f t="shared" si="0"/>
        <v>0</v>
      </c>
      <c r="E25" s="3"/>
    </row>
    <row r="26" spans="1:5" ht="19" x14ac:dyDescent="0.25">
      <c r="A26" s="51" t="s">
        <v>60</v>
      </c>
      <c r="B26" s="59">
        <v>6.8290168498118629</v>
      </c>
      <c r="C26" s="41">
        <v>0</v>
      </c>
      <c r="D26" s="32">
        <f t="shared" si="0"/>
        <v>0</v>
      </c>
      <c r="E26" s="3"/>
    </row>
    <row r="27" spans="1:5" ht="19" x14ac:dyDescent="0.25">
      <c r="A27" s="50" t="s">
        <v>61</v>
      </c>
      <c r="B27" s="59">
        <v>3.4431913474650511</v>
      </c>
      <c r="C27" s="40">
        <v>0</v>
      </c>
      <c r="D27" s="31">
        <f t="shared" si="0"/>
        <v>0</v>
      </c>
      <c r="E27" s="3"/>
    </row>
    <row r="28" spans="1:5" ht="19" x14ac:dyDescent="0.25">
      <c r="A28" s="51" t="s">
        <v>62</v>
      </c>
      <c r="B28" s="59">
        <v>6.7936201324767405</v>
      </c>
      <c r="C28" s="41">
        <v>0</v>
      </c>
      <c r="D28" s="32">
        <f t="shared" si="0"/>
        <v>0</v>
      </c>
      <c r="E28" s="3"/>
    </row>
    <row r="29" spans="1:5" ht="19" x14ac:dyDescent="0.25">
      <c r="A29" s="50" t="s">
        <v>63</v>
      </c>
      <c r="B29" s="59">
        <v>6.8383191750945294</v>
      </c>
      <c r="C29" s="40">
        <v>0</v>
      </c>
      <c r="D29" s="31">
        <f t="shared" si="0"/>
        <v>0</v>
      </c>
      <c r="E29" s="3"/>
    </row>
    <row r="30" spans="1:5" ht="19" x14ac:dyDescent="0.25">
      <c r="A30" s="51" t="s">
        <v>64</v>
      </c>
      <c r="B30" s="59">
        <v>4.3579262651505353</v>
      </c>
      <c r="C30" s="41">
        <v>0</v>
      </c>
      <c r="D30" s="32">
        <f t="shared" si="0"/>
        <v>0</v>
      </c>
      <c r="E30" s="3"/>
    </row>
    <row r="31" spans="1:5" ht="19" x14ac:dyDescent="0.25">
      <c r="A31" s="50" t="s">
        <v>65</v>
      </c>
      <c r="B31" s="59">
        <v>4.2558827981073541</v>
      </c>
      <c r="C31" s="40">
        <v>0.14300000000000002</v>
      </c>
      <c r="D31" s="31">
        <f t="shared" si="0"/>
        <v>0.1699952448882549</v>
      </c>
      <c r="E31" s="1" t="s">
        <v>66</v>
      </c>
    </row>
    <row r="32" spans="1:5" ht="19" x14ac:dyDescent="0.25">
      <c r="A32" s="51" t="s">
        <v>67</v>
      </c>
      <c r="B32" s="59">
        <v>5.7247940072371959</v>
      </c>
      <c r="C32" s="41">
        <v>0</v>
      </c>
      <c r="D32" s="32">
        <f t="shared" si="0"/>
        <v>0</v>
      </c>
      <c r="E32" s="3"/>
    </row>
    <row r="33" spans="1:5" ht="19" x14ac:dyDescent="0.25">
      <c r="A33" s="50" t="s">
        <v>68</v>
      </c>
      <c r="B33" s="59">
        <v>5.6489161047332477</v>
      </c>
      <c r="C33" s="40">
        <v>0</v>
      </c>
      <c r="D33" s="31">
        <f t="shared" si="0"/>
        <v>0</v>
      </c>
      <c r="E33" s="3"/>
    </row>
    <row r="34" spans="1:5" ht="19" x14ac:dyDescent="0.25">
      <c r="A34" s="51" t="s">
        <v>69</v>
      </c>
      <c r="B34" s="59">
        <v>4.2297467795287353</v>
      </c>
      <c r="C34" s="41">
        <v>0</v>
      </c>
      <c r="D34" s="32">
        <f t="shared" si="0"/>
        <v>0</v>
      </c>
      <c r="E34" s="3"/>
    </row>
    <row r="35" spans="1:5" ht="19" x14ac:dyDescent="0.25">
      <c r="A35" s="50" t="s">
        <v>70</v>
      </c>
      <c r="B35" s="59">
        <v>5.5958391680617687</v>
      </c>
      <c r="C35" s="40">
        <v>0</v>
      </c>
      <c r="D35" s="31">
        <f t="shared" si="0"/>
        <v>0</v>
      </c>
      <c r="E35" s="3"/>
    </row>
    <row r="36" spans="1:5" ht="19" x14ac:dyDescent="0.25">
      <c r="A36" s="51" t="s">
        <v>71</v>
      </c>
      <c r="B36" s="59">
        <v>4.2818306896749707</v>
      </c>
      <c r="C36" s="41">
        <v>0</v>
      </c>
      <c r="D36" s="32">
        <f t="shared" si="0"/>
        <v>0</v>
      </c>
      <c r="E36" s="3"/>
    </row>
    <row r="37" spans="1:5" ht="19" x14ac:dyDescent="0.25">
      <c r="A37" s="50" t="s">
        <v>72</v>
      </c>
      <c r="B37" s="59">
        <v>4.665702306747229</v>
      </c>
      <c r="C37" s="40">
        <v>0</v>
      </c>
      <c r="D37" s="31">
        <f t="shared" si="0"/>
        <v>0</v>
      </c>
      <c r="E37" s="3"/>
    </row>
    <row r="38" spans="1:5" ht="19" x14ac:dyDescent="0.25">
      <c r="A38" s="51" t="s">
        <v>73</v>
      </c>
      <c r="B38" s="59">
        <v>3.7484970292180693</v>
      </c>
      <c r="C38" s="41">
        <v>0</v>
      </c>
      <c r="D38" s="32">
        <f t="shared" si="0"/>
        <v>0</v>
      </c>
      <c r="E38" s="3"/>
    </row>
    <row r="39" spans="1:5" ht="19" x14ac:dyDescent="0.25">
      <c r="A39" s="50" t="s">
        <v>74</v>
      </c>
      <c r="B39" s="59">
        <v>3.1990775661028361</v>
      </c>
      <c r="C39" s="40">
        <v>0</v>
      </c>
      <c r="D39" s="31">
        <f t="shared" si="0"/>
        <v>0</v>
      </c>
      <c r="E39" s="3"/>
    </row>
    <row r="40" spans="1:5" ht="19" x14ac:dyDescent="0.25">
      <c r="A40" s="51" t="s">
        <v>75</v>
      </c>
      <c r="B40" s="59">
        <v>5.9780558706115094</v>
      </c>
      <c r="C40" s="41">
        <v>0</v>
      </c>
      <c r="D40" s="32">
        <f t="shared" si="0"/>
        <v>0</v>
      </c>
      <c r="E40" s="3"/>
    </row>
    <row r="41" spans="1:5" ht="19" x14ac:dyDescent="0.25">
      <c r="A41" s="50" t="s">
        <v>76</v>
      </c>
      <c r="B41" s="59">
        <v>4.6951385888474393</v>
      </c>
      <c r="C41" s="40">
        <v>0</v>
      </c>
      <c r="D41" s="31">
        <f t="shared" si="0"/>
        <v>0</v>
      </c>
      <c r="E41" s="3"/>
    </row>
    <row r="42" spans="1:5" ht="19" x14ac:dyDescent="0.25">
      <c r="A42" s="51" t="s">
        <v>77</v>
      </c>
      <c r="B42" s="59">
        <v>5.7086243658486353</v>
      </c>
      <c r="C42" s="41">
        <v>0</v>
      </c>
      <c r="D42" s="32">
        <f t="shared" si="0"/>
        <v>0</v>
      </c>
      <c r="E42" s="3"/>
    </row>
    <row r="43" spans="1:5" ht="19" x14ac:dyDescent="0.25">
      <c r="A43" s="50" t="s">
        <v>78</v>
      </c>
      <c r="B43" s="59">
        <v>5.6039767437648544</v>
      </c>
      <c r="C43" s="40">
        <v>0</v>
      </c>
      <c r="D43" s="31">
        <f t="shared" si="0"/>
        <v>0</v>
      </c>
      <c r="E43" s="3"/>
    </row>
    <row r="44" spans="1:5" ht="19" x14ac:dyDescent="0.25">
      <c r="A44" s="51" t="s">
        <v>79</v>
      </c>
      <c r="B44" s="59">
        <v>4.7929202889816001</v>
      </c>
      <c r="C44" s="41">
        <v>0</v>
      </c>
      <c r="D44" s="32">
        <f t="shared" si="0"/>
        <v>0</v>
      </c>
      <c r="E44" s="3"/>
    </row>
    <row r="45" spans="1:5" ht="19" x14ac:dyDescent="0.25">
      <c r="A45" s="50" t="s">
        <v>80</v>
      </c>
      <c r="B45" s="59">
        <v>3.5745795767056725</v>
      </c>
      <c r="C45" s="40">
        <v>0</v>
      </c>
      <c r="D45" s="31">
        <f t="shared" si="0"/>
        <v>0</v>
      </c>
      <c r="E45" s="3"/>
    </row>
    <row r="46" spans="1:5" ht="19" x14ac:dyDescent="0.25">
      <c r="A46" s="51" t="s">
        <v>81</v>
      </c>
      <c r="B46" s="59">
        <v>4.4965923559879277</v>
      </c>
      <c r="C46" s="41">
        <v>0</v>
      </c>
      <c r="D46" s="32">
        <f t="shared" si="0"/>
        <v>0</v>
      </c>
      <c r="E46" s="3"/>
    </row>
    <row r="47" spans="1:5" ht="19" x14ac:dyDescent="0.25">
      <c r="A47" s="50" t="s">
        <v>82</v>
      </c>
      <c r="B47" s="59">
        <v>6.927950682570712</v>
      </c>
      <c r="C47" s="40">
        <v>0</v>
      </c>
      <c r="D47" s="31">
        <f t="shared" si="0"/>
        <v>0</v>
      </c>
      <c r="E47" s="3"/>
    </row>
    <row r="48" spans="1:5" ht="19" x14ac:dyDescent="0.25">
      <c r="A48" s="51" t="s">
        <v>83</v>
      </c>
      <c r="B48" s="59">
        <v>3.3483394041152907</v>
      </c>
      <c r="C48" s="41">
        <v>0</v>
      </c>
      <c r="D48" s="32">
        <f t="shared" si="0"/>
        <v>0</v>
      </c>
      <c r="E48" s="3"/>
    </row>
    <row r="49" spans="1:5" ht="19" x14ac:dyDescent="0.25">
      <c r="A49" s="50" t="s">
        <v>84</v>
      </c>
      <c r="B49" s="59">
        <v>3.6488472849850422</v>
      </c>
      <c r="C49" s="40">
        <v>2.2400000000000003E-2</v>
      </c>
      <c r="D49" s="31">
        <f t="shared" si="0"/>
        <v>2.6628625772705663E-2</v>
      </c>
      <c r="E49" s="3"/>
    </row>
    <row r="50" spans="1:5" ht="19" x14ac:dyDescent="0.25">
      <c r="A50" s="51" t="s">
        <v>85</v>
      </c>
      <c r="B50" s="59">
        <v>5.7823719673887926</v>
      </c>
      <c r="C50" s="41">
        <v>0</v>
      </c>
      <c r="D50" s="32">
        <f t="shared" si="0"/>
        <v>0</v>
      </c>
      <c r="E50" s="3"/>
    </row>
    <row r="51" spans="1:5" ht="19" x14ac:dyDescent="0.25">
      <c r="A51" s="50" t="s">
        <v>86</v>
      </c>
      <c r="B51" s="59">
        <v>5.3790271999040362</v>
      </c>
      <c r="C51" s="40">
        <v>0</v>
      </c>
      <c r="D51" s="31">
        <f t="shared" si="0"/>
        <v>0</v>
      </c>
      <c r="E51" s="3"/>
    </row>
    <row r="52" spans="1:5" ht="19" x14ac:dyDescent="0.25">
      <c r="A52" s="51" t="s">
        <v>87</v>
      </c>
      <c r="B52" s="59">
        <v>4.9290675473985939</v>
      </c>
      <c r="C52" s="41">
        <v>0</v>
      </c>
      <c r="D52" s="32">
        <f t="shared" si="0"/>
        <v>0</v>
      </c>
      <c r="E52" s="3"/>
    </row>
    <row r="53" spans="1:5" ht="19" x14ac:dyDescent="0.25">
      <c r="A53" s="50" t="s">
        <v>88</v>
      </c>
      <c r="B53" s="59">
        <v>3.4167336021772097</v>
      </c>
      <c r="C53" s="40">
        <v>3.4200000000000001E-2</v>
      </c>
      <c r="D53" s="31">
        <f t="shared" si="0"/>
        <v>4.0656205420827395E-2</v>
      </c>
      <c r="E53" s="3"/>
    </row>
    <row r="54" spans="1:5" ht="19" x14ac:dyDescent="0.25">
      <c r="A54" s="51" t="s">
        <v>89</v>
      </c>
      <c r="B54" s="59">
        <v>4.6272251474478185</v>
      </c>
      <c r="C54" s="41">
        <v>0</v>
      </c>
      <c r="D54" s="32">
        <f t="shared" si="0"/>
        <v>0</v>
      </c>
      <c r="E54" s="3"/>
    </row>
    <row r="55" spans="1:5" ht="19" x14ac:dyDescent="0.25">
      <c r="A55" s="50" t="s">
        <v>90</v>
      </c>
      <c r="B55" s="59">
        <v>4.3382922337238083</v>
      </c>
      <c r="C55" s="40">
        <v>0</v>
      </c>
      <c r="D55" s="31">
        <f t="shared" si="0"/>
        <v>0</v>
      </c>
      <c r="E55" s="3"/>
    </row>
    <row r="56" spans="1:5" ht="19" x14ac:dyDescent="0.25">
      <c r="A56" s="51" t="s">
        <v>91</v>
      </c>
      <c r="B56" s="59">
        <v>5.450113492883502</v>
      </c>
      <c r="C56" s="41">
        <v>0</v>
      </c>
      <c r="D56" s="32">
        <f t="shared" si="0"/>
        <v>0</v>
      </c>
      <c r="E56" s="3"/>
    </row>
    <row r="57" spans="1:5" ht="19" x14ac:dyDescent="0.25">
      <c r="A57" s="50" t="s">
        <v>92</v>
      </c>
      <c r="B57" s="59">
        <v>6.3557356106090603</v>
      </c>
      <c r="C57" s="40">
        <v>0</v>
      </c>
      <c r="D57" s="31">
        <f t="shared" si="0"/>
        <v>0</v>
      </c>
      <c r="E57" s="3"/>
    </row>
    <row r="58" spans="1:5" ht="19" x14ac:dyDescent="0.25">
      <c r="A58" s="51" t="s">
        <v>93</v>
      </c>
      <c r="B58" s="59">
        <v>5.9434838790990074</v>
      </c>
      <c r="C58" s="41">
        <v>0</v>
      </c>
      <c r="D58" s="32">
        <f t="shared" si="0"/>
        <v>0</v>
      </c>
      <c r="E58" s="3"/>
    </row>
    <row r="59" spans="1:5" ht="19" x14ac:dyDescent="0.25">
      <c r="A59" s="50" t="s">
        <v>94</v>
      </c>
      <c r="B59" s="59">
        <v>4.9174638740379848</v>
      </c>
      <c r="C59" s="40">
        <v>0</v>
      </c>
      <c r="D59" s="31">
        <f t="shared" si="0"/>
        <v>0</v>
      </c>
      <c r="E59" s="3"/>
    </row>
    <row r="60" spans="1:5" ht="19" x14ac:dyDescent="0.25">
      <c r="A60" s="51" t="s">
        <v>95</v>
      </c>
      <c r="B60" s="59">
        <v>6.5330241147248609</v>
      </c>
      <c r="C60" s="41">
        <v>0</v>
      </c>
      <c r="D60" s="32">
        <f t="shared" si="0"/>
        <v>0</v>
      </c>
      <c r="E60" s="3"/>
    </row>
    <row r="61" spans="1:5" ht="19" x14ac:dyDescent="0.25">
      <c r="A61" s="50" t="s">
        <v>96</v>
      </c>
      <c r="B61" s="59">
        <v>5.7658823887989872</v>
      </c>
      <c r="C61" s="40">
        <v>0</v>
      </c>
      <c r="D61" s="31">
        <f t="shared" si="0"/>
        <v>0</v>
      </c>
      <c r="E61" s="3"/>
    </row>
    <row r="62" spans="1:5" ht="19" x14ac:dyDescent="0.25">
      <c r="A62" s="51" t="s">
        <v>97</v>
      </c>
      <c r="B62" s="59">
        <v>3.6278897079089987</v>
      </c>
      <c r="C62" s="41">
        <v>0</v>
      </c>
      <c r="D62" s="32">
        <f t="shared" si="0"/>
        <v>0</v>
      </c>
      <c r="E62" s="3"/>
    </row>
    <row r="63" spans="1:5" ht="19" x14ac:dyDescent="0.25">
      <c r="A63" s="50" t="s">
        <v>98</v>
      </c>
      <c r="B63" s="59">
        <v>3.3752937482227585</v>
      </c>
      <c r="C63" s="40">
        <v>0</v>
      </c>
      <c r="D63" s="31">
        <f t="shared" si="0"/>
        <v>0</v>
      </c>
      <c r="E63" s="3"/>
    </row>
    <row r="64" spans="1:5" ht="19" x14ac:dyDescent="0.25">
      <c r="A64" s="51" t="s">
        <v>99</v>
      </c>
      <c r="B64" s="59">
        <v>5.0659580961290027</v>
      </c>
      <c r="C64" s="41">
        <v>2.7799999999999998E-2</v>
      </c>
      <c r="D64" s="32">
        <f t="shared" si="0"/>
        <v>3.3048026628625771E-2</v>
      </c>
      <c r="E64" s="3"/>
    </row>
    <row r="65" spans="1:5" ht="19" x14ac:dyDescent="0.25">
      <c r="A65" s="50" t="s">
        <v>100</v>
      </c>
      <c r="B65" s="59">
        <v>4.9248047791749228</v>
      </c>
      <c r="C65" s="40">
        <v>1.2800000000000001E-2</v>
      </c>
      <c r="D65" s="31">
        <f t="shared" si="0"/>
        <v>1.5216357584403236E-2</v>
      </c>
      <c r="E65" s="3"/>
    </row>
    <row r="66" spans="1:5" ht="19" x14ac:dyDescent="0.25">
      <c r="A66" s="51" t="s">
        <v>101</v>
      </c>
      <c r="B66" s="59">
        <v>5.8793658240107565</v>
      </c>
      <c r="C66" s="41">
        <v>0</v>
      </c>
      <c r="D66" s="32">
        <f t="shared" si="0"/>
        <v>0</v>
      </c>
      <c r="E66" s="3"/>
    </row>
    <row r="67" spans="1:5" ht="19" x14ac:dyDescent="0.25">
      <c r="A67" s="50" t="s">
        <v>102</v>
      </c>
      <c r="B67" s="59">
        <v>6.0491810448870345</v>
      </c>
      <c r="C67" s="40">
        <v>0</v>
      </c>
      <c r="D67" s="31">
        <f t="shared" si="0"/>
        <v>0</v>
      </c>
      <c r="E67" s="3"/>
    </row>
    <row r="68" spans="1:5" ht="19" x14ac:dyDescent="0.25">
      <c r="A68" s="51" t="s">
        <v>103</v>
      </c>
      <c r="B68" s="59">
        <v>3.253942686762922</v>
      </c>
      <c r="C68" s="41">
        <v>0</v>
      </c>
      <c r="D68" s="32">
        <f t="shared" si="0"/>
        <v>0</v>
      </c>
      <c r="E68" s="3"/>
    </row>
    <row r="69" spans="1:5" ht="19" x14ac:dyDescent="0.25">
      <c r="A69" s="50" t="s">
        <v>104</v>
      </c>
      <c r="B69" s="59">
        <v>4.6082974679305195</v>
      </c>
      <c r="C69" s="40">
        <v>0</v>
      </c>
      <c r="D69" s="31">
        <f t="shared" ref="D69:D132" si="1">C69/$C$151</f>
        <v>0</v>
      </c>
      <c r="E69" s="3"/>
    </row>
    <row r="70" spans="1:5" ht="19" x14ac:dyDescent="0.25">
      <c r="A70" s="51" t="s">
        <v>105</v>
      </c>
      <c r="B70" s="59">
        <v>3.8382882812123826</v>
      </c>
      <c r="C70" s="41">
        <v>1.72E-2</v>
      </c>
      <c r="D70" s="32">
        <f t="shared" si="1"/>
        <v>2.0446980504041846E-2</v>
      </c>
      <c r="E70" s="3"/>
    </row>
    <row r="71" spans="1:5" ht="19" x14ac:dyDescent="0.25">
      <c r="A71" s="50" t="s">
        <v>106</v>
      </c>
      <c r="B71" s="59">
        <v>4.7451218036873231</v>
      </c>
      <c r="C71" s="40">
        <v>0</v>
      </c>
      <c r="D71" s="31">
        <f t="shared" si="1"/>
        <v>0</v>
      </c>
      <c r="E71" s="3"/>
    </row>
    <row r="72" spans="1:5" ht="19" x14ac:dyDescent="0.25">
      <c r="A72" s="51" t="s">
        <v>107</v>
      </c>
      <c r="B72" s="59">
        <v>3.3755878841798577</v>
      </c>
      <c r="C72" s="41">
        <v>6.9000000000000006E-2</v>
      </c>
      <c r="D72" s="32">
        <f t="shared" si="1"/>
        <v>8.2025677603423691E-2</v>
      </c>
      <c r="E72" s="3"/>
    </row>
    <row r="73" spans="1:5" ht="19" x14ac:dyDescent="0.25">
      <c r="A73" s="50" t="s">
        <v>108</v>
      </c>
      <c r="B73" s="59">
        <v>5.1303864841692146</v>
      </c>
      <c r="C73" s="40">
        <v>0</v>
      </c>
      <c r="D73" s="31">
        <f t="shared" si="1"/>
        <v>0</v>
      </c>
      <c r="E73" s="3"/>
    </row>
    <row r="74" spans="1:5" ht="19" x14ac:dyDescent="0.25">
      <c r="A74" s="51" t="s">
        <v>109</v>
      </c>
      <c r="B74" s="59">
        <v>4.5379079915092131</v>
      </c>
      <c r="C74" s="41">
        <v>0</v>
      </c>
      <c r="D74" s="32">
        <f t="shared" si="1"/>
        <v>0</v>
      </c>
      <c r="E74" s="3"/>
    </row>
    <row r="75" spans="1:5" ht="19" x14ac:dyDescent="0.25">
      <c r="A75" s="50" t="s">
        <v>110</v>
      </c>
      <c r="B75" s="59">
        <v>6.1313349307646918</v>
      </c>
      <c r="C75" s="40">
        <v>0</v>
      </c>
      <c r="D75" s="31">
        <f t="shared" si="1"/>
        <v>0</v>
      </c>
      <c r="E75" s="3"/>
    </row>
    <row r="76" spans="1:5" ht="19" x14ac:dyDescent="0.25">
      <c r="A76" s="51" t="s">
        <v>111</v>
      </c>
      <c r="B76" s="59">
        <v>4.2961051501975707</v>
      </c>
      <c r="C76" s="41">
        <v>0</v>
      </c>
      <c r="D76" s="32">
        <f t="shared" si="1"/>
        <v>0</v>
      </c>
      <c r="E76" s="3"/>
    </row>
    <row r="77" spans="1:5" ht="19" x14ac:dyDescent="0.25">
      <c r="A77" s="50" t="s">
        <v>112</v>
      </c>
      <c r="B77" s="59">
        <v>5.373680321889462</v>
      </c>
      <c r="C77" s="40">
        <v>0</v>
      </c>
      <c r="D77" s="31">
        <f t="shared" si="1"/>
        <v>0</v>
      </c>
      <c r="E77" s="3"/>
    </row>
    <row r="78" spans="1:5" ht="19" x14ac:dyDescent="0.25">
      <c r="A78" s="51" t="s">
        <v>113</v>
      </c>
      <c r="B78" s="59">
        <v>5.1391788730224306</v>
      </c>
      <c r="C78" s="41">
        <v>0</v>
      </c>
      <c r="D78" s="32">
        <f t="shared" si="1"/>
        <v>0</v>
      </c>
      <c r="E78" s="3"/>
    </row>
    <row r="79" spans="1:5" ht="19" x14ac:dyDescent="0.25">
      <c r="A79" s="50" t="s">
        <v>114</v>
      </c>
      <c r="B79" s="59">
        <v>3.9664492327048539</v>
      </c>
      <c r="C79" s="40">
        <v>0</v>
      </c>
      <c r="D79" s="31">
        <f t="shared" si="1"/>
        <v>0</v>
      </c>
      <c r="E79" s="3"/>
    </row>
    <row r="80" spans="1:5" ht="19" x14ac:dyDescent="0.25">
      <c r="A80" s="51" t="s">
        <v>115</v>
      </c>
      <c r="B80" s="59">
        <v>6.1238543404169867</v>
      </c>
      <c r="C80" s="41">
        <v>0</v>
      </c>
      <c r="D80" s="32">
        <f t="shared" si="1"/>
        <v>0</v>
      </c>
      <c r="E80" s="3"/>
    </row>
    <row r="81" spans="1:5" ht="19" x14ac:dyDescent="0.25">
      <c r="A81" s="50" t="s">
        <v>116</v>
      </c>
      <c r="B81" s="59">
        <v>5.48860822118026</v>
      </c>
      <c r="C81" s="40">
        <v>0</v>
      </c>
      <c r="D81" s="31">
        <f t="shared" si="1"/>
        <v>0</v>
      </c>
      <c r="E81" s="3"/>
    </row>
    <row r="82" spans="1:5" ht="19" x14ac:dyDescent="0.25">
      <c r="A82" s="51" t="s">
        <v>117</v>
      </c>
      <c r="B82" s="59">
        <v>5.9675040107987867</v>
      </c>
      <c r="C82" s="41">
        <v>0</v>
      </c>
      <c r="D82" s="32">
        <f t="shared" si="1"/>
        <v>0</v>
      </c>
      <c r="E82" s="3"/>
    </row>
    <row r="83" spans="1:5" ht="19" x14ac:dyDescent="0.25">
      <c r="A83" s="50" t="s">
        <v>118</v>
      </c>
      <c r="B83" s="59">
        <v>5.6755260890564418</v>
      </c>
      <c r="C83" s="40">
        <v>0</v>
      </c>
      <c r="D83" s="31">
        <f t="shared" si="1"/>
        <v>0</v>
      </c>
      <c r="E83" s="3"/>
    </row>
    <row r="84" spans="1:5" ht="19" x14ac:dyDescent="0.25">
      <c r="A84" s="51" t="s">
        <v>119</v>
      </c>
      <c r="B84" s="59">
        <v>3.9263549476589308</v>
      </c>
      <c r="C84" s="41">
        <v>0</v>
      </c>
      <c r="D84" s="32">
        <f t="shared" si="1"/>
        <v>0</v>
      </c>
      <c r="E84" s="3"/>
    </row>
    <row r="85" spans="1:5" ht="19" x14ac:dyDescent="0.25">
      <c r="A85" s="50" t="s">
        <v>120</v>
      </c>
      <c r="B85" s="59">
        <v>5.8210372928345899</v>
      </c>
      <c r="C85" s="40">
        <v>0</v>
      </c>
      <c r="D85" s="31">
        <f t="shared" si="1"/>
        <v>0</v>
      </c>
      <c r="E85" s="3"/>
    </row>
    <row r="86" spans="1:5" ht="19" x14ac:dyDescent="0.25">
      <c r="A86" s="51" t="s">
        <v>121</v>
      </c>
      <c r="B86" s="59">
        <v>5.5779364438856991</v>
      </c>
      <c r="C86" s="41">
        <v>0</v>
      </c>
      <c r="D86" s="32">
        <f t="shared" si="1"/>
        <v>0</v>
      </c>
      <c r="E86" s="3"/>
    </row>
    <row r="87" spans="1:5" ht="19" x14ac:dyDescent="0.25">
      <c r="A87" s="50" t="s">
        <v>122</v>
      </c>
      <c r="B87" s="59">
        <v>4.0335588563178906</v>
      </c>
      <c r="C87" s="40">
        <v>4.5000000000000005E-3</v>
      </c>
      <c r="D87" s="31">
        <f t="shared" si="1"/>
        <v>5.3495007132667626E-3</v>
      </c>
      <c r="E87" s="3"/>
    </row>
    <row r="88" spans="1:5" ht="19" x14ac:dyDescent="0.25">
      <c r="A88" s="51" t="s">
        <v>123</v>
      </c>
      <c r="B88" s="59">
        <v>7.1049758774245326</v>
      </c>
      <c r="C88" s="41">
        <v>0</v>
      </c>
      <c r="D88" s="32">
        <f t="shared" si="1"/>
        <v>0</v>
      </c>
      <c r="E88" s="3"/>
    </row>
    <row r="89" spans="1:5" ht="19" x14ac:dyDescent="0.25">
      <c r="A89" s="50" t="s">
        <v>124</v>
      </c>
      <c r="B89" s="59">
        <v>6.2753028505143282</v>
      </c>
      <c r="C89" s="40">
        <v>0</v>
      </c>
      <c r="D89" s="31">
        <f t="shared" si="1"/>
        <v>0</v>
      </c>
      <c r="E89" s="3"/>
    </row>
    <row r="90" spans="1:5" ht="19" x14ac:dyDescent="0.25">
      <c r="A90" s="51" t="s">
        <v>125</v>
      </c>
      <c r="B90" s="59">
        <v>3.4654790256975891</v>
      </c>
      <c r="C90" s="41">
        <v>0</v>
      </c>
      <c r="D90" s="32">
        <f t="shared" si="1"/>
        <v>0</v>
      </c>
      <c r="E90" s="3"/>
    </row>
    <row r="91" spans="1:5" ht="19" x14ac:dyDescent="0.25">
      <c r="A91" s="50" t="s">
        <v>126</v>
      </c>
      <c r="B91" s="59">
        <v>5.4234078040770983</v>
      </c>
      <c r="C91" s="40">
        <v>9.1000000000000004E-3</v>
      </c>
      <c r="D91" s="31">
        <f t="shared" si="1"/>
        <v>1.0817879220161674E-2</v>
      </c>
      <c r="E91" s="3"/>
    </row>
    <row r="92" spans="1:5" ht="19" x14ac:dyDescent="0.25">
      <c r="A92" s="51" t="s">
        <v>127</v>
      </c>
      <c r="B92" s="59">
        <v>5.1376667464547303</v>
      </c>
      <c r="C92" s="41">
        <v>0</v>
      </c>
      <c r="D92" s="32">
        <f t="shared" si="1"/>
        <v>0</v>
      </c>
      <c r="E92" s="3"/>
    </row>
    <row r="93" spans="1:5" ht="19" x14ac:dyDescent="0.25">
      <c r="A93" s="50" t="s">
        <v>128</v>
      </c>
      <c r="B93" s="59">
        <v>4.6510069196773065</v>
      </c>
      <c r="C93" s="40">
        <v>0</v>
      </c>
      <c r="D93" s="31">
        <f t="shared" si="1"/>
        <v>0</v>
      </c>
      <c r="E93" s="3"/>
    </row>
    <row r="94" spans="1:5" ht="19" x14ac:dyDescent="0.25">
      <c r="A94" s="51" t="s">
        <v>129</v>
      </c>
      <c r="B94" s="59">
        <v>5.1009280794553211</v>
      </c>
      <c r="C94" s="41">
        <v>0</v>
      </c>
      <c r="D94" s="32">
        <f t="shared" si="1"/>
        <v>0</v>
      </c>
      <c r="E94" s="3"/>
    </row>
    <row r="95" spans="1:5" ht="19" x14ac:dyDescent="0.25">
      <c r="A95" s="50" t="s">
        <v>130</v>
      </c>
      <c r="B95" s="59">
        <v>6.2957088620382402</v>
      </c>
      <c r="C95" s="40">
        <v>0</v>
      </c>
      <c r="D95" s="31">
        <f t="shared" si="1"/>
        <v>0</v>
      </c>
      <c r="E95" s="3"/>
    </row>
    <row r="96" spans="1:5" ht="19" x14ac:dyDescent="0.25">
      <c r="A96" s="51" t="s">
        <v>131</v>
      </c>
      <c r="B96" s="59">
        <v>4.6400800634309949</v>
      </c>
      <c r="C96" s="41">
        <v>0</v>
      </c>
      <c r="D96" s="32">
        <f t="shared" si="1"/>
        <v>0</v>
      </c>
      <c r="E96" s="3"/>
    </row>
    <row r="97" spans="1:5" ht="19" x14ac:dyDescent="0.25">
      <c r="A97" s="50" t="s">
        <v>132</v>
      </c>
      <c r="B97" s="59">
        <v>5.7812106231736005</v>
      </c>
      <c r="C97" s="40">
        <v>0</v>
      </c>
      <c r="D97" s="31">
        <f t="shared" si="1"/>
        <v>0</v>
      </c>
      <c r="E97" s="3"/>
    </row>
    <row r="98" spans="1:5" ht="19" x14ac:dyDescent="0.25">
      <c r="A98" s="51" t="s">
        <v>133</v>
      </c>
      <c r="B98" s="59">
        <v>3.5907872747385401</v>
      </c>
      <c r="C98" s="41">
        <v>9.7000000000000003E-3</v>
      </c>
      <c r="D98" s="32">
        <f t="shared" si="1"/>
        <v>1.1531145981930576E-2</v>
      </c>
      <c r="E98" s="3"/>
    </row>
    <row r="99" spans="1:5" ht="19" x14ac:dyDescent="0.25">
      <c r="A99" s="50" t="s">
        <v>134</v>
      </c>
      <c r="B99" s="59">
        <v>3.3163390659638341</v>
      </c>
      <c r="C99" s="40">
        <v>0</v>
      </c>
      <c r="D99" s="31">
        <f t="shared" si="1"/>
        <v>0</v>
      </c>
      <c r="E99" s="3"/>
    </row>
    <row r="100" spans="1:5" ht="19" x14ac:dyDescent="0.25">
      <c r="A100" s="51" t="s">
        <v>135</v>
      </c>
      <c r="B100" s="59">
        <v>5.8020732010296063</v>
      </c>
      <c r="C100" s="41">
        <v>0</v>
      </c>
      <c r="D100" s="32">
        <f t="shared" si="1"/>
        <v>0</v>
      </c>
      <c r="E100" s="3"/>
    </row>
    <row r="101" spans="1:5" ht="19" x14ac:dyDescent="0.25">
      <c r="A101" s="50" t="s">
        <v>136</v>
      </c>
      <c r="B101" s="59">
        <v>7.0685249610665801</v>
      </c>
      <c r="C101" s="40">
        <v>0</v>
      </c>
      <c r="D101" s="31">
        <f t="shared" si="1"/>
        <v>0</v>
      </c>
      <c r="E101" s="3"/>
    </row>
    <row r="102" spans="1:5" ht="19" x14ac:dyDescent="0.25">
      <c r="A102" s="51" t="s">
        <v>137</v>
      </c>
      <c r="B102" s="59">
        <v>6.5035912603709098</v>
      </c>
      <c r="C102" s="41">
        <v>0</v>
      </c>
      <c r="D102" s="32">
        <f t="shared" si="1"/>
        <v>0</v>
      </c>
      <c r="E102" s="3"/>
    </row>
    <row r="103" spans="1:5" ht="19" x14ac:dyDescent="0.25">
      <c r="A103" s="50" t="s">
        <v>138</v>
      </c>
      <c r="B103" s="59">
        <v>4.1624840904381539</v>
      </c>
      <c r="C103" s="40">
        <v>0</v>
      </c>
      <c r="D103" s="31">
        <f t="shared" si="1"/>
        <v>0</v>
      </c>
      <c r="E103" s="3"/>
    </row>
    <row r="104" spans="1:5" ht="19" x14ac:dyDescent="0.25">
      <c r="A104" s="51" t="s">
        <v>139</v>
      </c>
      <c r="B104" s="59">
        <v>3.3787152608913655</v>
      </c>
      <c r="C104" s="41">
        <v>0</v>
      </c>
      <c r="D104" s="32">
        <f t="shared" si="1"/>
        <v>0</v>
      </c>
      <c r="E104" s="3"/>
    </row>
    <row r="105" spans="1:5" ht="19" x14ac:dyDescent="0.25">
      <c r="A105" s="50" t="s">
        <v>140</v>
      </c>
      <c r="B105" s="59">
        <v>4.0162254988757935</v>
      </c>
      <c r="C105" s="40">
        <v>0</v>
      </c>
      <c r="D105" s="31">
        <f t="shared" si="1"/>
        <v>0</v>
      </c>
      <c r="E105" s="3"/>
    </row>
    <row r="106" spans="1:5" ht="19" x14ac:dyDescent="0.25">
      <c r="A106" s="51" t="s">
        <v>141</v>
      </c>
      <c r="B106" s="59">
        <v>6.648668082818161</v>
      </c>
      <c r="C106" s="41">
        <v>0</v>
      </c>
      <c r="D106" s="32">
        <f t="shared" si="1"/>
        <v>0</v>
      </c>
      <c r="E106" s="3"/>
    </row>
    <row r="107" spans="1:5" ht="19" x14ac:dyDescent="0.25">
      <c r="A107" s="50" t="s">
        <v>142</v>
      </c>
      <c r="B107" s="59">
        <v>4.5635733416096631</v>
      </c>
      <c r="C107" s="40">
        <v>0</v>
      </c>
      <c r="D107" s="31">
        <f t="shared" si="1"/>
        <v>0</v>
      </c>
      <c r="E107" s="3"/>
    </row>
    <row r="108" spans="1:5" ht="19" x14ac:dyDescent="0.25">
      <c r="A108" s="51" t="s">
        <v>143</v>
      </c>
      <c r="B108" s="59">
        <v>5.3398873222843388</v>
      </c>
      <c r="C108" s="41">
        <v>0</v>
      </c>
      <c r="D108" s="32">
        <f t="shared" si="1"/>
        <v>0</v>
      </c>
      <c r="E108" s="3"/>
    </row>
    <row r="109" spans="1:5" ht="19" x14ac:dyDescent="0.25">
      <c r="A109" s="50" t="s">
        <v>144</v>
      </c>
      <c r="B109" s="59">
        <v>4.7159164073345954</v>
      </c>
      <c r="C109" s="40">
        <v>0</v>
      </c>
      <c r="D109" s="31">
        <f t="shared" si="1"/>
        <v>0</v>
      </c>
      <c r="E109" s="3"/>
    </row>
    <row r="110" spans="1:5" ht="19" x14ac:dyDescent="0.25">
      <c r="A110" s="51" t="s">
        <v>145</v>
      </c>
      <c r="B110" s="59">
        <v>5.2817219635350439</v>
      </c>
      <c r="C110" s="41">
        <v>0</v>
      </c>
      <c r="D110" s="32">
        <f t="shared" si="1"/>
        <v>0</v>
      </c>
      <c r="E110" s="3"/>
    </row>
    <row r="111" spans="1:5" ht="19" x14ac:dyDescent="0.25">
      <c r="A111" s="50" t="s">
        <v>146</v>
      </c>
      <c r="B111" s="59">
        <v>5.8016442493647551</v>
      </c>
      <c r="C111" s="40">
        <v>0</v>
      </c>
      <c r="D111" s="31">
        <f t="shared" si="1"/>
        <v>0</v>
      </c>
      <c r="E111" s="3"/>
    </row>
    <row r="112" spans="1:5" ht="19" x14ac:dyDescent="0.25">
      <c r="A112" s="51" t="s">
        <v>147</v>
      </c>
      <c r="B112" s="59">
        <v>4.1502930814875194</v>
      </c>
      <c r="C112" s="41">
        <v>6.6E-3</v>
      </c>
      <c r="D112" s="32">
        <f t="shared" si="1"/>
        <v>7.8459343794579171E-3</v>
      </c>
      <c r="E112" s="3"/>
    </row>
    <row r="113" spans="1:5" ht="19" x14ac:dyDescent="0.25">
      <c r="A113" s="50" t="s">
        <v>148</v>
      </c>
      <c r="B113" s="59">
        <v>3.4281858950270068</v>
      </c>
      <c r="C113" s="40">
        <v>0</v>
      </c>
      <c r="D113" s="31">
        <f t="shared" si="1"/>
        <v>0</v>
      </c>
      <c r="E113" s="3"/>
    </row>
    <row r="114" spans="1:5" ht="19" x14ac:dyDescent="0.25">
      <c r="A114" s="51" t="s">
        <v>149</v>
      </c>
      <c r="B114" s="59">
        <v>3.1959809471990606</v>
      </c>
      <c r="C114" s="41">
        <v>0</v>
      </c>
      <c r="D114" s="32">
        <f t="shared" si="1"/>
        <v>0</v>
      </c>
      <c r="E114" s="3"/>
    </row>
    <row r="115" spans="1:5" ht="19" x14ac:dyDescent="0.25">
      <c r="A115" s="50" t="s">
        <v>150</v>
      </c>
      <c r="B115" s="59">
        <v>4.0482582591129548</v>
      </c>
      <c r="C115" s="40">
        <v>0</v>
      </c>
      <c r="D115" s="31">
        <f t="shared" si="1"/>
        <v>0</v>
      </c>
      <c r="E115" s="3"/>
    </row>
    <row r="116" spans="1:5" ht="19" x14ac:dyDescent="0.25">
      <c r="A116" s="51" t="s">
        <v>151</v>
      </c>
      <c r="B116" s="59">
        <v>5.9582623064002229</v>
      </c>
      <c r="C116" s="41">
        <v>0</v>
      </c>
      <c r="D116" s="32">
        <f t="shared" si="1"/>
        <v>0</v>
      </c>
      <c r="E116" s="3"/>
    </row>
    <row r="117" spans="1:5" ht="19" x14ac:dyDescent="0.25">
      <c r="A117" s="50" t="s">
        <v>152</v>
      </c>
      <c r="B117" s="59">
        <v>5.4717687502053103</v>
      </c>
      <c r="C117" s="40">
        <v>0</v>
      </c>
      <c r="D117" s="31">
        <f t="shared" si="1"/>
        <v>0</v>
      </c>
      <c r="E117" s="3"/>
    </row>
    <row r="118" spans="1:5" ht="19" x14ac:dyDescent="0.25">
      <c r="A118" s="51" t="s">
        <v>153</v>
      </c>
      <c r="B118" s="59">
        <v>4.4233746630959043</v>
      </c>
      <c r="C118" s="41">
        <v>9.300000000000001E-3</v>
      </c>
      <c r="D118" s="32">
        <f t="shared" si="1"/>
        <v>1.1055634807417976E-2</v>
      </c>
      <c r="E118" s="3"/>
    </row>
    <row r="119" spans="1:5" ht="19" x14ac:dyDescent="0.25">
      <c r="A119" s="50" t="s">
        <v>154</v>
      </c>
      <c r="B119" s="59">
        <v>5.3961053213656953</v>
      </c>
      <c r="C119" s="40">
        <v>0</v>
      </c>
      <c r="D119" s="31">
        <f t="shared" si="1"/>
        <v>0</v>
      </c>
      <c r="E119" s="3"/>
    </row>
    <row r="120" spans="1:5" ht="19" x14ac:dyDescent="0.25">
      <c r="A120" s="51" t="s">
        <v>155</v>
      </c>
      <c r="B120" s="59">
        <v>5.0353573500743858</v>
      </c>
      <c r="C120" s="41">
        <v>0</v>
      </c>
      <c r="D120" s="32">
        <f t="shared" si="1"/>
        <v>0</v>
      </c>
      <c r="E120" s="3"/>
    </row>
    <row r="121" spans="1:5" ht="19" x14ac:dyDescent="0.25">
      <c r="A121" s="50" t="s">
        <v>156</v>
      </c>
      <c r="B121" s="59">
        <v>5.6408231615395454</v>
      </c>
      <c r="C121" s="40">
        <v>0</v>
      </c>
      <c r="D121" s="31">
        <f t="shared" si="1"/>
        <v>0</v>
      </c>
      <c r="E121" s="3"/>
    </row>
    <row r="122" spans="1:5" ht="19" x14ac:dyDescent="0.25">
      <c r="A122" s="51" t="s">
        <v>157</v>
      </c>
      <c r="B122" s="59">
        <v>3.0386535635012972</v>
      </c>
      <c r="C122" s="41">
        <v>4.8999999999999998E-3</v>
      </c>
      <c r="D122" s="32">
        <f t="shared" si="1"/>
        <v>5.8250118877793628E-3</v>
      </c>
      <c r="E122" s="3"/>
    </row>
    <row r="123" spans="1:5" ht="19" x14ac:dyDescent="0.25">
      <c r="A123" s="50" t="s">
        <v>158</v>
      </c>
      <c r="B123" s="59">
        <v>3.791880207241451</v>
      </c>
      <c r="C123" s="40">
        <v>0</v>
      </c>
      <c r="D123" s="31">
        <f t="shared" si="1"/>
        <v>0</v>
      </c>
      <c r="E123" s="3"/>
    </row>
    <row r="124" spans="1:5" ht="19" x14ac:dyDescent="0.25">
      <c r="A124" s="51" t="s">
        <v>159</v>
      </c>
      <c r="B124" s="59">
        <v>3.4781584832038352</v>
      </c>
      <c r="C124" s="41">
        <v>0</v>
      </c>
      <c r="D124" s="32">
        <f t="shared" si="1"/>
        <v>0</v>
      </c>
      <c r="E124" s="3"/>
    </row>
    <row r="125" spans="1:5" ht="19" x14ac:dyDescent="0.25">
      <c r="A125" s="50" t="s">
        <v>160</v>
      </c>
      <c r="B125" s="59">
        <v>5.2224005392752639</v>
      </c>
      <c r="C125" s="40">
        <v>0</v>
      </c>
      <c r="D125" s="31">
        <f t="shared" si="1"/>
        <v>0</v>
      </c>
      <c r="E125" s="3"/>
    </row>
    <row r="126" spans="1:5" ht="19" x14ac:dyDescent="0.25">
      <c r="A126" s="51" t="s">
        <v>161</v>
      </c>
      <c r="B126" s="59">
        <v>3.5667851803481079</v>
      </c>
      <c r="C126" s="41">
        <v>1.5800000000000002E-2</v>
      </c>
      <c r="D126" s="32">
        <f t="shared" si="1"/>
        <v>1.8782691393247744E-2</v>
      </c>
      <c r="E126" s="3"/>
    </row>
    <row r="127" spans="1:5" ht="19" x14ac:dyDescent="0.25">
      <c r="A127" s="50" t="s">
        <v>162</v>
      </c>
      <c r="B127" s="59">
        <v>3.7006443947932954</v>
      </c>
      <c r="C127" s="40">
        <v>1.2699999999999999E-2</v>
      </c>
      <c r="D127" s="31">
        <f t="shared" si="1"/>
        <v>1.5097479790775083E-2</v>
      </c>
      <c r="E127" s="3"/>
    </row>
    <row r="128" spans="1:5" ht="19" x14ac:dyDescent="0.25">
      <c r="A128" s="51" t="s">
        <v>163</v>
      </c>
      <c r="B128" s="59">
        <v>5.1109914616879202</v>
      </c>
      <c r="C128" s="41">
        <v>0</v>
      </c>
      <c r="D128" s="32">
        <f t="shared" si="1"/>
        <v>0</v>
      </c>
      <c r="E128" s="3"/>
    </row>
    <row r="129" spans="1:5" ht="19" x14ac:dyDescent="0.25">
      <c r="A129" s="50" t="s">
        <v>164</v>
      </c>
      <c r="B129" s="59">
        <v>7.0987237940608701</v>
      </c>
      <c r="C129" s="40">
        <v>0</v>
      </c>
      <c r="D129" s="31">
        <f t="shared" si="1"/>
        <v>0</v>
      </c>
      <c r="E129" s="3"/>
    </row>
    <row r="130" spans="1:5" ht="19" x14ac:dyDescent="0.25">
      <c r="A130" s="51" t="s">
        <v>165</v>
      </c>
      <c r="B130" s="59">
        <v>3.5240069552478133</v>
      </c>
      <c r="C130" s="41">
        <v>0</v>
      </c>
      <c r="D130" s="32">
        <f t="shared" si="1"/>
        <v>0</v>
      </c>
      <c r="E130" s="3"/>
    </row>
    <row r="131" spans="1:5" ht="19" x14ac:dyDescent="0.25">
      <c r="A131" s="50" t="s">
        <v>166</v>
      </c>
      <c r="B131" s="59">
        <v>2.7770010876672497</v>
      </c>
      <c r="C131" s="40">
        <v>0</v>
      </c>
      <c r="D131" s="31">
        <f t="shared" si="1"/>
        <v>0</v>
      </c>
      <c r="E131" s="3"/>
    </row>
    <row r="132" spans="1:5" ht="19" x14ac:dyDescent="0.25">
      <c r="A132" s="51" t="s">
        <v>167</v>
      </c>
      <c r="B132" s="59">
        <v>7.3330533031040499</v>
      </c>
      <c r="C132" s="41">
        <v>0</v>
      </c>
      <c r="D132" s="32">
        <f t="shared" si="1"/>
        <v>0</v>
      </c>
      <c r="E132" s="3"/>
    </row>
    <row r="133" spans="1:5" ht="19" x14ac:dyDescent="0.25">
      <c r="A133" s="50" t="s">
        <v>168</v>
      </c>
      <c r="B133" s="59">
        <v>5.6864357260548895</v>
      </c>
      <c r="C133" s="40">
        <v>0</v>
      </c>
      <c r="D133" s="31">
        <f t="shared" ref="D133:D150" si="2">C133/$C$151</f>
        <v>0</v>
      </c>
      <c r="E133" s="3"/>
    </row>
    <row r="134" spans="1:5" ht="19" x14ac:dyDescent="0.25">
      <c r="A134" s="51" t="s">
        <v>169</v>
      </c>
      <c r="B134" s="59">
        <v>5.2061146997824723</v>
      </c>
      <c r="C134" s="41">
        <v>5.7999999999999996E-3</v>
      </c>
      <c r="D134" s="32">
        <f t="shared" si="2"/>
        <v>6.8949120304327149E-3</v>
      </c>
      <c r="E134" s="3"/>
    </row>
    <row r="135" spans="1:5" ht="19" x14ac:dyDescent="0.25">
      <c r="A135" s="50" t="s">
        <v>170</v>
      </c>
      <c r="B135" s="59">
        <v>5.1473122500344015</v>
      </c>
      <c r="C135" s="40">
        <v>0</v>
      </c>
      <c r="D135" s="31">
        <f t="shared" si="2"/>
        <v>0</v>
      </c>
      <c r="E135" s="3"/>
    </row>
    <row r="136" spans="1:5" ht="19" x14ac:dyDescent="0.25">
      <c r="A136" s="51" t="s">
        <v>171</v>
      </c>
      <c r="B136" s="59">
        <v>5.8734951860587028</v>
      </c>
      <c r="C136" s="41">
        <v>0</v>
      </c>
      <c r="D136" s="32">
        <f t="shared" si="2"/>
        <v>0</v>
      </c>
      <c r="E136" s="3"/>
    </row>
    <row r="137" spans="1:5" ht="19" x14ac:dyDescent="0.25">
      <c r="A137" s="50" t="s">
        <v>172</v>
      </c>
      <c r="B137" s="59">
        <v>4.3829710171749507</v>
      </c>
      <c r="C137" s="40">
        <v>0</v>
      </c>
      <c r="D137" s="31">
        <f t="shared" si="2"/>
        <v>0</v>
      </c>
      <c r="E137" s="3"/>
    </row>
    <row r="138" spans="1:5" ht="19" x14ac:dyDescent="0.25">
      <c r="A138" s="51" t="s">
        <v>173</v>
      </c>
      <c r="B138" s="59">
        <v>5.1269871649881278</v>
      </c>
      <c r="C138" s="41">
        <v>0</v>
      </c>
      <c r="D138" s="32">
        <f t="shared" si="2"/>
        <v>0</v>
      </c>
      <c r="E138" s="3"/>
    </row>
    <row r="139" spans="1:5" ht="19" x14ac:dyDescent="0.25">
      <c r="A139" s="50" t="s">
        <v>174</v>
      </c>
      <c r="B139" s="59">
        <v>5.2574384214456868</v>
      </c>
      <c r="C139" s="40">
        <v>7.7000000000000002E-3</v>
      </c>
      <c r="D139" s="31">
        <f t="shared" si="2"/>
        <v>9.1535901093675702E-3</v>
      </c>
      <c r="E139" s="3"/>
    </row>
    <row r="140" spans="1:5" ht="19" x14ac:dyDescent="0.25">
      <c r="A140" s="51" t="s">
        <v>175</v>
      </c>
      <c r="B140" s="59">
        <v>6.2888889425300309</v>
      </c>
      <c r="C140" s="41">
        <v>0</v>
      </c>
      <c r="D140" s="32">
        <f t="shared" si="2"/>
        <v>0</v>
      </c>
      <c r="E140" s="3"/>
    </row>
    <row r="141" spans="1:5" ht="19" x14ac:dyDescent="0.25">
      <c r="A141" s="50" t="s">
        <v>176</v>
      </c>
      <c r="B141" s="59">
        <v>6.3476767840395238</v>
      </c>
      <c r="C141" s="40">
        <v>0</v>
      </c>
      <c r="D141" s="31">
        <f t="shared" si="2"/>
        <v>0</v>
      </c>
      <c r="E141" s="3"/>
    </row>
    <row r="142" spans="1:5" ht="19" x14ac:dyDescent="0.25">
      <c r="A142" s="51" t="s">
        <v>177</v>
      </c>
      <c r="B142" s="59">
        <v>3.7156413836197295</v>
      </c>
      <c r="C142" s="41">
        <v>0</v>
      </c>
      <c r="D142" s="32">
        <f t="shared" si="2"/>
        <v>0</v>
      </c>
      <c r="E142" s="3"/>
    </row>
    <row r="143" spans="1:5" ht="19" x14ac:dyDescent="0.25">
      <c r="A143" s="50" t="s">
        <v>178</v>
      </c>
      <c r="B143" s="59">
        <v>3.3179607898236139</v>
      </c>
      <c r="C143" s="40">
        <v>2.3E-2</v>
      </c>
      <c r="D143" s="31">
        <f t="shared" si="2"/>
        <v>2.7341892534474561E-2</v>
      </c>
      <c r="E143" s="3"/>
    </row>
    <row r="144" spans="1:5" ht="19" x14ac:dyDescent="0.25">
      <c r="A144" s="51" t="s">
        <v>179</v>
      </c>
      <c r="B144" s="59">
        <v>4.1903553610988471</v>
      </c>
      <c r="C144" s="41">
        <v>0.36469999999999997</v>
      </c>
      <c r="D144" s="32">
        <f t="shared" si="2"/>
        <v>0.43354731336186397</v>
      </c>
      <c r="E144" s="3"/>
    </row>
    <row r="145" spans="1:5" ht="19" x14ac:dyDescent="0.25">
      <c r="A145" s="50" t="s">
        <v>180</v>
      </c>
      <c r="B145" s="59">
        <v>3.9104307580301834</v>
      </c>
      <c r="C145" s="40">
        <v>0</v>
      </c>
      <c r="D145" s="31">
        <f t="shared" si="2"/>
        <v>0</v>
      </c>
      <c r="E145" s="3"/>
    </row>
    <row r="146" spans="1:5" ht="19" x14ac:dyDescent="0.25">
      <c r="A146" s="51" t="s">
        <v>181</v>
      </c>
      <c r="B146" s="59">
        <v>5.7741934156294281</v>
      </c>
      <c r="C146" s="41">
        <v>0</v>
      </c>
      <c r="D146" s="32">
        <f t="shared" si="2"/>
        <v>0</v>
      </c>
      <c r="E146" s="3"/>
    </row>
    <row r="147" spans="1:5" ht="19" x14ac:dyDescent="0.25">
      <c r="A147" s="50" t="s">
        <v>182</v>
      </c>
      <c r="B147" s="59">
        <v>4.3230065548271748</v>
      </c>
      <c r="C147" s="40">
        <v>0</v>
      </c>
      <c r="D147" s="31">
        <f t="shared" si="2"/>
        <v>0</v>
      </c>
      <c r="E147" s="3"/>
    </row>
    <row r="148" spans="1:5" ht="19" x14ac:dyDescent="0.25">
      <c r="A148" s="51" t="s">
        <v>183</v>
      </c>
      <c r="B148" s="59">
        <v>6.3044304196425287</v>
      </c>
      <c r="C148" s="41">
        <v>0</v>
      </c>
      <c r="D148" s="32">
        <f t="shared" si="2"/>
        <v>0</v>
      </c>
      <c r="E148" s="3"/>
    </row>
    <row r="149" spans="1:5" ht="19" x14ac:dyDescent="0.25">
      <c r="A149" s="50" t="s">
        <v>184</v>
      </c>
      <c r="B149" s="59">
        <v>4.9494000233782742</v>
      </c>
      <c r="C149" s="40">
        <v>0</v>
      </c>
      <c r="D149" s="31">
        <f t="shared" si="2"/>
        <v>0</v>
      </c>
      <c r="E149" s="3"/>
    </row>
    <row r="150" spans="1:5" ht="19" x14ac:dyDescent="0.25">
      <c r="A150" s="52" t="s">
        <v>185</v>
      </c>
      <c r="B150" s="59">
        <v>6.1447845309536486</v>
      </c>
      <c r="C150" s="42">
        <v>0</v>
      </c>
      <c r="D150" s="33">
        <f t="shared" si="2"/>
        <v>0</v>
      </c>
      <c r="E150" s="3"/>
    </row>
    <row r="151" spans="1:5" ht="19" x14ac:dyDescent="0.25">
      <c r="A151" s="43" t="s">
        <v>186</v>
      </c>
      <c r="B151" s="44"/>
      <c r="C151" s="34">
        <f>SUM(C4:C150)</f>
        <v>0.84119999999999995</v>
      </c>
      <c r="D151" s="34">
        <f>SUM(D4:D150)</f>
        <v>1.0000000000000002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E4:E150">
    <cfRule type="duplicateValues" dxfId="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4420-7FA7-E242-9B9E-DC0BF5A95BB5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7" t="s">
        <v>2</v>
      </c>
      <c r="B1" s="78"/>
      <c r="C1" s="78"/>
      <c r="D1" s="78"/>
    </row>
    <row r="2" spans="1:10" ht="17" customHeight="1" thickBot="1" x14ac:dyDescent="0.25">
      <c r="A2" s="77"/>
      <c r="B2" s="78"/>
      <c r="C2" s="78"/>
      <c r="D2" s="78"/>
    </row>
    <row r="3" spans="1:10" ht="20" thickTop="1" x14ac:dyDescent="0.25">
      <c r="A3" s="7" t="s">
        <v>27</v>
      </c>
      <c r="B3" s="8" t="s">
        <v>28</v>
      </c>
      <c r="C3" s="9" t="s">
        <v>29</v>
      </c>
      <c r="D3" s="9" t="s">
        <v>30</v>
      </c>
    </row>
    <row r="4" spans="1:10" ht="20" thickBot="1" x14ac:dyDescent="0.3">
      <c r="A4" s="28" t="s">
        <v>31</v>
      </c>
      <c r="B4" s="59">
        <v>4.3705708278452811</v>
      </c>
      <c r="C4" s="39">
        <v>0</v>
      </c>
      <c r="D4" s="30">
        <f>C4/$C$151</f>
        <v>0</v>
      </c>
    </row>
    <row r="5" spans="1:10" ht="20" thickBot="1" x14ac:dyDescent="0.3">
      <c r="A5" s="2" t="s">
        <v>32</v>
      </c>
      <c r="B5" s="59">
        <v>5.2136193198580543</v>
      </c>
      <c r="C5" s="40">
        <v>0</v>
      </c>
      <c r="D5" s="31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29" t="s">
        <v>34</v>
      </c>
      <c r="B6" s="59">
        <v>5.6305966049142544</v>
      </c>
      <c r="C6" s="41">
        <v>0</v>
      </c>
      <c r="D6" s="32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2" t="s">
        <v>38</v>
      </c>
      <c r="B7" s="59">
        <v>4.3620978216044497</v>
      </c>
      <c r="C7" s="40">
        <v>0</v>
      </c>
      <c r="D7" s="31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29" t="s">
        <v>40</v>
      </c>
      <c r="B8" s="59">
        <v>4.7882033268855917</v>
      </c>
      <c r="C8" s="41">
        <v>0</v>
      </c>
      <c r="D8" s="32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0.43093111464578499</v>
      </c>
    </row>
    <row r="9" spans="1:10" ht="23" thickBot="1" x14ac:dyDescent="0.35">
      <c r="A9" s="2" t="s">
        <v>42</v>
      </c>
      <c r="B9" s="59">
        <v>3.2228923328507717</v>
      </c>
      <c r="C9" s="40">
        <v>0</v>
      </c>
      <c r="D9" s="31">
        <f t="shared" si="0"/>
        <v>0</v>
      </c>
      <c r="G9" s="26" t="s">
        <v>43</v>
      </c>
      <c r="H9" s="27"/>
      <c r="I9" s="27"/>
      <c r="J9" s="63">
        <f>SUMPRODUCT(B4:B150,D4:D150)</f>
        <v>4.0756275288239578</v>
      </c>
    </row>
    <row r="10" spans="1:10" ht="19" x14ac:dyDescent="0.25">
      <c r="A10" s="29" t="s">
        <v>44</v>
      </c>
      <c r="B10" s="59">
        <v>3.4101851325072063</v>
      </c>
      <c r="C10" s="41">
        <v>0</v>
      </c>
      <c r="D10" s="32">
        <f t="shared" si="0"/>
        <v>0</v>
      </c>
    </row>
    <row r="11" spans="1:10" ht="19" x14ac:dyDescent="0.25">
      <c r="A11" s="2" t="s">
        <v>45</v>
      </c>
      <c r="B11" s="59">
        <v>5.2109258806256893</v>
      </c>
      <c r="C11" s="40">
        <v>0</v>
      </c>
      <c r="D11" s="31">
        <f t="shared" si="0"/>
        <v>0</v>
      </c>
    </row>
    <row r="12" spans="1:10" ht="19" x14ac:dyDescent="0.25">
      <c r="A12" s="29" t="s">
        <v>46</v>
      </c>
      <c r="B12" s="59">
        <v>4.2572307249236632</v>
      </c>
      <c r="C12" s="41">
        <v>0</v>
      </c>
      <c r="D12" s="32">
        <f t="shared" si="0"/>
        <v>0</v>
      </c>
    </row>
    <row r="13" spans="1:10" ht="19" x14ac:dyDescent="0.25">
      <c r="A13" s="2" t="s">
        <v>47</v>
      </c>
      <c r="B13" s="59">
        <v>6.2938646029657299</v>
      </c>
      <c r="C13" s="40">
        <v>0</v>
      </c>
      <c r="D13" s="31">
        <f t="shared" si="0"/>
        <v>0</v>
      </c>
    </row>
    <row r="14" spans="1:10" ht="19" x14ac:dyDescent="0.25">
      <c r="A14" s="29" t="s">
        <v>48</v>
      </c>
      <c r="B14" s="59">
        <v>5.4470391561857463</v>
      </c>
      <c r="C14" s="41">
        <v>0</v>
      </c>
      <c r="D14" s="32">
        <f t="shared" si="0"/>
        <v>0</v>
      </c>
    </row>
    <row r="15" spans="1:10" ht="19" x14ac:dyDescent="0.25">
      <c r="A15" s="2" t="s">
        <v>49</v>
      </c>
      <c r="B15" s="59">
        <v>3.3272157363952584</v>
      </c>
      <c r="C15" s="40">
        <v>0</v>
      </c>
      <c r="D15" s="31">
        <f t="shared" si="0"/>
        <v>0</v>
      </c>
    </row>
    <row r="16" spans="1:10" ht="19" x14ac:dyDescent="0.25">
      <c r="A16" s="29" t="s">
        <v>50</v>
      </c>
      <c r="B16" s="59">
        <v>5.9976203843116958</v>
      </c>
      <c r="C16" s="41">
        <v>0</v>
      </c>
      <c r="D16" s="32">
        <f t="shared" si="0"/>
        <v>0</v>
      </c>
    </row>
    <row r="17" spans="1:5" ht="19" x14ac:dyDescent="0.25">
      <c r="A17" s="2" t="s">
        <v>51</v>
      </c>
      <c r="B17" s="59">
        <v>5.0248646415497609</v>
      </c>
      <c r="C17" s="40">
        <v>0</v>
      </c>
      <c r="D17" s="31">
        <f t="shared" si="0"/>
        <v>0</v>
      </c>
    </row>
    <row r="18" spans="1:5" ht="19" x14ac:dyDescent="0.25">
      <c r="A18" s="29" t="s">
        <v>52</v>
      </c>
      <c r="B18" s="59">
        <v>5.4119734583646606</v>
      </c>
      <c r="C18" s="41">
        <v>0</v>
      </c>
      <c r="D18" s="32">
        <f t="shared" si="0"/>
        <v>0</v>
      </c>
    </row>
    <row r="19" spans="1:5" ht="19" x14ac:dyDescent="0.25">
      <c r="A19" s="2" t="s">
        <v>53</v>
      </c>
      <c r="B19" s="59">
        <v>5.3424605477454783</v>
      </c>
      <c r="C19" s="40">
        <v>0</v>
      </c>
      <c r="D19" s="31">
        <f t="shared" si="0"/>
        <v>0</v>
      </c>
    </row>
    <row r="20" spans="1:5" ht="19" x14ac:dyDescent="0.25">
      <c r="A20" s="29" t="s">
        <v>54</v>
      </c>
      <c r="B20" s="59">
        <v>4.3392269255836116</v>
      </c>
      <c r="C20" s="41">
        <v>0</v>
      </c>
      <c r="D20" s="32">
        <f t="shared" si="0"/>
        <v>0</v>
      </c>
    </row>
    <row r="21" spans="1:5" ht="19" x14ac:dyDescent="0.25">
      <c r="A21" s="2" t="s">
        <v>55</v>
      </c>
      <c r="B21" s="59">
        <v>5.3528879548903774</v>
      </c>
      <c r="C21" s="40">
        <v>1.2500000000000001E-2</v>
      </c>
      <c r="D21" s="31">
        <f t="shared" si="0"/>
        <v>1.5294261593050289E-2</v>
      </c>
    </row>
    <row r="22" spans="1:5" ht="19" x14ac:dyDescent="0.25">
      <c r="A22" s="29" t="s">
        <v>56</v>
      </c>
      <c r="B22" s="59">
        <v>4.4305511295739555</v>
      </c>
      <c r="C22" s="41">
        <v>0</v>
      </c>
      <c r="D22" s="32">
        <f t="shared" si="0"/>
        <v>0</v>
      </c>
    </row>
    <row r="23" spans="1:5" ht="19" x14ac:dyDescent="0.25">
      <c r="A23" s="2" t="s">
        <v>57</v>
      </c>
      <c r="B23" s="59">
        <v>6.5469989858167894</v>
      </c>
      <c r="C23" s="40">
        <v>0</v>
      </c>
      <c r="D23" s="31">
        <f t="shared" si="0"/>
        <v>0</v>
      </c>
    </row>
    <row r="24" spans="1:5" ht="19" x14ac:dyDescent="0.25">
      <c r="A24" s="29" t="s">
        <v>58</v>
      </c>
      <c r="B24" s="59">
        <v>6.3316257862325482</v>
      </c>
      <c r="C24" s="41">
        <v>0</v>
      </c>
      <c r="D24" s="32">
        <f t="shared" si="0"/>
        <v>0</v>
      </c>
    </row>
    <row r="25" spans="1:5" ht="19" x14ac:dyDescent="0.25">
      <c r="A25" s="2" t="s">
        <v>59</v>
      </c>
      <c r="B25" s="59">
        <v>5.6374100513783132</v>
      </c>
      <c r="C25" s="40">
        <v>0</v>
      </c>
      <c r="D25" s="31">
        <f t="shared" si="0"/>
        <v>0</v>
      </c>
    </row>
    <row r="26" spans="1:5" ht="19" x14ac:dyDescent="0.25">
      <c r="A26" s="29" t="s">
        <v>60</v>
      </c>
      <c r="B26" s="59">
        <v>6.8290168498118629</v>
      </c>
      <c r="C26" s="41">
        <v>0</v>
      </c>
      <c r="D26" s="32">
        <f t="shared" si="0"/>
        <v>0</v>
      </c>
    </row>
    <row r="27" spans="1:5" ht="19" x14ac:dyDescent="0.25">
      <c r="A27" s="2" t="s">
        <v>61</v>
      </c>
      <c r="B27" s="59">
        <v>3.4431913474650511</v>
      </c>
      <c r="C27" s="40">
        <v>8.1699999999999995E-2</v>
      </c>
      <c r="D27" s="31">
        <f t="shared" si="0"/>
        <v>9.9963293772176678E-2</v>
      </c>
    </row>
    <row r="28" spans="1:5" ht="19" x14ac:dyDescent="0.25">
      <c r="A28" s="29" t="s">
        <v>62</v>
      </c>
      <c r="B28" s="59">
        <v>6.7936201324767405</v>
      </c>
      <c r="C28" s="41">
        <v>0</v>
      </c>
      <c r="D28" s="32">
        <f t="shared" si="0"/>
        <v>0</v>
      </c>
    </row>
    <row r="29" spans="1:5" ht="19" x14ac:dyDescent="0.25">
      <c r="A29" s="2" t="s">
        <v>63</v>
      </c>
      <c r="B29" s="59">
        <v>6.8383191750945294</v>
      </c>
      <c r="C29" s="40">
        <v>0</v>
      </c>
      <c r="D29" s="31">
        <f t="shared" si="0"/>
        <v>0</v>
      </c>
    </row>
    <row r="30" spans="1:5" ht="19" x14ac:dyDescent="0.25">
      <c r="A30" s="29" t="s">
        <v>64</v>
      </c>
      <c r="B30" s="59">
        <v>4.3579262651505353</v>
      </c>
      <c r="C30" s="41">
        <v>0</v>
      </c>
      <c r="D30" s="32">
        <f t="shared" si="0"/>
        <v>0</v>
      </c>
    </row>
    <row r="31" spans="1:5" ht="19" x14ac:dyDescent="0.25">
      <c r="A31" s="2" t="s">
        <v>65</v>
      </c>
      <c r="B31" s="59">
        <v>4.2558827981073541</v>
      </c>
      <c r="C31" s="40">
        <v>9.1199999999999989E-2</v>
      </c>
      <c r="D31" s="31">
        <f t="shared" si="0"/>
        <v>0.1115869325828949</v>
      </c>
      <c r="E31" s="1" t="s">
        <v>66</v>
      </c>
    </row>
    <row r="32" spans="1:5" ht="19" x14ac:dyDescent="0.25">
      <c r="A32" s="29" t="s">
        <v>67</v>
      </c>
      <c r="B32" s="59">
        <v>5.7247940072371959</v>
      </c>
      <c r="C32" s="41">
        <v>0</v>
      </c>
      <c r="D32" s="32">
        <f t="shared" si="0"/>
        <v>0</v>
      </c>
    </row>
    <row r="33" spans="1:4" ht="19" x14ac:dyDescent="0.25">
      <c r="A33" s="2" t="s">
        <v>68</v>
      </c>
      <c r="B33" s="59">
        <v>5.6489161047332477</v>
      </c>
      <c r="C33" s="40">
        <v>0</v>
      </c>
      <c r="D33" s="31">
        <f t="shared" si="0"/>
        <v>0</v>
      </c>
    </row>
    <row r="34" spans="1:4" ht="19" x14ac:dyDescent="0.25">
      <c r="A34" s="29" t="s">
        <v>69</v>
      </c>
      <c r="B34" s="59">
        <v>4.2297467795287353</v>
      </c>
      <c r="C34" s="41">
        <v>0</v>
      </c>
      <c r="D34" s="32">
        <f t="shared" si="0"/>
        <v>0</v>
      </c>
    </row>
    <row r="35" spans="1:4" ht="19" x14ac:dyDescent="0.25">
      <c r="A35" s="2" t="s">
        <v>70</v>
      </c>
      <c r="B35" s="59">
        <v>5.5958391680617687</v>
      </c>
      <c r="C35" s="40">
        <v>0</v>
      </c>
      <c r="D35" s="31">
        <f t="shared" si="0"/>
        <v>0</v>
      </c>
    </row>
    <row r="36" spans="1:4" ht="19" x14ac:dyDescent="0.25">
      <c r="A36" s="29" t="s">
        <v>71</v>
      </c>
      <c r="B36" s="59">
        <v>4.2818306896749707</v>
      </c>
      <c r="C36" s="41">
        <v>0</v>
      </c>
      <c r="D36" s="32">
        <f t="shared" si="0"/>
        <v>0</v>
      </c>
    </row>
    <row r="37" spans="1:4" ht="19" x14ac:dyDescent="0.25">
      <c r="A37" s="2" t="s">
        <v>72</v>
      </c>
      <c r="B37" s="59">
        <v>4.665702306747229</v>
      </c>
      <c r="C37" s="40">
        <v>0</v>
      </c>
      <c r="D37" s="31">
        <f t="shared" si="0"/>
        <v>0</v>
      </c>
    </row>
    <row r="38" spans="1:4" ht="19" x14ac:dyDescent="0.25">
      <c r="A38" s="29" t="s">
        <v>73</v>
      </c>
      <c r="B38" s="59">
        <v>3.7484970292180693</v>
      </c>
      <c r="C38" s="41">
        <v>0</v>
      </c>
      <c r="D38" s="32">
        <f t="shared" si="0"/>
        <v>0</v>
      </c>
    </row>
    <row r="39" spans="1:4" ht="19" x14ac:dyDescent="0.25">
      <c r="A39" s="2" t="s">
        <v>74</v>
      </c>
      <c r="B39" s="59">
        <v>3.1990775661028361</v>
      </c>
      <c r="C39" s="40">
        <v>0</v>
      </c>
      <c r="D39" s="31">
        <f t="shared" si="0"/>
        <v>0</v>
      </c>
    </row>
    <row r="40" spans="1:4" ht="19" x14ac:dyDescent="0.25">
      <c r="A40" s="29" t="s">
        <v>75</v>
      </c>
      <c r="B40" s="59">
        <v>5.9780558706115094</v>
      </c>
      <c r="C40" s="41">
        <v>0</v>
      </c>
      <c r="D40" s="32">
        <f t="shared" si="0"/>
        <v>0</v>
      </c>
    </row>
    <row r="41" spans="1:4" ht="19" x14ac:dyDescent="0.25">
      <c r="A41" s="2" t="s">
        <v>76</v>
      </c>
      <c r="B41" s="59">
        <v>4.6951385888474393</v>
      </c>
      <c r="C41" s="40">
        <v>0</v>
      </c>
      <c r="D41" s="31">
        <f t="shared" si="0"/>
        <v>0</v>
      </c>
    </row>
    <row r="42" spans="1:4" ht="19" x14ac:dyDescent="0.25">
      <c r="A42" s="29" t="s">
        <v>77</v>
      </c>
      <c r="B42" s="59">
        <v>5.7086243658486353</v>
      </c>
      <c r="C42" s="41">
        <v>0</v>
      </c>
      <c r="D42" s="32">
        <f t="shared" si="0"/>
        <v>0</v>
      </c>
    </row>
    <row r="43" spans="1:4" ht="19" x14ac:dyDescent="0.25">
      <c r="A43" s="2" t="s">
        <v>78</v>
      </c>
      <c r="B43" s="59">
        <v>5.6039767437648544</v>
      </c>
      <c r="C43" s="40">
        <v>0</v>
      </c>
      <c r="D43" s="31">
        <f t="shared" si="0"/>
        <v>0</v>
      </c>
    </row>
    <row r="44" spans="1:4" ht="19" x14ac:dyDescent="0.25">
      <c r="A44" s="29" t="s">
        <v>79</v>
      </c>
      <c r="B44" s="59">
        <v>4.7929202889816001</v>
      </c>
      <c r="C44" s="41">
        <v>0</v>
      </c>
      <c r="D44" s="32">
        <f t="shared" si="0"/>
        <v>0</v>
      </c>
    </row>
    <row r="45" spans="1:4" ht="19" x14ac:dyDescent="0.25">
      <c r="A45" s="2" t="s">
        <v>80</v>
      </c>
      <c r="B45" s="59">
        <v>3.5745795767056725</v>
      </c>
      <c r="C45" s="40">
        <v>0</v>
      </c>
      <c r="D45" s="31">
        <f t="shared" si="0"/>
        <v>0</v>
      </c>
    </row>
    <row r="46" spans="1:4" ht="19" x14ac:dyDescent="0.25">
      <c r="A46" s="29" t="s">
        <v>81</v>
      </c>
      <c r="B46" s="59">
        <v>4.4965923559879277</v>
      </c>
      <c r="C46" s="41">
        <v>0</v>
      </c>
      <c r="D46" s="32">
        <f t="shared" si="0"/>
        <v>0</v>
      </c>
    </row>
    <row r="47" spans="1:4" ht="19" x14ac:dyDescent="0.25">
      <c r="A47" s="2" t="s">
        <v>82</v>
      </c>
      <c r="B47" s="59">
        <v>6.927950682570712</v>
      </c>
      <c r="C47" s="40">
        <v>0</v>
      </c>
      <c r="D47" s="31">
        <f t="shared" si="0"/>
        <v>0</v>
      </c>
    </row>
    <row r="48" spans="1:4" ht="19" x14ac:dyDescent="0.25">
      <c r="A48" s="29" t="s">
        <v>83</v>
      </c>
      <c r="B48" s="59">
        <v>3.3483394041152907</v>
      </c>
      <c r="C48" s="41">
        <v>0</v>
      </c>
      <c r="D48" s="32">
        <f t="shared" si="0"/>
        <v>0</v>
      </c>
    </row>
    <row r="49" spans="1:4" ht="19" x14ac:dyDescent="0.25">
      <c r="A49" s="2" t="s">
        <v>84</v>
      </c>
      <c r="B49" s="59">
        <v>3.6488472849850422</v>
      </c>
      <c r="C49" s="40">
        <v>2.1099999999999997E-2</v>
      </c>
      <c r="D49" s="31">
        <f t="shared" si="0"/>
        <v>2.5816713569068884E-2</v>
      </c>
    </row>
    <row r="50" spans="1:4" ht="19" x14ac:dyDescent="0.25">
      <c r="A50" s="29" t="s">
        <v>85</v>
      </c>
      <c r="B50" s="59">
        <v>5.7823719673887926</v>
      </c>
      <c r="C50" s="41">
        <v>0</v>
      </c>
      <c r="D50" s="32">
        <f t="shared" si="0"/>
        <v>0</v>
      </c>
    </row>
    <row r="51" spans="1:4" ht="19" x14ac:dyDescent="0.25">
      <c r="A51" s="2" t="s">
        <v>86</v>
      </c>
      <c r="B51" s="59">
        <v>5.3790271999040362</v>
      </c>
      <c r="C51" s="40">
        <v>0</v>
      </c>
      <c r="D51" s="31">
        <f t="shared" si="0"/>
        <v>0</v>
      </c>
    </row>
    <row r="52" spans="1:4" ht="19" x14ac:dyDescent="0.25">
      <c r="A52" s="29" t="s">
        <v>87</v>
      </c>
      <c r="B52" s="59">
        <v>4.9290675473985939</v>
      </c>
      <c r="C52" s="41">
        <v>0</v>
      </c>
      <c r="D52" s="32">
        <f t="shared" si="0"/>
        <v>0</v>
      </c>
    </row>
    <row r="53" spans="1:4" ht="19" x14ac:dyDescent="0.25">
      <c r="A53" s="2" t="s">
        <v>88</v>
      </c>
      <c r="B53" s="59">
        <v>3.4167336021772097</v>
      </c>
      <c r="C53" s="40">
        <v>4.3499999999999997E-2</v>
      </c>
      <c r="D53" s="31">
        <f t="shared" si="0"/>
        <v>5.3224030343815003E-2</v>
      </c>
    </row>
    <row r="54" spans="1:4" ht="19" x14ac:dyDescent="0.25">
      <c r="A54" s="29" t="s">
        <v>89</v>
      </c>
      <c r="B54" s="59">
        <v>4.6272251474478185</v>
      </c>
      <c r="C54" s="41">
        <v>0</v>
      </c>
      <c r="D54" s="32">
        <f t="shared" si="0"/>
        <v>0</v>
      </c>
    </row>
    <row r="55" spans="1:4" ht="19" x14ac:dyDescent="0.25">
      <c r="A55" s="2" t="s">
        <v>90</v>
      </c>
      <c r="B55" s="59">
        <v>4.3382922337238083</v>
      </c>
      <c r="C55" s="40">
        <v>0</v>
      </c>
      <c r="D55" s="31">
        <f t="shared" si="0"/>
        <v>0</v>
      </c>
    </row>
    <row r="56" spans="1:4" ht="19" x14ac:dyDescent="0.25">
      <c r="A56" s="29" t="s">
        <v>91</v>
      </c>
      <c r="B56" s="59">
        <v>5.450113492883502</v>
      </c>
      <c r="C56" s="41">
        <v>0</v>
      </c>
      <c r="D56" s="32">
        <f t="shared" si="0"/>
        <v>0</v>
      </c>
    </row>
    <row r="57" spans="1:4" ht="19" x14ac:dyDescent="0.25">
      <c r="A57" s="2" t="s">
        <v>92</v>
      </c>
      <c r="B57" s="59">
        <v>6.3557356106090603</v>
      </c>
      <c r="C57" s="40">
        <v>0</v>
      </c>
      <c r="D57" s="31">
        <f t="shared" si="0"/>
        <v>0</v>
      </c>
    </row>
    <row r="58" spans="1:4" ht="19" x14ac:dyDescent="0.25">
      <c r="A58" s="29" t="s">
        <v>93</v>
      </c>
      <c r="B58" s="59">
        <v>5.9434838790990074</v>
      </c>
      <c r="C58" s="41">
        <v>0</v>
      </c>
      <c r="D58" s="32">
        <f t="shared" si="0"/>
        <v>0</v>
      </c>
    </row>
    <row r="59" spans="1:4" ht="19" x14ac:dyDescent="0.25">
      <c r="A59" s="2" t="s">
        <v>94</v>
      </c>
      <c r="B59" s="59">
        <v>4.9174638740379848</v>
      </c>
      <c r="C59" s="40">
        <v>0</v>
      </c>
      <c r="D59" s="31">
        <f t="shared" si="0"/>
        <v>0</v>
      </c>
    </row>
    <row r="60" spans="1:4" ht="19" x14ac:dyDescent="0.25">
      <c r="A60" s="29" t="s">
        <v>95</v>
      </c>
      <c r="B60" s="59">
        <v>6.5330241147248609</v>
      </c>
      <c r="C60" s="41">
        <v>0</v>
      </c>
      <c r="D60" s="32">
        <f t="shared" si="0"/>
        <v>0</v>
      </c>
    </row>
    <row r="61" spans="1:4" ht="19" x14ac:dyDescent="0.25">
      <c r="A61" s="2" t="s">
        <v>96</v>
      </c>
      <c r="B61" s="59">
        <v>5.7658823887989872</v>
      </c>
      <c r="C61" s="40">
        <v>0</v>
      </c>
      <c r="D61" s="31">
        <f t="shared" si="0"/>
        <v>0</v>
      </c>
    </row>
    <row r="62" spans="1:4" ht="19" x14ac:dyDescent="0.25">
      <c r="A62" s="29" t="s">
        <v>97</v>
      </c>
      <c r="B62" s="59">
        <v>3.6278897079089987</v>
      </c>
      <c r="C62" s="41">
        <v>0</v>
      </c>
      <c r="D62" s="32">
        <f t="shared" si="0"/>
        <v>0</v>
      </c>
    </row>
    <row r="63" spans="1:4" ht="19" x14ac:dyDescent="0.25">
      <c r="A63" s="2" t="s">
        <v>98</v>
      </c>
      <c r="B63" s="59">
        <v>3.3752937482227585</v>
      </c>
      <c r="C63" s="40">
        <v>0</v>
      </c>
      <c r="D63" s="31">
        <f t="shared" si="0"/>
        <v>0</v>
      </c>
    </row>
    <row r="64" spans="1:4" ht="19" x14ac:dyDescent="0.25">
      <c r="A64" s="29" t="s">
        <v>99</v>
      </c>
      <c r="B64" s="59">
        <v>5.0659580961290027</v>
      </c>
      <c r="C64" s="41">
        <v>1.8000000000000002E-2</v>
      </c>
      <c r="D64" s="32">
        <f t="shared" si="0"/>
        <v>2.2023736693992418E-2</v>
      </c>
    </row>
    <row r="65" spans="1:4" ht="19" x14ac:dyDescent="0.25">
      <c r="A65" s="2" t="s">
        <v>100</v>
      </c>
      <c r="B65" s="59">
        <v>4.9248047791749228</v>
      </c>
      <c r="C65" s="40">
        <v>0</v>
      </c>
      <c r="D65" s="31">
        <f t="shared" si="0"/>
        <v>0</v>
      </c>
    </row>
    <row r="66" spans="1:4" ht="19" x14ac:dyDescent="0.25">
      <c r="A66" s="29" t="s">
        <v>101</v>
      </c>
      <c r="B66" s="59">
        <v>5.8793658240107565</v>
      </c>
      <c r="C66" s="41">
        <v>0</v>
      </c>
      <c r="D66" s="32">
        <f t="shared" si="0"/>
        <v>0</v>
      </c>
    </row>
    <row r="67" spans="1:4" ht="19" x14ac:dyDescent="0.25">
      <c r="A67" s="2" t="s">
        <v>102</v>
      </c>
      <c r="B67" s="59">
        <v>6.0491810448870345</v>
      </c>
      <c r="C67" s="40">
        <v>0</v>
      </c>
      <c r="D67" s="31">
        <f t="shared" si="0"/>
        <v>0</v>
      </c>
    </row>
    <row r="68" spans="1:4" ht="19" x14ac:dyDescent="0.25">
      <c r="A68" s="29" t="s">
        <v>103</v>
      </c>
      <c r="B68" s="59">
        <v>3.253942686762922</v>
      </c>
      <c r="C68" s="41">
        <v>1.9099999999999999E-2</v>
      </c>
      <c r="D68" s="32">
        <f t="shared" si="0"/>
        <v>2.3369631714180841E-2</v>
      </c>
    </row>
    <row r="69" spans="1:4" ht="19" x14ac:dyDescent="0.25">
      <c r="A69" s="2" t="s">
        <v>104</v>
      </c>
      <c r="B69" s="59">
        <v>4.6082974679305195</v>
      </c>
      <c r="C69" s="40">
        <v>0</v>
      </c>
      <c r="D69" s="31">
        <f t="shared" ref="D69:D132" si="1">C69/$C$151</f>
        <v>0</v>
      </c>
    </row>
    <row r="70" spans="1:4" ht="19" x14ac:dyDescent="0.25">
      <c r="A70" s="29" t="s">
        <v>105</v>
      </c>
      <c r="B70" s="59">
        <v>3.8382882812123826</v>
      </c>
      <c r="C70" s="41">
        <v>2.0299999999999999E-2</v>
      </c>
      <c r="D70" s="32">
        <f t="shared" si="1"/>
        <v>2.4837880827113669E-2</v>
      </c>
    </row>
    <row r="71" spans="1:4" ht="19" x14ac:dyDescent="0.25">
      <c r="A71" s="2" t="s">
        <v>106</v>
      </c>
      <c r="B71" s="59">
        <v>4.7451218036873231</v>
      </c>
      <c r="C71" s="40">
        <v>0</v>
      </c>
      <c r="D71" s="31">
        <f t="shared" si="1"/>
        <v>0</v>
      </c>
    </row>
    <row r="72" spans="1:4" ht="19" x14ac:dyDescent="0.25">
      <c r="A72" s="29" t="s">
        <v>107</v>
      </c>
      <c r="B72" s="59">
        <v>3.3755878841798577</v>
      </c>
      <c r="C72" s="41">
        <v>2.1899999999999999E-2</v>
      </c>
      <c r="D72" s="32">
        <f t="shared" si="1"/>
        <v>2.6795546311024106E-2</v>
      </c>
    </row>
    <row r="73" spans="1:4" ht="19" x14ac:dyDescent="0.25">
      <c r="A73" s="2" t="s">
        <v>108</v>
      </c>
      <c r="B73" s="59">
        <v>5.1303864841692146</v>
      </c>
      <c r="C73" s="40">
        <v>0</v>
      </c>
      <c r="D73" s="31">
        <f t="shared" si="1"/>
        <v>0</v>
      </c>
    </row>
    <row r="74" spans="1:4" ht="19" x14ac:dyDescent="0.25">
      <c r="A74" s="29" t="s">
        <v>109</v>
      </c>
      <c r="B74" s="59">
        <v>4.5379079915092131</v>
      </c>
      <c r="C74" s="41">
        <v>0</v>
      </c>
      <c r="D74" s="32">
        <f t="shared" si="1"/>
        <v>0</v>
      </c>
    </row>
    <row r="75" spans="1:4" ht="19" x14ac:dyDescent="0.25">
      <c r="A75" s="2" t="s">
        <v>110</v>
      </c>
      <c r="B75" s="59">
        <v>6.1313349307646918</v>
      </c>
      <c r="C75" s="40">
        <v>0</v>
      </c>
      <c r="D75" s="31">
        <f t="shared" si="1"/>
        <v>0</v>
      </c>
    </row>
    <row r="76" spans="1:4" ht="19" x14ac:dyDescent="0.25">
      <c r="A76" s="29" t="s">
        <v>111</v>
      </c>
      <c r="B76" s="59">
        <v>4.2961051501975707</v>
      </c>
      <c r="C76" s="41">
        <v>0</v>
      </c>
      <c r="D76" s="32">
        <f t="shared" si="1"/>
        <v>0</v>
      </c>
    </row>
    <row r="77" spans="1:4" ht="19" x14ac:dyDescent="0.25">
      <c r="A77" s="2" t="s">
        <v>112</v>
      </c>
      <c r="B77" s="59">
        <v>5.373680321889462</v>
      </c>
      <c r="C77" s="40">
        <v>0</v>
      </c>
      <c r="D77" s="31">
        <f t="shared" si="1"/>
        <v>0</v>
      </c>
    </row>
    <row r="78" spans="1:4" ht="19" x14ac:dyDescent="0.25">
      <c r="A78" s="29" t="s">
        <v>113</v>
      </c>
      <c r="B78" s="59">
        <v>5.1391788730224306</v>
      </c>
      <c r="C78" s="41">
        <v>0</v>
      </c>
      <c r="D78" s="32">
        <f t="shared" si="1"/>
        <v>0</v>
      </c>
    </row>
    <row r="79" spans="1:4" ht="19" x14ac:dyDescent="0.25">
      <c r="A79" s="2" t="s">
        <v>114</v>
      </c>
      <c r="B79" s="59">
        <v>3.9664492327048539</v>
      </c>
      <c r="C79" s="40">
        <v>0</v>
      </c>
      <c r="D79" s="31">
        <f t="shared" si="1"/>
        <v>0</v>
      </c>
    </row>
    <row r="80" spans="1:4" ht="19" x14ac:dyDescent="0.25">
      <c r="A80" s="29" t="s">
        <v>115</v>
      </c>
      <c r="B80" s="59">
        <v>6.1238543404169867</v>
      </c>
      <c r="C80" s="41">
        <v>0</v>
      </c>
      <c r="D80" s="32">
        <f t="shared" si="1"/>
        <v>0</v>
      </c>
    </row>
    <row r="81" spans="1:4" ht="19" x14ac:dyDescent="0.25">
      <c r="A81" s="2" t="s">
        <v>116</v>
      </c>
      <c r="B81" s="59">
        <v>5.48860822118026</v>
      </c>
      <c r="C81" s="40">
        <v>0</v>
      </c>
      <c r="D81" s="31">
        <f t="shared" si="1"/>
        <v>0</v>
      </c>
    </row>
    <row r="82" spans="1:4" ht="19" x14ac:dyDescent="0.25">
      <c r="A82" s="29" t="s">
        <v>117</v>
      </c>
      <c r="B82" s="59">
        <v>5.9675040107987867</v>
      </c>
      <c r="C82" s="41">
        <v>0</v>
      </c>
      <c r="D82" s="32">
        <f t="shared" si="1"/>
        <v>0</v>
      </c>
    </row>
    <row r="83" spans="1:4" ht="19" x14ac:dyDescent="0.25">
      <c r="A83" s="2" t="s">
        <v>118</v>
      </c>
      <c r="B83" s="59">
        <v>5.6755260890564418</v>
      </c>
      <c r="C83" s="40">
        <v>0</v>
      </c>
      <c r="D83" s="31">
        <f t="shared" si="1"/>
        <v>0</v>
      </c>
    </row>
    <row r="84" spans="1:4" ht="19" x14ac:dyDescent="0.25">
      <c r="A84" s="29" t="s">
        <v>119</v>
      </c>
      <c r="B84" s="59">
        <v>3.9263549476589308</v>
      </c>
      <c r="C84" s="41">
        <v>0</v>
      </c>
      <c r="D84" s="32">
        <f t="shared" si="1"/>
        <v>0</v>
      </c>
    </row>
    <row r="85" spans="1:4" ht="19" x14ac:dyDescent="0.25">
      <c r="A85" s="2" t="s">
        <v>120</v>
      </c>
      <c r="B85" s="59">
        <v>5.8210372928345899</v>
      </c>
      <c r="C85" s="40">
        <v>0</v>
      </c>
      <c r="D85" s="31">
        <f t="shared" si="1"/>
        <v>0</v>
      </c>
    </row>
    <row r="86" spans="1:4" ht="19" x14ac:dyDescent="0.25">
      <c r="A86" s="29" t="s">
        <v>121</v>
      </c>
      <c r="B86" s="59">
        <v>5.5779364438856991</v>
      </c>
      <c r="C86" s="41">
        <v>0</v>
      </c>
      <c r="D86" s="32">
        <f t="shared" si="1"/>
        <v>0</v>
      </c>
    </row>
    <row r="87" spans="1:4" ht="19" x14ac:dyDescent="0.25">
      <c r="A87" s="2" t="s">
        <v>122</v>
      </c>
      <c r="B87" s="59">
        <v>4.0335588563178906</v>
      </c>
      <c r="C87" s="40">
        <v>0</v>
      </c>
      <c r="D87" s="31">
        <f t="shared" si="1"/>
        <v>0</v>
      </c>
    </row>
    <row r="88" spans="1:4" ht="19" x14ac:dyDescent="0.25">
      <c r="A88" s="29" t="s">
        <v>123</v>
      </c>
      <c r="B88" s="59">
        <v>7.1049758774245326</v>
      </c>
      <c r="C88" s="41">
        <v>0</v>
      </c>
      <c r="D88" s="32">
        <f t="shared" si="1"/>
        <v>0</v>
      </c>
    </row>
    <row r="89" spans="1:4" ht="19" x14ac:dyDescent="0.25">
      <c r="A89" s="2" t="s">
        <v>124</v>
      </c>
      <c r="B89" s="59">
        <v>6.2753028505143282</v>
      </c>
      <c r="C89" s="40">
        <v>0</v>
      </c>
      <c r="D89" s="31">
        <f t="shared" si="1"/>
        <v>0</v>
      </c>
    </row>
    <row r="90" spans="1:4" ht="19" x14ac:dyDescent="0.25">
      <c r="A90" s="29" t="s">
        <v>125</v>
      </c>
      <c r="B90" s="59">
        <v>3.4654790256975891</v>
      </c>
      <c r="C90" s="41">
        <v>0</v>
      </c>
      <c r="D90" s="32">
        <f t="shared" si="1"/>
        <v>0</v>
      </c>
    </row>
    <row r="91" spans="1:4" ht="19" x14ac:dyDescent="0.25">
      <c r="A91" s="2" t="s">
        <v>126</v>
      </c>
      <c r="B91" s="59">
        <v>5.4234078040770983</v>
      </c>
      <c r="C91" s="40">
        <v>6.7099999999999993E-2</v>
      </c>
      <c r="D91" s="31">
        <f t="shared" si="1"/>
        <v>8.2099596231493946E-2</v>
      </c>
    </row>
    <row r="92" spans="1:4" ht="19" x14ac:dyDescent="0.25">
      <c r="A92" s="29" t="s">
        <v>127</v>
      </c>
      <c r="B92" s="59">
        <v>5.1376667464547303</v>
      </c>
      <c r="C92" s="41">
        <v>0</v>
      </c>
      <c r="D92" s="32">
        <f t="shared" si="1"/>
        <v>0</v>
      </c>
    </row>
    <row r="93" spans="1:4" ht="19" x14ac:dyDescent="0.25">
      <c r="A93" s="2" t="s">
        <v>128</v>
      </c>
      <c r="B93" s="59">
        <v>4.6510069196773065</v>
      </c>
      <c r="C93" s="40">
        <v>0</v>
      </c>
      <c r="D93" s="31">
        <f t="shared" si="1"/>
        <v>0</v>
      </c>
    </row>
    <row r="94" spans="1:4" ht="19" x14ac:dyDescent="0.25">
      <c r="A94" s="29" t="s">
        <v>129</v>
      </c>
      <c r="B94" s="59">
        <v>5.1009280794553211</v>
      </c>
      <c r="C94" s="41">
        <v>0</v>
      </c>
      <c r="D94" s="32">
        <f t="shared" si="1"/>
        <v>0</v>
      </c>
    </row>
    <row r="95" spans="1:4" ht="19" x14ac:dyDescent="0.25">
      <c r="A95" s="2" t="s">
        <v>130</v>
      </c>
      <c r="B95" s="59">
        <v>6.2957088620382402</v>
      </c>
      <c r="C95" s="40">
        <v>0</v>
      </c>
      <c r="D95" s="31">
        <f t="shared" si="1"/>
        <v>0</v>
      </c>
    </row>
    <row r="96" spans="1:4" ht="19" x14ac:dyDescent="0.25">
      <c r="A96" s="29" t="s">
        <v>131</v>
      </c>
      <c r="B96" s="59">
        <v>4.6400800634309949</v>
      </c>
      <c r="C96" s="41">
        <v>0</v>
      </c>
      <c r="D96" s="32">
        <f t="shared" si="1"/>
        <v>0</v>
      </c>
    </row>
    <row r="97" spans="1:4" ht="19" x14ac:dyDescent="0.25">
      <c r="A97" s="2" t="s">
        <v>132</v>
      </c>
      <c r="B97" s="59">
        <v>5.7812106231736005</v>
      </c>
      <c r="C97" s="40">
        <v>0</v>
      </c>
      <c r="D97" s="31">
        <f t="shared" si="1"/>
        <v>0</v>
      </c>
    </row>
    <row r="98" spans="1:4" ht="19" x14ac:dyDescent="0.25">
      <c r="A98" s="29" t="s">
        <v>133</v>
      </c>
      <c r="B98" s="59">
        <v>3.5907872747385401</v>
      </c>
      <c r="C98" s="41">
        <v>1.2E-2</v>
      </c>
      <c r="D98" s="32">
        <f t="shared" si="1"/>
        <v>1.4682491129328278E-2</v>
      </c>
    </row>
    <row r="99" spans="1:4" ht="19" x14ac:dyDescent="0.25">
      <c r="A99" s="2" t="s">
        <v>134</v>
      </c>
      <c r="B99" s="59">
        <v>3.3163390659638341</v>
      </c>
      <c r="C99" s="40">
        <v>0</v>
      </c>
      <c r="D99" s="31">
        <f t="shared" si="1"/>
        <v>0</v>
      </c>
    </row>
    <row r="100" spans="1:4" ht="19" x14ac:dyDescent="0.25">
      <c r="A100" s="29" t="s">
        <v>135</v>
      </c>
      <c r="B100" s="59">
        <v>5.8020732010296063</v>
      </c>
      <c r="C100" s="41">
        <v>0</v>
      </c>
      <c r="D100" s="32">
        <f t="shared" si="1"/>
        <v>0</v>
      </c>
    </row>
    <row r="101" spans="1:4" ht="19" x14ac:dyDescent="0.25">
      <c r="A101" s="2" t="s">
        <v>136</v>
      </c>
      <c r="B101" s="59">
        <v>7.0685249610665801</v>
      </c>
      <c r="C101" s="40">
        <v>0</v>
      </c>
      <c r="D101" s="31">
        <f t="shared" si="1"/>
        <v>0</v>
      </c>
    </row>
    <row r="102" spans="1:4" ht="19" x14ac:dyDescent="0.25">
      <c r="A102" s="29" t="s">
        <v>137</v>
      </c>
      <c r="B102" s="59">
        <v>6.5035912603709098</v>
      </c>
      <c r="C102" s="41">
        <v>0</v>
      </c>
      <c r="D102" s="32">
        <f t="shared" si="1"/>
        <v>0</v>
      </c>
    </row>
    <row r="103" spans="1:4" ht="19" x14ac:dyDescent="0.25">
      <c r="A103" s="2" t="s">
        <v>138</v>
      </c>
      <c r="B103" s="59">
        <v>4.1624840904381539</v>
      </c>
      <c r="C103" s="40">
        <v>0</v>
      </c>
      <c r="D103" s="31">
        <f t="shared" si="1"/>
        <v>0</v>
      </c>
    </row>
    <row r="104" spans="1:4" ht="19" x14ac:dyDescent="0.25">
      <c r="A104" s="29" t="s">
        <v>139</v>
      </c>
      <c r="B104" s="59">
        <v>3.3787152608913655</v>
      </c>
      <c r="C104" s="41">
        <v>0</v>
      </c>
      <c r="D104" s="32">
        <f t="shared" si="1"/>
        <v>0</v>
      </c>
    </row>
    <row r="105" spans="1:4" ht="19" x14ac:dyDescent="0.25">
      <c r="A105" s="2" t="s">
        <v>140</v>
      </c>
      <c r="B105" s="59">
        <v>4.0162254988757935</v>
      </c>
      <c r="C105" s="40">
        <v>0</v>
      </c>
      <c r="D105" s="31">
        <f t="shared" si="1"/>
        <v>0</v>
      </c>
    </row>
    <row r="106" spans="1:4" ht="19" x14ac:dyDescent="0.25">
      <c r="A106" s="29" t="s">
        <v>141</v>
      </c>
      <c r="B106" s="59">
        <v>6.648668082818161</v>
      </c>
      <c r="C106" s="41">
        <v>0</v>
      </c>
      <c r="D106" s="32">
        <f t="shared" si="1"/>
        <v>0</v>
      </c>
    </row>
    <row r="107" spans="1:4" ht="19" x14ac:dyDescent="0.25">
      <c r="A107" s="2" t="s">
        <v>142</v>
      </c>
      <c r="B107" s="59">
        <v>4.5635733416096631</v>
      </c>
      <c r="C107" s="40">
        <v>0</v>
      </c>
      <c r="D107" s="31">
        <f t="shared" si="1"/>
        <v>0</v>
      </c>
    </row>
    <row r="108" spans="1:4" ht="19" x14ac:dyDescent="0.25">
      <c r="A108" s="29" t="s">
        <v>143</v>
      </c>
      <c r="B108" s="59">
        <v>5.3398873222843388</v>
      </c>
      <c r="C108" s="41">
        <v>0</v>
      </c>
      <c r="D108" s="32">
        <f t="shared" si="1"/>
        <v>0</v>
      </c>
    </row>
    <row r="109" spans="1:4" ht="19" x14ac:dyDescent="0.25">
      <c r="A109" s="2" t="s">
        <v>144</v>
      </c>
      <c r="B109" s="59">
        <v>4.7159164073345954</v>
      </c>
      <c r="C109" s="40">
        <v>0</v>
      </c>
      <c r="D109" s="31">
        <f t="shared" si="1"/>
        <v>0</v>
      </c>
    </row>
    <row r="110" spans="1:4" ht="19" x14ac:dyDescent="0.25">
      <c r="A110" s="29" t="s">
        <v>145</v>
      </c>
      <c r="B110" s="59">
        <v>5.2817219635350439</v>
      </c>
      <c r="C110" s="41">
        <v>0</v>
      </c>
      <c r="D110" s="32">
        <f t="shared" si="1"/>
        <v>0</v>
      </c>
    </row>
    <row r="111" spans="1:4" ht="19" x14ac:dyDescent="0.25">
      <c r="A111" s="2" t="s">
        <v>146</v>
      </c>
      <c r="B111" s="59">
        <v>5.8016442493647551</v>
      </c>
      <c r="C111" s="40">
        <v>0</v>
      </c>
      <c r="D111" s="31">
        <f t="shared" si="1"/>
        <v>0</v>
      </c>
    </row>
    <row r="112" spans="1:4" ht="19" x14ac:dyDescent="0.25">
      <c r="A112" s="29" t="s">
        <v>147</v>
      </c>
      <c r="B112" s="59">
        <v>4.1502930814875194</v>
      </c>
      <c r="C112" s="41">
        <v>0</v>
      </c>
      <c r="D112" s="32">
        <f t="shared" si="1"/>
        <v>0</v>
      </c>
    </row>
    <row r="113" spans="1:4" ht="19" x14ac:dyDescent="0.25">
      <c r="A113" s="2" t="s">
        <v>148</v>
      </c>
      <c r="B113" s="59">
        <v>3.4281858950270068</v>
      </c>
      <c r="C113" s="40">
        <v>0</v>
      </c>
      <c r="D113" s="31">
        <f t="shared" si="1"/>
        <v>0</v>
      </c>
    </row>
    <row r="114" spans="1:4" ht="19" x14ac:dyDescent="0.25">
      <c r="A114" s="29" t="s">
        <v>149</v>
      </c>
      <c r="B114" s="59">
        <v>3.1959809471990606</v>
      </c>
      <c r="C114" s="41">
        <v>0</v>
      </c>
      <c r="D114" s="32">
        <f t="shared" si="1"/>
        <v>0</v>
      </c>
    </row>
    <row r="115" spans="1:4" ht="19" x14ac:dyDescent="0.25">
      <c r="A115" s="2" t="s">
        <v>150</v>
      </c>
      <c r="B115" s="59">
        <v>4.0482582591129548</v>
      </c>
      <c r="C115" s="40">
        <v>0</v>
      </c>
      <c r="D115" s="31">
        <f t="shared" si="1"/>
        <v>0</v>
      </c>
    </row>
    <row r="116" spans="1:4" ht="19" x14ac:dyDescent="0.25">
      <c r="A116" s="29" t="s">
        <v>151</v>
      </c>
      <c r="B116" s="59">
        <v>5.9582623064002229</v>
      </c>
      <c r="C116" s="41">
        <v>0</v>
      </c>
      <c r="D116" s="32">
        <f t="shared" si="1"/>
        <v>0</v>
      </c>
    </row>
    <row r="117" spans="1:4" ht="19" x14ac:dyDescent="0.25">
      <c r="A117" s="2" t="s">
        <v>152</v>
      </c>
      <c r="B117" s="59">
        <v>5.4717687502053103</v>
      </c>
      <c r="C117" s="40">
        <v>0</v>
      </c>
      <c r="D117" s="31">
        <f t="shared" si="1"/>
        <v>0</v>
      </c>
    </row>
    <row r="118" spans="1:4" ht="19" x14ac:dyDescent="0.25">
      <c r="A118" s="29" t="s">
        <v>153</v>
      </c>
      <c r="B118" s="59">
        <v>4.4233746630959043</v>
      </c>
      <c r="C118" s="41">
        <v>0</v>
      </c>
      <c r="D118" s="32">
        <f t="shared" si="1"/>
        <v>0</v>
      </c>
    </row>
    <row r="119" spans="1:4" ht="19" x14ac:dyDescent="0.25">
      <c r="A119" s="2" t="s">
        <v>154</v>
      </c>
      <c r="B119" s="59">
        <v>5.3961053213656953</v>
      </c>
      <c r="C119" s="40">
        <v>0</v>
      </c>
      <c r="D119" s="31">
        <f t="shared" si="1"/>
        <v>0</v>
      </c>
    </row>
    <row r="120" spans="1:4" ht="19" x14ac:dyDescent="0.25">
      <c r="A120" s="29" t="s">
        <v>155</v>
      </c>
      <c r="B120" s="59">
        <v>5.0353573500743858</v>
      </c>
      <c r="C120" s="41">
        <v>0</v>
      </c>
      <c r="D120" s="32">
        <f t="shared" si="1"/>
        <v>0</v>
      </c>
    </row>
    <row r="121" spans="1:4" ht="19" x14ac:dyDescent="0.25">
      <c r="A121" s="2" t="s">
        <v>156</v>
      </c>
      <c r="B121" s="59">
        <v>5.6408231615395454</v>
      </c>
      <c r="C121" s="40">
        <v>0</v>
      </c>
      <c r="D121" s="31">
        <f t="shared" si="1"/>
        <v>0</v>
      </c>
    </row>
    <row r="122" spans="1:4" ht="19" x14ac:dyDescent="0.25">
      <c r="A122" s="29" t="s">
        <v>157</v>
      </c>
      <c r="B122" s="59">
        <v>3.0386535635012972</v>
      </c>
      <c r="C122" s="41">
        <v>0</v>
      </c>
      <c r="D122" s="32">
        <f t="shared" si="1"/>
        <v>0</v>
      </c>
    </row>
    <row r="123" spans="1:4" ht="19" x14ac:dyDescent="0.25">
      <c r="A123" s="2" t="s">
        <v>158</v>
      </c>
      <c r="B123" s="59">
        <v>3.791880207241451</v>
      </c>
      <c r="C123" s="40">
        <v>0</v>
      </c>
      <c r="D123" s="31">
        <f t="shared" si="1"/>
        <v>0</v>
      </c>
    </row>
    <row r="124" spans="1:4" ht="19" x14ac:dyDescent="0.25">
      <c r="A124" s="29" t="s">
        <v>159</v>
      </c>
      <c r="B124" s="59">
        <v>3.4781584832038352</v>
      </c>
      <c r="C124" s="41">
        <v>0</v>
      </c>
      <c r="D124" s="32">
        <f t="shared" si="1"/>
        <v>0</v>
      </c>
    </row>
    <row r="125" spans="1:4" ht="19" x14ac:dyDescent="0.25">
      <c r="A125" s="2" t="s">
        <v>160</v>
      </c>
      <c r="B125" s="59">
        <v>5.2224005392752639</v>
      </c>
      <c r="C125" s="40">
        <v>0</v>
      </c>
      <c r="D125" s="31">
        <f t="shared" si="1"/>
        <v>0</v>
      </c>
    </row>
    <row r="126" spans="1:4" ht="19" x14ac:dyDescent="0.25">
      <c r="A126" s="29" t="s">
        <v>161</v>
      </c>
      <c r="B126" s="59">
        <v>3.5667851803481079</v>
      </c>
      <c r="C126" s="41">
        <v>0</v>
      </c>
      <c r="D126" s="32">
        <f t="shared" si="1"/>
        <v>0</v>
      </c>
    </row>
    <row r="127" spans="1:4" ht="19" x14ac:dyDescent="0.25">
      <c r="A127" s="2" t="s">
        <v>162</v>
      </c>
      <c r="B127" s="59">
        <v>3.7006443947932954</v>
      </c>
      <c r="C127" s="40">
        <v>1.01E-2</v>
      </c>
      <c r="D127" s="31">
        <f t="shared" si="1"/>
        <v>1.2357763367184632E-2</v>
      </c>
    </row>
    <row r="128" spans="1:4" ht="19" x14ac:dyDescent="0.25">
      <c r="A128" s="29" t="s">
        <v>163</v>
      </c>
      <c r="B128" s="59">
        <v>5.1109914616879202</v>
      </c>
      <c r="C128" s="41">
        <v>0</v>
      </c>
      <c r="D128" s="32">
        <f t="shared" si="1"/>
        <v>0</v>
      </c>
    </row>
    <row r="129" spans="1:4" ht="19" x14ac:dyDescent="0.25">
      <c r="A129" s="2" t="s">
        <v>164</v>
      </c>
      <c r="B129" s="59">
        <v>7.0987237940608701</v>
      </c>
      <c r="C129" s="40">
        <v>0</v>
      </c>
      <c r="D129" s="31">
        <f t="shared" si="1"/>
        <v>0</v>
      </c>
    </row>
    <row r="130" spans="1:4" ht="19" x14ac:dyDescent="0.25">
      <c r="A130" s="29" t="s">
        <v>165</v>
      </c>
      <c r="B130" s="59">
        <v>3.5240069552478133</v>
      </c>
      <c r="C130" s="41">
        <v>0</v>
      </c>
      <c r="D130" s="32">
        <f t="shared" si="1"/>
        <v>0</v>
      </c>
    </row>
    <row r="131" spans="1:4" ht="19" x14ac:dyDescent="0.25">
      <c r="A131" s="2" t="s">
        <v>166</v>
      </c>
      <c r="B131" s="59">
        <v>2.7770010876672497</v>
      </c>
      <c r="C131" s="40">
        <v>2.0299999999999999E-2</v>
      </c>
      <c r="D131" s="31">
        <f t="shared" si="1"/>
        <v>2.4837880827113669E-2</v>
      </c>
    </row>
    <row r="132" spans="1:4" ht="19" x14ac:dyDescent="0.25">
      <c r="A132" s="29" t="s">
        <v>167</v>
      </c>
      <c r="B132" s="59">
        <v>7.3330533031040499</v>
      </c>
      <c r="C132" s="41">
        <v>0</v>
      </c>
      <c r="D132" s="32">
        <f t="shared" si="1"/>
        <v>0</v>
      </c>
    </row>
    <row r="133" spans="1:4" ht="19" x14ac:dyDescent="0.25">
      <c r="A133" s="2" t="s">
        <v>168</v>
      </c>
      <c r="B133" s="59">
        <v>5.6864357260548895</v>
      </c>
      <c r="C133" s="40">
        <v>0</v>
      </c>
      <c r="D133" s="31">
        <f t="shared" ref="D133:D150" si="2">C133/$C$151</f>
        <v>0</v>
      </c>
    </row>
    <row r="134" spans="1:4" ht="19" x14ac:dyDescent="0.25">
      <c r="A134" s="29" t="s">
        <v>169</v>
      </c>
      <c r="B134" s="59">
        <v>5.2061146997824723</v>
      </c>
      <c r="C134" s="41">
        <v>0</v>
      </c>
      <c r="D134" s="32">
        <f t="shared" si="2"/>
        <v>0</v>
      </c>
    </row>
    <row r="135" spans="1:4" ht="19" x14ac:dyDescent="0.25">
      <c r="A135" s="2" t="s">
        <v>170</v>
      </c>
      <c r="B135" s="59">
        <v>5.1473122500344015</v>
      </c>
      <c r="C135" s="40">
        <v>0</v>
      </c>
      <c r="D135" s="31">
        <f t="shared" si="2"/>
        <v>0</v>
      </c>
    </row>
    <row r="136" spans="1:4" ht="19" x14ac:dyDescent="0.25">
      <c r="A136" s="29" t="s">
        <v>171</v>
      </c>
      <c r="B136" s="59">
        <v>5.8734951860587028</v>
      </c>
      <c r="C136" s="41">
        <v>0</v>
      </c>
      <c r="D136" s="32">
        <f t="shared" si="2"/>
        <v>0</v>
      </c>
    </row>
    <row r="137" spans="1:4" ht="19" x14ac:dyDescent="0.25">
      <c r="A137" s="2" t="s">
        <v>172</v>
      </c>
      <c r="B137" s="59">
        <v>4.3829710171749507</v>
      </c>
      <c r="C137" s="40">
        <v>0</v>
      </c>
      <c r="D137" s="31">
        <f t="shared" si="2"/>
        <v>0</v>
      </c>
    </row>
    <row r="138" spans="1:4" ht="19" x14ac:dyDescent="0.25">
      <c r="A138" s="29" t="s">
        <v>173</v>
      </c>
      <c r="B138" s="59">
        <v>5.1269871649881278</v>
      </c>
      <c r="C138" s="41">
        <v>0</v>
      </c>
      <c r="D138" s="32">
        <f t="shared" si="2"/>
        <v>0</v>
      </c>
    </row>
    <row r="139" spans="1:4" ht="19" x14ac:dyDescent="0.25">
      <c r="A139" s="2" t="s">
        <v>174</v>
      </c>
      <c r="B139" s="59">
        <v>5.2574384214456868</v>
      </c>
      <c r="C139" s="40">
        <v>0</v>
      </c>
      <c r="D139" s="31">
        <f t="shared" si="2"/>
        <v>0</v>
      </c>
    </row>
    <row r="140" spans="1:4" ht="19" x14ac:dyDescent="0.25">
      <c r="A140" s="29" t="s">
        <v>175</v>
      </c>
      <c r="B140" s="59">
        <v>6.2888889425300309</v>
      </c>
      <c r="C140" s="41">
        <v>0</v>
      </c>
      <c r="D140" s="32">
        <f t="shared" si="2"/>
        <v>0</v>
      </c>
    </row>
    <row r="141" spans="1:4" ht="19" x14ac:dyDescent="0.25">
      <c r="A141" s="2" t="s">
        <v>176</v>
      </c>
      <c r="B141" s="59">
        <v>6.3476767840395238</v>
      </c>
      <c r="C141" s="40">
        <v>0</v>
      </c>
      <c r="D141" s="31">
        <f t="shared" si="2"/>
        <v>0</v>
      </c>
    </row>
    <row r="142" spans="1:4" ht="19" x14ac:dyDescent="0.25">
      <c r="A142" s="29" t="s">
        <v>177</v>
      </c>
      <c r="B142" s="59">
        <v>3.7156413836197295</v>
      </c>
      <c r="C142" s="41">
        <v>0</v>
      </c>
      <c r="D142" s="32">
        <f t="shared" si="2"/>
        <v>0</v>
      </c>
    </row>
    <row r="143" spans="1:4" ht="19" x14ac:dyDescent="0.25">
      <c r="A143" s="2" t="s">
        <v>178</v>
      </c>
      <c r="B143" s="59">
        <v>3.3179607898236139</v>
      </c>
      <c r="C143" s="40">
        <v>2.63E-2</v>
      </c>
      <c r="D143" s="31">
        <f t="shared" si="2"/>
        <v>3.2179126391777807E-2</v>
      </c>
    </row>
    <row r="144" spans="1:4" ht="19" x14ac:dyDescent="0.25">
      <c r="A144" s="29" t="s">
        <v>179</v>
      </c>
      <c r="B144" s="59">
        <v>4.1903553610988471</v>
      </c>
      <c r="C144" s="41">
        <v>0.35220000000000001</v>
      </c>
      <c r="D144" s="32">
        <f t="shared" si="2"/>
        <v>0.43093111464578499</v>
      </c>
    </row>
    <row r="145" spans="1:4" ht="19" x14ac:dyDescent="0.25">
      <c r="A145" s="2" t="s">
        <v>180</v>
      </c>
      <c r="B145" s="59">
        <v>3.9104307580301834</v>
      </c>
      <c r="C145" s="40">
        <v>0</v>
      </c>
      <c r="D145" s="31">
        <f t="shared" si="2"/>
        <v>0</v>
      </c>
    </row>
    <row r="146" spans="1:4" ht="19" x14ac:dyDescent="0.25">
      <c r="A146" s="29" t="s">
        <v>181</v>
      </c>
      <c r="B146" s="59">
        <v>5.7741934156294281</v>
      </c>
      <c r="C146" s="41">
        <v>0</v>
      </c>
      <c r="D146" s="32">
        <f t="shared" si="2"/>
        <v>0</v>
      </c>
    </row>
    <row r="147" spans="1:4" ht="19" x14ac:dyDescent="0.25">
      <c r="A147" s="2" t="s">
        <v>182</v>
      </c>
      <c r="B147" s="59">
        <v>4.3230065548271748</v>
      </c>
      <c r="C147" s="40">
        <v>0</v>
      </c>
      <c r="D147" s="31">
        <f t="shared" si="2"/>
        <v>0</v>
      </c>
    </row>
    <row r="148" spans="1:4" ht="19" x14ac:dyDescent="0.25">
      <c r="A148" s="29" t="s">
        <v>183</v>
      </c>
      <c r="B148" s="59">
        <v>6.3044304196425287</v>
      </c>
      <c r="C148" s="41">
        <v>0</v>
      </c>
      <c r="D148" s="32">
        <f t="shared" si="2"/>
        <v>0</v>
      </c>
    </row>
    <row r="149" spans="1:4" ht="19" x14ac:dyDescent="0.25">
      <c r="A149" s="2" t="s">
        <v>184</v>
      </c>
      <c r="B149" s="59">
        <v>4.9494000233782742</v>
      </c>
      <c r="C149" s="40">
        <v>0</v>
      </c>
      <c r="D149" s="31">
        <f t="shared" si="2"/>
        <v>0</v>
      </c>
    </row>
    <row r="150" spans="1:4" ht="19" x14ac:dyDescent="0.25">
      <c r="A150" s="57" t="s">
        <v>185</v>
      </c>
      <c r="B150" s="59">
        <v>6.1447845309536486</v>
      </c>
      <c r="C150" s="42">
        <v>0</v>
      </c>
      <c r="D150" s="33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0.81729999999999992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91FE-EEE9-CF41-9B67-9514C9D1DDC6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7" t="s">
        <v>3</v>
      </c>
      <c r="B1" s="78"/>
      <c r="C1" s="78"/>
      <c r="D1" s="78"/>
    </row>
    <row r="2" spans="1:10" ht="17" customHeight="1" thickBot="1" x14ac:dyDescent="0.25">
      <c r="A2" s="77"/>
      <c r="B2" s="78"/>
      <c r="C2" s="78"/>
      <c r="D2" s="78"/>
    </row>
    <row r="3" spans="1:10" ht="20" thickTop="1" x14ac:dyDescent="0.25">
      <c r="A3" s="7" t="s">
        <v>27</v>
      </c>
      <c r="B3" s="8" t="s">
        <v>28</v>
      </c>
      <c r="C3" s="9" t="s">
        <v>29</v>
      </c>
      <c r="D3" s="9" t="s">
        <v>30</v>
      </c>
    </row>
    <row r="4" spans="1:10" ht="20" thickBot="1" x14ac:dyDescent="0.3">
      <c r="A4" s="28" t="s">
        <v>31</v>
      </c>
      <c r="B4" s="59">
        <v>4.3705708278452811</v>
      </c>
      <c r="C4" s="39">
        <v>0</v>
      </c>
      <c r="D4" s="30">
        <f>C4/$C$151</f>
        <v>0</v>
      </c>
      <c r="E4" s="4"/>
    </row>
    <row r="5" spans="1:10" ht="20" thickBot="1" x14ac:dyDescent="0.3">
      <c r="A5" s="2" t="s">
        <v>32</v>
      </c>
      <c r="B5" s="59">
        <v>5.2136193198580543</v>
      </c>
      <c r="C5" s="40">
        <v>0</v>
      </c>
      <c r="D5" s="31">
        <f t="shared" ref="D5:D68" si="0">C5/$C$151</f>
        <v>0</v>
      </c>
      <c r="E5" s="4"/>
      <c r="G5" s="13" t="s">
        <v>33</v>
      </c>
      <c r="H5" s="14"/>
      <c r="I5" s="14"/>
      <c r="J5" s="15"/>
    </row>
    <row r="6" spans="1:10" ht="20" thickBot="1" x14ac:dyDescent="0.3">
      <c r="A6" s="29" t="s">
        <v>34</v>
      </c>
      <c r="B6" s="59">
        <v>5.6305966049142544</v>
      </c>
      <c r="C6" s="41">
        <v>0</v>
      </c>
      <c r="D6" s="32">
        <f t="shared" si="0"/>
        <v>0</v>
      </c>
      <c r="E6" s="4"/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2" t="s">
        <v>38</v>
      </c>
      <c r="B7" s="59">
        <v>4.3620978216044497</v>
      </c>
      <c r="C7" s="40">
        <v>0</v>
      </c>
      <c r="D7" s="31">
        <f t="shared" si="0"/>
        <v>0</v>
      </c>
      <c r="E7" s="4"/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29" t="s">
        <v>40</v>
      </c>
      <c r="B8" s="59">
        <v>4.7882033268855917</v>
      </c>
      <c r="C8" s="41">
        <v>0</v>
      </c>
      <c r="D8" s="32">
        <f t="shared" si="0"/>
        <v>0</v>
      </c>
      <c r="E8" s="4"/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0.61485919712402637</v>
      </c>
    </row>
    <row r="9" spans="1:10" ht="23" thickBot="1" x14ac:dyDescent="0.35">
      <c r="A9" s="2" t="s">
        <v>42</v>
      </c>
      <c r="B9" s="59">
        <v>3.2228923328507717</v>
      </c>
      <c r="C9" s="40">
        <v>0.01</v>
      </c>
      <c r="D9" s="31">
        <f t="shared" si="0"/>
        <v>1.1983223487118035E-2</v>
      </c>
      <c r="E9" s="4"/>
      <c r="G9" s="26" t="s">
        <v>43</v>
      </c>
      <c r="H9" s="27"/>
      <c r="I9" s="27"/>
      <c r="J9" s="63">
        <f>SUMPRODUCT(B4:B150,D4:D150)</f>
        <v>4.1699698181640921</v>
      </c>
    </row>
    <row r="10" spans="1:10" ht="19" x14ac:dyDescent="0.25">
      <c r="A10" s="29" t="s">
        <v>44</v>
      </c>
      <c r="B10" s="59">
        <v>3.4101851325072063</v>
      </c>
      <c r="C10" s="41">
        <v>0</v>
      </c>
      <c r="D10" s="32">
        <f t="shared" si="0"/>
        <v>0</v>
      </c>
      <c r="E10" s="4"/>
    </row>
    <row r="11" spans="1:10" ht="19" x14ac:dyDescent="0.25">
      <c r="A11" s="2" t="s">
        <v>45</v>
      </c>
      <c r="B11" s="59">
        <v>5.2109258806256893</v>
      </c>
      <c r="C11" s="40">
        <v>0</v>
      </c>
      <c r="D11" s="31">
        <f t="shared" si="0"/>
        <v>0</v>
      </c>
      <c r="E11" s="4"/>
    </row>
    <row r="12" spans="1:10" ht="19" x14ac:dyDescent="0.25">
      <c r="A12" s="29" t="s">
        <v>46</v>
      </c>
      <c r="B12" s="59">
        <v>4.2572307249236632</v>
      </c>
      <c r="C12" s="41">
        <v>0</v>
      </c>
      <c r="D12" s="32">
        <f t="shared" si="0"/>
        <v>0</v>
      </c>
      <c r="E12" s="4"/>
    </row>
    <row r="13" spans="1:10" ht="19" x14ac:dyDescent="0.25">
      <c r="A13" s="2" t="s">
        <v>47</v>
      </c>
      <c r="B13" s="59">
        <v>6.2938646029657299</v>
      </c>
      <c r="C13" s="40">
        <v>0</v>
      </c>
      <c r="D13" s="31">
        <f t="shared" si="0"/>
        <v>0</v>
      </c>
      <c r="E13" s="4"/>
    </row>
    <row r="14" spans="1:10" ht="19" x14ac:dyDescent="0.25">
      <c r="A14" s="29" t="s">
        <v>48</v>
      </c>
      <c r="B14" s="59">
        <v>5.4470391561857463</v>
      </c>
      <c r="C14" s="41">
        <v>0</v>
      </c>
      <c r="D14" s="32">
        <f t="shared" si="0"/>
        <v>0</v>
      </c>
      <c r="E14" s="4"/>
    </row>
    <row r="15" spans="1:10" ht="19" x14ac:dyDescent="0.25">
      <c r="A15" s="2" t="s">
        <v>49</v>
      </c>
      <c r="B15" s="59">
        <v>3.3272157363952584</v>
      </c>
      <c r="C15" s="40">
        <v>0</v>
      </c>
      <c r="D15" s="31">
        <f t="shared" si="0"/>
        <v>0</v>
      </c>
      <c r="E15" s="4"/>
    </row>
    <row r="16" spans="1:10" ht="19" x14ac:dyDescent="0.25">
      <c r="A16" s="29" t="s">
        <v>50</v>
      </c>
      <c r="B16" s="59">
        <v>5.9976203843116958</v>
      </c>
      <c r="C16" s="41">
        <v>0</v>
      </c>
      <c r="D16" s="32">
        <f t="shared" si="0"/>
        <v>0</v>
      </c>
      <c r="E16" s="4"/>
    </row>
    <row r="17" spans="1:5" ht="19" x14ac:dyDescent="0.25">
      <c r="A17" s="2" t="s">
        <v>51</v>
      </c>
      <c r="B17" s="59">
        <v>5.0248646415497609</v>
      </c>
      <c r="C17" s="40">
        <v>0</v>
      </c>
      <c r="D17" s="31">
        <f t="shared" si="0"/>
        <v>0</v>
      </c>
      <c r="E17" s="4"/>
    </row>
    <row r="18" spans="1:5" ht="19" x14ac:dyDescent="0.25">
      <c r="A18" s="29" t="s">
        <v>52</v>
      </c>
      <c r="B18" s="59">
        <v>5.4119734583646606</v>
      </c>
      <c r="C18" s="41">
        <v>0</v>
      </c>
      <c r="D18" s="32">
        <f t="shared" si="0"/>
        <v>0</v>
      </c>
      <c r="E18" s="4"/>
    </row>
    <row r="19" spans="1:5" ht="19" x14ac:dyDescent="0.25">
      <c r="A19" s="2" t="s">
        <v>53</v>
      </c>
      <c r="B19" s="59">
        <v>5.3424605477454783</v>
      </c>
      <c r="C19" s="40">
        <v>0</v>
      </c>
      <c r="D19" s="31">
        <f t="shared" si="0"/>
        <v>0</v>
      </c>
      <c r="E19" s="4"/>
    </row>
    <row r="20" spans="1:5" ht="19" x14ac:dyDescent="0.25">
      <c r="A20" s="29" t="s">
        <v>54</v>
      </c>
      <c r="B20" s="59">
        <v>4.3392269255836116</v>
      </c>
      <c r="C20" s="41">
        <v>0</v>
      </c>
      <c r="D20" s="32">
        <f t="shared" si="0"/>
        <v>0</v>
      </c>
      <c r="E20" s="4"/>
    </row>
    <row r="21" spans="1:5" ht="19" x14ac:dyDescent="0.25">
      <c r="A21" s="2" t="s">
        <v>55</v>
      </c>
      <c r="B21" s="59">
        <v>5.3528879548903774</v>
      </c>
      <c r="C21" s="40">
        <v>1.5100000000000001E-2</v>
      </c>
      <c r="D21" s="31">
        <f t="shared" si="0"/>
        <v>1.8094667465548234E-2</v>
      </c>
      <c r="E21" s="4"/>
    </row>
    <row r="22" spans="1:5" ht="19" x14ac:dyDescent="0.25">
      <c r="A22" s="29" t="s">
        <v>56</v>
      </c>
      <c r="B22" s="59">
        <v>4.4305511295739555</v>
      </c>
      <c r="C22" s="41">
        <v>0</v>
      </c>
      <c r="D22" s="32">
        <f t="shared" si="0"/>
        <v>0</v>
      </c>
      <c r="E22" s="4"/>
    </row>
    <row r="23" spans="1:5" ht="19" x14ac:dyDescent="0.25">
      <c r="A23" s="2" t="s">
        <v>57</v>
      </c>
      <c r="B23" s="59">
        <v>6.5469989858167894</v>
      </c>
      <c r="C23" s="40">
        <v>0</v>
      </c>
      <c r="D23" s="31">
        <f t="shared" si="0"/>
        <v>0</v>
      </c>
      <c r="E23" s="4"/>
    </row>
    <row r="24" spans="1:5" ht="19" x14ac:dyDescent="0.25">
      <c r="A24" s="29" t="s">
        <v>58</v>
      </c>
      <c r="B24" s="59">
        <v>6.3316257862325482</v>
      </c>
      <c r="C24" s="41">
        <v>0</v>
      </c>
      <c r="D24" s="32">
        <f t="shared" si="0"/>
        <v>0</v>
      </c>
      <c r="E24" s="4"/>
    </row>
    <row r="25" spans="1:5" ht="19" x14ac:dyDescent="0.25">
      <c r="A25" s="2" t="s">
        <v>59</v>
      </c>
      <c r="B25" s="59">
        <v>5.6374100513783132</v>
      </c>
      <c r="C25" s="40">
        <v>0</v>
      </c>
      <c r="D25" s="31">
        <f t="shared" si="0"/>
        <v>0</v>
      </c>
      <c r="E25" s="4"/>
    </row>
    <row r="26" spans="1:5" ht="19" x14ac:dyDescent="0.25">
      <c r="A26" s="29" t="s">
        <v>60</v>
      </c>
      <c r="B26" s="59">
        <v>6.8290168498118629</v>
      </c>
      <c r="C26" s="41">
        <v>0</v>
      </c>
      <c r="D26" s="32">
        <f t="shared" si="0"/>
        <v>0</v>
      </c>
      <c r="E26" s="4"/>
    </row>
    <row r="27" spans="1:5" ht="19" x14ac:dyDescent="0.25">
      <c r="A27" s="2" t="s">
        <v>61</v>
      </c>
      <c r="B27" s="59">
        <v>3.4431913474650511</v>
      </c>
      <c r="C27" s="40">
        <v>0</v>
      </c>
      <c r="D27" s="31">
        <f t="shared" si="0"/>
        <v>0</v>
      </c>
      <c r="E27" s="4"/>
    </row>
    <row r="28" spans="1:5" ht="19" x14ac:dyDescent="0.25">
      <c r="A28" s="29" t="s">
        <v>62</v>
      </c>
      <c r="B28" s="59">
        <v>6.7936201324767405</v>
      </c>
      <c r="C28" s="41">
        <v>0</v>
      </c>
      <c r="D28" s="32">
        <f t="shared" si="0"/>
        <v>0</v>
      </c>
      <c r="E28" s="4"/>
    </row>
    <row r="29" spans="1:5" ht="19" x14ac:dyDescent="0.25">
      <c r="A29" s="2" t="s">
        <v>63</v>
      </c>
      <c r="B29" s="59">
        <v>6.8383191750945294</v>
      </c>
      <c r="C29" s="40">
        <v>0</v>
      </c>
      <c r="D29" s="31">
        <f t="shared" si="0"/>
        <v>0</v>
      </c>
      <c r="E29" s="4"/>
    </row>
    <row r="30" spans="1:5" ht="19" x14ac:dyDescent="0.25">
      <c r="A30" s="29" t="s">
        <v>64</v>
      </c>
      <c r="B30" s="59">
        <v>4.3579262651505353</v>
      </c>
      <c r="C30" s="41">
        <v>0</v>
      </c>
      <c r="D30" s="32">
        <f t="shared" si="0"/>
        <v>0</v>
      </c>
      <c r="E30" s="4"/>
    </row>
    <row r="31" spans="1:5" ht="19" x14ac:dyDescent="0.25">
      <c r="A31" s="2" t="s">
        <v>65</v>
      </c>
      <c r="B31" s="59">
        <v>4.2558827981073541</v>
      </c>
      <c r="C31" s="40">
        <v>0.1124</v>
      </c>
      <c r="D31" s="31">
        <f t="shared" si="0"/>
        <v>0.1346914319952067</v>
      </c>
      <c r="E31" s="58" t="s">
        <v>66</v>
      </c>
    </row>
    <row r="32" spans="1:5" ht="19" x14ac:dyDescent="0.25">
      <c r="A32" s="29" t="s">
        <v>67</v>
      </c>
      <c r="B32" s="59">
        <v>5.7247940072371959</v>
      </c>
      <c r="C32" s="41">
        <v>0</v>
      </c>
      <c r="D32" s="32">
        <f t="shared" si="0"/>
        <v>0</v>
      </c>
      <c r="E32" s="4"/>
    </row>
    <row r="33" spans="1:5" ht="19" x14ac:dyDescent="0.25">
      <c r="A33" s="2" t="s">
        <v>68</v>
      </c>
      <c r="B33" s="59">
        <v>5.6489161047332477</v>
      </c>
      <c r="C33" s="40">
        <v>0</v>
      </c>
      <c r="D33" s="31">
        <f t="shared" si="0"/>
        <v>0</v>
      </c>
      <c r="E33" s="4"/>
    </row>
    <row r="34" spans="1:5" ht="19" x14ac:dyDescent="0.25">
      <c r="A34" s="29" t="s">
        <v>69</v>
      </c>
      <c r="B34" s="59">
        <v>4.2297467795287353</v>
      </c>
      <c r="C34" s="41">
        <v>0</v>
      </c>
      <c r="D34" s="32">
        <f t="shared" si="0"/>
        <v>0</v>
      </c>
      <c r="E34" s="4"/>
    </row>
    <row r="35" spans="1:5" ht="19" x14ac:dyDescent="0.25">
      <c r="A35" s="2" t="s">
        <v>70</v>
      </c>
      <c r="B35" s="59">
        <v>5.5958391680617687</v>
      </c>
      <c r="C35" s="40">
        <v>0</v>
      </c>
      <c r="D35" s="31">
        <f t="shared" si="0"/>
        <v>0</v>
      </c>
      <c r="E35" s="4"/>
    </row>
    <row r="36" spans="1:5" ht="19" x14ac:dyDescent="0.25">
      <c r="A36" s="29" t="s">
        <v>71</v>
      </c>
      <c r="B36" s="59">
        <v>4.2818306896749707</v>
      </c>
      <c r="C36" s="41">
        <v>0</v>
      </c>
      <c r="D36" s="32">
        <f t="shared" si="0"/>
        <v>0</v>
      </c>
      <c r="E36" s="4"/>
    </row>
    <row r="37" spans="1:5" ht="19" x14ac:dyDescent="0.25">
      <c r="A37" s="2" t="s">
        <v>72</v>
      </c>
      <c r="B37" s="59">
        <v>4.665702306747229</v>
      </c>
      <c r="C37" s="40">
        <v>0</v>
      </c>
      <c r="D37" s="31">
        <f t="shared" si="0"/>
        <v>0</v>
      </c>
      <c r="E37" s="4"/>
    </row>
    <row r="38" spans="1:5" ht="19" x14ac:dyDescent="0.25">
      <c r="A38" s="29" t="s">
        <v>73</v>
      </c>
      <c r="B38" s="59">
        <v>3.7484970292180693</v>
      </c>
      <c r="C38" s="41">
        <v>0</v>
      </c>
      <c r="D38" s="32">
        <f t="shared" si="0"/>
        <v>0</v>
      </c>
      <c r="E38" s="4"/>
    </row>
    <row r="39" spans="1:5" ht="19" x14ac:dyDescent="0.25">
      <c r="A39" s="2" t="s">
        <v>74</v>
      </c>
      <c r="B39" s="59">
        <v>3.1990775661028361</v>
      </c>
      <c r="C39" s="40">
        <v>0</v>
      </c>
      <c r="D39" s="31">
        <f t="shared" si="0"/>
        <v>0</v>
      </c>
      <c r="E39" s="4"/>
    </row>
    <row r="40" spans="1:5" ht="19" x14ac:dyDescent="0.25">
      <c r="A40" s="29" t="s">
        <v>75</v>
      </c>
      <c r="B40" s="59">
        <v>5.9780558706115094</v>
      </c>
      <c r="C40" s="41">
        <v>0</v>
      </c>
      <c r="D40" s="32">
        <f t="shared" si="0"/>
        <v>0</v>
      </c>
      <c r="E40" s="4"/>
    </row>
    <row r="41" spans="1:5" ht="19" x14ac:dyDescent="0.25">
      <c r="A41" s="2" t="s">
        <v>76</v>
      </c>
      <c r="B41" s="59">
        <v>4.6951385888474393</v>
      </c>
      <c r="C41" s="40">
        <v>0</v>
      </c>
      <c r="D41" s="31">
        <f t="shared" si="0"/>
        <v>0</v>
      </c>
      <c r="E41" s="4"/>
    </row>
    <row r="42" spans="1:5" ht="19" x14ac:dyDescent="0.25">
      <c r="A42" s="29" t="s">
        <v>77</v>
      </c>
      <c r="B42" s="59">
        <v>5.7086243658486353</v>
      </c>
      <c r="C42" s="41">
        <v>0</v>
      </c>
      <c r="D42" s="32">
        <f t="shared" si="0"/>
        <v>0</v>
      </c>
      <c r="E42" s="4"/>
    </row>
    <row r="43" spans="1:5" ht="19" x14ac:dyDescent="0.25">
      <c r="A43" s="2" t="s">
        <v>78</v>
      </c>
      <c r="B43" s="59">
        <v>5.6039767437648544</v>
      </c>
      <c r="C43" s="40">
        <v>0</v>
      </c>
      <c r="D43" s="31">
        <f t="shared" si="0"/>
        <v>0</v>
      </c>
      <c r="E43" s="4"/>
    </row>
    <row r="44" spans="1:5" ht="19" x14ac:dyDescent="0.25">
      <c r="A44" s="29" t="s">
        <v>79</v>
      </c>
      <c r="B44" s="59">
        <v>4.7929202889816001</v>
      </c>
      <c r="C44" s="41">
        <v>0</v>
      </c>
      <c r="D44" s="32">
        <f t="shared" si="0"/>
        <v>0</v>
      </c>
      <c r="E44" s="4"/>
    </row>
    <row r="45" spans="1:5" ht="19" x14ac:dyDescent="0.25">
      <c r="A45" s="2" t="s">
        <v>80</v>
      </c>
      <c r="B45" s="59">
        <v>3.5745795767056725</v>
      </c>
      <c r="C45" s="40">
        <v>0</v>
      </c>
      <c r="D45" s="31">
        <f t="shared" si="0"/>
        <v>0</v>
      </c>
      <c r="E45" s="4"/>
    </row>
    <row r="46" spans="1:5" ht="19" x14ac:dyDescent="0.25">
      <c r="A46" s="29" t="s">
        <v>81</v>
      </c>
      <c r="B46" s="59">
        <v>4.4965923559879277</v>
      </c>
      <c r="C46" s="41">
        <v>0</v>
      </c>
      <c r="D46" s="32">
        <f t="shared" si="0"/>
        <v>0</v>
      </c>
      <c r="E46" s="4"/>
    </row>
    <row r="47" spans="1:5" ht="19" x14ac:dyDescent="0.25">
      <c r="A47" s="2" t="s">
        <v>82</v>
      </c>
      <c r="B47" s="59">
        <v>6.927950682570712</v>
      </c>
      <c r="C47" s="40">
        <v>0</v>
      </c>
      <c r="D47" s="31">
        <f t="shared" si="0"/>
        <v>0</v>
      </c>
      <c r="E47" s="4"/>
    </row>
    <row r="48" spans="1:5" ht="19" x14ac:dyDescent="0.25">
      <c r="A48" s="29" t="s">
        <v>83</v>
      </c>
      <c r="B48" s="59">
        <v>3.3483394041152907</v>
      </c>
      <c r="C48" s="41">
        <v>0</v>
      </c>
      <c r="D48" s="32">
        <f t="shared" si="0"/>
        <v>0</v>
      </c>
      <c r="E48" s="4"/>
    </row>
    <row r="49" spans="1:5" ht="19" x14ac:dyDescent="0.25">
      <c r="A49" s="2" t="s">
        <v>84</v>
      </c>
      <c r="B49" s="59">
        <v>3.6488472849850422</v>
      </c>
      <c r="C49" s="40">
        <v>1.95E-2</v>
      </c>
      <c r="D49" s="31">
        <f t="shared" si="0"/>
        <v>2.3367285799880167E-2</v>
      </c>
      <c r="E49" s="4"/>
    </row>
    <row r="50" spans="1:5" ht="19" x14ac:dyDescent="0.25">
      <c r="A50" s="29" t="s">
        <v>85</v>
      </c>
      <c r="B50" s="59">
        <v>5.7823719673887926</v>
      </c>
      <c r="C50" s="41">
        <v>0</v>
      </c>
      <c r="D50" s="32">
        <f t="shared" si="0"/>
        <v>0</v>
      </c>
      <c r="E50" s="4"/>
    </row>
    <row r="51" spans="1:5" ht="19" x14ac:dyDescent="0.25">
      <c r="A51" s="2" t="s">
        <v>86</v>
      </c>
      <c r="B51" s="59">
        <v>5.3790271999040362</v>
      </c>
      <c r="C51" s="40">
        <v>0</v>
      </c>
      <c r="D51" s="31">
        <f t="shared" si="0"/>
        <v>0</v>
      </c>
      <c r="E51" s="4"/>
    </row>
    <row r="52" spans="1:5" ht="19" x14ac:dyDescent="0.25">
      <c r="A52" s="29" t="s">
        <v>87</v>
      </c>
      <c r="B52" s="59">
        <v>4.9290675473985939</v>
      </c>
      <c r="C52" s="41">
        <v>0</v>
      </c>
      <c r="D52" s="32">
        <f t="shared" si="0"/>
        <v>0</v>
      </c>
      <c r="E52" s="4"/>
    </row>
    <row r="53" spans="1:5" ht="19" x14ac:dyDescent="0.25">
      <c r="A53" s="2" t="s">
        <v>88</v>
      </c>
      <c r="B53" s="59">
        <v>3.4167336021772097</v>
      </c>
      <c r="C53" s="40">
        <v>2.81E-2</v>
      </c>
      <c r="D53" s="31">
        <f t="shared" si="0"/>
        <v>3.3672857998801674E-2</v>
      </c>
      <c r="E53" s="4"/>
    </row>
    <row r="54" spans="1:5" ht="19" x14ac:dyDescent="0.25">
      <c r="A54" s="29" t="s">
        <v>89</v>
      </c>
      <c r="B54" s="59">
        <v>4.6272251474478185</v>
      </c>
      <c r="C54" s="41">
        <v>0</v>
      </c>
      <c r="D54" s="32">
        <f t="shared" si="0"/>
        <v>0</v>
      </c>
      <c r="E54" s="4"/>
    </row>
    <row r="55" spans="1:5" ht="19" x14ac:dyDescent="0.25">
      <c r="A55" s="2" t="s">
        <v>90</v>
      </c>
      <c r="B55" s="59">
        <v>4.3382922337238083</v>
      </c>
      <c r="C55" s="40">
        <v>0</v>
      </c>
      <c r="D55" s="31">
        <f t="shared" si="0"/>
        <v>0</v>
      </c>
      <c r="E55" s="4"/>
    </row>
    <row r="56" spans="1:5" ht="19" x14ac:dyDescent="0.25">
      <c r="A56" s="29" t="s">
        <v>91</v>
      </c>
      <c r="B56" s="59">
        <v>5.450113492883502</v>
      </c>
      <c r="C56" s="41">
        <v>0</v>
      </c>
      <c r="D56" s="32">
        <f t="shared" si="0"/>
        <v>0</v>
      </c>
      <c r="E56" s="4"/>
    </row>
    <row r="57" spans="1:5" ht="19" x14ac:dyDescent="0.25">
      <c r="A57" s="2" t="s">
        <v>92</v>
      </c>
      <c r="B57" s="59">
        <v>6.3557356106090603</v>
      </c>
      <c r="C57" s="40">
        <v>0</v>
      </c>
      <c r="D57" s="31">
        <f t="shared" si="0"/>
        <v>0</v>
      </c>
      <c r="E57" s="4"/>
    </row>
    <row r="58" spans="1:5" ht="19" x14ac:dyDescent="0.25">
      <c r="A58" s="29" t="s">
        <v>93</v>
      </c>
      <c r="B58" s="59">
        <v>5.9434838790990074</v>
      </c>
      <c r="C58" s="41">
        <v>0</v>
      </c>
      <c r="D58" s="32">
        <f t="shared" si="0"/>
        <v>0</v>
      </c>
      <c r="E58" s="4"/>
    </row>
    <row r="59" spans="1:5" ht="19" x14ac:dyDescent="0.25">
      <c r="A59" s="2" t="s">
        <v>94</v>
      </c>
      <c r="B59" s="59">
        <v>4.9174638740379848</v>
      </c>
      <c r="C59" s="40">
        <v>0</v>
      </c>
      <c r="D59" s="31">
        <f t="shared" si="0"/>
        <v>0</v>
      </c>
      <c r="E59" s="4"/>
    </row>
    <row r="60" spans="1:5" ht="19" x14ac:dyDescent="0.25">
      <c r="A60" s="29" t="s">
        <v>95</v>
      </c>
      <c r="B60" s="59">
        <v>6.5330241147248609</v>
      </c>
      <c r="C60" s="41">
        <v>0</v>
      </c>
      <c r="D60" s="32">
        <f t="shared" si="0"/>
        <v>0</v>
      </c>
      <c r="E60" s="4"/>
    </row>
    <row r="61" spans="1:5" ht="19" x14ac:dyDescent="0.25">
      <c r="A61" s="2" t="s">
        <v>96</v>
      </c>
      <c r="B61" s="59">
        <v>5.7658823887989872</v>
      </c>
      <c r="C61" s="40">
        <v>0</v>
      </c>
      <c r="D61" s="31">
        <f t="shared" si="0"/>
        <v>0</v>
      </c>
      <c r="E61" s="4"/>
    </row>
    <row r="62" spans="1:5" ht="19" x14ac:dyDescent="0.25">
      <c r="A62" s="29" t="s">
        <v>97</v>
      </c>
      <c r="B62" s="59">
        <v>3.6278897079089987</v>
      </c>
      <c r="C62" s="41">
        <v>0</v>
      </c>
      <c r="D62" s="32">
        <f t="shared" si="0"/>
        <v>0</v>
      </c>
      <c r="E62" s="4"/>
    </row>
    <row r="63" spans="1:5" ht="19" x14ac:dyDescent="0.25">
      <c r="A63" s="2" t="s">
        <v>98</v>
      </c>
      <c r="B63" s="59">
        <v>3.3752937482227585</v>
      </c>
      <c r="C63" s="40">
        <v>0</v>
      </c>
      <c r="D63" s="31">
        <f t="shared" si="0"/>
        <v>0</v>
      </c>
      <c r="E63" s="4"/>
    </row>
    <row r="64" spans="1:5" ht="19" x14ac:dyDescent="0.25">
      <c r="A64" s="29" t="s">
        <v>99</v>
      </c>
      <c r="B64" s="59">
        <v>5.0659580961290027</v>
      </c>
      <c r="C64" s="41">
        <v>2.3599999999999999E-2</v>
      </c>
      <c r="D64" s="32">
        <f t="shared" si="0"/>
        <v>2.8280407429598562E-2</v>
      </c>
      <c r="E64" s="4"/>
    </row>
    <row r="65" spans="1:5" ht="19" x14ac:dyDescent="0.25">
      <c r="A65" s="2" t="s">
        <v>100</v>
      </c>
      <c r="B65" s="59">
        <v>4.9248047791749228</v>
      </c>
      <c r="C65" s="40">
        <v>9.0000000000000011E-3</v>
      </c>
      <c r="D65" s="31">
        <f t="shared" si="0"/>
        <v>1.0784901138406232E-2</v>
      </c>
      <c r="E65" s="4"/>
    </row>
    <row r="66" spans="1:5" ht="19" x14ac:dyDescent="0.25">
      <c r="A66" s="29" t="s">
        <v>101</v>
      </c>
      <c r="B66" s="59">
        <v>5.8793658240107565</v>
      </c>
      <c r="C66" s="41">
        <v>0</v>
      </c>
      <c r="D66" s="32">
        <f t="shared" si="0"/>
        <v>0</v>
      </c>
      <c r="E66" s="4"/>
    </row>
    <row r="67" spans="1:5" ht="19" x14ac:dyDescent="0.25">
      <c r="A67" s="2" t="s">
        <v>102</v>
      </c>
      <c r="B67" s="59">
        <v>6.0491810448870345</v>
      </c>
      <c r="C67" s="40">
        <v>0</v>
      </c>
      <c r="D67" s="31">
        <f t="shared" si="0"/>
        <v>0</v>
      </c>
      <c r="E67" s="4"/>
    </row>
    <row r="68" spans="1:5" ht="19" x14ac:dyDescent="0.25">
      <c r="A68" s="29" t="s">
        <v>103</v>
      </c>
      <c r="B68" s="59">
        <v>3.253942686762922</v>
      </c>
      <c r="C68" s="41">
        <v>0</v>
      </c>
      <c r="D68" s="32">
        <f t="shared" si="0"/>
        <v>0</v>
      </c>
      <c r="E68" s="4"/>
    </row>
    <row r="69" spans="1:5" ht="19" x14ac:dyDescent="0.25">
      <c r="A69" s="2" t="s">
        <v>104</v>
      </c>
      <c r="B69" s="59">
        <v>4.6082974679305195</v>
      </c>
      <c r="C69" s="40">
        <v>0</v>
      </c>
      <c r="D69" s="31">
        <f t="shared" ref="D69:D132" si="1">C69/$C$151</f>
        <v>0</v>
      </c>
      <c r="E69" s="4"/>
    </row>
    <row r="70" spans="1:5" ht="19" x14ac:dyDescent="0.25">
      <c r="A70" s="29" t="s">
        <v>105</v>
      </c>
      <c r="B70" s="59">
        <v>3.8382882812123826</v>
      </c>
      <c r="C70" s="41">
        <v>1.47E-2</v>
      </c>
      <c r="D70" s="32">
        <f t="shared" si="1"/>
        <v>1.761533852606351E-2</v>
      </c>
      <c r="E70" s="4"/>
    </row>
    <row r="71" spans="1:5" ht="19" x14ac:dyDescent="0.25">
      <c r="A71" s="2" t="s">
        <v>106</v>
      </c>
      <c r="B71" s="59">
        <v>4.7451218036873231</v>
      </c>
      <c r="C71" s="40">
        <v>0</v>
      </c>
      <c r="D71" s="31">
        <f t="shared" si="1"/>
        <v>0</v>
      </c>
      <c r="E71" s="4"/>
    </row>
    <row r="72" spans="1:5" ht="19" x14ac:dyDescent="0.25">
      <c r="A72" s="29" t="s">
        <v>107</v>
      </c>
      <c r="B72" s="59">
        <v>3.3755878841798577</v>
      </c>
      <c r="C72" s="41">
        <v>2.5699999999999997E-2</v>
      </c>
      <c r="D72" s="32">
        <f t="shared" si="1"/>
        <v>3.0796884361893345E-2</v>
      </c>
      <c r="E72" s="4"/>
    </row>
    <row r="73" spans="1:5" ht="19" x14ac:dyDescent="0.25">
      <c r="A73" s="2" t="s">
        <v>108</v>
      </c>
      <c r="B73" s="59">
        <v>5.1303864841692146</v>
      </c>
      <c r="C73" s="40">
        <v>0</v>
      </c>
      <c r="D73" s="31">
        <f t="shared" si="1"/>
        <v>0</v>
      </c>
      <c r="E73" s="4"/>
    </row>
    <row r="74" spans="1:5" ht="19" x14ac:dyDescent="0.25">
      <c r="A74" s="29" t="s">
        <v>109</v>
      </c>
      <c r="B74" s="59">
        <v>4.5379079915092131</v>
      </c>
      <c r="C74" s="41">
        <v>0</v>
      </c>
      <c r="D74" s="32">
        <f t="shared" si="1"/>
        <v>0</v>
      </c>
      <c r="E74" s="4"/>
    </row>
    <row r="75" spans="1:5" ht="19" x14ac:dyDescent="0.25">
      <c r="A75" s="2" t="s">
        <v>110</v>
      </c>
      <c r="B75" s="59">
        <v>6.1313349307646918</v>
      </c>
      <c r="C75" s="40">
        <v>0</v>
      </c>
      <c r="D75" s="31">
        <f t="shared" si="1"/>
        <v>0</v>
      </c>
      <c r="E75" s="4"/>
    </row>
    <row r="76" spans="1:5" ht="19" x14ac:dyDescent="0.25">
      <c r="A76" s="29" t="s">
        <v>111</v>
      </c>
      <c r="B76" s="59">
        <v>4.2961051501975707</v>
      </c>
      <c r="C76" s="41">
        <v>0</v>
      </c>
      <c r="D76" s="32">
        <f t="shared" si="1"/>
        <v>0</v>
      </c>
      <c r="E76" s="4"/>
    </row>
    <row r="77" spans="1:5" ht="19" x14ac:dyDescent="0.25">
      <c r="A77" s="2" t="s">
        <v>112</v>
      </c>
      <c r="B77" s="59">
        <v>5.373680321889462</v>
      </c>
      <c r="C77" s="40">
        <v>0</v>
      </c>
      <c r="D77" s="31">
        <f t="shared" si="1"/>
        <v>0</v>
      </c>
      <c r="E77" s="4"/>
    </row>
    <row r="78" spans="1:5" ht="19" x14ac:dyDescent="0.25">
      <c r="A78" s="29" t="s">
        <v>113</v>
      </c>
      <c r="B78" s="59">
        <v>5.1391788730224306</v>
      </c>
      <c r="C78" s="41">
        <v>0</v>
      </c>
      <c r="D78" s="32">
        <f t="shared" si="1"/>
        <v>0</v>
      </c>
      <c r="E78" s="4"/>
    </row>
    <row r="79" spans="1:5" ht="19" x14ac:dyDescent="0.25">
      <c r="A79" s="2" t="s">
        <v>114</v>
      </c>
      <c r="B79" s="59">
        <v>3.9664492327048539</v>
      </c>
      <c r="C79" s="40">
        <v>0</v>
      </c>
      <c r="D79" s="31">
        <f t="shared" si="1"/>
        <v>0</v>
      </c>
      <c r="E79" s="4"/>
    </row>
    <row r="80" spans="1:5" ht="19" x14ac:dyDescent="0.25">
      <c r="A80" s="29" t="s">
        <v>115</v>
      </c>
      <c r="B80" s="59">
        <v>6.1238543404169867</v>
      </c>
      <c r="C80" s="41">
        <v>0</v>
      </c>
      <c r="D80" s="32">
        <f t="shared" si="1"/>
        <v>0</v>
      </c>
      <c r="E80" s="4"/>
    </row>
    <row r="81" spans="1:5" ht="19" x14ac:dyDescent="0.25">
      <c r="A81" s="2" t="s">
        <v>116</v>
      </c>
      <c r="B81" s="59">
        <v>5.48860822118026</v>
      </c>
      <c r="C81" s="40">
        <v>0</v>
      </c>
      <c r="D81" s="31">
        <f t="shared" si="1"/>
        <v>0</v>
      </c>
      <c r="E81" s="4"/>
    </row>
    <row r="82" spans="1:5" ht="19" x14ac:dyDescent="0.25">
      <c r="A82" s="29" t="s">
        <v>117</v>
      </c>
      <c r="B82" s="59">
        <v>5.9675040107987867</v>
      </c>
      <c r="C82" s="41">
        <v>0</v>
      </c>
      <c r="D82" s="32">
        <f t="shared" si="1"/>
        <v>0</v>
      </c>
      <c r="E82" s="4"/>
    </row>
    <row r="83" spans="1:5" ht="19" x14ac:dyDescent="0.25">
      <c r="A83" s="2" t="s">
        <v>118</v>
      </c>
      <c r="B83" s="59">
        <v>5.6755260890564418</v>
      </c>
      <c r="C83" s="40">
        <v>0</v>
      </c>
      <c r="D83" s="31">
        <f t="shared" si="1"/>
        <v>0</v>
      </c>
      <c r="E83" s="4"/>
    </row>
    <row r="84" spans="1:5" ht="19" x14ac:dyDescent="0.25">
      <c r="A84" s="29" t="s">
        <v>119</v>
      </c>
      <c r="B84" s="59">
        <v>3.9263549476589308</v>
      </c>
      <c r="C84" s="41">
        <v>0</v>
      </c>
      <c r="D84" s="32">
        <f t="shared" si="1"/>
        <v>0</v>
      </c>
      <c r="E84" s="4"/>
    </row>
    <row r="85" spans="1:5" ht="19" x14ac:dyDescent="0.25">
      <c r="A85" s="2" t="s">
        <v>120</v>
      </c>
      <c r="B85" s="59">
        <v>5.8210372928345899</v>
      </c>
      <c r="C85" s="40">
        <v>0</v>
      </c>
      <c r="D85" s="31">
        <f t="shared" si="1"/>
        <v>0</v>
      </c>
      <c r="E85" s="4"/>
    </row>
    <row r="86" spans="1:5" ht="19" x14ac:dyDescent="0.25">
      <c r="A86" s="29" t="s">
        <v>121</v>
      </c>
      <c r="B86" s="59">
        <v>5.5779364438856991</v>
      </c>
      <c r="C86" s="41">
        <v>0</v>
      </c>
      <c r="D86" s="32">
        <f t="shared" si="1"/>
        <v>0</v>
      </c>
      <c r="E86" s="4"/>
    </row>
    <row r="87" spans="1:5" ht="19" x14ac:dyDescent="0.25">
      <c r="A87" s="2" t="s">
        <v>122</v>
      </c>
      <c r="B87" s="59">
        <v>4.0335588563178906</v>
      </c>
      <c r="C87" s="40">
        <v>0</v>
      </c>
      <c r="D87" s="31">
        <f t="shared" si="1"/>
        <v>0</v>
      </c>
      <c r="E87" s="4"/>
    </row>
    <row r="88" spans="1:5" ht="19" x14ac:dyDescent="0.25">
      <c r="A88" s="29" t="s">
        <v>123</v>
      </c>
      <c r="B88" s="59">
        <v>7.1049758774245326</v>
      </c>
      <c r="C88" s="41">
        <v>0</v>
      </c>
      <c r="D88" s="32">
        <f t="shared" si="1"/>
        <v>0</v>
      </c>
      <c r="E88" s="4"/>
    </row>
    <row r="89" spans="1:5" ht="19" x14ac:dyDescent="0.25">
      <c r="A89" s="2" t="s">
        <v>124</v>
      </c>
      <c r="B89" s="59">
        <v>6.2753028505143282</v>
      </c>
      <c r="C89" s="40">
        <v>0</v>
      </c>
      <c r="D89" s="31">
        <f t="shared" si="1"/>
        <v>0</v>
      </c>
      <c r="E89" s="4"/>
    </row>
    <row r="90" spans="1:5" ht="19" x14ac:dyDescent="0.25">
      <c r="A90" s="29" t="s">
        <v>125</v>
      </c>
      <c r="B90" s="59">
        <v>3.4654790256975891</v>
      </c>
      <c r="C90" s="41">
        <v>0</v>
      </c>
      <c r="D90" s="32">
        <f t="shared" si="1"/>
        <v>0</v>
      </c>
      <c r="E90" s="4"/>
    </row>
    <row r="91" spans="1:5" ht="19" x14ac:dyDescent="0.25">
      <c r="A91" s="2" t="s">
        <v>126</v>
      </c>
      <c r="B91" s="59">
        <v>5.4234078040770983</v>
      </c>
      <c r="C91" s="40">
        <v>0</v>
      </c>
      <c r="D91" s="31">
        <f t="shared" si="1"/>
        <v>0</v>
      </c>
      <c r="E91" s="4"/>
    </row>
    <row r="92" spans="1:5" ht="19" x14ac:dyDescent="0.25">
      <c r="A92" s="29" t="s">
        <v>127</v>
      </c>
      <c r="B92" s="59">
        <v>5.1376667464547303</v>
      </c>
      <c r="C92" s="41">
        <v>0</v>
      </c>
      <c r="D92" s="32">
        <f t="shared" si="1"/>
        <v>0</v>
      </c>
      <c r="E92" s="4"/>
    </row>
    <row r="93" spans="1:5" ht="19" x14ac:dyDescent="0.25">
      <c r="A93" s="2" t="s">
        <v>128</v>
      </c>
      <c r="B93" s="59">
        <v>4.6510069196773065</v>
      </c>
      <c r="C93" s="40">
        <v>0</v>
      </c>
      <c r="D93" s="31">
        <f t="shared" si="1"/>
        <v>0</v>
      </c>
      <c r="E93" s="4"/>
    </row>
    <row r="94" spans="1:5" ht="19" x14ac:dyDescent="0.25">
      <c r="A94" s="29" t="s">
        <v>129</v>
      </c>
      <c r="B94" s="59">
        <v>5.1009280794553211</v>
      </c>
      <c r="C94" s="41">
        <v>0</v>
      </c>
      <c r="D94" s="32">
        <f t="shared" si="1"/>
        <v>0</v>
      </c>
      <c r="E94" s="4"/>
    </row>
    <row r="95" spans="1:5" ht="19" x14ac:dyDescent="0.25">
      <c r="A95" s="2" t="s">
        <v>130</v>
      </c>
      <c r="B95" s="59">
        <v>6.2957088620382402</v>
      </c>
      <c r="C95" s="40">
        <v>0</v>
      </c>
      <c r="D95" s="31">
        <f t="shared" si="1"/>
        <v>0</v>
      </c>
      <c r="E95" s="4"/>
    </row>
    <row r="96" spans="1:5" ht="19" x14ac:dyDescent="0.25">
      <c r="A96" s="29" t="s">
        <v>131</v>
      </c>
      <c r="B96" s="59">
        <v>4.6400800634309949</v>
      </c>
      <c r="C96" s="41">
        <v>0</v>
      </c>
      <c r="D96" s="32">
        <f t="shared" si="1"/>
        <v>0</v>
      </c>
      <c r="E96" s="4"/>
    </row>
    <row r="97" spans="1:5" ht="19" x14ac:dyDescent="0.25">
      <c r="A97" s="2" t="s">
        <v>132</v>
      </c>
      <c r="B97" s="59">
        <v>5.7812106231736005</v>
      </c>
      <c r="C97" s="40">
        <v>0</v>
      </c>
      <c r="D97" s="31">
        <f t="shared" si="1"/>
        <v>0</v>
      </c>
      <c r="E97" s="4"/>
    </row>
    <row r="98" spans="1:5" ht="19" x14ac:dyDescent="0.25">
      <c r="A98" s="29" t="s">
        <v>133</v>
      </c>
      <c r="B98" s="59">
        <v>3.5907872747385401</v>
      </c>
      <c r="C98" s="41">
        <v>0</v>
      </c>
      <c r="D98" s="32">
        <f t="shared" si="1"/>
        <v>0</v>
      </c>
      <c r="E98" s="4"/>
    </row>
    <row r="99" spans="1:5" ht="19" x14ac:dyDescent="0.25">
      <c r="A99" s="2" t="s">
        <v>134</v>
      </c>
      <c r="B99" s="59">
        <v>3.3163390659638341</v>
      </c>
      <c r="C99" s="40">
        <v>0</v>
      </c>
      <c r="D99" s="31">
        <f t="shared" si="1"/>
        <v>0</v>
      </c>
      <c r="E99" s="4"/>
    </row>
    <row r="100" spans="1:5" ht="19" x14ac:dyDescent="0.25">
      <c r="A100" s="29" t="s">
        <v>135</v>
      </c>
      <c r="B100" s="59">
        <v>5.8020732010296063</v>
      </c>
      <c r="C100" s="41">
        <v>0</v>
      </c>
      <c r="D100" s="32">
        <f t="shared" si="1"/>
        <v>0</v>
      </c>
      <c r="E100" s="4"/>
    </row>
    <row r="101" spans="1:5" ht="19" x14ac:dyDescent="0.25">
      <c r="A101" s="2" t="s">
        <v>136</v>
      </c>
      <c r="B101" s="59">
        <v>7.0685249610665801</v>
      </c>
      <c r="C101" s="40">
        <v>0</v>
      </c>
      <c r="D101" s="31">
        <f t="shared" si="1"/>
        <v>0</v>
      </c>
      <c r="E101" s="4"/>
    </row>
    <row r="102" spans="1:5" ht="19" x14ac:dyDescent="0.25">
      <c r="A102" s="29" t="s">
        <v>137</v>
      </c>
      <c r="B102" s="59">
        <v>6.5035912603709098</v>
      </c>
      <c r="C102" s="41">
        <v>0</v>
      </c>
      <c r="D102" s="32">
        <f t="shared" si="1"/>
        <v>0</v>
      </c>
      <c r="E102" s="4"/>
    </row>
    <row r="103" spans="1:5" ht="19" x14ac:dyDescent="0.25">
      <c r="A103" s="2" t="s">
        <v>138</v>
      </c>
      <c r="B103" s="59">
        <v>4.1624840904381539</v>
      </c>
      <c r="C103" s="40">
        <v>0</v>
      </c>
      <c r="D103" s="31">
        <f t="shared" si="1"/>
        <v>0</v>
      </c>
      <c r="E103" s="4"/>
    </row>
    <row r="104" spans="1:5" ht="19" x14ac:dyDescent="0.25">
      <c r="A104" s="29" t="s">
        <v>139</v>
      </c>
      <c r="B104" s="59">
        <v>3.3787152608913655</v>
      </c>
      <c r="C104" s="41">
        <v>0</v>
      </c>
      <c r="D104" s="32">
        <f t="shared" si="1"/>
        <v>0</v>
      </c>
      <c r="E104" s="4"/>
    </row>
    <row r="105" spans="1:5" ht="19" x14ac:dyDescent="0.25">
      <c r="A105" s="2" t="s">
        <v>140</v>
      </c>
      <c r="B105" s="59">
        <v>4.0162254988757935</v>
      </c>
      <c r="C105" s="40">
        <v>0</v>
      </c>
      <c r="D105" s="31">
        <f t="shared" si="1"/>
        <v>0</v>
      </c>
      <c r="E105" s="4"/>
    </row>
    <row r="106" spans="1:5" ht="19" x14ac:dyDescent="0.25">
      <c r="A106" s="29" t="s">
        <v>141</v>
      </c>
      <c r="B106" s="59">
        <v>6.648668082818161</v>
      </c>
      <c r="C106" s="41">
        <v>0</v>
      </c>
      <c r="D106" s="32">
        <f t="shared" si="1"/>
        <v>0</v>
      </c>
      <c r="E106" s="4"/>
    </row>
    <row r="107" spans="1:5" ht="19" x14ac:dyDescent="0.25">
      <c r="A107" s="2" t="s">
        <v>142</v>
      </c>
      <c r="B107" s="59">
        <v>4.5635733416096631</v>
      </c>
      <c r="C107" s="40">
        <v>0</v>
      </c>
      <c r="D107" s="31">
        <f t="shared" si="1"/>
        <v>0</v>
      </c>
      <c r="E107" s="4"/>
    </row>
    <row r="108" spans="1:5" ht="19" x14ac:dyDescent="0.25">
      <c r="A108" s="29" t="s">
        <v>143</v>
      </c>
      <c r="B108" s="59">
        <v>5.3398873222843388</v>
      </c>
      <c r="C108" s="41">
        <v>0</v>
      </c>
      <c r="D108" s="32">
        <f t="shared" si="1"/>
        <v>0</v>
      </c>
      <c r="E108" s="4"/>
    </row>
    <row r="109" spans="1:5" ht="19" x14ac:dyDescent="0.25">
      <c r="A109" s="2" t="s">
        <v>144</v>
      </c>
      <c r="B109" s="59">
        <v>4.7159164073345954</v>
      </c>
      <c r="C109" s="40">
        <v>0</v>
      </c>
      <c r="D109" s="31">
        <f t="shared" si="1"/>
        <v>0</v>
      </c>
      <c r="E109" s="4"/>
    </row>
    <row r="110" spans="1:5" ht="19" x14ac:dyDescent="0.25">
      <c r="A110" s="29" t="s">
        <v>145</v>
      </c>
      <c r="B110" s="59">
        <v>5.2817219635350439</v>
      </c>
      <c r="C110" s="41">
        <v>0</v>
      </c>
      <c r="D110" s="32">
        <f t="shared" si="1"/>
        <v>0</v>
      </c>
      <c r="E110" s="4"/>
    </row>
    <row r="111" spans="1:5" ht="19" x14ac:dyDescent="0.25">
      <c r="A111" s="2" t="s">
        <v>146</v>
      </c>
      <c r="B111" s="59">
        <v>5.8016442493647551</v>
      </c>
      <c r="C111" s="40">
        <v>0</v>
      </c>
      <c r="D111" s="31">
        <f t="shared" si="1"/>
        <v>0</v>
      </c>
      <c r="E111" s="4"/>
    </row>
    <row r="112" spans="1:5" ht="19" x14ac:dyDescent="0.25">
      <c r="A112" s="29" t="s">
        <v>147</v>
      </c>
      <c r="B112" s="59">
        <v>4.1502930814875194</v>
      </c>
      <c r="C112" s="41">
        <v>0</v>
      </c>
      <c r="D112" s="32">
        <f t="shared" si="1"/>
        <v>0</v>
      </c>
      <c r="E112" s="4"/>
    </row>
    <row r="113" spans="1:5" ht="19" x14ac:dyDescent="0.25">
      <c r="A113" s="2" t="s">
        <v>148</v>
      </c>
      <c r="B113" s="59">
        <v>3.4281858950270068</v>
      </c>
      <c r="C113" s="40">
        <v>0</v>
      </c>
      <c r="D113" s="31">
        <f t="shared" si="1"/>
        <v>0</v>
      </c>
      <c r="E113" s="4"/>
    </row>
    <row r="114" spans="1:5" ht="19" x14ac:dyDescent="0.25">
      <c r="A114" s="29" t="s">
        <v>149</v>
      </c>
      <c r="B114" s="59">
        <v>3.1959809471990606</v>
      </c>
      <c r="C114" s="41">
        <v>0</v>
      </c>
      <c r="D114" s="32">
        <f t="shared" si="1"/>
        <v>0</v>
      </c>
      <c r="E114" s="4"/>
    </row>
    <row r="115" spans="1:5" ht="19" x14ac:dyDescent="0.25">
      <c r="A115" s="2" t="s">
        <v>150</v>
      </c>
      <c r="B115" s="59">
        <v>4.0482582591129548</v>
      </c>
      <c r="C115" s="40">
        <v>0</v>
      </c>
      <c r="D115" s="31">
        <f t="shared" si="1"/>
        <v>0</v>
      </c>
      <c r="E115" s="4"/>
    </row>
    <row r="116" spans="1:5" ht="19" x14ac:dyDescent="0.25">
      <c r="A116" s="29" t="s">
        <v>151</v>
      </c>
      <c r="B116" s="59">
        <v>5.9582623064002229</v>
      </c>
      <c r="C116" s="41">
        <v>1.2500000000000001E-2</v>
      </c>
      <c r="D116" s="32">
        <f t="shared" si="1"/>
        <v>1.4979029358897543E-2</v>
      </c>
      <c r="E116" s="4"/>
    </row>
    <row r="117" spans="1:5" ht="19" x14ac:dyDescent="0.25">
      <c r="A117" s="2" t="s">
        <v>152</v>
      </c>
      <c r="B117" s="59">
        <v>5.4717687502053103</v>
      </c>
      <c r="C117" s="40">
        <v>0</v>
      </c>
      <c r="D117" s="31">
        <f t="shared" si="1"/>
        <v>0</v>
      </c>
      <c r="E117" s="4"/>
    </row>
    <row r="118" spans="1:5" ht="19" x14ac:dyDescent="0.25">
      <c r="A118" s="29" t="s">
        <v>153</v>
      </c>
      <c r="B118" s="59">
        <v>4.4233746630959043</v>
      </c>
      <c r="C118" s="41">
        <v>0</v>
      </c>
      <c r="D118" s="32">
        <f t="shared" si="1"/>
        <v>0</v>
      </c>
      <c r="E118" s="4"/>
    </row>
    <row r="119" spans="1:5" ht="19" x14ac:dyDescent="0.25">
      <c r="A119" s="2" t="s">
        <v>154</v>
      </c>
      <c r="B119" s="59">
        <v>5.3961053213656953</v>
      </c>
      <c r="C119" s="40">
        <v>0</v>
      </c>
      <c r="D119" s="31">
        <f t="shared" si="1"/>
        <v>0</v>
      </c>
      <c r="E119" s="4"/>
    </row>
    <row r="120" spans="1:5" ht="19" x14ac:dyDescent="0.25">
      <c r="A120" s="29" t="s">
        <v>155</v>
      </c>
      <c r="B120" s="59">
        <v>5.0353573500743858</v>
      </c>
      <c r="C120" s="41">
        <v>0</v>
      </c>
      <c r="D120" s="32">
        <f t="shared" si="1"/>
        <v>0</v>
      </c>
      <c r="E120" s="4"/>
    </row>
    <row r="121" spans="1:5" ht="19" x14ac:dyDescent="0.25">
      <c r="A121" s="2" t="s">
        <v>156</v>
      </c>
      <c r="B121" s="59">
        <v>5.6408231615395454</v>
      </c>
      <c r="C121" s="40">
        <v>0</v>
      </c>
      <c r="D121" s="31">
        <f t="shared" si="1"/>
        <v>0</v>
      </c>
      <c r="E121" s="4"/>
    </row>
    <row r="122" spans="1:5" ht="19" x14ac:dyDescent="0.25">
      <c r="A122" s="29" t="s">
        <v>157</v>
      </c>
      <c r="B122" s="59">
        <v>3.0386535635012972</v>
      </c>
      <c r="C122" s="41">
        <v>0</v>
      </c>
      <c r="D122" s="32">
        <f t="shared" si="1"/>
        <v>0</v>
      </c>
      <c r="E122" s="4"/>
    </row>
    <row r="123" spans="1:5" ht="19" x14ac:dyDescent="0.25">
      <c r="A123" s="2" t="s">
        <v>158</v>
      </c>
      <c r="B123" s="59">
        <v>3.791880207241451</v>
      </c>
      <c r="C123" s="40">
        <v>0</v>
      </c>
      <c r="D123" s="31">
        <f t="shared" si="1"/>
        <v>0</v>
      </c>
      <c r="E123" s="4"/>
    </row>
    <row r="124" spans="1:5" ht="19" x14ac:dyDescent="0.25">
      <c r="A124" s="29" t="s">
        <v>159</v>
      </c>
      <c r="B124" s="59">
        <v>3.4781584832038352</v>
      </c>
      <c r="C124" s="41">
        <v>0</v>
      </c>
      <c r="D124" s="32">
        <f t="shared" si="1"/>
        <v>0</v>
      </c>
      <c r="E124" s="4"/>
    </row>
    <row r="125" spans="1:5" ht="19" x14ac:dyDescent="0.25">
      <c r="A125" s="2" t="s">
        <v>160</v>
      </c>
      <c r="B125" s="59">
        <v>5.2224005392752639</v>
      </c>
      <c r="C125" s="40">
        <v>0</v>
      </c>
      <c r="D125" s="31">
        <f t="shared" si="1"/>
        <v>0</v>
      </c>
      <c r="E125" s="4"/>
    </row>
    <row r="126" spans="1:5" ht="19" x14ac:dyDescent="0.25">
      <c r="A126" s="29" t="s">
        <v>161</v>
      </c>
      <c r="B126" s="59">
        <v>3.5667851803481079</v>
      </c>
      <c r="C126" s="41">
        <v>1.1599999999999999E-2</v>
      </c>
      <c r="D126" s="32">
        <f t="shared" si="1"/>
        <v>1.3900539245056919E-2</v>
      </c>
      <c r="E126" s="4"/>
    </row>
    <row r="127" spans="1:5" ht="19" x14ac:dyDescent="0.25">
      <c r="A127" s="2" t="s">
        <v>162</v>
      </c>
      <c r="B127" s="59">
        <v>3.7006443947932954</v>
      </c>
      <c r="C127" s="40">
        <v>1.06E-2</v>
      </c>
      <c r="D127" s="31">
        <f t="shared" si="1"/>
        <v>1.2702216896345117E-2</v>
      </c>
      <c r="E127" s="4"/>
    </row>
    <row r="128" spans="1:5" ht="19" x14ac:dyDescent="0.25">
      <c r="A128" s="29" t="s">
        <v>163</v>
      </c>
      <c r="B128" s="59">
        <v>5.1109914616879202</v>
      </c>
      <c r="C128" s="41">
        <v>0</v>
      </c>
      <c r="D128" s="32">
        <f t="shared" si="1"/>
        <v>0</v>
      </c>
      <c r="E128" s="4"/>
    </row>
    <row r="129" spans="1:5" ht="19" x14ac:dyDescent="0.25">
      <c r="A129" s="2" t="s">
        <v>164</v>
      </c>
      <c r="B129" s="59">
        <v>7.0987237940608701</v>
      </c>
      <c r="C129" s="40">
        <v>0</v>
      </c>
      <c r="D129" s="31">
        <f t="shared" si="1"/>
        <v>0</v>
      </c>
      <c r="E129" s="4"/>
    </row>
    <row r="130" spans="1:5" ht="19" x14ac:dyDescent="0.25">
      <c r="A130" s="29" t="s">
        <v>165</v>
      </c>
      <c r="B130" s="59">
        <v>3.5240069552478133</v>
      </c>
      <c r="C130" s="41">
        <v>0</v>
      </c>
      <c r="D130" s="32">
        <f t="shared" si="1"/>
        <v>0</v>
      </c>
      <c r="E130" s="4"/>
    </row>
    <row r="131" spans="1:5" ht="19" x14ac:dyDescent="0.25">
      <c r="A131" s="2" t="s">
        <v>166</v>
      </c>
      <c r="B131" s="59">
        <v>2.7770010876672497</v>
      </c>
      <c r="C131" s="40">
        <v>0</v>
      </c>
      <c r="D131" s="31">
        <f t="shared" si="1"/>
        <v>0</v>
      </c>
      <c r="E131" s="4"/>
    </row>
    <row r="132" spans="1:5" ht="19" x14ac:dyDescent="0.25">
      <c r="A132" s="29" t="s">
        <v>167</v>
      </c>
      <c r="B132" s="59">
        <v>7.3330533031040499</v>
      </c>
      <c r="C132" s="41">
        <v>0</v>
      </c>
      <c r="D132" s="32">
        <f t="shared" si="1"/>
        <v>0</v>
      </c>
      <c r="E132" s="4"/>
    </row>
    <row r="133" spans="1:5" ht="19" x14ac:dyDescent="0.25">
      <c r="A133" s="2" t="s">
        <v>168</v>
      </c>
      <c r="B133" s="59">
        <v>5.6864357260548895</v>
      </c>
      <c r="C133" s="40">
        <v>0</v>
      </c>
      <c r="D133" s="31">
        <f t="shared" ref="D133:D150" si="2">C133/$C$151</f>
        <v>0</v>
      </c>
      <c r="E133" s="4"/>
    </row>
    <row r="134" spans="1:5" ht="19" x14ac:dyDescent="0.25">
      <c r="A134" s="29" t="s">
        <v>169</v>
      </c>
      <c r="B134" s="59">
        <v>5.2061146997824723</v>
      </c>
      <c r="C134" s="41">
        <v>0</v>
      </c>
      <c r="D134" s="32">
        <f t="shared" si="2"/>
        <v>0</v>
      </c>
      <c r="E134" s="4"/>
    </row>
    <row r="135" spans="1:5" ht="19" x14ac:dyDescent="0.25">
      <c r="A135" s="2" t="s">
        <v>170</v>
      </c>
      <c r="B135" s="59">
        <v>5.1473122500344015</v>
      </c>
      <c r="C135" s="40">
        <v>0</v>
      </c>
      <c r="D135" s="31">
        <f t="shared" si="2"/>
        <v>0</v>
      </c>
      <c r="E135" s="4"/>
    </row>
    <row r="136" spans="1:5" ht="19" x14ac:dyDescent="0.25">
      <c r="A136" s="29" t="s">
        <v>171</v>
      </c>
      <c r="B136" s="59">
        <v>5.8734951860587028</v>
      </c>
      <c r="C136" s="41">
        <v>0</v>
      </c>
      <c r="D136" s="32">
        <f t="shared" si="2"/>
        <v>0</v>
      </c>
      <c r="E136" s="4"/>
    </row>
    <row r="137" spans="1:5" ht="19" x14ac:dyDescent="0.25">
      <c r="A137" s="2" t="s">
        <v>172</v>
      </c>
      <c r="B137" s="59">
        <v>4.3829710171749507</v>
      </c>
      <c r="C137" s="40">
        <v>0</v>
      </c>
      <c r="D137" s="31">
        <f t="shared" si="2"/>
        <v>0</v>
      </c>
      <c r="E137" s="4"/>
    </row>
    <row r="138" spans="1:5" ht="19" x14ac:dyDescent="0.25">
      <c r="A138" s="29" t="s">
        <v>173</v>
      </c>
      <c r="B138" s="59">
        <v>5.1269871649881278</v>
      </c>
      <c r="C138" s="41">
        <v>0</v>
      </c>
      <c r="D138" s="32">
        <f t="shared" si="2"/>
        <v>0</v>
      </c>
      <c r="E138" s="4"/>
    </row>
    <row r="139" spans="1:5" ht="19" x14ac:dyDescent="0.25">
      <c r="A139" s="2" t="s">
        <v>174</v>
      </c>
      <c r="B139" s="59">
        <v>5.2574384214456868</v>
      </c>
      <c r="C139" s="40">
        <v>7.3000000000000001E-3</v>
      </c>
      <c r="D139" s="31">
        <f t="shared" si="2"/>
        <v>8.7477531455961658E-3</v>
      </c>
      <c r="E139" s="4"/>
    </row>
    <row r="140" spans="1:5" ht="19" x14ac:dyDescent="0.25">
      <c r="A140" s="29" t="s">
        <v>175</v>
      </c>
      <c r="B140" s="59">
        <v>6.2888889425300309</v>
      </c>
      <c r="C140" s="41">
        <v>0</v>
      </c>
      <c r="D140" s="32">
        <f t="shared" si="2"/>
        <v>0</v>
      </c>
      <c r="E140" s="4"/>
    </row>
    <row r="141" spans="1:5" ht="19" x14ac:dyDescent="0.25">
      <c r="A141" s="2" t="s">
        <v>176</v>
      </c>
      <c r="B141" s="59">
        <v>6.3476767840395238</v>
      </c>
      <c r="C141" s="40">
        <v>0</v>
      </c>
      <c r="D141" s="31">
        <f t="shared" si="2"/>
        <v>0</v>
      </c>
      <c r="E141" s="4"/>
    </row>
    <row r="142" spans="1:5" ht="19" x14ac:dyDescent="0.25">
      <c r="A142" s="29" t="s">
        <v>177</v>
      </c>
      <c r="B142" s="59">
        <v>3.7156413836197295</v>
      </c>
      <c r="C142" s="41">
        <v>0</v>
      </c>
      <c r="D142" s="32">
        <f t="shared" si="2"/>
        <v>0</v>
      </c>
      <c r="E142" s="4"/>
    </row>
    <row r="143" spans="1:5" ht="19" x14ac:dyDescent="0.25">
      <c r="A143" s="2" t="s">
        <v>178</v>
      </c>
      <c r="B143" s="59">
        <v>3.3179607898236139</v>
      </c>
      <c r="C143" s="40">
        <v>2.1299999999999999E-2</v>
      </c>
      <c r="D143" s="31">
        <f t="shared" si="2"/>
        <v>2.5524266027561412E-2</v>
      </c>
      <c r="E143" s="4"/>
    </row>
    <row r="144" spans="1:5" ht="19" x14ac:dyDescent="0.25">
      <c r="A144" s="29" t="s">
        <v>179</v>
      </c>
      <c r="B144" s="59">
        <v>4.1903553610988471</v>
      </c>
      <c r="C144" s="41">
        <v>0.5131</v>
      </c>
      <c r="D144" s="32">
        <f t="shared" si="2"/>
        <v>0.61485919712402637</v>
      </c>
      <c r="E144" s="4"/>
    </row>
    <row r="145" spans="1:5" ht="19" x14ac:dyDescent="0.25">
      <c r="A145" s="2" t="s">
        <v>180</v>
      </c>
      <c r="B145" s="59">
        <v>3.9104307580301834</v>
      </c>
      <c r="C145" s="40">
        <v>0</v>
      </c>
      <c r="D145" s="31">
        <f t="shared" si="2"/>
        <v>0</v>
      </c>
      <c r="E145" s="4"/>
    </row>
    <row r="146" spans="1:5" ht="19" x14ac:dyDescent="0.25">
      <c r="A146" s="29" t="s">
        <v>181</v>
      </c>
      <c r="B146" s="59">
        <v>5.7741934156294281</v>
      </c>
      <c r="C146" s="41">
        <v>0</v>
      </c>
      <c r="D146" s="32">
        <f t="shared" si="2"/>
        <v>0</v>
      </c>
      <c r="E146" s="4"/>
    </row>
    <row r="147" spans="1:5" ht="19" x14ac:dyDescent="0.25">
      <c r="A147" s="2" t="s">
        <v>182</v>
      </c>
      <c r="B147" s="59">
        <v>4.3230065548271748</v>
      </c>
      <c r="C147" s="40">
        <v>0</v>
      </c>
      <c r="D147" s="31">
        <f t="shared" si="2"/>
        <v>0</v>
      </c>
      <c r="E147" s="4"/>
    </row>
    <row r="148" spans="1:5" ht="19" x14ac:dyDescent="0.25">
      <c r="A148" s="29" t="s">
        <v>183</v>
      </c>
      <c r="B148" s="59">
        <v>6.3044304196425287</v>
      </c>
      <c r="C148" s="41">
        <v>0</v>
      </c>
      <c r="D148" s="32">
        <f t="shared" si="2"/>
        <v>0</v>
      </c>
      <c r="E148" s="4"/>
    </row>
    <row r="149" spans="1:5" ht="19" x14ac:dyDescent="0.25">
      <c r="A149" s="2" t="s">
        <v>184</v>
      </c>
      <c r="B149" s="59">
        <v>4.9494000233782742</v>
      </c>
      <c r="C149" s="40">
        <v>0</v>
      </c>
      <c r="D149" s="31">
        <f t="shared" si="2"/>
        <v>0</v>
      </c>
      <c r="E149" s="4"/>
    </row>
    <row r="150" spans="1:5" ht="19" x14ac:dyDescent="0.25">
      <c r="A150" s="57" t="s">
        <v>185</v>
      </c>
      <c r="B150" s="59">
        <v>6.1447845309536486</v>
      </c>
      <c r="C150" s="42">
        <v>0</v>
      </c>
      <c r="D150" s="33">
        <f t="shared" si="2"/>
        <v>0</v>
      </c>
      <c r="E150" s="4"/>
    </row>
    <row r="151" spans="1:5" ht="19" x14ac:dyDescent="0.25">
      <c r="A151" s="43" t="s">
        <v>186</v>
      </c>
      <c r="B151" s="44"/>
      <c r="C151" s="34">
        <f>SUM(C4:C150)</f>
        <v>0.83450000000000002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59D6-ED65-744F-8EF5-F89082E49733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7" t="s">
        <v>4</v>
      </c>
      <c r="B1" s="78"/>
      <c r="C1" s="78"/>
      <c r="D1" s="78"/>
    </row>
    <row r="2" spans="1:10" ht="17" customHeight="1" thickBot="1" x14ac:dyDescent="0.25">
      <c r="A2" s="77"/>
      <c r="B2" s="78"/>
      <c r="C2" s="78"/>
      <c r="D2" s="78"/>
    </row>
    <row r="3" spans="1:10" ht="20" thickTop="1" x14ac:dyDescent="0.25">
      <c r="A3" s="7" t="s">
        <v>27</v>
      </c>
      <c r="B3" s="8" t="s">
        <v>28</v>
      </c>
      <c r="C3" s="9" t="s">
        <v>29</v>
      </c>
      <c r="D3" s="9" t="s">
        <v>30</v>
      </c>
    </row>
    <row r="4" spans="1:10" ht="20" thickBot="1" x14ac:dyDescent="0.3">
      <c r="A4" s="28" t="s">
        <v>31</v>
      </c>
      <c r="B4" s="59">
        <v>4.3705708278452811</v>
      </c>
      <c r="C4" s="39">
        <v>0</v>
      </c>
      <c r="D4" s="30">
        <f>C4/$C$151</f>
        <v>0</v>
      </c>
    </row>
    <row r="5" spans="1:10" ht="20" thickBot="1" x14ac:dyDescent="0.3">
      <c r="A5" s="2" t="s">
        <v>32</v>
      </c>
      <c r="B5" s="59">
        <v>5.2136193198580543</v>
      </c>
      <c r="C5" s="40">
        <v>0</v>
      </c>
      <c r="D5" s="31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29" t="s">
        <v>34</v>
      </c>
      <c r="B6" s="59">
        <v>5.6305966049142544</v>
      </c>
      <c r="C6" s="41">
        <v>0</v>
      </c>
      <c r="D6" s="32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2" t="s">
        <v>38</v>
      </c>
      <c r="B7" s="59">
        <v>4.3620978216044497</v>
      </c>
      <c r="C7" s="40">
        <v>0</v>
      </c>
      <c r="D7" s="31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29" t="s">
        <v>40</v>
      </c>
      <c r="B8" s="59">
        <v>4.7882033268855917</v>
      </c>
      <c r="C8" s="41">
        <v>0</v>
      </c>
      <c r="D8" s="32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0.76264274061990212</v>
      </c>
    </row>
    <row r="9" spans="1:10" ht="23" thickBot="1" x14ac:dyDescent="0.35">
      <c r="A9" s="2" t="s">
        <v>42</v>
      </c>
      <c r="B9" s="59">
        <v>3.2228923328507717</v>
      </c>
      <c r="C9" s="40">
        <v>0</v>
      </c>
      <c r="D9" s="31">
        <f t="shared" si="0"/>
        <v>0</v>
      </c>
      <c r="G9" s="26" t="s">
        <v>43</v>
      </c>
      <c r="H9" s="27"/>
      <c r="I9" s="27"/>
      <c r="J9" s="63">
        <f>SUMPRODUCT(B4:B150,D4:D150)</f>
        <v>4.0784836148139307</v>
      </c>
    </row>
    <row r="10" spans="1:10" ht="19" x14ac:dyDescent="0.25">
      <c r="A10" s="29" t="s">
        <v>44</v>
      </c>
      <c r="B10" s="59">
        <v>3.4101851325072063</v>
      </c>
      <c r="C10" s="41">
        <v>0</v>
      </c>
      <c r="D10" s="32">
        <f t="shared" si="0"/>
        <v>0</v>
      </c>
    </row>
    <row r="11" spans="1:10" ht="19" x14ac:dyDescent="0.25">
      <c r="A11" s="2" t="s">
        <v>45</v>
      </c>
      <c r="B11" s="59">
        <v>5.2109258806256893</v>
      </c>
      <c r="C11" s="40">
        <v>0</v>
      </c>
      <c r="D11" s="31">
        <f t="shared" si="0"/>
        <v>0</v>
      </c>
    </row>
    <row r="12" spans="1:10" ht="19" x14ac:dyDescent="0.25">
      <c r="A12" s="29" t="s">
        <v>46</v>
      </c>
      <c r="B12" s="59">
        <v>4.2572307249236632</v>
      </c>
      <c r="C12" s="41">
        <v>0</v>
      </c>
      <c r="D12" s="32">
        <f t="shared" si="0"/>
        <v>0</v>
      </c>
    </row>
    <row r="13" spans="1:10" ht="19" x14ac:dyDescent="0.25">
      <c r="A13" s="2" t="s">
        <v>47</v>
      </c>
      <c r="B13" s="59">
        <v>6.2938646029657299</v>
      </c>
      <c r="C13" s="40">
        <v>0</v>
      </c>
      <c r="D13" s="31">
        <f t="shared" si="0"/>
        <v>0</v>
      </c>
    </row>
    <row r="14" spans="1:10" ht="19" x14ac:dyDescent="0.25">
      <c r="A14" s="29" t="s">
        <v>48</v>
      </c>
      <c r="B14" s="59">
        <v>5.4470391561857463</v>
      </c>
      <c r="C14" s="41">
        <v>0</v>
      </c>
      <c r="D14" s="32">
        <f t="shared" si="0"/>
        <v>0</v>
      </c>
    </row>
    <row r="15" spans="1:10" ht="19" x14ac:dyDescent="0.25">
      <c r="A15" s="2" t="s">
        <v>49</v>
      </c>
      <c r="B15" s="59">
        <v>3.3272157363952584</v>
      </c>
      <c r="C15" s="40">
        <v>0</v>
      </c>
      <c r="D15" s="31">
        <f t="shared" si="0"/>
        <v>0</v>
      </c>
    </row>
    <row r="16" spans="1:10" ht="19" x14ac:dyDescent="0.25">
      <c r="A16" s="29" t="s">
        <v>50</v>
      </c>
      <c r="B16" s="59">
        <v>5.9976203843116958</v>
      </c>
      <c r="C16" s="41">
        <v>0</v>
      </c>
      <c r="D16" s="32">
        <f t="shared" si="0"/>
        <v>0</v>
      </c>
    </row>
    <row r="17" spans="1:5" ht="19" x14ac:dyDescent="0.25">
      <c r="A17" s="2" t="s">
        <v>51</v>
      </c>
      <c r="B17" s="59">
        <v>5.0248646415497609</v>
      </c>
      <c r="C17" s="40">
        <v>0</v>
      </c>
      <c r="D17" s="31">
        <f t="shared" si="0"/>
        <v>0</v>
      </c>
    </row>
    <row r="18" spans="1:5" ht="19" x14ac:dyDescent="0.25">
      <c r="A18" s="29" t="s">
        <v>52</v>
      </c>
      <c r="B18" s="59">
        <v>5.4119734583646606</v>
      </c>
      <c r="C18" s="41">
        <v>0</v>
      </c>
      <c r="D18" s="32">
        <f t="shared" si="0"/>
        <v>0</v>
      </c>
    </row>
    <row r="19" spans="1:5" ht="19" x14ac:dyDescent="0.25">
      <c r="A19" s="2" t="s">
        <v>53</v>
      </c>
      <c r="B19" s="59">
        <v>5.3424605477454783</v>
      </c>
      <c r="C19" s="40">
        <v>0</v>
      </c>
      <c r="D19" s="31">
        <f t="shared" si="0"/>
        <v>0</v>
      </c>
    </row>
    <row r="20" spans="1:5" ht="19" x14ac:dyDescent="0.25">
      <c r="A20" s="29" t="s">
        <v>54</v>
      </c>
      <c r="B20" s="59">
        <v>4.3392269255836116</v>
      </c>
      <c r="C20" s="41">
        <v>0</v>
      </c>
      <c r="D20" s="32">
        <f t="shared" si="0"/>
        <v>0</v>
      </c>
    </row>
    <row r="21" spans="1:5" ht="19" x14ac:dyDescent="0.25">
      <c r="A21" s="2" t="s">
        <v>55</v>
      </c>
      <c r="B21" s="59">
        <v>5.3528879548903774</v>
      </c>
      <c r="C21" s="40">
        <v>0</v>
      </c>
      <c r="D21" s="31">
        <f t="shared" si="0"/>
        <v>0</v>
      </c>
    </row>
    <row r="22" spans="1:5" ht="19" x14ac:dyDescent="0.25">
      <c r="A22" s="29" t="s">
        <v>56</v>
      </c>
      <c r="B22" s="59">
        <v>4.4305511295739555</v>
      </c>
      <c r="C22" s="41">
        <v>0</v>
      </c>
      <c r="D22" s="32">
        <f t="shared" si="0"/>
        <v>0</v>
      </c>
    </row>
    <row r="23" spans="1:5" ht="19" x14ac:dyDescent="0.25">
      <c r="A23" s="2" t="s">
        <v>57</v>
      </c>
      <c r="B23" s="59">
        <v>6.5469989858167894</v>
      </c>
      <c r="C23" s="40">
        <v>0</v>
      </c>
      <c r="D23" s="31">
        <f t="shared" si="0"/>
        <v>0</v>
      </c>
    </row>
    <row r="24" spans="1:5" ht="19" x14ac:dyDescent="0.25">
      <c r="A24" s="29" t="s">
        <v>58</v>
      </c>
      <c r="B24" s="59">
        <v>6.3316257862325482</v>
      </c>
      <c r="C24" s="41">
        <v>0</v>
      </c>
      <c r="D24" s="32">
        <f t="shared" si="0"/>
        <v>0</v>
      </c>
    </row>
    <row r="25" spans="1:5" ht="19" x14ac:dyDescent="0.25">
      <c r="A25" s="2" t="s">
        <v>59</v>
      </c>
      <c r="B25" s="59">
        <v>5.6374100513783132</v>
      </c>
      <c r="C25" s="40">
        <v>0</v>
      </c>
      <c r="D25" s="31">
        <f t="shared" si="0"/>
        <v>0</v>
      </c>
    </row>
    <row r="26" spans="1:5" ht="19" x14ac:dyDescent="0.25">
      <c r="A26" s="29" t="s">
        <v>60</v>
      </c>
      <c r="B26" s="59">
        <v>6.8290168498118629</v>
      </c>
      <c r="C26" s="41">
        <v>0</v>
      </c>
      <c r="D26" s="32">
        <f t="shared" si="0"/>
        <v>0</v>
      </c>
    </row>
    <row r="27" spans="1:5" ht="19" x14ac:dyDescent="0.25">
      <c r="A27" s="2" t="s">
        <v>61</v>
      </c>
      <c r="B27" s="59">
        <v>3.4431913474650511</v>
      </c>
      <c r="C27" s="40">
        <v>7.7699999999999991E-2</v>
      </c>
      <c r="D27" s="31">
        <f t="shared" si="0"/>
        <v>9.0538336052202267E-2</v>
      </c>
    </row>
    <row r="28" spans="1:5" ht="19" x14ac:dyDescent="0.25">
      <c r="A28" s="29" t="s">
        <v>62</v>
      </c>
      <c r="B28" s="59">
        <v>6.7936201324767405</v>
      </c>
      <c r="C28" s="41">
        <v>0</v>
      </c>
      <c r="D28" s="32">
        <f t="shared" si="0"/>
        <v>0</v>
      </c>
    </row>
    <row r="29" spans="1:5" ht="19" x14ac:dyDescent="0.25">
      <c r="A29" s="2" t="s">
        <v>63</v>
      </c>
      <c r="B29" s="59">
        <v>6.8383191750945294</v>
      </c>
      <c r="C29" s="40">
        <v>0</v>
      </c>
      <c r="D29" s="31">
        <f t="shared" si="0"/>
        <v>0</v>
      </c>
    </row>
    <row r="30" spans="1:5" ht="19" x14ac:dyDescent="0.25">
      <c r="A30" s="29" t="s">
        <v>64</v>
      </c>
      <c r="B30" s="59">
        <v>4.3579262651505353</v>
      </c>
      <c r="C30" s="41">
        <v>0</v>
      </c>
      <c r="D30" s="32">
        <f t="shared" si="0"/>
        <v>0</v>
      </c>
    </row>
    <row r="31" spans="1:5" ht="19" x14ac:dyDescent="0.25">
      <c r="A31" s="2" t="s">
        <v>65</v>
      </c>
      <c r="B31" s="59">
        <v>4.2558827981073541</v>
      </c>
      <c r="C31" s="40">
        <v>4.7100000000000003E-2</v>
      </c>
      <c r="D31" s="31">
        <f t="shared" si="0"/>
        <v>5.4882311815427638E-2</v>
      </c>
      <c r="E31" s="1" t="s">
        <v>66</v>
      </c>
    </row>
    <row r="32" spans="1:5" ht="19" x14ac:dyDescent="0.25">
      <c r="A32" s="29" t="s">
        <v>67</v>
      </c>
      <c r="B32" s="59">
        <v>5.7247940072371959</v>
      </c>
      <c r="C32" s="41">
        <v>0</v>
      </c>
      <c r="D32" s="32">
        <f t="shared" si="0"/>
        <v>0</v>
      </c>
    </row>
    <row r="33" spans="1:4" ht="19" x14ac:dyDescent="0.25">
      <c r="A33" s="2" t="s">
        <v>68</v>
      </c>
      <c r="B33" s="59">
        <v>5.6489161047332477</v>
      </c>
      <c r="C33" s="40">
        <v>0</v>
      </c>
      <c r="D33" s="31">
        <f t="shared" si="0"/>
        <v>0</v>
      </c>
    </row>
    <row r="34" spans="1:4" ht="19" x14ac:dyDescent="0.25">
      <c r="A34" s="29" t="s">
        <v>69</v>
      </c>
      <c r="B34" s="59">
        <v>4.2297467795287353</v>
      </c>
      <c r="C34" s="41">
        <v>0</v>
      </c>
      <c r="D34" s="32">
        <f t="shared" si="0"/>
        <v>0</v>
      </c>
    </row>
    <row r="35" spans="1:4" ht="19" x14ac:dyDescent="0.25">
      <c r="A35" s="2" t="s">
        <v>70</v>
      </c>
      <c r="B35" s="59">
        <v>5.5958391680617687</v>
      </c>
      <c r="C35" s="40">
        <v>0</v>
      </c>
      <c r="D35" s="31">
        <f t="shared" si="0"/>
        <v>0</v>
      </c>
    </row>
    <row r="36" spans="1:4" ht="19" x14ac:dyDescent="0.25">
      <c r="A36" s="29" t="s">
        <v>71</v>
      </c>
      <c r="B36" s="59">
        <v>4.2818306896749707</v>
      </c>
      <c r="C36" s="41">
        <v>0</v>
      </c>
      <c r="D36" s="32">
        <f t="shared" si="0"/>
        <v>0</v>
      </c>
    </row>
    <row r="37" spans="1:4" ht="19" x14ac:dyDescent="0.25">
      <c r="A37" s="2" t="s">
        <v>72</v>
      </c>
      <c r="B37" s="59">
        <v>4.665702306747229</v>
      </c>
      <c r="C37" s="40">
        <v>0</v>
      </c>
      <c r="D37" s="31">
        <f t="shared" si="0"/>
        <v>0</v>
      </c>
    </row>
    <row r="38" spans="1:4" ht="19" x14ac:dyDescent="0.25">
      <c r="A38" s="29" t="s">
        <v>73</v>
      </c>
      <c r="B38" s="59">
        <v>3.7484970292180693</v>
      </c>
      <c r="C38" s="41">
        <v>0</v>
      </c>
      <c r="D38" s="32">
        <f t="shared" si="0"/>
        <v>0</v>
      </c>
    </row>
    <row r="39" spans="1:4" ht="19" x14ac:dyDescent="0.25">
      <c r="A39" s="2" t="s">
        <v>74</v>
      </c>
      <c r="B39" s="59">
        <v>3.1990775661028361</v>
      </c>
      <c r="C39" s="40">
        <v>0</v>
      </c>
      <c r="D39" s="31">
        <f t="shared" si="0"/>
        <v>0</v>
      </c>
    </row>
    <row r="40" spans="1:4" ht="19" x14ac:dyDescent="0.25">
      <c r="A40" s="29" t="s">
        <v>75</v>
      </c>
      <c r="B40" s="59">
        <v>5.9780558706115094</v>
      </c>
      <c r="C40" s="41">
        <v>0</v>
      </c>
      <c r="D40" s="32">
        <f t="shared" si="0"/>
        <v>0</v>
      </c>
    </row>
    <row r="41" spans="1:4" ht="19" x14ac:dyDescent="0.25">
      <c r="A41" s="2" t="s">
        <v>76</v>
      </c>
      <c r="B41" s="59">
        <v>4.6951385888474393</v>
      </c>
      <c r="C41" s="40">
        <v>0</v>
      </c>
      <c r="D41" s="31">
        <f t="shared" si="0"/>
        <v>0</v>
      </c>
    </row>
    <row r="42" spans="1:4" ht="19" x14ac:dyDescent="0.25">
      <c r="A42" s="29" t="s">
        <v>77</v>
      </c>
      <c r="B42" s="59">
        <v>5.7086243658486353</v>
      </c>
      <c r="C42" s="41">
        <v>0</v>
      </c>
      <c r="D42" s="32">
        <f t="shared" si="0"/>
        <v>0</v>
      </c>
    </row>
    <row r="43" spans="1:4" ht="19" x14ac:dyDescent="0.25">
      <c r="A43" s="2" t="s">
        <v>78</v>
      </c>
      <c r="B43" s="59">
        <v>5.6039767437648544</v>
      </c>
      <c r="C43" s="40">
        <v>0</v>
      </c>
      <c r="D43" s="31">
        <f t="shared" si="0"/>
        <v>0</v>
      </c>
    </row>
    <row r="44" spans="1:4" ht="19" x14ac:dyDescent="0.25">
      <c r="A44" s="29" t="s">
        <v>79</v>
      </c>
      <c r="B44" s="59">
        <v>4.7929202889816001</v>
      </c>
      <c r="C44" s="41">
        <v>0</v>
      </c>
      <c r="D44" s="32">
        <f t="shared" si="0"/>
        <v>0</v>
      </c>
    </row>
    <row r="45" spans="1:4" ht="19" x14ac:dyDescent="0.25">
      <c r="A45" s="2" t="s">
        <v>80</v>
      </c>
      <c r="B45" s="59">
        <v>3.5745795767056725</v>
      </c>
      <c r="C45" s="40">
        <v>0</v>
      </c>
      <c r="D45" s="31">
        <f t="shared" si="0"/>
        <v>0</v>
      </c>
    </row>
    <row r="46" spans="1:4" ht="19" x14ac:dyDescent="0.25">
      <c r="A46" s="29" t="s">
        <v>81</v>
      </c>
      <c r="B46" s="59">
        <v>4.4965923559879277</v>
      </c>
      <c r="C46" s="41">
        <v>0</v>
      </c>
      <c r="D46" s="32">
        <f t="shared" si="0"/>
        <v>0</v>
      </c>
    </row>
    <row r="47" spans="1:4" ht="19" x14ac:dyDescent="0.25">
      <c r="A47" s="2" t="s">
        <v>82</v>
      </c>
      <c r="B47" s="59">
        <v>6.927950682570712</v>
      </c>
      <c r="C47" s="40">
        <v>0</v>
      </c>
      <c r="D47" s="31">
        <f t="shared" si="0"/>
        <v>0</v>
      </c>
    </row>
    <row r="48" spans="1:4" ht="19" x14ac:dyDescent="0.25">
      <c r="A48" s="29" t="s">
        <v>83</v>
      </c>
      <c r="B48" s="59">
        <v>3.3483394041152907</v>
      </c>
      <c r="C48" s="41">
        <v>0</v>
      </c>
      <c r="D48" s="32">
        <f t="shared" si="0"/>
        <v>0</v>
      </c>
    </row>
    <row r="49" spans="1:4" ht="19" x14ac:dyDescent="0.25">
      <c r="A49" s="2" t="s">
        <v>84</v>
      </c>
      <c r="B49" s="59">
        <v>3.6488472849850422</v>
      </c>
      <c r="C49" s="40">
        <v>0</v>
      </c>
      <c r="D49" s="31">
        <f t="shared" si="0"/>
        <v>0</v>
      </c>
    </row>
    <row r="50" spans="1:4" ht="19" x14ac:dyDescent="0.25">
      <c r="A50" s="29" t="s">
        <v>85</v>
      </c>
      <c r="B50" s="59">
        <v>5.7823719673887926</v>
      </c>
      <c r="C50" s="41">
        <v>0</v>
      </c>
      <c r="D50" s="32">
        <f t="shared" si="0"/>
        <v>0</v>
      </c>
    </row>
    <row r="51" spans="1:4" ht="19" x14ac:dyDescent="0.25">
      <c r="A51" s="2" t="s">
        <v>86</v>
      </c>
      <c r="B51" s="59">
        <v>5.3790271999040362</v>
      </c>
      <c r="C51" s="40">
        <v>0</v>
      </c>
      <c r="D51" s="31">
        <f t="shared" si="0"/>
        <v>0</v>
      </c>
    </row>
    <row r="52" spans="1:4" ht="19" x14ac:dyDescent="0.25">
      <c r="A52" s="29" t="s">
        <v>87</v>
      </c>
      <c r="B52" s="59">
        <v>4.9290675473985939</v>
      </c>
      <c r="C52" s="41">
        <v>0</v>
      </c>
      <c r="D52" s="32">
        <f t="shared" si="0"/>
        <v>0</v>
      </c>
    </row>
    <row r="53" spans="1:4" ht="19" x14ac:dyDescent="0.25">
      <c r="A53" s="2" t="s">
        <v>88</v>
      </c>
      <c r="B53" s="59">
        <v>3.4167336021772097</v>
      </c>
      <c r="C53" s="40">
        <v>0</v>
      </c>
      <c r="D53" s="31">
        <f t="shared" si="0"/>
        <v>0</v>
      </c>
    </row>
    <row r="54" spans="1:4" ht="19" x14ac:dyDescent="0.25">
      <c r="A54" s="29" t="s">
        <v>89</v>
      </c>
      <c r="B54" s="59">
        <v>4.6272251474478185</v>
      </c>
      <c r="C54" s="41">
        <v>0</v>
      </c>
      <c r="D54" s="32">
        <f t="shared" si="0"/>
        <v>0</v>
      </c>
    </row>
    <row r="55" spans="1:4" ht="19" x14ac:dyDescent="0.25">
      <c r="A55" s="2" t="s">
        <v>90</v>
      </c>
      <c r="B55" s="59">
        <v>4.3382922337238083</v>
      </c>
      <c r="C55" s="40">
        <v>0</v>
      </c>
      <c r="D55" s="31">
        <f t="shared" si="0"/>
        <v>0</v>
      </c>
    </row>
    <row r="56" spans="1:4" ht="19" x14ac:dyDescent="0.25">
      <c r="A56" s="29" t="s">
        <v>91</v>
      </c>
      <c r="B56" s="59">
        <v>5.450113492883502</v>
      </c>
      <c r="C56" s="41">
        <v>0</v>
      </c>
      <c r="D56" s="32">
        <f t="shared" si="0"/>
        <v>0</v>
      </c>
    </row>
    <row r="57" spans="1:4" ht="19" x14ac:dyDescent="0.25">
      <c r="A57" s="2" t="s">
        <v>92</v>
      </c>
      <c r="B57" s="59">
        <v>6.3557356106090603</v>
      </c>
      <c r="C57" s="40">
        <v>0</v>
      </c>
      <c r="D57" s="31">
        <f t="shared" si="0"/>
        <v>0</v>
      </c>
    </row>
    <row r="58" spans="1:4" ht="19" x14ac:dyDescent="0.25">
      <c r="A58" s="29" t="s">
        <v>93</v>
      </c>
      <c r="B58" s="59">
        <v>5.9434838790990074</v>
      </c>
      <c r="C58" s="41">
        <v>0</v>
      </c>
      <c r="D58" s="32">
        <f t="shared" si="0"/>
        <v>0</v>
      </c>
    </row>
    <row r="59" spans="1:4" ht="19" x14ac:dyDescent="0.25">
      <c r="A59" s="2" t="s">
        <v>94</v>
      </c>
      <c r="B59" s="59">
        <v>4.9174638740379848</v>
      </c>
      <c r="C59" s="40">
        <v>0</v>
      </c>
      <c r="D59" s="31">
        <f t="shared" si="0"/>
        <v>0</v>
      </c>
    </row>
    <row r="60" spans="1:4" ht="19" x14ac:dyDescent="0.25">
      <c r="A60" s="29" t="s">
        <v>95</v>
      </c>
      <c r="B60" s="59">
        <v>6.5330241147248609</v>
      </c>
      <c r="C60" s="41">
        <v>0</v>
      </c>
      <c r="D60" s="32">
        <f t="shared" si="0"/>
        <v>0</v>
      </c>
    </row>
    <row r="61" spans="1:4" ht="19" x14ac:dyDescent="0.25">
      <c r="A61" s="2" t="s">
        <v>96</v>
      </c>
      <c r="B61" s="59">
        <v>5.7658823887989872</v>
      </c>
      <c r="C61" s="40">
        <v>0</v>
      </c>
      <c r="D61" s="31">
        <f t="shared" si="0"/>
        <v>0</v>
      </c>
    </row>
    <row r="62" spans="1:4" ht="19" x14ac:dyDescent="0.25">
      <c r="A62" s="29" t="s">
        <v>97</v>
      </c>
      <c r="B62" s="59">
        <v>3.6278897079089987</v>
      </c>
      <c r="C62" s="41">
        <v>0</v>
      </c>
      <c r="D62" s="32">
        <f t="shared" si="0"/>
        <v>0</v>
      </c>
    </row>
    <row r="63" spans="1:4" ht="19" x14ac:dyDescent="0.25">
      <c r="A63" s="2" t="s">
        <v>98</v>
      </c>
      <c r="B63" s="59">
        <v>3.3752937482227585</v>
      </c>
      <c r="C63" s="40">
        <v>0</v>
      </c>
      <c r="D63" s="31">
        <f t="shared" si="0"/>
        <v>0</v>
      </c>
    </row>
    <row r="64" spans="1:4" ht="19" x14ac:dyDescent="0.25">
      <c r="A64" s="29" t="s">
        <v>99</v>
      </c>
      <c r="B64" s="59">
        <v>5.0659580961290027</v>
      </c>
      <c r="C64" s="41">
        <v>0</v>
      </c>
      <c r="D64" s="32">
        <f t="shared" si="0"/>
        <v>0</v>
      </c>
    </row>
    <row r="65" spans="1:4" ht="19" x14ac:dyDescent="0.25">
      <c r="A65" s="2" t="s">
        <v>100</v>
      </c>
      <c r="B65" s="59">
        <v>4.9248047791749228</v>
      </c>
      <c r="C65" s="40">
        <v>0</v>
      </c>
      <c r="D65" s="31">
        <f t="shared" si="0"/>
        <v>0</v>
      </c>
    </row>
    <row r="66" spans="1:4" ht="19" x14ac:dyDescent="0.25">
      <c r="A66" s="29" t="s">
        <v>101</v>
      </c>
      <c r="B66" s="59">
        <v>5.8793658240107565</v>
      </c>
      <c r="C66" s="41">
        <v>0</v>
      </c>
      <c r="D66" s="32">
        <f t="shared" si="0"/>
        <v>0</v>
      </c>
    </row>
    <row r="67" spans="1:4" ht="19" x14ac:dyDescent="0.25">
      <c r="A67" s="2" t="s">
        <v>102</v>
      </c>
      <c r="B67" s="59">
        <v>6.0491810448870345</v>
      </c>
      <c r="C67" s="40">
        <v>0</v>
      </c>
      <c r="D67" s="31">
        <f t="shared" si="0"/>
        <v>0</v>
      </c>
    </row>
    <row r="68" spans="1:4" ht="19" x14ac:dyDescent="0.25">
      <c r="A68" s="29" t="s">
        <v>103</v>
      </c>
      <c r="B68" s="59">
        <v>3.253942686762922</v>
      </c>
      <c r="C68" s="41">
        <v>0</v>
      </c>
      <c r="D68" s="32">
        <f t="shared" si="0"/>
        <v>0</v>
      </c>
    </row>
    <row r="69" spans="1:4" ht="19" x14ac:dyDescent="0.25">
      <c r="A69" s="2" t="s">
        <v>104</v>
      </c>
      <c r="B69" s="59">
        <v>4.6082974679305195</v>
      </c>
      <c r="C69" s="40">
        <v>0</v>
      </c>
      <c r="D69" s="31">
        <f t="shared" ref="D69:D132" si="1">C69/$C$151</f>
        <v>0</v>
      </c>
    </row>
    <row r="70" spans="1:4" ht="19" x14ac:dyDescent="0.25">
      <c r="A70" s="29" t="s">
        <v>105</v>
      </c>
      <c r="B70" s="59">
        <v>3.8382882812123826</v>
      </c>
      <c r="C70" s="41">
        <v>0</v>
      </c>
      <c r="D70" s="32">
        <f t="shared" si="1"/>
        <v>0</v>
      </c>
    </row>
    <row r="71" spans="1:4" ht="19" x14ac:dyDescent="0.25">
      <c r="A71" s="2" t="s">
        <v>106</v>
      </c>
      <c r="B71" s="59">
        <v>4.7451218036873231</v>
      </c>
      <c r="C71" s="40">
        <v>0</v>
      </c>
      <c r="D71" s="31">
        <f t="shared" si="1"/>
        <v>0</v>
      </c>
    </row>
    <row r="72" spans="1:4" ht="19" x14ac:dyDescent="0.25">
      <c r="A72" s="29" t="s">
        <v>107</v>
      </c>
      <c r="B72" s="59">
        <v>3.3755878841798577</v>
      </c>
      <c r="C72" s="41">
        <v>0</v>
      </c>
      <c r="D72" s="32">
        <f t="shared" si="1"/>
        <v>0</v>
      </c>
    </row>
    <row r="73" spans="1:4" ht="19" x14ac:dyDescent="0.25">
      <c r="A73" s="2" t="s">
        <v>108</v>
      </c>
      <c r="B73" s="59">
        <v>5.1303864841692146</v>
      </c>
      <c r="C73" s="40">
        <v>0</v>
      </c>
      <c r="D73" s="31">
        <f t="shared" si="1"/>
        <v>0</v>
      </c>
    </row>
    <row r="74" spans="1:4" ht="19" x14ac:dyDescent="0.25">
      <c r="A74" s="29" t="s">
        <v>109</v>
      </c>
      <c r="B74" s="59">
        <v>4.5379079915092131</v>
      </c>
      <c r="C74" s="41">
        <v>0</v>
      </c>
      <c r="D74" s="32">
        <f t="shared" si="1"/>
        <v>0</v>
      </c>
    </row>
    <row r="75" spans="1:4" ht="19" x14ac:dyDescent="0.25">
      <c r="A75" s="2" t="s">
        <v>110</v>
      </c>
      <c r="B75" s="59">
        <v>6.1313349307646918</v>
      </c>
      <c r="C75" s="40">
        <v>0</v>
      </c>
      <c r="D75" s="31">
        <f t="shared" si="1"/>
        <v>0</v>
      </c>
    </row>
    <row r="76" spans="1:4" ht="19" x14ac:dyDescent="0.25">
      <c r="A76" s="29" t="s">
        <v>111</v>
      </c>
      <c r="B76" s="59">
        <v>4.2961051501975707</v>
      </c>
      <c r="C76" s="41">
        <v>0</v>
      </c>
      <c r="D76" s="32">
        <f t="shared" si="1"/>
        <v>0</v>
      </c>
    </row>
    <row r="77" spans="1:4" ht="19" x14ac:dyDescent="0.25">
      <c r="A77" s="2" t="s">
        <v>112</v>
      </c>
      <c r="B77" s="59">
        <v>5.373680321889462</v>
      </c>
      <c r="C77" s="40">
        <v>0</v>
      </c>
      <c r="D77" s="31">
        <f t="shared" si="1"/>
        <v>0</v>
      </c>
    </row>
    <row r="78" spans="1:4" ht="19" x14ac:dyDescent="0.25">
      <c r="A78" s="29" t="s">
        <v>113</v>
      </c>
      <c r="B78" s="59">
        <v>5.1391788730224306</v>
      </c>
      <c r="C78" s="41">
        <v>0</v>
      </c>
      <c r="D78" s="32">
        <f t="shared" si="1"/>
        <v>0</v>
      </c>
    </row>
    <row r="79" spans="1:4" ht="19" x14ac:dyDescent="0.25">
      <c r="A79" s="2" t="s">
        <v>114</v>
      </c>
      <c r="B79" s="59">
        <v>3.9664492327048539</v>
      </c>
      <c r="C79" s="40">
        <v>0</v>
      </c>
      <c r="D79" s="31">
        <f t="shared" si="1"/>
        <v>0</v>
      </c>
    </row>
    <row r="80" spans="1:4" ht="19" x14ac:dyDescent="0.25">
      <c r="A80" s="29" t="s">
        <v>115</v>
      </c>
      <c r="B80" s="59">
        <v>6.1238543404169867</v>
      </c>
      <c r="C80" s="41">
        <v>0</v>
      </c>
      <c r="D80" s="32">
        <f t="shared" si="1"/>
        <v>0</v>
      </c>
    </row>
    <row r="81" spans="1:4" ht="19" x14ac:dyDescent="0.25">
      <c r="A81" s="2" t="s">
        <v>116</v>
      </c>
      <c r="B81" s="59">
        <v>5.48860822118026</v>
      </c>
      <c r="C81" s="40">
        <v>0</v>
      </c>
      <c r="D81" s="31">
        <f t="shared" si="1"/>
        <v>0</v>
      </c>
    </row>
    <row r="82" spans="1:4" ht="19" x14ac:dyDescent="0.25">
      <c r="A82" s="29" t="s">
        <v>117</v>
      </c>
      <c r="B82" s="59">
        <v>5.9675040107987867</v>
      </c>
      <c r="C82" s="41">
        <v>0</v>
      </c>
      <c r="D82" s="32">
        <f t="shared" si="1"/>
        <v>0</v>
      </c>
    </row>
    <row r="83" spans="1:4" ht="19" x14ac:dyDescent="0.25">
      <c r="A83" s="2" t="s">
        <v>118</v>
      </c>
      <c r="B83" s="59">
        <v>5.6755260890564418</v>
      </c>
      <c r="C83" s="40">
        <v>0</v>
      </c>
      <c r="D83" s="31">
        <f t="shared" si="1"/>
        <v>0</v>
      </c>
    </row>
    <row r="84" spans="1:4" ht="19" x14ac:dyDescent="0.25">
      <c r="A84" s="29" t="s">
        <v>119</v>
      </c>
      <c r="B84" s="59">
        <v>3.9263549476589308</v>
      </c>
      <c r="C84" s="41">
        <v>0</v>
      </c>
      <c r="D84" s="32">
        <f t="shared" si="1"/>
        <v>0</v>
      </c>
    </row>
    <row r="85" spans="1:4" ht="19" x14ac:dyDescent="0.25">
      <c r="A85" s="2" t="s">
        <v>120</v>
      </c>
      <c r="B85" s="59">
        <v>5.8210372928345899</v>
      </c>
      <c r="C85" s="40">
        <v>0</v>
      </c>
      <c r="D85" s="31">
        <f t="shared" si="1"/>
        <v>0</v>
      </c>
    </row>
    <row r="86" spans="1:4" ht="19" x14ac:dyDescent="0.25">
      <c r="A86" s="29" t="s">
        <v>121</v>
      </c>
      <c r="B86" s="59">
        <v>5.5779364438856991</v>
      </c>
      <c r="C86" s="41">
        <v>0</v>
      </c>
      <c r="D86" s="32">
        <f t="shared" si="1"/>
        <v>0</v>
      </c>
    </row>
    <row r="87" spans="1:4" ht="19" x14ac:dyDescent="0.25">
      <c r="A87" s="2" t="s">
        <v>122</v>
      </c>
      <c r="B87" s="59">
        <v>4.0335588563178906</v>
      </c>
      <c r="C87" s="40">
        <v>0</v>
      </c>
      <c r="D87" s="31">
        <f t="shared" si="1"/>
        <v>0</v>
      </c>
    </row>
    <row r="88" spans="1:4" ht="19" x14ac:dyDescent="0.25">
      <c r="A88" s="29" t="s">
        <v>123</v>
      </c>
      <c r="B88" s="59">
        <v>7.1049758774245326</v>
      </c>
      <c r="C88" s="41">
        <v>0</v>
      </c>
      <c r="D88" s="32">
        <f t="shared" si="1"/>
        <v>0</v>
      </c>
    </row>
    <row r="89" spans="1:4" ht="19" x14ac:dyDescent="0.25">
      <c r="A89" s="2" t="s">
        <v>124</v>
      </c>
      <c r="B89" s="59">
        <v>6.2753028505143282</v>
      </c>
      <c r="C89" s="40">
        <v>0</v>
      </c>
      <c r="D89" s="31">
        <f t="shared" si="1"/>
        <v>0</v>
      </c>
    </row>
    <row r="90" spans="1:4" ht="19" x14ac:dyDescent="0.25">
      <c r="A90" s="29" t="s">
        <v>125</v>
      </c>
      <c r="B90" s="59">
        <v>3.4654790256975891</v>
      </c>
      <c r="C90" s="41">
        <v>0</v>
      </c>
      <c r="D90" s="32">
        <f t="shared" si="1"/>
        <v>0</v>
      </c>
    </row>
    <row r="91" spans="1:4" ht="19" x14ac:dyDescent="0.25">
      <c r="A91" s="2" t="s">
        <v>126</v>
      </c>
      <c r="B91" s="59">
        <v>5.4234078040770983</v>
      </c>
      <c r="C91" s="40">
        <v>1.32E-2</v>
      </c>
      <c r="D91" s="31">
        <f t="shared" si="1"/>
        <v>1.5381030062922395E-2</v>
      </c>
    </row>
    <row r="92" spans="1:4" ht="19" x14ac:dyDescent="0.25">
      <c r="A92" s="29" t="s">
        <v>127</v>
      </c>
      <c r="B92" s="59">
        <v>5.1376667464547303</v>
      </c>
      <c r="C92" s="41">
        <v>0</v>
      </c>
      <c r="D92" s="32">
        <f t="shared" si="1"/>
        <v>0</v>
      </c>
    </row>
    <row r="93" spans="1:4" ht="19" x14ac:dyDescent="0.25">
      <c r="A93" s="2" t="s">
        <v>128</v>
      </c>
      <c r="B93" s="59">
        <v>4.6510069196773065</v>
      </c>
      <c r="C93" s="40">
        <v>0</v>
      </c>
      <c r="D93" s="31">
        <f t="shared" si="1"/>
        <v>0</v>
      </c>
    </row>
    <row r="94" spans="1:4" ht="19" x14ac:dyDescent="0.25">
      <c r="A94" s="29" t="s">
        <v>129</v>
      </c>
      <c r="B94" s="59">
        <v>5.1009280794553211</v>
      </c>
      <c r="C94" s="41">
        <v>0</v>
      </c>
      <c r="D94" s="32">
        <f t="shared" si="1"/>
        <v>0</v>
      </c>
    </row>
    <row r="95" spans="1:4" ht="19" x14ac:dyDescent="0.25">
      <c r="A95" s="2" t="s">
        <v>130</v>
      </c>
      <c r="B95" s="59">
        <v>6.2957088620382402</v>
      </c>
      <c r="C95" s="40">
        <v>0</v>
      </c>
      <c r="D95" s="31">
        <f t="shared" si="1"/>
        <v>0</v>
      </c>
    </row>
    <row r="96" spans="1:4" ht="19" x14ac:dyDescent="0.25">
      <c r="A96" s="29" t="s">
        <v>131</v>
      </c>
      <c r="B96" s="59">
        <v>4.6400800634309949</v>
      </c>
      <c r="C96" s="41">
        <v>0</v>
      </c>
      <c r="D96" s="32">
        <f t="shared" si="1"/>
        <v>0</v>
      </c>
    </row>
    <row r="97" spans="1:4" ht="19" x14ac:dyDescent="0.25">
      <c r="A97" s="2" t="s">
        <v>132</v>
      </c>
      <c r="B97" s="59">
        <v>5.7812106231736005</v>
      </c>
      <c r="C97" s="40">
        <v>0</v>
      </c>
      <c r="D97" s="31">
        <f t="shared" si="1"/>
        <v>0</v>
      </c>
    </row>
    <row r="98" spans="1:4" ht="19" x14ac:dyDescent="0.25">
      <c r="A98" s="29" t="s">
        <v>133</v>
      </c>
      <c r="B98" s="59">
        <v>3.5907872747385401</v>
      </c>
      <c r="C98" s="41">
        <v>0</v>
      </c>
      <c r="D98" s="32">
        <f t="shared" si="1"/>
        <v>0</v>
      </c>
    </row>
    <row r="99" spans="1:4" ht="19" x14ac:dyDescent="0.25">
      <c r="A99" s="2" t="s">
        <v>134</v>
      </c>
      <c r="B99" s="59">
        <v>3.3163390659638341</v>
      </c>
      <c r="C99" s="40">
        <v>0</v>
      </c>
      <c r="D99" s="31">
        <f t="shared" si="1"/>
        <v>0</v>
      </c>
    </row>
    <row r="100" spans="1:4" ht="19" x14ac:dyDescent="0.25">
      <c r="A100" s="29" t="s">
        <v>135</v>
      </c>
      <c r="B100" s="59">
        <v>5.8020732010296063</v>
      </c>
      <c r="C100" s="41">
        <v>0</v>
      </c>
      <c r="D100" s="32">
        <f t="shared" si="1"/>
        <v>0</v>
      </c>
    </row>
    <row r="101" spans="1:4" ht="19" x14ac:dyDescent="0.25">
      <c r="A101" s="2" t="s">
        <v>136</v>
      </c>
      <c r="B101" s="59">
        <v>7.0685249610665801</v>
      </c>
      <c r="C101" s="40">
        <v>0</v>
      </c>
      <c r="D101" s="31">
        <f t="shared" si="1"/>
        <v>0</v>
      </c>
    </row>
    <row r="102" spans="1:4" ht="19" x14ac:dyDescent="0.25">
      <c r="A102" s="29" t="s">
        <v>137</v>
      </c>
      <c r="B102" s="59">
        <v>6.5035912603709098</v>
      </c>
      <c r="C102" s="41">
        <v>0</v>
      </c>
      <c r="D102" s="32">
        <f t="shared" si="1"/>
        <v>0</v>
      </c>
    </row>
    <row r="103" spans="1:4" ht="19" x14ac:dyDescent="0.25">
      <c r="A103" s="2" t="s">
        <v>138</v>
      </c>
      <c r="B103" s="59">
        <v>4.1624840904381539</v>
      </c>
      <c r="C103" s="40">
        <v>0</v>
      </c>
      <c r="D103" s="31">
        <f t="shared" si="1"/>
        <v>0</v>
      </c>
    </row>
    <row r="104" spans="1:4" ht="19" x14ac:dyDescent="0.25">
      <c r="A104" s="29" t="s">
        <v>139</v>
      </c>
      <c r="B104" s="59">
        <v>3.3787152608913655</v>
      </c>
      <c r="C104" s="41">
        <v>0</v>
      </c>
      <c r="D104" s="32">
        <f t="shared" si="1"/>
        <v>0</v>
      </c>
    </row>
    <row r="105" spans="1:4" ht="19" x14ac:dyDescent="0.25">
      <c r="A105" s="2" t="s">
        <v>140</v>
      </c>
      <c r="B105" s="59">
        <v>4.0162254988757935</v>
      </c>
      <c r="C105" s="40">
        <v>0</v>
      </c>
      <c r="D105" s="31">
        <f t="shared" si="1"/>
        <v>0</v>
      </c>
    </row>
    <row r="106" spans="1:4" ht="19" x14ac:dyDescent="0.25">
      <c r="A106" s="29" t="s">
        <v>141</v>
      </c>
      <c r="B106" s="59">
        <v>6.648668082818161</v>
      </c>
      <c r="C106" s="41">
        <v>0</v>
      </c>
      <c r="D106" s="32">
        <f t="shared" si="1"/>
        <v>0</v>
      </c>
    </row>
    <row r="107" spans="1:4" ht="19" x14ac:dyDescent="0.25">
      <c r="A107" s="2" t="s">
        <v>142</v>
      </c>
      <c r="B107" s="59">
        <v>4.5635733416096631</v>
      </c>
      <c r="C107" s="40">
        <v>0</v>
      </c>
      <c r="D107" s="31">
        <f t="shared" si="1"/>
        <v>0</v>
      </c>
    </row>
    <row r="108" spans="1:4" ht="19" x14ac:dyDescent="0.25">
      <c r="A108" s="29" t="s">
        <v>143</v>
      </c>
      <c r="B108" s="59">
        <v>5.3398873222843388</v>
      </c>
      <c r="C108" s="41">
        <v>0</v>
      </c>
      <c r="D108" s="32">
        <f t="shared" si="1"/>
        <v>0</v>
      </c>
    </row>
    <row r="109" spans="1:4" ht="19" x14ac:dyDescent="0.25">
      <c r="A109" s="2" t="s">
        <v>144</v>
      </c>
      <c r="B109" s="59">
        <v>4.7159164073345954</v>
      </c>
      <c r="C109" s="40">
        <v>0</v>
      </c>
      <c r="D109" s="31">
        <f t="shared" si="1"/>
        <v>0</v>
      </c>
    </row>
    <row r="110" spans="1:4" ht="19" x14ac:dyDescent="0.25">
      <c r="A110" s="29" t="s">
        <v>145</v>
      </c>
      <c r="B110" s="59">
        <v>5.2817219635350439</v>
      </c>
      <c r="C110" s="41">
        <v>0</v>
      </c>
      <c r="D110" s="32">
        <f t="shared" si="1"/>
        <v>0</v>
      </c>
    </row>
    <row r="111" spans="1:4" ht="19" x14ac:dyDescent="0.25">
      <c r="A111" s="2" t="s">
        <v>146</v>
      </c>
      <c r="B111" s="59">
        <v>5.8016442493647551</v>
      </c>
      <c r="C111" s="40">
        <v>0</v>
      </c>
      <c r="D111" s="31">
        <f t="shared" si="1"/>
        <v>0</v>
      </c>
    </row>
    <row r="112" spans="1:4" ht="19" x14ac:dyDescent="0.25">
      <c r="A112" s="29" t="s">
        <v>147</v>
      </c>
      <c r="B112" s="59">
        <v>4.1502930814875194</v>
      </c>
      <c r="C112" s="41">
        <v>0</v>
      </c>
      <c r="D112" s="32">
        <f t="shared" si="1"/>
        <v>0</v>
      </c>
    </row>
    <row r="113" spans="1:4" ht="19" x14ac:dyDescent="0.25">
      <c r="A113" s="2" t="s">
        <v>148</v>
      </c>
      <c r="B113" s="59">
        <v>3.4281858950270068</v>
      </c>
      <c r="C113" s="40">
        <v>0</v>
      </c>
      <c r="D113" s="31">
        <f t="shared" si="1"/>
        <v>0</v>
      </c>
    </row>
    <row r="114" spans="1:4" ht="19" x14ac:dyDescent="0.25">
      <c r="A114" s="29" t="s">
        <v>149</v>
      </c>
      <c r="B114" s="59">
        <v>3.1959809471990606</v>
      </c>
      <c r="C114" s="41">
        <v>0</v>
      </c>
      <c r="D114" s="32">
        <f t="shared" si="1"/>
        <v>0</v>
      </c>
    </row>
    <row r="115" spans="1:4" ht="19" x14ac:dyDescent="0.25">
      <c r="A115" s="2" t="s">
        <v>150</v>
      </c>
      <c r="B115" s="59">
        <v>4.0482582591129548</v>
      </c>
      <c r="C115" s="40">
        <v>0</v>
      </c>
      <c r="D115" s="31">
        <f t="shared" si="1"/>
        <v>0</v>
      </c>
    </row>
    <row r="116" spans="1:4" ht="19" x14ac:dyDescent="0.25">
      <c r="A116" s="29" t="s">
        <v>151</v>
      </c>
      <c r="B116" s="59">
        <v>5.9582623064002229</v>
      </c>
      <c r="C116" s="41">
        <v>0</v>
      </c>
      <c r="D116" s="32">
        <f t="shared" si="1"/>
        <v>0</v>
      </c>
    </row>
    <row r="117" spans="1:4" ht="19" x14ac:dyDescent="0.25">
      <c r="A117" s="2" t="s">
        <v>152</v>
      </c>
      <c r="B117" s="59">
        <v>5.4717687502053103</v>
      </c>
      <c r="C117" s="40">
        <v>0</v>
      </c>
      <c r="D117" s="31">
        <f t="shared" si="1"/>
        <v>0</v>
      </c>
    </row>
    <row r="118" spans="1:4" ht="19" x14ac:dyDescent="0.25">
      <c r="A118" s="29" t="s">
        <v>153</v>
      </c>
      <c r="B118" s="59">
        <v>4.4233746630959043</v>
      </c>
      <c r="C118" s="41">
        <v>0</v>
      </c>
      <c r="D118" s="32">
        <f t="shared" si="1"/>
        <v>0</v>
      </c>
    </row>
    <row r="119" spans="1:4" ht="19" x14ac:dyDescent="0.25">
      <c r="A119" s="2" t="s">
        <v>154</v>
      </c>
      <c r="B119" s="59">
        <v>5.3961053213656953</v>
      </c>
      <c r="C119" s="40">
        <v>0</v>
      </c>
      <c r="D119" s="31">
        <f t="shared" si="1"/>
        <v>0</v>
      </c>
    </row>
    <row r="120" spans="1:4" ht="19" x14ac:dyDescent="0.25">
      <c r="A120" s="29" t="s">
        <v>155</v>
      </c>
      <c r="B120" s="59">
        <v>5.0353573500743858</v>
      </c>
      <c r="C120" s="41">
        <v>0</v>
      </c>
      <c r="D120" s="32">
        <f t="shared" si="1"/>
        <v>0</v>
      </c>
    </row>
    <row r="121" spans="1:4" ht="19" x14ac:dyDescent="0.25">
      <c r="A121" s="2" t="s">
        <v>156</v>
      </c>
      <c r="B121" s="59">
        <v>5.6408231615395454</v>
      </c>
      <c r="C121" s="40">
        <v>0</v>
      </c>
      <c r="D121" s="31">
        <f t="shared" si="1"/>
        <v>0</v>
      </c>
    </row>
    <row r="122" spans="1:4" ht="19" x14ac:dyDescent="0.25">
      <c r="A122" s="29" t="s">
        <v>157</v>
      </c>
      <c r="B122" s="59">
        <v>3.0386535635012972</v>
      </c>
      <c r="C122" s="41">
        <v>0</v>
      </c>
      <c r="D122" s="32">
        <f t="shared" si="1"/>
        <v>0</v>
      </c>
    </row>
    <row r="123" spans="1:4" ht="19" x14ac:dyDescent="0.25">
      <c r="A123" s="2" t="s">
        <v>158</v>
      </c>
      <c r="B123" s="59">
        <v>3.791880207241451</v>
      </c>
      <c r="C123" s="40">
        <v>0</v>
      </c>
      <c r="D123" s="31">
        <f t="shared" si="1"/>
        <v>0</v>
      </c>
    </row>
    <row r="124" spans="1:4" ht="19" x14ac:dyDescent="0.25">
      <c r="A124" s="29" t="s">
        <v>159</v>
      </c>
      <c r="B124" s="59">
        <v>3.4781584832038352</v>
      </c>
      <c r="C124" s="41">
        <v>0</v>
      </c>
      <c r="D124" s="32">
        <f t="shared" si="1"/>
        <v>0</v>
      </c>
    </row>
    <row r="125" spans="1:4" ht="19" x14ac:dyDescent="0.25">
      <c r="A125" s="2" t="s">
        <v>160</v>
      </c>
      <c r="B125" s="59">
        <v>5.2224005392752639</v>
      </c>
      <c r="C125" s="40">
        <v>0</v>
      </c>
      <c r="D125" s="31">
        <f t="shared" si="1"/>
        <v>0</v>
      </c>
    </row>
    <row r="126" spans="1:4" ht="19" x14ac:dyDescent="0.25">
      <c r="A126" s="29" t="s">
        <v>161</v>
      </c>
      <c r="B126" s="59">
        <v>3.5667851803481079</v>
      </c>
      <c r="C126" s="41">
        <v>0</v>
      </c>
      <c r="D126" s="32">
        <f t="shared" si="1"/>
        <v>0</v>
      </c>
    </row>
    <row r="127" spans="1:4" ht="19" x14ac:dyDescent="0.25">
      <c r="A127" s="2" t="s">
        <v>162</v>
      </c>
      <c r="B127" s="59">
        <v>3.7006443947932954</v>
      </c>
      <c r="C127" s="40">
        <v>0</v>
      </c>
      <c r="D127" s="31">
        <f t="shared" si="1"/>
        <v>0</v>
      </c>
    </row>
    <row r="128" spans="1:4" ht="19" x14ac:dyDescent="0.25">
      <c r="A128" s="29" t="s">
        <v>163</v>
      </c>
      <c r="B128" s="59">
        <v>5.1109914616879202</v>
      </c>
      <c r="C128" s="41">
        <v>0</v>
      </c>
      <c r="D128" s="32">
        <f t="shared" si="1"/>
        <v>0</v>
      </c>
    </row>
    <row r="129" spans="1:4" ht="19" x14ac:dyDescent="0.25">
      <c r="A129" s="2" t="s">
        <v>164</v>
      </c>
      <c r="B129" s="59">
        <v>7.0987237940608701</v>
      </c>
      <c r="C129" s="40">
        <v>0</v>
      </c>
      <c r="D129" s="31">
        <f t="shared" si="1"/>
        <v>0</v>
      </c>
    </row>
    <row r="130" spans="1:4" ht="19" x14ac:dyDescent="0.25">
      <c r="A130" s="29" t="s">
        <v>165</v>
      </c>
      <c r="B130" s="59">
        <v>3.5240069552478133</v>
      </c>
      <c r="C130" s="41">
        <v>0</v>
      </c>
      <c r="D130" s="32">
        <f t="shared" si="1"/>
        <v>0</v>
      </c>
    </row>
    <row r="131" spans="1:4" ht="19" x14ac:dyDescent="0.25">
      <c r="A131" s="2" t="s">
        <v>166</v>
      </c>
      <c r="B131" s="59">
        <v>2.7770010876672497</v>
      </c>
      <c r="C131" s="40">
        <v>0</v>
      </c>
      <c r="D131" s="31">
        <f t="shared" si="1"/>
        <v>0</v>
      </c>
    </row>
    <row r="132" spans="1:4" ht="19" x14ac:dyDescent="0.25">
      <c r="A132" s="29" t="s">
        <v>167</v>
      </c>
      <c r="B132" s="59">
        <v>7.3330533031040499</v>
      </c>
      <c r="C132" s="41">
        <v>0</v>
      </c>
      <c r="D132" s="32">
        <f t="shared" si="1"/>
        <v>0</v>
      </c>
    </row>
    <row r="133" spans="1:4" ht="19" x14ac:dyDescent="0.25">
      <c r="A133" s="2" t="s">
        <v>168</v>
      </c>
      <c r="B133" s="59">
        <v>5.6864357260548895</v>
      </c>
      <c r="C133" s="40">
        <v>0</v>
      </c>
      <c r="D133" s="31">
        <f t="shared" ref="D133:D150" si="2">C133/$C$151</f>
        <v>0</v>
      </c>
    </row>
    <row r="134" spans="1:4" ht="19" x14ac:dyDescent="0.25">
      <c r="A134" s="29" t="s">
        <v>169</v>
      </c>
      <c r="B134" s="59">
        <v>5.2061146997824723</v>
      </c>
      <c r="C134" s="41">
        <v>0</v>
      </c>
      <c r="D134" s="32">
        <f t="shared" si="2"/>
        <v>0</v>
      </c>
    </row>
    <row r="135" spans="1:4" ht="19" x14ac:dyDescent="0.25">
      <c r="A135" s="2" t="s">
        <v>170</v>
      </c>
      <c r="B135" s="59">
        <v>5.1473122500344015</v>
      </c>
      <c r="C135" s="40">
        <v>0</v>
      </c>
      <c r="D135" s="31">
        <f t="shared" si="2"/>
        <v>0</v>
      </c>
    </row>
    <row r="136" spans="1:4" ht="19" x14ac:dyDescent="0.25">
      <c r="A136" s="29" t="s">
        <v>171</v>
      </c>
      <c r="B136" s="59">
        <v>5.8734951860587028</v>
      </c>
      <c r="C136" s="41">
        <v>0</v>
      </c>
      <c r="D136" s="32">
        <f t="shared" si="2"/>
        <v>0</v>
      </c>
    </row>
    <row r="137" spans="1:4" ht="19" x14ac:dyDescent="0.25">
      <c r="A137" s="2" t="s">
        <v>172</v>
      </c>
      <c r="B137" s="59">
        <v>4.3829710171749507</v>
      </c>
      <c r="C137" s="40">
        <v>0</v>
      </c>
      <c r="D137" s="31">
        <f t="shared" si="2"/>
        <v>0</v>
      </c>
    </row>
    <row r="138" spans="1:4" ht="19" x14ac:dyDescent="0.25">
      <c r="A138" s="29" t="s">
        <v>173</v>
      </c>
      <c r="B138" s="59">
        <v>5.1269871649881278</v>
      </c>
      <c r="C138" s="41">
        <v>0</v>
      </c>
      <c r="D138" s="32">
        <f t="shared" si="2"/>
        <v>0</v>
      </c>
    </row>
    <row r="139" spans="1:4" ht="19" x14ac:dyDescent="0.25">
      <c r="A139" s="2" t="s">
        <v>174</v>
      </c>
      <c r="B139" s="59">
        <v>5.2574384214456868</v>
      </c>
      <c r="C139" s="40">
        <v>0</v>
      </c>
      <c r="D139" s="31">
        <f t="shared" si="2"/>
        <v>0</v>
      </c>
    </row>
    <row r="140" spans="1:4" ht="19" x14ac:dyDescent="0.25">
      <c r="A140" s="29" t="s">
        <v>175</v>
      </c>
      <c r="B140" s="59">
        <v>6.2888889425300309</v>
      </c>
      <c r="C140" s="41">
        <v>0</v>
      </c>
      <c r="D140" s="32">
        <f t="shared" si="2"/>
        <v>0</v>
      </c>
    </row>
    <row r="141" spans="1:4" ht="19" x14ac:dyDescent="0.25">
      <c r="A141" s="2" t="s">
        <v>176</v>
      </c>
      <c r="B141" s="59">
        <v>6.3476767840395238</v>
      </c>
      <c r="C141" s="40">
        <v>0</v>
      </c>
      <c r="D141" s="31">
        <f t="shared" si="2"/>
        <v>0</v>
      </c>
    </row>
    <row r="142" spans="1:4" ht="19" x14ac:dyDescent="0.25">
      <c r="A142" s="29" t="s">
        <v>177</v>
      </c>
      <c r="B142" s="59">
        <v>3.7156413836197295</v>
      </c>
      <c r="C142" s="41">
        <v>0</v>
      </c>
      <c r="D142" s="32">
        <f t="shared" si="2"/>
        <v>0</v>
      </c>
    </row>
    <row r="143" spans="1:4" ht="19" x14ac:dyDescent="0.25">
      <c r="A143" s="2" t="s">
        <v>178</v>
      </c>
      <c r="B143" s="59">
        <v>3.3179607898236139</v>
      </c>
      <c r="C143" s="40">
        <v>6.5700000000000008E-2</v>
      </c>
      <c r="D143" s="31">
        <f t="shared" si="2"/>
        <v>7.6555581449545565E-2</v>
      </c>
    </row>
    <row r="144" spans="1:4" ht="19" x14ac:dyDescent="0.25">
      <c r="A144" s="29" t="s">
        <v>179</v>
      </c>
      <c r="B144" s="59">
        <v>4.1903553610988471</v>
      </c>
      <c r="C144" s="41">
        <v>0.65450000000000008</v>
      </c>
      <c r="D144" s="32">
        <f t="shared" si="2"/>
        <v>0.76264274061990212</v>
      </c>
    </row>
    <row r="145" spans="1:4" ht="19" x14ac:dyDescent="0.25">
      <c r="A145" s="2" t="s">
        <v>180</v>
      </c>
      <c r="B145" s="59">
        <v>3.9104307580301834</v>
      </c>
      <c r="C145" s="40">
        <v>0</v>
      </c>
      <c r="D145" s="31">
        <f t="shared" si="2"/>
        <v>0</v>
      </c>
    </row>
    <row r="146" spans="1:4" ht="19" x14ac:dyDescent="0.25">
      <c r="A146" s="29" t="s">
        <v>181</v>
      </c>
      <c r="B146" s="59">
        <v>5.7741934156294281</v>
      </c>
      <c r="C146" s="41">
        <v>0</v>
      </c>
      <c r="D146" s="32">
        <f t="shared" si="2"/>
        <v>0</v>
      </c>
    </row>
    <row r="147" spans="1:4" ht="19" x14ac:dyDescent="0.25">
      <c r="A147" s="2" t="s">
        <v>182</v>
      </c>
      <c r="B147" s="59">
        <v>4.3230065548271748</v>
      </c>
      <c r="C147" s="40">
        <v>0</v>
      </c>
      <c r="D147" s="31">
        <f t="shared" si="2"/>
        <v>0</v>
      </c>
    </row>
    <row r="148" spans="1:4" ht="19" x14ac:dyDescent="0.25">
      <c r="A148" s="29" t="s">
        <v>183</v>
      </c>
      <c r="B148" s="59">
        <v>6.3044304196425287</v>
      </c>
      <c r="C148" s="41">
        <v>0</v>
      </c>
      <c r="D148" s="32">
        <f t="shared" si="2"/>
        <v>0</v>
      </c>
    </row>
    <row r="149" spans="1:4" ht="19" x14ac:dyDescent="0.25">
      <c r="A149" s="2" t="s">
        <v>184</v>
      </c>
      <c r="B149" s="59">
        <v>4.9494000233782742</v>
      </c>
      <c r="C149" s="40">
        <v>0</v>
      </c>
      <c r="D149" s="31">
        <f t="shared" si="2"/>
        <v>0</v>
      </c>
    </row>
    <row r="150" spans="1:4" ht="19" x14ac:dyDescent="0.25">
      <c r="A150" s="57" t="s">
        <v>185</v>
      </c>
      <c r="B150" s="59">
        <v>6.1447845309536486</v>
      </c>
      <c r="C150" s="42">
        <v>0</v>
      </c>
      <c r="D150" s="33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0.85820000000000007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9918-B3F6-1747-B809-1911F34AC94A}">
  <dimension ref="A1:J151"/>
  <sheetViews>
    <sheetView topLeftCell="A14"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5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0.58563798219584573</v>
      </c>
    </row>
    <row r="9" spans="1:10" ht="23" thickBot="1" x14ac:dyDescent="0.35">
      <c r="A9" s="54" t="s">
        <v>42</v>
      </c>
      <c r="B9" s="59">
        <v>3.2228923328507717</v>
      </c>
      <c r="C9" s="46">
        <v>1.03E-2</v>
      </c>
      <c r="D9" s="36">
        <f t="shared" si="0"/>
        <v>1.2225519287833827E-2</v>
      </c>
      <c r="G9" s="26" t="s">
        <v>43</v>
      </c>
      <c r="H9" s="27"/>
      <c r="I9" s="27"/>
      <c r="J9" s="63">
        <f>SUMPRODUCT(B4:B150,D4:D150)</f>
        <v>4.1662734947670081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1.5800000000000002E-2</v>
      </c>
      <c r="D21" s="36">
        <f t="shared" si="0"/>
        <v>1.8753709198813057E-2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0.11699999999999999</v>
      </c>
      <c r="D31" s="36">
        <f t="shared" si="0"/>
        <v>0.13887240356083086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2.0299999999999999E-2</v>
      </c>
      <c r="D49" s="36">
        <f t="shared" si="0"/>
        <v>2.4094955489614239E-2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2.9300000000000003E-2</v>
      </c>
      <c r="D53" s="36">
        <f t="shared" si="0"/>
        <v>3.4777448071216618E-2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2.4500000000000001E-2</v>
      </c>
      <c r="D64" s="37">
        <f t="shared" si="0"/>
        <v>2.9080118694362018E-2</v>
      </c>
    </row>
    <row r="65" spans="1:4" ht="19" x14ac:dyDescent="0.25">
      <c r="A65" s="54" t="s">
        <v>100</v>
      </c>
      <c r="B65" s="59">
        <v>4.9248047791749228</v>
      </c>
      <c r="C65" s="46">
        <v>9.3999999999999986E-3</v>
      </c>
      <c r="D65" s="36">
        <f t="shared" si="0"/>
        <v>1.1157270029673589E-2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1.5300000000000001E-2</v>
      </c>
      <c r="D70" s="37">
        <f t="shared" si="1"/>
        <v>1.8160237388724035E-2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2.69E-2</v>
      </c>
      <c r="D72" s="37">
        <f t="shared" si="1"/>
        <v>3.1928783382789316E-2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7.0999999999999995E-3</v>
      </c>
      <c r="D98" s="37">
        <f t="shared" si="1"/>
        <v>8.4272997032640937E-3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1.3000000000000001E-2</v>
      </c>
      <c r="D116" s="37">
        <f t="shared" si="1"/>
        <v>1.5430267062314542E-2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7.0999999999999995E-3</v>
      </c>
      <c r="D118" s="37">
        <f t="shared" si="1"/>
        <v>8.4272997032640937E-3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1.21E-2</v>
      </c>
      <c r="D126" s="37">
        <f t="shared" si="1"/>
        <v>1.4362017804154302E-2</v>
      </c>
    </row>
    <row r="127" spans="1:4" ht="19" x14ac:dyDescent="0.25">
      <c r="A127" s="54" t="s">
        <v>162</v>
      </c>
      <c r="B127" s="59">
        <v>3.7006443947932954</v>
      </c>
      <c r="C127" s="46">
        <v>1.11E-2</v>
      </c>
      <c r="D127" s="36">
        <f t="shared" si="1"/>
        <v>1.3175074183976261E-2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7.7000000000000002E-3</v>
      </c>
      <c r="D139" s="36">
        <f t="shared" si="2"/>
        <v>9.1394658753709192E-3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2.2200000000000001E-2</v>
      </c>
      <c r="D143" s="36">
        <f t="shared" si="2"/>
        <v>2.6350148367952523E-2</v>
      </c>
    </row>
    <row r="144" spans="1:4" ht="19" x14ac:dyDescent="0.25">
      <c r="A144" s="55" t="s">
        <v>179</v>
      </c>
      <c r="B144" s="59">
        <v>4.1903553610988471</v>
      </c>
      <c r="C144" s="47">
        <v>0.49340000000000006</v>
      </c>
      <c r="D144" s="37">
        <f t="shared" si="2"/>
        <v>0.58563798219584573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0.84250000000000003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2470-1EBD-4C44-99EA-F139EBFB05BA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6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0.33784252514741586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4.0305108185247978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2.46E-2</v>
      </c>
      <c r="D21" s="36">
        <f t="shared" si="0"/>
        <v>2.8442594519597637E-2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2.3199999999999998E-2</v>
      </c>
      <c r="D27" s="36">
        <f t="shared" si="0"/>
        <v>2.6823910278644926E-2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9.3999999999999986E-3</v>
      </c>
      <c r="D30" s="37">
        <f t="shared" si="0"/>
        <v>1.0868308474968202E-2</v>
      </c>
    </row>
    <row r="31" spans="1:5" ht="19" x14ac:dyDescent="0.25">
      <c r="A31" s="54" t="s">
        <v>65</v>
      </c>
      <c r="B31" s="59">
        <v>4.2558827981073541</v>
      </c>
      <c r="C31" s="46">
        <v>0.14180000000000001</v>
      </c>
      <c r="D31" s="36">
        <f t="shared" si="0"/>
        <v>0.1639495895479246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1.8200000000000001E-2</v>
      </c>
      <c r="D49" s="36">
        <f t="shared" si="0"/>
        <v>2.1042895132385244E-2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3.6499999999999998E-2</v>
      </c>
      <c r="D53" s="36">
        <f t="shared" si="0"/>
        <v>4.2201410567695677E-2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1.5900000000000001E-2</v>
      </c>
      <c r="D64" s="37">
        <f t="shared" si="0"/>
        <v>1.8383628165105793E-2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1.49E-2</v>
      </c>
      <c r="D70" s="37">
        <f t="shared" si="1"/>
        <v>1.7227425135853854E-2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4.6500000000000007E-2</v>
      </c>
      <c r="D72" s="37">
        <f t="shared" si="1"/>
        <v>5.3763440860215055E-2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2.3300000000000001E-2</v>
      </c>
      <c r="D91" s="36">
        <f t="shared" si="1"/>
        <v>2.6939530581570122E-2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1.5300000000000001E-2</v>
      </c>
      <c r="D98" s="37">
        <f t="shared" si="1"/>
        <v>1.7689906347554629E-2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6.9999999999999993E-3</v>
      </c>
      <c r="D110" s="37">
        <f t="shared" si="1"/>
        <v>8.093421204763555E-3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1.7500000000000002E-2</v>
      </c>
      <c r="D122" s="37">
        <f t="shared" si="1"/>
        <v>2.0233553011908892E-2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0.13980000000000001</v>
      </c>
      <c r="D126" s="37">
        <f t="shared" si="1"/>
        <v>0.16163718348942074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1.8000000000000002E-2</v>
      </c>
      <c r="D143" s="36">
        <f t="shared" si="2"/>
        <v>2.081165452653486E-2</v>
      </c>
    </row>
    <row r="144" spans="1:4" ht="19" x14ac:dyDescent="0.25">
      <c r="A144" s="55" t="s">
        <v>179</v>
      </c>
      <c r="B144" s="59">
        <v>4.1903553610988471</v>
      </c>
      <c r="C144" s="47">
        <v>0.29220000000000002</v>
      </c>
      <c r="D144" s="37">
        <f t="shared" si="2"/>
        <v>0.33784252514741586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2.0799999999999999E-2</v>
      </c>
      <c r="D147" s="36">
        <f t="shared" si="2"/>
        <v>2.4049023008440279E-2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0.86490000000000011</v>
      </c>
      <c r="D151" s="34">
        <f>SUM(D4:D150)</f>
        <v>0.99999999999999989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EEAE-7773-C147-822F-7608C87B04EB}">
  <dimension ref="A1:J151"/>
  <sheetViews>
    <sheetView workbookViewId="0">
      <selection activeCell="C20" sqref="C20"/>
    </sheetView>
  </sheetViews>
  <sheetFormatPr baseColWidth="10" defaultColWidth="10.6640625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7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0.80343489001293966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4.0292105155147819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</v>
      </c>
      <c r="D31" s="36">
        <f t="shared" si="0"/>
        <v>0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6.4000000000000001E-2</v>
      </c>
      <c r="D53" s="36">
        <f t="shared" si="0"/>
        <v>7.528526055758146E-2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4.2800000000000005E-2</v>
      </c>
      <c r="D72" s="37">
        <f t="shared" si="1"/>
        <v>5.0347017997882611E-2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6.0299999999999999E-2</v>
      </c>
      <c r="D143" s="36">
        <f t="shared" si="2"/>
        <v>7.0932831431596288E-2</v>
      </c>
    </row>
    <row r="144" spans="1:4" ht="19" x14ac:dyDescent="0.25">
      <c r="A144" s="55" t="s">
        <v>179</v>
      </c>
      <c r="B144" s="59">
        <v>4.1903553610988471</v>
      </c>
      <c r="C144" s="47">
        <v>0.68299999999999994</v>
      </c>
      <c r="D144" s="37">
        <f t="shared" si="2"/>
        <v>0.80343489001293966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0.85009999999999997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D6D2-5320-1C43-8850-61520C6588B4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8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0.71565792191695932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4.2089875687093015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0.27529999999999999</v>
      </c>
      <c r="D31" s="36">
        <f t="shared" si="0"/>
        <v>0.28434207808304068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</v>
      </c>
      <c r="D53" s="36">
        <f t="shared" si="0"/>
        <v>0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0.69290000000000007</v>
      </c>
      <c r="D144" s="37">
        <f t="shared" si="2"/>
        <v>0.71565792191695932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0.96820000000000006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D6C5-8FCF-5848-A291-8E954808B326}">
  <dimension ref="A1:J151"/>
  <sheetViews>
    <sheetView topLeftCell="A118"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9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9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3.3E-3</v>
      </c>
      <c r="D7" s="36">
        <f t="shared" si="0"/>
        <v>3.5939882378566764E-3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Germany</v>
      </c>
      <c r="I8" s="24">
        <f>INDEX(B4:B150,MATCH(MAX(D4:D150),D4:D150,0))</f>
        <v>3.4167336021772097</v>
      </c>
      <c r="J8" s="25">
        <f>INDEX(D4:D150,MATCH(MAX(D4:D150),D4:D150,0))</f>
        <v>0.18133304291004138</v>
      </c>
    </row>
    <row r="9" spans="1:10" ht="23" thickBot="1" x14ac:dyDescent="0.35">
      <c r="A9" s="54" t="s">
        <v>42</v>
      </c>
      <c r="B9" s="59">
        <v>3.2228923328507717</v>
      </c>
      <c r="C9" s="46">
        <v>5.5899999999999998E-2</v>
      </c>
      <c r="D9" s="36">
        <f t="shared" si="0"/>
        <v>6.087998257460249E-2</v>
      </c>
      <c r="G9" s="26" t="s">
        <v>43</v>
      </c>
      <c r="H9" s="27"/>
      <c r="I9" s="27"/>
      <c r="J9" s="63">
        <f>SUMPRODUCT(B4:B150,D4:D150)</f>
        <v>3.7720216483913744</v>
      </c>
    </row>
    <row r="10" spans="1:10" ht="19" x14ac:dyDescent="0.25">
      <c r="A10" s="55" t="s">
        <v>44</v>
      </c>
      <c r="B10" s="59">
        <v>3.4101851325072063</v>
      </c>
      <c r="C10" s="47">
        <v>1.5800000000000002E-2</v>
      </c>
      <c r="D10" s="37">
        <f t="shared" si="0"/>
        <v>1.7207580047919845E-2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3.9699999999999999E-2</v>
      </c>
      <c r="D15" s="36">
        <f t="shared" si="0"/>
        <v>4.3236767588760619E-2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1.2800000000000001E-2</v>
      </c>
      <c r="D21" s="36">
        <f t="shared" si="0"/>
        <v>1.3940318013504685E-2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1.15E-2</v>
      </c>
      <c r="D27" s="36">
        <f t="shared" si="0"/>
        <v>1.2524504465258116E-2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1.9E-3</v>
      </c>
      <c r="D30" s="37">
        <f t="shared" si="0"/>
        <v>2.0692659551296015E-3</v>
      </c>
    </row>
    <row r="31" spans="1:5" ht="19" x14ac:dyDescent="0.25">
      <c r="A31" s="54" t="s">
        <v>65</v>
      </c>
      <c r="B31" s="59">
        <v>4.2558827981073541</v>
      </c>
      <c r="C31" s="46">
        <v>3.1699999999999999E-2</v>
      </c>
      <c r="D31" s="36">
        <f t="shared" si="0"/>
        <v>3.4524068830320193E-2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2.18E-2</v>
      </c>
      <c r="D38" s="37">
        <f t="shared" si="0"/>
        <v>2.3742104116750165E-2</v>
      </c>
    </row>
    <row r="39" spans="1:4" ht="19" x14ac:dyDescent="0.25">
      <c r="A39" s="54" t="s">
        <v>74</v>
      </c>
      <c r="B39" s="59">
        <v>3.1990775661028361</v>
      </c>
      <c r="C39" s="46">
        <v>5.1999999999999998E-3</v>
      </c>
      <c r="D39" s="36">
        <f t="shared" si="0"/>
        <v>5.6632541929862775E-3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1.8E-3</v>
      </c>
      <c r="D43" s="36">
        <f t="shared" si="0"/>
        <v>1.960357220649096E-3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4.4400000000000002E-2</v>
      </c>
      <c r="D49" s="36">
        <f t="shared" si="0"/>
        <v>4.8355478109344374E-2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0.16649999999999998</v>
      </c>
      <c r="D53" s="36">
        <f t="shared" si="0"/>
        <v>0.18133304291004138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1.3899999999999999E-2</v>
      </c>
      <c r="D68" s="37">
        <f t="shared" si="0"/>
        <v>1.5138314092790242E-2</v>
      </c>
    </row>
    <row r="69" spans="1:4" ht="19" x14ac:dyDescent="0.25">
      <c r="A69" s="54" t="s">
        <v>104</v>
      </c>
      <c r="B69" s="59">
        <v>4.6082974679305195</v>
      </c>
      <c r="C69" s="46">
        <v>3.2000000000000002E-3</v>
      </c>
      <c r="D69" s="36">
        <f t="shared" ref="D69:D132" si="1">C69/$C$151</f>
        <v>3.4850795033761713E-3</v>
      </c>
    </row>
    <row r="70" spans="1:4" ht="19" x14ac:dyDescent="0.25">
      <c r="A70" s="55" t="s">
        <v>105</v>
      </c>
      <c r="B70" s="59">
        <v>3.8382882812123826</v>
      </c>
      <c r="C70" s="47">
        <v>3.7499999999999999E-2</v>
      </c>
      <c r="D70" s="37">
        <f t="shared" si="1"/>
        <v>4.0840775430189505E-2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1.37E-2</v>
      </c>
      <c r="D91" s="36">
        <f t="shared" si="1"/>
        <v>1.4920496623829233E-2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8.4700000000000011E-2</v>
      </c>
      <c r="D98" s="37">
        <f t="shared" si="1"/>
        <v>9.2245698104988047E-2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8.0000000000000002E-3</v>
      </c>
      <c r="D104" s="37">
        <f t="shared" si="1"/>
        <v>8.7126987584404281E-3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1.6000000000000001E-3</v>
      </c>
      <c r="D110" s="37">
        <f t="shared" si="1"/>
        <v>1.7425397516880857E-3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2.8300000000000002E-2</v>
      </c>
      <c r="D112" s="37">
        <f t="shared" si="1"/>
        <v>3.0821171857983016E-2</v>
      </c>
    </row>
    <row r="113" spans="1:4" ht="19" x14ac:dyDescent="0.25">
      <c r="A113" s="54" t="s">
        <v>148</v>
      </c>
      <c r="B113" s="59">
        <v>3.4281858950270068</v>
      </c>
      <c r="C113" s="46">
        <v>9.1999999999999998E-3</v>
      </c>
      <c r="D113" s="36">
        <f t="shared" si="1"/>
        <v>1.0019603572206492E-2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6.0999999999999995E-3</v>
      </c>
      <c r="D115" s="36">
        <f t="shared" si="1"/>
        <v>6.6434328033108253E-3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6.0000000000000001E-3</v>
      </c>
      <c r="D123" s="36">
        <f t="shared" si="1"/>
        <v>6.5345240688303207E-3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4.3E-3</v>
      </c>
      <c r="D125" s="36">
        <f t="shared" si="1"/>
        <v>4.6830755826617297E-3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3.5499999999999997E-2</v>
      </c>
      <c r="D127" s="36">
        <f t="shared" si="1"/>
        <v>3.8662600740579395E-2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1.9199999999999998E-2</v>
      </c>
      <c r="D131" s="36">
        <f t="shared" si="1"/>
        <v>2.0910477020257025E-2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2.4500000000000001E-2</v>
      </c>
      <c r="D139" s="36">
        <f t="shared" si="2"/>
        <v>2.668263994772381E-2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4.4400000000000002E-2</v>
      </c>
      <c r="D143" s="36">
        <f t="shared" si="2"/>
        <v>4.8355478109344374E-2</v>
      </c>
    </row>
    <row r="144" spans="1:4" ht="19" x14ac:dyDescent="0.25">
      <c r="A144" s="55" t="s">
        <v>179</v>
      </c>
      <c r="B144" s="59">
        <v>4.1903553610988471</v>
      </c>
      <c r="C144" s="47">
        <v>0.16579999999999998</v>
      </c>
      <c r="D144" s="37">
        <f t="shared" si="2"/>
        <v>0.18057068176867783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0.91819999999999991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C061-23EA-B545-8DCA-9139330515DB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22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China</v>
      </c>
      <c r="I8" s="24">
        <f>INDEX(B4:B150,MATCH(MAX(D4:D150),D4:D150,0))</f>
        <v>4.2558827981073541</v>
      </c>
      <c r="J8" s="25">
        <f>INDEX(D4:D150,MATCH(MAX(D4:D150),D4:D150,0))</f>
        <v>0.55560073185606829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4.0105682808258125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0.54659999999999997</v>
      </c>
      <c r="D31" s="36">
        <f t="shared" si="0"/>
        <v>0.55560073185606829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</v>
      </c>
      <c r="D53" s="36">
        <f t="shared" si="0"/>
        <v>0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4.3499999999999997E-2</v>
      </c>
      <c r="D72" s="37">
        <f t="shared" si="1"/>
        <v>4.4216304126855052E-2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1E-4</v>
      </c>
      <c r="D98" s="37">
        <f t="shared" si="1"/>
        <v>1.016466761536898E-4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1.8600000000000002E-2</v>
      </c>
      <c r="D122" s="37">
        <f t="shared" si="1"/>
        <v>1.8906281764586301E-2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0.24979999999999999</v>
      </c>
      <c r="D126" s="37">
        <f t="shared" si="1"/>
        <v>0.25391339703191707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0.12520000000000001</v>
      </c>
      <c r="D144" s="37">
        <f t="shared" si="2"/>
        <v>0.1272616385444196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0.9837999999999999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8537-6A13-1140-AF93-8F50EA52A354}">
  <dimension ref="A1:J151"/>
  <sheetViews>
    <sheetView topLeftCell="A50"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23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France</v>
      </c>
      <c r="I8" s="24">
        <f>INDEX(B4:B150,MATCH(MAX(D4:D150),D4:D150,0))</f>
        <v>3.6488472849850422</v>
      </c>
      <c r="J8" s="25">
        <f>INDEX(D4:D150,MATCH(MAX(D4:D150),D4:D150,0))</f>
        <v>0.27093353064496245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3.7290288133781155</v>
      </c>
    </row>
    <row r="10" spans="1:10" ht="19" x14ac:dyDescent="0.25">
      <c r="A10" s="55" t="s">
        <v>44</v>
      </c>
      <c r="B10" s="59">
        <v>3.4101851325072063</v>
      </c>
      <c r="C10" s="47">
        <v>7.9000000000000008E-3</v>
      </c>
      <c r="D10" s="37">
        <f t="shared" si="0"/>
        <v>9.7422616845480366E-3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4.9599999999999998E-2</v>
      </c>
      <c r="D15" s="36">
        <f t="shared" si="0"/>
        <v>6.1166605006782608E-2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3.9300000000000002E-2</v>
      </c>
      <c r="D31" s="36">
        <f t="shared" si="0"/>
        <v>4.8464668886422514E-2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7.8000000000000005E-3</v>
      </c>
      <c r="D38" s="37">
        <f t="shared" si="0"/>
        <v>9.6189419163892013E-3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0.21969999999999998</v>
      </c>
      <c r="D49" s="36">
        <f t="shared" si="0"/>
        <v>0.27093353064496245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9.9299999999999999E-2</v>
      </c>
      <c r="D53" s="36">
        <f t="shared" si="0"/>
        <v>0.12245652978172406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1.01E-2</v>
      </c>
      <c r="D68" s="37">
        <f t="shared" si="0"/>
        <v>1.2455296584042425E-2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6.1399999999999996E-2</v>
      </c>
      <c r="D70" s="37">
        <f t="shared" si="1"/>
        <v>7.5718337649525236E-2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2.7699999999999999E-2</v>
      </c>
      <c r="D98" s="37">
        <f t="shared" si="1"/>
        <v>3.4159575779997543E-2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1.8600000000000002E-2</v>
      </c>
      <c r="D112" s="37">
        <f t="shared" si="1"/>
        <v>2.2937476877543481E-2</v>
      </c>
    </row>
    <row r="113" spans="1:4" ht="19" x14ac:dyDescent="0.25">
      <c r="A113" s="54" t="s">
        <v>148</v>
      </c>
      <c r="B113" s="59">
        <v>3.4281858950270068</v>
      </c>
      <c r="C113" s="46">
        <v>8.5000000000000006E-3</v>
      </c>
      <c r="D113" s="36">
        <f t="shared" si="1"/>
        <v>1.0482180293501052E-2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1.2500000000000001E-2</v>
      </c>
      <c r="D116" s="37">
        <f t="shared" si="1"/>
        <v>1.5414971019854489E-2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9.7999999999999997E-3</v>
      </c>
      <c r="D118" s="37">
        <f t="shared" si="1"/>
        <v>1.2085337279565919E-2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5.1500000000000004E-2</v>
      </c>
      <c r="D127" s="36">
        <f t="shared" si="1"/>
        <v>6.3509680601800497E-2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9.300000000000001E-3</v>
      </c>
      <c r="D130" s="37">
        <f t="shared" si="1"/>
        <v>1.146873843877174E-2</v>
      </c>
    </row>
    <row r="131" spans="1:4" ht="19" x14ac:dyDescent="0.25">
      <c r="A131" s="54" t="s">
        <v>166</v>
      </c>
      <c r="B131" s="59">
        <v>2.7770010876672497</v>
      </c>
      <c r="C131" s="46">
        <v>2.5000000000000001E-2</v>
      </c>
      <c r="D131" s="36">
        <f t="shared" si="1"/>
        <v>3.0829942039708978E-2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1.7500000000000002E-2</v>
      </c>
      <c r="D139" s="36">
        <f t="shared" si="2"/>
        <v>2.1580959427796285E-2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7.8000000000000005E-3</v>
      </c>
      <c r="D142" s="37">
        <f t="shared" si="2"/>
        <v>9.6189419163892013E-3</v>
      </c>
    </row>
    <row r="143" spans="1:4" ht="19" x14ac:dyDescent="0.25">
      <c r="A143" s="54" t="s">
        <v>178</v>
      </c>
      <c r="B143" s="59">
        <v>3.3179607898236139</v>
      </c>
      <c r="C143" s="46">
        <v>5.2900000000000003E-2</v>
      </c>
      <c r="D143" s="36">
        <f t="shared" si="2"/>
        <v>6.5236157356024199E-2</v>
      </c>
    </row>
    <row r="144" spans="1:4" ht="19" x14ac:dyDescent="0.25">
      <c r="A144" s="55" t="s">
        <v>179</v>
      </c>
      <c r="B144" s="59">
        <v>4.1903553610988471</v>
      </c>
      <c r="C144" s="47">
        <v>7.4700000000000003E-2</v>
      </c>
      <c r="D144" s="37">
        <f t="shared" si="2"/>
        <v>9.2119866814650425E-2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0.81089999999999973</v>
      </c>
      <c r="D151" s="34">
        <f>SUM(D4:D150)</f>
        <v>1.0000000000000002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E9A7-34FB-DA4F-8E7A-A444BF39F503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24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0.33785952351561538</v>
      </c>
    </row>
    <row r="9" spans="1:10" ht="23" thickBot="1" x14ac:dyDescent="0.35">
      <c r="A9" s="54" t="s">
        <v>42</v>
      </c>
      <c r="B9" s="59">
        <v>3.2228923328507717</v>
      </c>
      <c r="C9" s="46">
        <v>1.03E-2</v>
      </c>
      <c r="D9" s="36">
        <f t="shared" si="0"/>
        <v>1.2714479693864956E-2</v>
      </c>
      <c r="G9" s="26" t="s">
        <v>43</v>
      </c>
      <c r="H9" s="27"/>
      <c r="I9" s="27"/>
      <c r="J9" s="63">
        <f>SUMPRODUCT(B4:B150,D4:D150)</f>
        <v>4.1002007312436222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1.47E-2</v>
      </c>
      <c r="D21" s="36">
        <f t="shared" si="0"/>
        <v>1.8145907912603385E-2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5.8299999999999998E-2</v>
      </c>
      <c r="D27" s="36">
        <f t="shared" si="0"/>
        <v>7.1966423898284171E-2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0.1391</v>
      </c>
      <c r="D31" s="36">
        <f t="shared" si="0"/>
        <v>0.17170719664238984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1.9E-2</v>
      </c>
      <c r="D49" s="36">
        <f t="shared" si="0"/>
        <v>2.3453894580915936E-2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3.9199999999999999E-2</v>
      </c>
      <c r="D53" s="36">
        <f t="shared" si="0"/>
        <v>4.8389087766942354E-2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2.7200000000000002E-2</v>
      </c>
      <c r="D64" s="37">
        <f t="shared" si="0"/>
        <v>3.3576101715837553E-2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1.66E-2</v>
      </c>
      <c r="D68" s="37">
        <f t="shared" si="0"/>
        <v>2.0491297370694977E-2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1.83E-2</v>
      </c>
      <c r="D70" s="37">
        <f t="shared" si="1"/>
        <v>2.2589803727934826E-2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3.3799999999999997E-2</v>
      </c>
      <c r="D72" s="37">
        <f t="shared" si="1"/>
        <v>4.1723244043945194E-2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6.8400000000000002E-2</v>
      </c>
      <c r="D91" s="36">
        <f t="shared" si="1"/>
        <v>8.4434020491297376E-2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1.0700000000000001E-2</v>
      </c>
      <c r="D98" s="37">
        <f t="shared" si="1"/>
        <v>1.3208245895568451E-2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2.18E-2</v>
      </c>
      <c r="D126" s="37">
        <f t="shared" si="1"/>
        <v>2.6910257992840393E-2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1.8000000000000002E-2</v>
      </c>
      <c r="D131" s="36">
        <f t="shared" si="1"/>
        <v>2.2219479076657209E-2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2.3599999999999999E-2</v>
      </c>
      <c r="D143" s="36">
        <f t="shared" si="2"/>
        <v>2.9132205900506112E-2</v>
      </c>
    </row>
    <row r="144" spans="1:4" ht="19" x14ac:dyDescent="0.25">
      <c r="A144" s="55" t="s">
        <v>179</v>
      </c>
      <c r="B144" s="59">
        <v>4.1903553610988471</v>
      </c>
      <c r="C144" s="47">
        <v>0.2737</v>
      </c>
      <c r="D144" s="37">
        <f t="shared" si="2"/>
        <v>0.33785952351561538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1.7399999999999999E-2</v>
      </c>
      <c r="D147" s="36">
        <f t="shared" si="2"/>
        <v>2.1478829774101964E-2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0.81009999999999993</v>
      </c>
      <c r="D151" s="34">
        <f>SUM(D4:D150)</f>
        <v>1.0000000000000002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4050-5A01-6646-8540-A32A0F885EAB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25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1.15E-2</v>
      </c>
      <c r="D5" s="36">
        <f t="shared" ref="D5:D68" si="0">C5/$C$151</f>
        <v>1.3153379846734533E-2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2.5000000000000001E-3</v>
      </c>
      <c r="D6" s="37">
        <f t="shared" si="0"/>
        <v>2.8594304014640287E-3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Italy</v>
      </c>
      <c r="I8" s="24">
        <f>INDEX(B4:B150,MATCH(MAX(D4:D150),D4:D150,0))</f>
        <v>3.8382882812123826</v>
      </c>
      <c r="J8" s="25">
        <f>INDEX(D4:D150,MATCH(MAX(D4:D150),D4:D150,0))</f>
        <v>0.39917648404437839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3.9368104426669146</v>
      </c>
    </row>
    <row r="10" spans="1:10" ht="19" x14ac:dyDescent="0.25">
      <c r="A10" s="55" t="s">
        <v>44</v>
      </c>
      <c r="B10" s="59">
        <v>3.4101851325072063</v>
      </c>
      <c r="C10" s="47">
        <v>1.34E-2</v>
      </c>
      <c r="D10" s="37">
        <f t="shared" si="0"/>
        <v>1.5326546951847195E-2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1.84E-2</v>
      </c>
      <c r="D15" s="36">
        <f t="shared" si="0"/>
        <v>2.1045407754775251E-2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0.05</v>
      </c>
      <c r="D31" s="36">
        <f t="shared" si="0"/>
        <v>5.718860802928058E-2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2E-3</v>
      </c>
      <c r="D35" s="36">
        <f t="shared" si="0"/>
        <v>2.2875443211712232E-3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8.1000000000000013E-3</v>
      </c>
      <c r="D38" s="37">
        <f t="shared" si="0"/>
        <v>9.2645545007434549E-3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1.29E-2</v>
      </c>
      <c r="D43" s="36">
        <f t="shared" si="0"/>
        <v>1.4754660871554389E-2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6.5000000000000002E-2</v>
      </c>
      <c r="D49" s="36">
        <f t="shared" si="0"/>
        <v>7.4345190438064757E-2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7.8399999999999997E-2</v>
      </c>
      <c r="D53" s="36">
        <f t="shared" si="0"/>
        <v>8.9671737389911937E-2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6.7000000000000002E-3</v>
      </c>
      <c r="D55" s="36">
        <f t="shared" si="0"/>
        <v>7.6632734759235974E-3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1.15E-2</v>
      </c>
      <c r="D64" s="37">
        <f t="shared" si="0"/>
        <v>1.3153379846734533E-2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0.34899999999999998</v>
      </c>
      <c r="D70" s="37">
        <f t="shared" si="1"/>
        <v>0.39917648404437839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1.2800000000000001E-2</v>
      </c>
      <c r="D72" s="37">
        <f t="shared" si="1"/>
        <v>1.4640283655495828E-2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1.8E-3</v>
      </c>
      <c r="D75" s="36">
        <f t="shared" si="1"/>
        <v>2.0587898890541008E-3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5.3E-3</v>
      </c>
      <c r="D83" s="36">
        <f t="shared" si="1"/>
        <v>6.0619924511037416E-3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9.7000000000000003E-3</v>
      </c>
      <c r="D94" s="37">
        <f t="shared" si="1"/>
        <v>1.1094589957680432E-2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1.9599999999999999E-2</v>
      </c>
      <c r="D98" s="37">
        <f t="shared" si="1"/>
        <v>2.2417934347477984E-2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6.1999999999999998E-3</v>
      </c>
      <c r="D102" s="37">
        <f t="shared" si="1"/>
        <v>7.0913873956307914E-3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1.9799999999999998E-2</v>
      </c>
      <c r="D112" s="37">
        <f t="shared" si="1"/>
        <v>2.2646688779595105E-2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9.7999999999999997E-3</v>
      </c>
      <c r="D115" s="36">
        <f t="shared" si="1"/>
        <v>1.1208967173738992E-2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1.1200000000000002E-2</v>
      </c>
      <c r="D125" s="36">
        <f t="shared" si="1"/>
        <v>1.2810248198558851E-2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3.4500000000000003E-2</v>
      </c>
      <c r="D127" s="36">
        <f t="shared" si="1"/>
        <v>3.9460139540203602E-2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7.4999999999999997E-3</v>
      </c>
      <c r="D130" s="37">
        <f t="shared" si="1"/>
        <v>8.5782912043920866E-3</v>
      </c>
    </row>
    <row r="131" spans="1:4" ht="19" x14ac:dyDescent="0.25">
      <c r="A131" s="54" t="s">
        <v>166</v>
      </c>
      <c r="B131" s="59">
        <v>2.7770010876672497</v>
      </c>
      <c r="C131" s="46">
        <v>1.32E-2</v>
      </c>
      <c r="D131" s="36">
        <f t="shared" si="1"/>
        <v>1.5097792519730072E-2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9.4999999999999998E-3</v>
      </c>
      <c r="D138" s="37">
        <f t="shared" si="2"/>
        <v>1.0865835525563309E-2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1.5900000000000001E-2</v>
      </c>
      <c r="D143" s="36">
        <f t="shared" si="2"/>
        <v>1.8185977353311223E-2</v>
      </c>
    </row>
    <row r="144" spans="1:4" ht="19" x14ac:dyDescent="0.25">
      <c r="A144" s="55" t="s">
        <v>179</v>
      </c>
      <c r="B144" s="59">
        <v>4.1903553610988471</v>
      </c>
      <c r="C144" s="47">
        <v>6.8099999999999994E-2</v>
      </c>
      <c r="D144" s="37">
        <f t="shared" si="2"/>
        <v>7.7890884135880134E-2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0.87429999999999986</v>
      </c>
      <c r="D151" s="34">
        <f>SUM(D4:D150)</f>
        <v>0.99999999999999978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3244-C789-9942-AB34-DDA156F46C4E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21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0.708662305436499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4.0328984623448072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0.13739999999999999</v>
      </c>
      <c r="D27" s="36">
        <f t="shared" si="0"/>
        <v>0.15497405819986465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3.4799999999999998E-2</v>
      </c>
      <c r="D31" s="36">
        <f t="shared" si="0"/>
        <v>3.9251071509136023E-2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1.01E-2</v>
      </c>
      <c r="D49" s="36">
        <f t="shared" si="0"/>
        <v>1.1391833972479134E-2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2.07E-2</v>
      </c>
      <c r="D53" s="36">
        <f t="shared" si="0"/>
        <v>2.334762012181367E-2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8.8000000000000005E-3</v>
      </c>
      <c r="D68" s="37">
        <f t="shared" si="0"/>
        <v>9.9255583126550886E-3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9.7000000000000003E-3</v>
      </c>
      <c r="D70" s="37">
        <f t="shared" si="1"/>
        <v>1.0940672230994812E-2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1.4800000000000001E-2</v>
      </c>
      <c r="D91" s="36">
        <f t="shared" si="1"/>
        <v>1.6692984434919921E-2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9.4999999999999998E-3</v>
      </c>
      <c r="D131" s="36">
        <f t="shared" si="1"/>
        <v>1.071509136025265E-2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1.2500000000000001E-2</v>
      </c>
      <c r="D143" s="36">
        <f t="shared" si="2"/>
        <v>1.4098804421385069E-2</v>
      </c>
    </row>
    <row r="144" spans="1:4" ht="19" x14ac:dyDescent="0.25">
      <c r="A144" s="55" t="s">
        <v>179</v>
      </c>
      <c r="B144" s="59">
        <v>4.1903553610988471</v>
      </c>
      <c r="C144" s="47">
        <v>0.62829999999999997</v>
      </c>
      <c r="D144" s="37">
        <f t="shared" si="2"/>
        <v>0.708662305436499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0.88659999999999994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7E47-AD59-B94C-8735-C92152062EC5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10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6.1999999999999998E-3</v>
      </c>
      <c r="D7" s="36">
        <f t="shared" si="0"/>
        <v>7.5536062378167654E-3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0.30129142300194933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4.0242963704895498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3.0800000000000001E-2</v>
      </c>
      <c r="D15" s="36">
        <f t="shared" si="0"/>
        <v>3.7524366471734898E-2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2.6200000000000001E-2</v>
      </c>
      <c r="D21" s="36">
        <f t="shared" si="0"/>
        <v>3.1920077972709557E-2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1.8700000000000001E-2</v>
      </c>
      <c r="D27" s="36">
        <f t="shared" si="0"/>
        <v>2.2782651072124762E-2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4.8999999999999998E-3</v>
      </c>
      <c r="D30" s="37">
        <f t="shared" si="0"/>
        <v>5.9697855750487335E-3</v>
      </c>
    </row>
    <row r="31" spans="1:5" ht="19" x14ac:dyDescent="0.25">
      <c r="A31" s="54" t="s">
        <v>65</v>
      </c>
      <c r="B31" s="59">
        <v>4.2558827981073541</v>
      </c>
      <c r="C31" s="46">
        <v>0.16620000000000001</v>
      </c>
      <c r="D31" s="36">
        <f t="shared" si="0"/>
        <v>0.20248538011695913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5.2400000000000002E-2</v>
      </c>
      <c r="D49" s="36">
        <f t="shared" si="0"/>
        <v>6.3840155945419114E-2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6.2E-2</v>
      </c>
      <c r="D53" s="36">
        <f t="shared" si="0"/>
        <v>7.5536062378167651E-2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1.6799999999999999E-2</v>
      </c>
      <c r="D64" s="37">
        <f t="shared" si="0"/>
        <v>2.0467836257309944E-2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3.3700000000000001E-2</v>
      </c>
      <c r="D70" s="37">
        <f t="shared" si="1"/>
        <v>4.1057504873294355E-2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3.3099999999999997E-2</v>
      </c>
      <c r="D72" s="37">
        <f t="shared" si="1"/>
        <v>4.0326510721247565E-2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2.06E-2</v>
      </c>
      <c r="D91" s="36">
        <f t="shared" si="1"/>
        <v>2.5097465886939577E-2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3.4500000000000003E-2</v>
      </c>
      <c r="D98" s="37">
        <f t="shared" si="1"/>
        <v>4.2032163742690067E-2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1.7500000000000002E-2</v>
      </c>
      <c r="D126" s="37">
        <f t="shared" si="1"/>
        <v>2.1320662768031195E-2</v>
      </c>
    </row>
    <row r="127" spans="1:4" ht="19" x14ac:dyDescent="0.25">
      <c r="A127" s="54" t="s">
        <v>162</v>
      </c>
      <c r="B127" s="59">
        <v>3.7006443947932954</v>
      </c>
      <c r="C127" s="46">
        <v>2.9300000000000003E-2</v>
      </c>
      <c r="D127" s="36">
        <f t="shared" si="1"/>
        <v>3.5696881091617942E-2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2.06E-2</v>
      </c>
      <c r="D143" s="36">
        <f t="shared" si="2"/>
        <v>2.5097465886939577E-2</v>
      </c>
    </row>
    <row r="144" spans="1:4" ht="19" x14ac:dyDescent="0.25">
      <c r="A144" s="55" t="s">
        <v>179</v>
      </c>
      <c r="B144" s="59">
        <v>4.1903553610988471</v>
      </c>
      <c r="C144" s="47">
        <v>0.24729999999999999</v>
      </c>
      <c r="D144" s="37">
        <f t="shared" si="2"/>
        <v>0.30129142300194933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0.82079999999999986</v>
      </c>
      <c r="D151" s="34">
        <f>SUM(D4:D150)</f>
        <v>1.0000000000000004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E0E2-9026-9C4D-8A27-158311C03215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11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0.32008002000500124</v>
      </c>
    </row>
    <row r="9" spans="1:10" ht="23" thickBot="1" x14ac:dyDescent="0.35">
      <c r="A9" s="54" t="s">
        <v>42</v>
      </c>
      <c r="B9" s="59">
        <v>3.2228923328507717</v>
      </c>
      <c r="C9" s="46">
        <v>9.300000000000001E-3</v>
      </c>
      <c r="D9" s="36">
        <f t="shared" si="0"/>
        <v>1.1627906976744186E-2</v>
      </c>
      <c r="G9" s="26" t="s">
        <v>43</v>
      </c>
      <c r="H9" s="27"/>
      <c r="I9" s="27"/>
      <c r="J9" s="63">
        <f>SUMPRODUCT(B4:B150,D4:D150)</f>
        <v>4.0610136651551283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1.0800000000000001E-2</v>
      </c>
      <c r="D21" s="36">
        <f t="shared" si="0"/>
        <v>1.3503375843960989E-2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1.52E-2</v>
      </c>
      <c r="D27" s="36">
        <f t="shared" si="0"/>
        <v>1.9004751187796948E-2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0.1585</v>
      </c>
      <c r="D31" s="36">
        <f t="shared" si="0"/>
        <v>0.19817454363590897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8.3299999999999999E-2</v>
      </c>
      <c r="D49" s="36">
        <f t="shared" si="0"/>
        <v>0.10415103775943985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3.9699999999999999E-2</v>
      </c>
      <c r="D53" s="36">
        <f t="shared" si="0"/>
        <v>4.9637409352338083E-2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2.9600000000000001E-2</v>
      </c>
      <c r="D64" s="37">
        <f t="shared" si="0"/>
        <v>3.7009252313078271E-2</v>
      </c>
    </row>
    <row r="65" spans="1:4" ht="19" x14ac:dyDescent="0.25">
      <c r="A65" s="54" t="s">
        <v>100</v>
      </c>
      <c r="B65" s="59">
        <v>4.9248047791749228</v>
      </c>
      <c r="C65" s="46">
        <v>1.0700000000000001E-2</v>
      </c>
      <c r="D65" s="36">
        <f t="shared" si="0"/>
        <v>1.3378344586146536E-2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2.3E-2</v>
      </c>
      <c r="D70" s="37">
        <f t="shared" si="1"/>
        <v>2.8757189297324327E-2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7.8899999999999998E-2</v>
      </c>
      <c r="D72" s="37">
        <f t="shared" si="1"/>
        <v>9.8649662415603884E-2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1.32E-2</v>
      </c>
      <c r="D91" s="36">
        <f t="shared" si="1"/>
        <v>1.6504126031507877E-2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2.2099999999999998E-2</v>
      </c>
      <c r="D98" s="37">
        <f t="shared" si="1"/>
        <v>2.7631907976994243E-2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0.01</v>
      </c>
      <c r="D116" s="37">
        <f t="shared" si="1"/>
        <v>1.250312578144536E-2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7.4000000000000003E-3</v>
      </c>
      <c r="D122" s="37">
        <f t="shared" si="1"/>
        <v>9.2523130782695678E-3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1.8000000000000002E-2</v>
      </c>
      <c r="D126" s="37">
        <f t="shared" si="1"/>
        <v>2.2505626406601652E-2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6.3E-3</v>
      </c>
      <c r="D134" s="37">
        <f t="shared" si="2"/>
        <v>7.8769692423105771E-3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0.25600000000000001</v>
      </c>
      <c r="D144" s="37">
        <f t="shared" si="2"/>
        <v>0.32008002000500124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7.8000000000000005E-3</v>
      </c>
      <c r="D147" s="36">
        <f t="shared" si="2"/>
        <v>9.7524381095273824E-3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0.79980000000000007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D78B-CD4C-224F-9BA7-F6AEF2512871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12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4.4000000000000003E-3</v>
      </c>
      <c r="D7" s="36">
        <f t="shared" si="0"/>
        <v>5.083766608896592E-3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0.64737146158290004</v>
      </c>
    </row>
    <row r="9" spans="1:10" ht="23" thickBot="1" x14ac:dyDescent="0.35">
      <c r="A9" s="54" t="s">
        <v>42</v>
      </c>
      <c r="B9" s="59">
        <v>3.2228923328507717</v>
      </c>
      <c r="C9" s="46">
        <v>9.0000000000000011E-3</v>
      </c>
      <c r="D9" s="36">
        <f t="shared" si="0"/>
        <v>1.0398613518197574E-2</v>
      </c>
      <c r="G9" s="26" t="s">
        <v>43</v>
      </c>
      <c r="H9" s="27"/>
      <c r="I9" s="27"/>
      <c r="J9" s="63">
        <f>SUMPRODUCT(B4:B150,D4:D150)</f>
        <v>4.1369088689340092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6.8000000000000005E-3</v>
      </c>
      <c r="D13" s="36">
        <f t="shared" si="0"/>
        <v>7.856730213749278E-3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1.8200000000000001E-2</v>
      </c>
      <c r="D21" s="36">
        <f t="shared" si="0"/>
        <v>2.1028307336799539E-2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6.0999999999999995E-3</v>
      </c>
      <c r="D27" s="36">
        <f t="shared" si="0"/>
        <v>7.0479491623339097E-3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5.7200000000000001E-2</v>
      </c>
      <c r="D31" s="36">
        <f t="shared" si="0"/>
        <v>6.608896591565569E-2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1.3000000000000001E-2</v>
      </c>
      <c r="D39" s="36">
        <f t="shared" si="0"/>
        <v>1.5020219526285385E-2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1.21E-2</v>
      </c>
      <c r="D49" s="36">
        <f t="shared" si="0"/>
        <v>1.3980358174465626E-2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4.58E-2</v>
      </c>
      <c r="D53" s="36">
        <f t="shared" si="0"/>
        <v>5.2917388792605428E-2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2.29E-2</v>
      </c>
      <c r="D64" s="37">
        <f t="shared" si="0"/>
        <v>2.6458694396302714E-2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4.3E-3</v>
      </c>
      <c r="D69" s="36">
        <f t="shared" ref="D69:D132" si="1">C69/$C$151</f>
        <v>4.9682264586943959E-3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2.2400000000000003E-2</v>
      </c>
      <c r="D72" s="37">
        <f t="shared" si="1"/>
        <v>2.5880993645291742E-2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1.4199999999999999E-2</v>
      </c>
      <c r="D91" s="36">
        <f t="shared" si="1"/>
        <v>1.6406701328711724E-2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2.0400000000000001E-2</v>
      </c>
      <c r="D98" s="37">
        <f t="shared" si="1"/>
        <v>2.3570190641247834E-2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1.46E-2</v>
      </c>
      <c r="D104" s="37">
        <f t="shared" si="1"/>
        <v>1.6868861929520508E-2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7.3000000000000001E-3</v>
      </c>
      <c r="D118" s="37">
        <f t="shared" si="1"/>
        <v>8.434430964760254E-3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2.2099999999999998E-2</v>
      </c>
      <c r="D130" s="37">
        <f t="shared" si="1"/>
        <v>2.5534373194685149E-2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4.4000000000000003E-3</v>
      </c>
      <c r="D142" s="37">
        <f t="shared" si="2"/>
        <v>5.083766608896592E-3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0.56030000000000002</v>
      </c>
      <c r="D144" s="37">
        <f t="shared" si="2"/>
        <v>0.64737146158290004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0.86550000000000005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3935-87D6-EA4E-9BBF-BEFFD796016D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13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India</v>
      </c>
      <c r="I8" s="24">
        <f>INDEX(B4:B150,MATCH(MAX(D4:D150),D4:D150,0))</f>
        <v>5.0659580961290027</v>
      </c>
      <c r="J8" s="25">
        <f>INDEX(D4:D150,MATCH(MAX(D4:D150),D4:D150,0))</f>
        <v>0.82268436174579285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4.9082044936366929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</v>
      </c>
      <c r="D31" s="36">
        <f t="shared" si="0"/>
        <v>0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</v>
      </c>
      <c r="D53" s="36">
        <f t="shared" si="0"/>
        <v>0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0.60130000000000006</v>
      </c>
      <c r="D64" s="37">
        <f t="shared" si="0"/>
        <v>0.82268436174579285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1.0700000000000001E-2</v>
      </c>
      <c r="D97" s="36">
        <f t="shared" si="1"/>
        <v>1.4639485565740866E-2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3.9699999999999999E-2</v>
      </c>
      <c r="D142" s="37">
        <f t="shared" si="2"/>
        <v>5.4316595977561902E-2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7.9199999999999993E-2</v>
      </c>
      <c r="D144" s="37">
        <f t="shared" si="2"/>
        <v>0.10835955671090435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0.73090000000000011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E72E-19AB-A446-93DB-A79105AC0706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14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0.45573484518098561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3.9690702989567925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1.5100000000000001E-2</v>
      </c>
      <c r="D21" s="36">
        <f t="shared" si="0"/>
        <v>2.1950864951301063E-2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2.23E-2</v>
      </c>
      <c r="D27" s="36">
        <f t="shared" si="0"/>
        <v>3.2417502543974415E-2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6.0999999999999999E-2</v>
      </c>
      <c r="D31" s="36">
        <f t="shared" si="0"/>
        <v>8.8675679604593688E-2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0.15839999999999999</v>
      </c>
      <c r="D53" s="36">
        <f t="shared" si="0"/>
        <v>0.23026602703881377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2.0000000000000001E-4</v>
      </c>
      <c r="D63" s="36">
        <f t="shared" si="0"/>
        <v>2.9073993312981542E-4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4.2599999999999999E-2</v>
      </c>
      <c r="D72" s="37">
        <f t="shared" si="1"/>
        <v>6.1927605756650676E-2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2.2499999999999999E-2</v>
      </c>
      <c r="D91" s="36">
        <f t="shared" si="1"/>
        <v>3.270824247710423E-2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4.99E-2</v>
      </c>
      <c r="D98" s="37">
        <f t="shared" si="1"/>
        <v>7.2539613315888943E-2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2.3999999999999998E-3</v>
      </c>
      <c r="D125" s="36">
        <f t="shared" si="1"/>
        <v>3.4888791975577847E-3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0.3135</v>
      </c>
      <c r="D144" s="37">
        <f t="shared" si="2"/>
        <v>0.45573484518098561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0.68789999999999996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2B51-7E5B-E943-8C0B-6F9AEFFD1490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15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0.33396226415094338</v>
      </c>
    </row>
    <row r="9" spans="1:10" ht="23" thickBot="1" x14ac:dyDescent="0.35">
      <c r="A9" s="54" t="s">
        <v>42</v>
      </c>
      <c r="B9" s="59">
        <v>3.2228923328507717</v>
      </c>
      <c r="C9" s="46">
        <v>1.9900000000000001E-2</v>
      </c>
      <c r="D9" s="36">
        <f t="shared" si="0"/>
        <v>2.0859538784067089E-2</v>
      </c>
      <c r="G9" s="26" t="s">
        <v>43</v>
      </c>
      <c r="H9" s="27"/>
      <c r="I9" s="27"/>
      <c r="J9" s="63">
        <f>SUMPRODUCT(B4:B150,D4:D150)</f>
        <v>3.9318580373530141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1.1200000000000002E-2</v>
      </c>
      <c r="D21" s="36">
        <f t="shared" si="0"/>
        <v>1.1740041928721176E-2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1.4499999999999999E-2</v>
      </c>
      <c r="D27" s="36">
        <f t="shared" si="0"/>
        <v>1.5199161425576519E-2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9.6000000000000002E-2</v>
      </c>
      <c r="D31" s="36">
        <f t="shared" si="0"/>
        <v>0.10062893081761007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3.8399999999999997E-2</v>
      </c>
      <c r="D49" s="36">
        <f t="shared" si="0"/>
        <v>4.0251572327044023E-2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6.7500000000000004E-2</v>
      </c>
      <c r="D53" s="36">
        <f t="shared" si="0"/>
        <v>7.0754716981132088E-2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3.0600000000000002E-2</v>
      </c>
      <c r="D64" s="37">
        <f t="shared" si="0"/>
        <v>3.2075471698113214E-2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2.9600000000000001E-2</v>
      </c>
      <c r="D70" s="37">
        <f t="shared" si="1"/>
        <v>3.1027253668763105E-2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0.17319999999999999</v>
      </c>
      <c r="D72" s="37">
        <f t="shared" si="1"/>
        <v>0.18155136268343816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1.15E-2</v>
      </c>
      <c r="D87" s="36">
        <f t="shared" si="1"/>
        <v>1.2054507337526206E-2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1.44E-2</v>
      </c>
      <c r="D91" s="36">
        <f t="shared" si="1"/>
        <v>1.509433962264151E-2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3.9399999999999998E-2</v>
      </c>
      <c r="D126" s="37">
        <f t="shared" si="1"/>
        <v>4.1299790356394132E-2</v>
      </c>
    </row>
    <row r="127" spans="1:4" ht="19" x14ac:dyDescent="0.25">
      <c r="A127" s="54" t="s">
        <v>162</v>
      </c>
      <c r="B127" s="59">
        <v>3.7006443947932954</v>
      </c>
      <c r="C127" s="46">
        <v>1.9799999999999998E-2</v>
      </c>
      <c r="D127" s="36">
        <f t="shared" si="1"/>
        <v>2.0754716981132074E-2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2.1600000000000001E-2</v>
      </c>
      <c r="D134" s="37">
        <f t="shared" si="2"/>
        <v>2.2641509433962266E-2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4.7800000000000002E-2</v>
      </c>
      <c r="D143" s="36">
        <f t="shared" si="2"/>
        <v>5.0104821802935018E-2</v>
      </c>
    </row>
    <row r="144" spans="1:4" ht="19" x14ac:dyDescent="0.25">
      <c r="A144" s="55" t="s">
        <v>179</v>
      </c>
      <c r="B144" s="59">
        <v>4.1903553610988471</v>
      </c>
      <c r="C144" s="47">
        <v>0.31859999999999999</v>
      </c>
      <c r="D144" s="37">
        <f t="shared" si="2"/>
        <v>0.33396226415094338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0.95399999999999996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B722-4CA4-DE47-9F96-BB196AFEC19B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16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China</v>
      </c>
      <c r="I8" s="24">
        <f>INDEX(B4:B150,MATCH(MAX(D4:D150),D4:D150,0))</f>
        <v>4.2558827981073541</v>
      </c>
      <c r="J8" s="25">
        <f>INDEX(D4:D150,MATCH(MAX(D4:D150),D4:D150,0))</f>
        <v>1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4.2558827981073541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0.90189999999999992</v>
      </c>
      <c r="D31" s="36">
        <f t="shared" si="0"/>
        <v>1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</v>
      </c>
      <c r="D53" s="36">
        <f t="shared" si="0"/>
        <v>0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</v>
      </c>
      <c r="D144" s="37">
        <f t="shared" si="2"/>
        <v>0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0.90189999999999992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C0C4-EAEC-F345-906B-D4936DE9829C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8.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187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1.6200000000000003E-2</v>
      </c>
      <c r="D5" s="36">
        <f t="shared" ref="D5:D68" si="0">C5/$C$151</f>
        <v>1.8960674157303372E-2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France</v>
      </c>
      <c r="I8" s="24">
        <f>INDEX(B4:B150,MATCH(MAX(D4:D150),D4:D150,0))</f>
        <v>3.6488472849850422</v>
      </c>
      <c r="J8" s="25">
        <f>INDEX(D4:D150,MATCH(MAX(D4:D150),D4:D150,0))</f>
        <v>0.29482677902621723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3.8600720695477033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4.7400000000000005E-2</v>
      </c>
      <c r="D15" s="36">
        <f t="shared" si="0"/>
        <v>5.5477528089887644E-2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6.1600000000000002E-2</v>
      </c>
      <c r="D31" s="36">
        <f t="shared" si="0"/>
        <v>7.2097378277153554E-2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5.1000000000000004E-3</v>
      </c>
      <c r="D35" s="36">
        <f t="shared" si="0"/>
        <v>5.9691011235955055E-3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8.6999999999999994E-3</v>
      </c>
      <c r="D43" s="36">
        <f t="shared" si="0"/>
        <v>1.018258426966292E-2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0.25190000000000001</v>
      </c>
      <c r="D49" s="36">
        <f t="shared" si="0"/>
        <v>0.29482677902621723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9.2399999999999996E-2</v>
      </c>
      <c r="D53" s="36">
        <f t="shared" si="0"/>
        <v>0.10814606741573032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1.55E-2</v>
      </c>
      <c r="D64" s="37">
        <f t="shared" si="0"/>
        <v>1.8141385767790261E-2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5.8700000000000002E-2</v>
      </c>
      <c r="D70" s="37">
        <f t="shared" si="1"/>
        <v>6.8703183520599245E-2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1.9400000000000001E-2</v>
      </c>
      <c r="D94" s="37">
        <f t="shared" si="1"/>
        <v>2.2705992509363296E-2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2.6200000000000001E-2</v>
      </c>
      <c r="D98" s="37">
        <f t="shared" si="1"/>
        <v>3.0664794007490635E-2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5.1999999999999998E-3</v>
      </c>
      <c r="D102" s="37">
        <f t="shared" si="1"/>
        <v>6.0861423220973775E-3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1.7600000000000001E-2</v>
      </c>
      <c r="D112" s="37">
        <f t="shared" si="1"/>
        <v>2.059925093632959E-2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0.01</v>
      </c>
      <c r="D125" s="36">
        <f t="shared" si="1"/>
        <v>1.1704119850187265E-2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5.0799999999999998E-2</v>
      </c>
      <c r="D127" s="36">
        <f t="shared" si="1"/>
        <v>5.9456928838951303E-2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2.2799999999999997E-2</v>
      </c>
      <c r="D131" s="36">
        <f t="shared" si="1"/>
        <v>2.6685393258426962E-2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9.7000000000000003E-3</v>
      </c>
      <c r="D138" s="37">
        <f t="shared" si="2"/>
        <v>1.1352996254681648E-2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4.8099999999999997E-2</v>
      </c>
      <c r="D143" s="36">
        <f t="shared" si="2"/>
        <v>5.6296816479400741E-2</v>
      </c>
    </row>
    <row r="144" spans="1:4" ht="19" x14ac:dyDescent="0.25">
      <c r="A144" s="55" t="s">
        <v>179</v>
      </c>
      <c r="B144" s="59">
        <v>4.1903553610988471</v>
      </c>
      <c r="C144" s="47">
        <v>8.7100000000000011E-2</v>
      </c>
      <c r="D144" s="37">
        <f t="shared" si="2"/>
        <v>0.10194288389513109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0.85440000000000005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2635-1D67-E943-87A1-B68680123B6E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18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0.43298594280174502</v>
      </c>
    </row>
    <row r="9" spans="1:10" ht="23" thickBot="1" x14ac:dyDescent="0.35">
      <c r="A9" s="54" t="s">
        <v>42</v>
      </c>
      <c r="B9" s="59">
        <v>3.2228923328507717</v>
      </c>
      <c r="C9" s="46">
        <v>1.5700000000000002E-2</v>
      </c>
      <c r="D9" s="36">
        <f t="shared" si="0"/>
        <v>1.9025690741638394E-2</v>
      </c>
      <c r="G9" s="26" t="s">
        <v>43</v>
      </c>
      <c r="H9" s="27"/>
      <c r="I9" s="27"/>
      <c r="J9" s="63">
        <f>SUMPRODUCT(B4:B150,D4:D150)</f>
        <v>4.0129565213980154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1.38E-2</v>
      </c>
      <c r="D21" s="36">
        <f t="shared" si="0"/>
        <v>1.6723218613669415E-2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3.78E-2</v>
      </c>
      <c r="D27" s="36">
        <f t="shared" si="0"/>
        <v>4.5807077072224922E-2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7.8700000000000006E-2</v>
      </c>
      <c r="D31" s="36">
        <f t="shared" si="0"/>
        <v>9.5370819195346596E-2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1.3600000000000001E-2</v>
      </c>
      <c r="D49" s="36">
        <f t="shared" si="0"/>
        <v>1.6480853126514788E-2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2.41E-2</v>
      </c>
      <c r="D53" s="36">
        <f t="shared" si="0"/>
        <v>2.9205041202132818E-2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1.4499999999999999E-2</v>
      </c>
      <c r="D64" s="37">
        <f t="shared" si="0"/>
        <v>1.7571497818710615E-2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1.09E-2</v>
      </c>
      <c r="D70" s="37">
        <f t="shared" si="1"/>
        <v>1.3208919049927291E-2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0.16079999999999997</v>
      </c>
      <c r="D72" s="37">
        <f t="shared" si="1"/>
        <v>0.19486185167232184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2.7200000000000002E-2</v>
      </c>
      <c r="D91" s="36">
        <f t="shared" si="1"/>
        <v>3.2961706253029577E-2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9.7999999999999997E-3</v>
      </c>
      <c r="D98" s="37">
        <f t="shared" si="1"/>
        <v>1.187590887057683E-2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1.0200000000000001E-2</v>
      </c>
      <c r="D116" s="37">
        <f t="shared" si="1"/>
        <v>1.236063984488609E-2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1.72E-2</v>
      </c>
      <c r="D126" s="37">
        <f t="shared" si="1"/>
        <v>2.0843431895298112E-2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7.8000000000000005E-3</v>
      </c>
      <c r="D139" s="36">
        <f t="shared" si="2"/>
        <v>9.4522539990305396E-3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8.1000000000000013E-3</v>
      </c>
      <c r="D142" s="37">
        <f t="shared" si="2"/>
        <v>9.8158022297624836E-3</v>
      </c>
    </row>
    <row r="143" spans="1:4" ht="19" x14ac:dyDescent="0.25">
      <c r="A143" s="54" t="s">
        <v>178</v>
      </c>
      <c r="B143" s="59">
        <v>3.3179607898236139</v>
      </c>
      <c r="C143" s="46">
        <v>1.77E-2</v>
      </c>
      <c r="D143" s="36">
        <f t="shared" si="2"/>
        <v>2.1449345613184685E-2</v>
      </c>
    </row>
    <row r="144" spans="1:4" ht="19" x14ac:dyDescent="0.25">
      <c r="A144" s="55" t="s">
        <v>179</v>
      </c>
      <c r="B144" s="59">
        <v>4.1903553610988471</v>
      </c>
      <c r="C144" s="47">
        <v>0.35729999999999995</v>
      </c>
      <c r="D144" s="37">
        <f t="shared" si="2"/>
        <v>0.43298594280174502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0.82519999999999993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0AD3-5538-AE44-A898-D8CB29F37510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4.33203125" bestFit="1" customWidth="1"/>
    <col min="4" max="4" width="38" bestFit="1" customWidth="1"/>
    <col min="5" max="5" width="16" bestFit="1" customWidth="1"/>
    <col min="7" max="7" width="26.6640625" bestFit="1" customWidth="1"/>
    <col min="8" max="8" width="13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19</v>
      </c>
      <c r="B1" s="80"/>
      <c r="C1" s="80"/>
      <c r="D1" s="80"/>
    </row>
    <row r="2" spans="1:10" ht="17" customHeight="1" thickBot="1" x14ac:dyDescent="0.25">
      <c r="A2" s="79"/>
      <c r="B2" s="80"/>
      <c r="C2" s="80"/>
      <c r="D2" s="80"/>
    </row>
    <row r="3" spans="1:10" ht="20" thickTop="1" x14ac:dyDescent="0.25">
      <c r="A3" s="10" t="s">
        <v>27</v>
      </c>
      <c r="B3" s="11" t="s">
        <v>28</v>
      </c>
      <c r="C3" s="12" t="s">
        <v>29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0</v>
      </c>
      <c r="D7" s="36">
        <f t="shared" si="0"/>
        <v>0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United States</v>
      </c>
      <c r="I8" s="24">
        <f>INDEX(B4:B150,MATCH(MAX(D4:D150),D4:D150,0))</f>
        <v>4.1903553610988471</v>
      </c>
      <c r="J8" s="25">
        <f>INDEX(D4:D150,MATCH(MAX(D4:D150),D4:D150,0))</f>
        <v>0.78477275123905943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4.1677912999297027</v>
      </c>
    </row>
    <row r="10" spans="1:10" ht="19" x14ac:dyDescent="0.25">
      <c r="A10" s="55" t="s">
        <v>44</v>
      </c>
      <c r="B10" s="59">
        <v>3.4101851325072063</v>
      </c>
      <c r="C10" s="47">
        <v>0</v>
      </c>
      <c r="D10" s="37">
        <f t="shared" si="0"/>
        <v>0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0</v>
      </c>
      <c r="D15" s="36">
        <f t="shared" si="0"/>
        <v>0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0</v>
      </c>
      <c r="D21" s="36">
        <f t="shared" si="0"/>
        <v>0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0</v>
      </c>
      <c r="D27" s="36">
        <f t="shared" si="0"/>
        <v>0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0</v>
      </c>
      <c r="D30" s="37">
        <f t="shared" si="0"/>
        <v>0</v>
      </c>
    </row>
    <row r="31" spans="1:5" ht="19" x14ac:dyDescent="0.25">
      <c r="A31" s="54" t="s">
        <v>65</v>
      </c>
      <c r="B31" s="59">
        <v>4.2558827981073541</v>
      </c>
      <c r="C31" s="46">
        <v>0.1646</v>
      </c>
      <c r="D31" s="36">
        <f t="shared" si="0"/>
        <v>0.17357376357692714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0</v>
      </c>
      <c r="D32" s="37">
        <f t="shared" si="0"/>
        <v>0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0</v>
      </c>
      <c r="D38" s="37">
        <f t="shared" si="0"/>
        <v>0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0</v>
      </c>
      <c r="D49" s="36">
        <f t="shared" si="0"/>
        <v>0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</v>
      </c>
      <c r="D53" s="36">
        <f t="shared" si="0"/>
        <v>0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0</v>
      </c>
      <c r="D62" s="37">
        <f t="shared" si="0"/>
        <v>0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0</v>
      </c>
      <c r="D70" s="37">
        <f t="shared" si="1"/>
        <v>0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3.95E-2</v>
      </c>
      <c r="D72" s="37">
        <f t="shared" si="1"/>
        <v>4.1653485184013503E-2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0</v>
      </c>
      <c r="D98" s="37">
        <f t="shared" si="1"/>
        <v>0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0</v>
      </c>
      <c r="D104" s="37">
        <f t="shared" si="1"/>
        <v>0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0</v>
      </c>
      <c r="D110" s="37">
        <f t="shared" si="1"/>
        <v>0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0</v>
      </c>
      <c r="D112" s="37">
        <f t="shared" si="1"/>
        <v>0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0</v>
      </c>
      <c r="D127" s="36">
        <f t="shared" si="1"/>
        <v>0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0</v>
      </c>
      <c r="D131" s="36">
        <f t="shared" si="1"/>
        <v>0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0</v>
      </c>
      <c r="D143" s="36">
        <f t="shared" si="2"/>
        <v>0</v>
      </c>
    </row>
    <row r="144" spans="1:4" ht="19" x14ac:dyDescent="0.25">
      <c r="A144" s="55" t="s">
        <v>179</v>
      </c>
      <c r="B144" s="59">
        <v>4.1903553610988471</v>
      </c>
      <c r="C144" s="47">
        <v>0.74419999999999997</v>
      </c>
      <c r="D144" s="37">
        <f t="shared" si="2"/>
        <v>0.78477275123905943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0.94829999999999992</v>
      </c>
      <c r="D151" s="34">
        <f>SUM(D4:D150)</f>
        <v>1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84E5-7505-944C-8CAD-5EB1E1953E21}">
  <dimension ref="A1:J151"/>
  <sheetViews>
    <sheetView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32" bestFit="1" customWidth="1"/>
    <col min="3" max="3" width="29" bestFit="1" customWidth="1"/>
    <col min="4" max="4" width="38" bestFit="1" customWidth="1"/>
    <col min="5" max="5" width="16" bestFit="1" customWidth="1"/>
    <col min="7" max="7" width="26.6640625" bestFit="1" customWidth="1"/>
    <col min="8" max="8" width="9.6640625" bestFit="1" customWidth="1"/>
    <col min="9" max="9" width="22.5" bestFit="1" customWidth="1"/>
    <col min="10" max="10" width="10" bestFit="1" customWidth="1"/>
  </cols>
  <sheetData>
    <row r="1" spans="1:10" ht="17" customHeight="1" x14ac:dyDescent="0.2">
      <c r="A1" s="79" t="s">
        <v>20</v>
      </c>
      <c r="B1" s="80"/>
      <c r="C1" s="80"/>
      <c r="D1" s="80"/>
    </row>
    <row r="2" spans="1:10" ht="17" customHeight="1" thickBot="1" x14ac:dyDescent="0.25">
      <c r="A2" s="81"/>
      <c r="B2" s="82"/>
      <c r="C2" s="82"/>
      <c r="D2" s="82"/>
    </row>
    <row r="3" spans="1:10" ht="20" thickTop="1" x14ac:dyDescent="0.25">
      <c r="A3" s="10" t="s">
        <v>27</v>
      </c>
      <c r="B3" s="11" t="s">
        <v>28</v>
      </c>
      <c r="C3" s="12" t="s">
        <v>188</v>
      </c>
      <c r="D3" s="12" t="s">
        <v>30</v>
      </c>
    </row>
    <row r="4" spans="1:10" ht="20" thickBot="1" x14ac:dyDescent="0.3">
      <c r="A4" s="53" t="s">
        <v>31</v>
      </c>
      <c r="B4" s="59">
        <v>4.3705708278452811</v>
      </c>
      <c r="C4" s="45">
        <v>0</v>
      </c>
      <c r="D4" s="35">
        <f>C4/$C$151</f>
        <v>0</v>
      </c>
    </row>
    <row r="5" spans="1:10" ht="20" thickBot="1" x14ac:dyDescent="0.3">
      <c r="A5" s="54" t="s">
        <v>32</v>
      </c>
      <c r="B5" s="59">
        <v>5.2136193198580543</v>
      </c>
      <c r="C5" s="46">
        <v>0</v>
      </c>
      <c r="D5" s="36">
        <f t="shared" ref="D5:D68" si="0">C5/$C$151</f>
        <v>0</v>
      </c>
      <c r="G5" s="13" t="s">
        <v>33</v>
      </c>
      <c r="H5" s="14"/>
      <c r="I5" s="14"/>
      <c r="J5" s="15"/>
    </row>
    <row r="6" spans="1:10" ht="20" thickBot="1" x14ac:dyDescent="0.3">
      <c r="A6" s="55" t="s">
        <v>34</v>
      </c>
      <c r="B6" s="59">
        <v>5.6305966049142544</v>
      </c>
      <c r="C6" s="47">
        <v>0</v>
      </c>
      <c r="D6" s="37">
        <f t="shared" si="0"/>
        <v>0</v>
      </c>
      <c r="G6" s="16"/>
      <c r="H6" s="17" t="s">
        <v>35</v>
      </c>
      <c r="I6" s="18" t="s">
        <v>36</v>
      </c>
      <c r="J6" s="19" t="s">
        <v>37</v>
      </c>
    </row>
    <row r="7" spans="1:10" ht="19" x14ac:dyDescent="0.25">
      <c r="A7" s="54" t="s">
        <v>38</v>
      </c>
      <c r="B7" s="59">
        <v>4.3620978216044497</v>
      </c>
      <c r="C7" s="46">
        <v>7.4000000000000003E-3</v>
      </c>
      <c r="D7" s="36">
        <f t="shared" si="0"/>
        <v>8.549971114962451E-3</v>
      </c>
      <c r="G7" s="20" t="s">
        <v>39</v>
      </c>
      <c r="H7" s="21" t="str">
        <f>INDEX(A4:A150,MATCH(MIN(D4:D150),D4:D150,0))</f>
        <v>Albania</v>
      </c>
      <c r="I7" s="21">
        <f>INDEX(B4:B150,MATCH(MIN(D4:D150),D4:D150,0))</f>
        <v>4.3705708278452811</v>
      </c>
      <c r="J7" s="22">
        <f>INDEX(D4:D150,MATCH(MIN(D4:D150),D4:D150,0))</f>
        <v>0</v>
      </c>
    </row>
    <row r="8" spans="1:10" ht="20" thickBot="1" x14ac:dyDescent="0.3">
      <c r="A8" s="55" t="s">
        <v>40</v>
      </c>
      <c r="B8" s="59">
        <v>4.7882033268855917</v>
      </c>
      <c r="C8" s="47">
        <v>0</v>
      </c>
      <c r="D8" s="37">
        <f t="shared" si="0"/>
        <v>0</v>
      </c>
      <c r="G8" s="23" t="s">
        <v>41</v>
      </c>
      <c r="H8" s="24" t="str">
        <f>INDEX(A4:A150,MATCH(MAX(D4:D150),D4:D150,0))</f>
        <v>Germany</v>
      </c>
      <c r="I8" s="24">
        <f>INDEX(B4:B150,MATCH(MAX(D4:D150),D4:D150,0))</f>
        <v>3.4167336021772097</v>
      </c>
      <c r="J8" s="25">
        <f>INDEX(D4:D150,MATCH(MAX(D4:D150),D4:D150,0))</f>
        <v>0.22645869439630273</v>
      </c>
    </row>
    <row r="9" spans="1:10" ht="23" thickBot="1" x14ac:dyDescent="0.35">
      <c r="A9" s="54" t="s">
        <v>42</v>
      </c>
      <c r="B9" s="59">
        <v>3.2228923328507717</v>
      </c>
      <c r="C9" s="46">
        <v>0</v>
      </c>
      <c r="D9" s="36">
        <f t="shared" si="0"/>
        <v>0</v>
      </c>
      <c r="G9" s="26" t="s">
        <v>43</v>
      </c>
      <c r="H9" s="27"/>
      <c r="I9" s="27"/>
      <c r="J9" s="63">
        <f>SUMPRODUCT(B4:B150,D4:D150)</f>
        <v>3.8082591859434998</v>
      </c>
    </row>
    <row r="10" spans="1:10" ht="19" x14ac:dyDescent="0.25">
      <c r="A10" s="55" t="s">
        <v>44</v>
      </c>
      <c r="B10" s="59">
        <v>3.4101851325072063</v>
      </c>
      <c r="C10" s="47">
        <v>2.23E-2</v>
      </c>
      <c r="D10" s="37">
        <f t="shared" si="0"/>
        <v>2.5765453495089546E-2</v>
      </c>
    </row>
    <row r="11" spans="1:10" ht="19" x14ac:dyDescent="0.25">
      <c r="A11" s="54" t="s">
        <v>45</v>
      </c>
      <c r="B11" s="59">
        <v>5.2109258806256893</v>
      </c>
      <c r="C11" s="46">
        <v>0</v>
      </c>
      <c r="D11" s="36">
        <f t="shared" si="0"/>
        <v>0</v>
      </c>
    </row>
    <row r="12" spans="1:10" ht="19" x14ac:dyDescent="0.25">
      <c r="A12" s="55" t="s">
        <v>46</v>
      </c>
      <c r="B12" s="59">
        <v>4.2572307249236632</v>
      </c>
      <c r="C12" s="47">
        <v>0</v>
      </c>
      <c r="D12" s="37">
        <f t="shared" si="0"/>
        <v>0</v>
      </c>
    </row>
    <row r="13" spans="1:10" ht="19" x14ac:dyDescent="0.25">
      <c r="A13" s="54" t="s">
        <v>47</v>
      </c>
      <c r="B13" s="59">
        <v>6.2938646029657299</v>
      </c>
      <c r="C13" s="46">
        <v>0</v>
      </c>
      <c r="D13" s="36">
        <f t="shared" si="0"/>
        <v>0</v>
      </c>
    </row>
    <row r="14" spans="1:10" ht="19" x14ac:dyDescent="0.25">
      <c r="A14" s="55" t="s">
        <v>48</v>
      </c>
      <c r="B14" s="59">
        <v>5.4470391561857463</v>
      </c>
      <c r="C14" s="47">
        <v>0</v>
      </c>
      <c r="D14" s="37">
        <f t="shared" si="0"/>
        <v>0</v>
      </c>
    </row>
    <row r="15" spans="1:10" ht="19" x14ac:dyDescent="0.25">
      <c r="A15" s="54" t="s">
        <v>49</v>
      </c>
      <c r="B15" s="59">
        <v>3.3272157363952584</v>
      </c>
      <c r="C15" s="46">
        <v>3.5499999999999997E-2</v>
      </c>
      <c r="D15" s="36">
        <f t="shared" si="0"/>
        <v>4.1016753321779315E-2</v>
      </c>
    </row>
    <row r="16" spans="1:10" ht="19" x14ac:dyDescent="0.25">
      <c r="A16" s="55" t="s">
        <v>50</v>
      </c>
      <c r="B16" s="59">
        <v>5.9976203843116958</v>
      </c>
      <c r="C16" s="47">
        <v>0</v>
      </c>
      <c r="D16" s="37">
        <f t="shared" si="0"/>
        <v>0</v>
      </c>
    </row>
    <row r="17" spans="1:5" ht="19" x14ac:dyDescent="0.25">
      <c r="A17" s="54" t="s">
        <v>51</v>
      </c>
      <c r="B17" s="59">
        <v>5.0248646415497609</v>
      </c>
      <c r="C17" s="46">
        <v>0</v>
      </c>
      <c r="D17" s="36">
        <f t="shared" si="0"/>
        <v>0</v>
      </c>
    </row>
    <row r="18" spans="1:5" ht="19" x14ac:dyDescent="0.25">
      <c r="A18" s="55" t="s">
        <v>52</v>
      </c>
      <c r="B18" s="59">
        <v>5.4119734583646606</v>
      </c>
      <c r="C18" s="47">
        <v>0</v>
      </c>
      <c r="D18" s="37">
        <f t="shared" si="0"/>
        <v>0</v>
      </c>
    </row>
    <row r="19" spans="1:5" ht="19" x14ac:dyDescent="0.25">
      <c r="A19" s="54" t="s">
        <v>53</v>
      </c>
      <c r="B19" s="59">
        <v>5.3424605477454783</v>
      </c>
      <c r="C19" s="46">
        <v>0</v>
      </c>
      <c r="D19" s="36">
        <f t="shared" si="0"/>
        <v>0</v>
      </c>
    </row>
    <row r="20" spans="1:5" ht="19" x14ac:dyDescent="0.25">
      <c r="A20" s="55" t="s">
        <v>54</v>
      </c>
      <c r="B20" s="59">
        <v>4.3392269255836116</v>
      </c>
      <c r="C20" s="47">
        <v>0</v>
      </c>
      <c r="D20" s="37">
        <f t="shared" si="0"/>
        <v>0</v>
      </c>
    </row>
    <row r="21" spans="1:5" ht="19" x14ac:dyDescent="0.25">
      <c r="A21" s="54" t="s">
        <v>55</v>
      </c>
      <c r="B21" s="59">
        <v>5.3528879548903774</v>
      </c>
      <c r="C21" s="46">
        <v>3.1E-2</v>
      </c>
      <c r="D21" s="36">
        <f t="shared" si="0"/>
        <v>3.5817446562680537E-2</v>
      </c>
    </row>
    <row r="22" spans="1:5" ht="19" x14ac:dyDescent="0.25">
      <c r="A22" s="55" t="s">
        <v>56</v>
      </c>
      <c r="B22" s="59">
        <v>4.4305511295739555</v>
      </c>
      <c r="C22" s="47">
        <v>0</v>
      </c>
      <c r="D22" s="37">
        <f t="shared" si="0"/>
        <v>0</v>
      </c>
    </row>
    <row r="23" spans="1:5" ht="19" x14ac:dyDescent="0.25">
      <c r="A23" s="54" t="s">
        <v>57</v>
      </c>
      <c r="B23" s="59">
        <v>6.5469989858167894</v>
      </c>
      <c r="C23" s="46">
        <v>0</v>
      </c>
      <c r="D23" s="36">
        <f t="shared" si="0"/>
        <v>0</v>
      </c>
    </row>
    <row r="24" spans="1:5" ht="19" x14ac:dyDescent="0.25">
      <c r="A24" s="55" t="s">
        <v>58</v>
      </c>
      <c r="B24" s="59">
        <v>6.3316257862325482</v>
      </c>
      <c r="C24" s="47">
        <v>0</v>
      </c>
      <c r="D24" s="37">
        <f t="shared" si="0"/>
        <v>0</v>
      </c>
    </row>
    <row r="25" spans="1:5" ht="19" x14ac:dyDescent="0.25">
      <c r="A25" s="54" t="s">
        <v>59</v>
      </c>
      <c r="B25" s="59">
        <v>5.6374100513783132</v>
      </c>
      <c r="C25" s="46">
        <v>0</v>
      </c>
      <c r="D25" s="36">
        <f t="shared" si="0"/>
        <v>0</v>
      </c>
    </row>
    <row r="26" spans="1:5" ht="19" x14ac:dyDescent="0.25">
      <c r="A26" s="55" t="s">
        <v>60</v>
      </c>
      <c r="B26" s="59">
        <v>6.8290168498118629</v>
      </c>
      <c r="C26" s="47">
        <v>0</v>
      </c>
      <c r="D26" s="37">
        <f t="shared" si="0"/>
        <v>0</v>
      </c>
    </row>
    <row r="27" spans="1:5" ht="19" x14ac:dyDescent="0.25">
      <c r="A27" s="54" t="s">
        <v>61</v>
      </c>
      <c r="B27" s="59">
        <v>3.4431913474650511</v>
      </c>
      <c r="C27" s="46">
        <v>1.32E-2</v>
      </c>
      <c r="D27" s="36">
        <f t="shared" si="0"/>
        <v>1.5251299826689775E-2</v>
      </c>
    </row>
    <row r="28" spans="1:5" ht="19" x14ac:dyDescent="0.25">
      <c r="A28" s="55" t="s">
        <v>62</v>
      </c>
      <c r="B28" s="59">
        <v>6.7936201324767405</v>
      </c>
      <c r="C28" s="47">
        <v>0</v>
      </c>
      <c r="D28" s="37">
        <f t="shared" si="0"/>
        <v>0</v>
      </c>
    </row>
    <row r="29" spans="1:5" ht="19" x14ac:dyDescent="0.25">
      <c r="A29" s="54" t="s">
        <v>63</v>
      </c>
      <c r="B29" s="59">
        <v>6.8383191750945294</v>
      </c>
      <c r="C29" s="46">
        <v>0</v>
      </c>
      <c r="D29" s="36">
        <f t="shared" si="0"/>
        <v>0</v>
      </c>
    </row>
    <row r="30" spans="1:5" ht="19" x14ac:dyDescent="0.25">
      <c r="A30" s="55" t="s">
        <v>64</v>
      </c>
      <c r="B30" s="59">
        <v>4.3579262651505353</v>
      </c>
      <c r="C30" s="47">
        <v>5.0000000000000001E-3</v>
      </c>
      <c r="D30" s="37">
        <f t="shared" si="0"/>
        <v>5.7770075101097633E-3</v>
      </c>
    </row>
    <row r="31" spans="1:5" ht="19" x14ac:dyDescent="0.25">
      <c r="A31" s="54" t="s">
        <v>65</v>
      </c>
      <c r="B31" s="59">
        <v>4.2558827981073541</v>
      </c>
      <c r="C31" s="46">
        <v>6.1500000000000006E-2</v>
      </c>
      <c r="D31" s="36">
        <f t="shared" si="0"/>
        <v>7.1057192374350098E-2</v>
      </c>
      <c r="E31" s="1" t="s">
        <v>66</v>
      </c>
    </row>
    <row r="32" spans="1:5" ht="19" x14ac:dyDescent="0.25">
      <c r="A32" s="55" t="s">
        <v>67</v>
      </c>
      <c r="B32" s="59">
        <v>5.7247940072371959</v>
      </c>
      <c r="C32" s="47">
        <v>4.7999999999999996E-3</v>
      </c>
      <c r="D32" s="37">
        <f t="shared" si="0"/>
        <v>5.5459272097053728E-3</v>
      </c>
    </row>
    <row r="33" spans="1:4" ht="19" x14ac:dyDescent="0.25">
      <c r="A33" s="54" t="s">
        <v>68</v>
      </c>
      <c r="B33" s="59">
        <v>5.6489161047332477</v>
      </c>
      <c r="C33" s="46">
        <v>0</v>
      </c>
      <c r="D33" s="36">
        <f t="shared" si="0"/>
        <v>0</v>
      </c>
    </row>
    <row r="34" spans="1:4" ht="19" x14ac:dyDescent="0.25">
      <c r="A34" s="55" t="s">
        <v>69</v>
      </c>
      <c r="B34" s="59">
        <v>4.2297467795287353</v>
      </c>
      <c r="C34" s="47">
        <v>0</v>
      </c>
      <c r="D34" s="37">
        <f t="shared" si="0"/>
        <v>0</v>
      </c>
    </row>
    <row r="35" spans="1:4" ht="19" x14ac:dyDescent="0.25">
      <c r="A35" s="54" t="s">
        <v>70</v>
      </c>
      <c r="B35" s="59">
        <v>5.5958391680617687</v>
      </c>
      <c r="C35" s="46">
        <v>0</v>
      </c>
      <c r="D35" s="36">
        <f t="shared" si="0"/>
        <v>0</v>
      </c>
    </row>
    <row r="36" spans="1:4" ht="19" x14ac:dyDescent="0.25">
      <c r="A36" s="55" t="s">
        <v>71</v>
      </c>
      <c r="B36" s="59">
        <v>4.2818306896749707</v>
      </c>
      <c r="C36" s="47">
        <v>0</v>
      </c>
      <c r="D36" s="37">
        <f t="shared" si="0"/>
        <v>0</v>
      </c>
    </row>
    <row r="37" spans="1:4" ht="19" x14ac:dyDescent="0.25">
      <c r="A37" s="54" t="s">
        <v>72</v>
      </c>
      <c r="B37" s="59">
        <v>4.665702306747229</v>
      </c>
      <c r="C37" s="46">
        <v>0</v>
      </c>
      <c r="D37" s="36">
        <f t="shared" si="0"/>
        <v>0</v>
      </c>
    </row>
    <row r="38" spans="1:4" ht="19" x14ac:dyDescent="0.25">
      <c r="A38" s="55" t="s">
        <v>73</v>
      </c>
      <c r="B38" s="59">
        <v>3.7484970292180693</v>
      </c>
      <c r="C38" s="47">
        <v>2.8900000000000002E-2</v>
      </c>
      <c r="D38" s="37">
        <f t="shared" si="0"/>
        <v>3.3391103408434437E-2</v>
      </c>
    </row>
    <row r="39" spans="1:4" ht="19" x14ac:dyDescent="0.25">
      <c r="A39" s="54" t="s">
        <v>74</v>
      </c>
      <c r="B39" s="59">
        <v>3.1990775661028361</v>
      </c>
      <c r="C39" s="46">
        <v>0</v>
      </c>
      <c r="D39" s="36">
        <f t="shared" si="0"/>
        <v>0</v>
      </c>
    </row>
    <row r="40" spans="1:4" ht="19" x14ac:dyDescent="0.25">
      <c r="A40" s="55" t="s">
        <v>75</v>
      </c>
      <c r="B40" s="59">
        <v>5.9780558706115094</v>
      </c>
      <c r="C40" s="47">
        <v>0</v>
      </c>
      <c r="D40" s="37">
        <f t="shared" si="0"/>
        <v>0</v>
      </c>
    </row>
    <row r="41" spans="1:4" ht="19" x14ac:dyDescent="0.25">
      <c r="A41" s="54" t="s">
        <v>76</v>
      </c>
      <c r="B41" s="59">
        <v>4.6951385888474393</v>
      </c>
      <c r="C41" s="46">
        <v>0</v>
      </c>
      <c r="D41" s="36">
        <f t="shared" si="0"/>
        <v>0</v>
      </c>
    </row>
    <row r="42" spans="1:4" ht="19" x14ac:dyDescent="0.25">
      <c r="A42" s="55" t="s">
        <v>77</v>
      </c>
      <c r="B42" s="59">
        <v>5.7086243658486353</v>
      </c>
      <c r="C42" s="47">
        <v>0</v>
      </c>
      <c r="D42" s="37">
        <f t="shared" si="0"/>
        <v>0</v>
      </c>
    </row>
    <row r="43" spans="1:4" ht="19" x14ac:dyDescent="0.25">
      <c r="A43" s="54" t="s">
        <v>78</v>
      </c>
      <c r="B43" s="59">
        <v>5.6039767437648544</v>
      </c>
      <c r="C43" s="46">
        <v>0</v>
      </c>
      <c r="D43" s="36">
        <f t="shared" si="0"/>
        <v>0</v>
      </c>
    </row>
    <row r="44" spans="1:4" ht="19" x14ac:dyDescent="0.25">
      <c r="A44" s="55" t="s">
        <v>79</v>
      </c>
      <c r="B44" s="59">
        <v>4.7929202889816001</v>
      </c>
      <c r="C44" s="47">
        <v>0</v>
      </c>
      <c r="D44" s="37">
        <f t="shared" si="0"/>
        <v>0</v>
      </c>
    </row>
    <row r="45" spans="1:4" ht="19" x14ac:dyDescent="0.25">
      <c r="A45" s="54" t="s">
        <v>80</v>
      </c>
      <c r="B45" s="59">
        <v>3.5745795767056725</v>
      </c>
      <c r="C45" s="46">
        <v>0</v>
      </c>
      <c r="D45" s="36">
        <f t="shared" si="0"/>
        <v>0</v>
      </c>
    </row>
    <row r="46" spans="1:4" ht="19" x14ac:dyDescent="0.25">
      <c r="A46" s="55" t="s">
        <v>81</v>
      </c>
      <c r="B46" s="59">
        <v>4.4965923559879277</v>
      </c>
      <c r="C46" s="47">
        <v>0</v>
      </c>
      <c r="D46" s="37">
        <f t="shared" si="0"/>
        <v>0</v>
      </c>
    </row>
    <row r="47" spans="1:4" ht="19" x14ac:dyDescent="0.25">
      <c r="A47" s="54" t="s">
        <v>82</v>
      </c>
      <c r="B47" s="59">
        <v>6.927950682570712</v>
      </c>
      <c r="C47" s="46">
        <v>0</v>
      </c>
      <c r="D47" s="36">
        <f t="shared" si="0"/>
        <v>0</v>
      </c>
    </row>
    <row r="48" spans="1:4" ht="19" x14ac:dyDescent="0.25">
      <c r="A48" s="55" t="s">
        <v>83</v>
      </c>
      <c r="B48" s="59">
        <v>3.3483394041152907</v>
      </c>
      <c r="C48" s="47">
        <v>0</v>
      </c>
      <c r="D48" s="37">
        <f t="shared" si="0"/>
        <v>0</v>
      </c>
    </row>
    <row r="49" spans="1:4" ht="19" x14ac:dyDescent="0.25">
      <c r="A49" s="54" t="s">
        <v>84</v>
      </c>
      <c r="B49" s="59">
        <v>3.6488472849850422</v>
      </c>
      <c r="C49" s="46">
        <v>3.95E-2</v>
      </c>
      <c r="D49" s="36">
        <f t="shared" si="0"/>
        <v>4.563835932986713E-2</v>
      </c>
    </row>
    <row r="50" spans="1:4" ht="19" x14ac:dyDescent="0.25">
      <c r="A50" s="55" t="s">
        <v>85</v>
      </c>
      <c r="B50" s="59">
        <v>5.7823719673887926</v>
      </c>
      <c r="C50" s="47">
        <v>0</v>
      </c>
      <c r="D50" s="37">
        <f t="shared" si="0"/>
        <v>0</v>
      </c>
    </row>
    <row r="51" spans="1:4" ht="19" x14ac:dyDescent="0.25">
      <c r="A51" s="54" t="s">
        <v>86</v>
      </c>
      <c r="B51" s="59">
        <v>5.3790271999040362</v>
      </c>
      <c r="C51" s="46">
        <v>0</v>
      </c>
      <c r="D51" s="36">
        <f t="shared" si="0"/>
        <v>0</v>
      </c>
    </row>
    <row r="52" spans="1:4" ht="19" x14ac:dyDescent="0.25">
      <c r="A52" s="55" t="s">
        <v>87</v>
      </c>
      <c r="B52" s="59">
        <v>4.9290675473985939</v>
      </c>
      <c r="C52" s="47">
        <v>0</v>
      </c>
      <c r="D52" s="37">
        <f t="shared" si="0"/>
        <v>0</v>
      </c>
    </row>
    <row r="53" spans="1:4" ht="19" x14ac:dyDescent="0.25">
      <c r="A53" s="54" t="s">
        <v>88</v>
      </c>
      <c r="B53" s="59">
        <v>3.4167336021772097</v>
      </c>
      <c r="C53" s="46">
        <v>0.19600000000000001</v>
      </c>
      <c r="D53" s="36">
        <f t="shared" si="0"/>
        <v>0.22645869439630273</v>
      </c>
    </row>
    <row r="54" spans="1:4" ht="19" x14ac:dyDescent="0.25">
      <c r="A54" s="55" t="s">
        <v>89</v>
      </c>
      <c r="B54" s="59">
        <v>4.6272251474478185</v>
      </c>
      <c r="C54" s="47">
        <v>0</v>
      </c>
      <c r="D54" s="37">
        <f t="shared" si="0"/>
        <v>0</v>
      </c>
    </row>
    <row r="55" spans="1:4" ht="19" x14ac:dyDescent="0.25">
      <c r="A55" s="54" t="s">
        <v>90</v>
      </c>
      <c r="B55" s="59">
        <v>4.3382922337238083</v>
      </c>
      <c r="C55" s="46">
        <v>0</v>
      </c>
      <c r="D55" s="36">
        <f t="shared" si="0"/>
        <v>0</v>
      </c>
    </row>
    <row r="56" spans="1:4" ht="19" x14ac:dyDescent="0.25">
      <c r="A56" s="55" t="s">
        <v>91</v>
      </c>
      <c r="B56" s="59">
        <v>5.450113492883502</v>
      </c>
      <c r="C56" s="47">
        <v>0</v>
      </c>
      <c r="D56" s="37">
        <f t="shared" si="0"/>
        <v>0</v>
      </c>
    </row>
    <row r="57" spans="1:4" ht="19" x14ac:dyDescent="0.25">
      <c r="A57" s="54" t="s">
        <v>92</v>
      </c>
      <c r="B57" s="59">
        <v>6.3557356106090603</v>
      </c>
      <c r="C57" s="46">
        <v>0</v>
      </c>
      <c r="D57" s="36">
        <f t="shared" si="0"/>
        <v>0</v>
      </c>
    </row>
    <row r="58" spans="1:4" ht="19" x14ac:dyDescent="0.25">
      <c r="A58" s="55" t="s">
        <v>93</v>
      </c>
      <c r="B58" s="59">
        <v>5.9434838790990074</v>
      </c>
      <c r="C58" s="47">
        <v>0</v>
      </c>
      <c r="D58" s="37">
        <f t="shared" si="0"/>
        <v>0</v>
      </c>
    </row>
    <row r="59" spans="1:4" ht="19" x14ac:dyDescent="0.25">
      <c r="A59" s="54" t="s">
        <v>94</v>
      </c>
      <c r="B59" s="59">
        <v>4.9174638740379848</v>
      </c>
      <c r="C59" s="46">
        <v>0</v>
      </c>
      <c r="D59" s="36">
        <f t="shared" si="0"/>
        <v>0</v>
      </c>
    </row>
    <row r="60" spans="1:4" ht="19" x14ac:dyDescent="0.25">
      <c r="A60" s="55" t="s">
        <v>95</v>
      </c>
      <c r="B60" s="59">
        <v>6.5330241147248609</v>
      </c>
      <c r="C60" s="47">
        <v>0</v>
      </c>
      <c r="D60" s="37">
        <f t="shared" si="0"/>
        <v>0</v>
      </c>
    </row>
    <row r="61" spans="1:4" ht="19" x14ac:dyDescent="0.25">
      <c r="A61" s="54" t="s">
        <v>96</v>
      </c>
      <c r="B61" s="59">
        <v>5.7658823887989872</v>
      </c>
      <c r="C61" s="46">
        <v>0</v>
      </c>
      <c r="D61" s="36">
        <f t="shared" si="0"/>
        <v>0</v>
      </c>
    </row>
    <row r="62" spans="1:4" ht="19" x14ac:dyDescent="0.25">
      <c r="A62" s="55" t="s">
        <v>97</v>
      </c>
      <c r="B62" s="59">
        <v>3.6278897079089987</v>
      </c>
      <c r="C62" s="47">
        <v>1.3500000000000002E-2</v>
      </c>
      <c r="D62" s="37">
        <f t="shared" si="0"/>
        <v>1.5597920277296364E-2</v>
      </c>
    </row>
    <row r="63" spans="1:4" ht="19" x14ac:dyDescent="0.25">
      <c r="A63" s="54" t="s">
        <v>98</v>
      </c>
      <c r="B63" s="59">
        <v>3.3752937482227585</v>
      </c>
      <c r="C63" s="46">
        <v>0</v>
      </c>
      <c r="D63" s="36">
        <f t="shared" si="0"/>
        <v>0</v>
      </c>
    </row>
    <row r="64" spans="1:4" ht="19" x14ac:dyDescent="0.25">
      <c r="A64" s="55" t="s">
        <v>99</v>
      </c>
      <c r="B64" s="59">
        <v>5.0659580961290027</v>
      </c>
      <c r="C64" s="47">
        <v>0</v>
      </c>
      <c r="D64" s="37">
        <f t="shared" si="0"/>
        <v>0</v>
      </c>
    </row>
    <row r="65" spans="1:4" ht="19" x14ac:dyDescent="0.25">
      <c r="A65" s="54" t="s">
        <v>100</v>
      </c>
      <c r="B65" s="59">
        <v>4.9248047791749228</v>
      </c>
      <c r="C65" s="46">
        <v>0</v>
      </c>
      <c r="D65" s="36">
        <f t="shared" si="0"/>
        <v>0</v>
      </c>
    </row>
    <row r="66" spans="1:4" ht="19" x14ac:dyDescent="0.25">
      <c r="A66" s="55" t="s">
        <v>101</v>
      </c>
      <c r="B66" s="59">
        <v>5.8793658240107565</v>
      </c>
      <c r="C66" s="47">
        <v>0</v>
      </c>
      <c r="D66" s="37">
        <f t="shared" si="0"/>
        <v>0</v>
      </c>
    </row>
    <row r="67" spans="1:4" ht="19" x14ac:dyDescent="0.25">
      <c r="A67" s="54" t="s">
        <v>102</v>
      </c>
      <c r="B67" s="59">
        <v>6.0491810448870345</v>
      </c>
      <c r="C67" s="46">
        <v>0</v>
      </c>
      <c r="D67" s="36">
        <f t="shared" si="0"/>
        <v>0</v>
      </c>
    </row>
    <row r="68" spans="1:4" ht="19" x14ac:dyDescent="0.25">
      <c r="A68" s="55" t="s">
        <v>103</v>
      </c>
      <c r="B68" s="59">
        <v>3.253942686762922</v>
      </c>
      <c r="C68" s="47">
        <v>0</v>
      </c>
      <c r="D68" s="37">
        <f t="shared" si="0"/>
        <v>0</v>
      </c>
    </row>
    <row r="69" spans="1:4" ht="19" x14ac:dyDescent="0.25">
      <c r="A69" s="54" t="s">
        <v>104</v>
      </c>
      <c r="B69" s="59">
        <v>4.6082974679305195</v>
      </c>
      <c r="C69" s="46">
        <v>0</v>
      </c>
      <c r="D69" s="36">
        <f t="shared" ref="D69:D132" si="1">C69/$C$151</f>
        <v>0</v>
      </c>
    </row>
    <row r="70" spans="1:4" ht="19" x14ac:dyDescent="0.25">
      <c r="A70" s="55" t="s">
        <v>105</v>
      </c>
      <c r="B70" s="59">
        <v>3.8382882812123826</v>
      </c>
      <c r="C70" s="47">
        <v>3.44E-2</v>
      </c>
      <c r="D70" s="37">
        <f t="shared" si="1"/>
        <v>3.9745811669555174E-2</v>
      </c>
    </row>
    <row r="71" spans="1:4" ht="19" x14ac:dyDescent="0.25">
      <c r="A71" s="54" t="s">
        <v>106</v>
      </c>
      <c r="B71" s="59">
        <v>4.7451218036873231</v>
      </c>
      <c r="C71" s="46">
        <v>0</v>
      </c>
      <c r="D71" s="36">
        <f t="shared" si="1"/>
        <v>0</v>
      </c>
    </row>
    <row r="72" spans="1:4" ht="19" x14ac:dyDescent="0.25">
      <c r="A72" s="55" t="s">
        <v>107</v>
      </c>
      <c r="B72" s="59">
        <v>3.3755878841798577</v>
      </c>
      <c r="C72" s="47">
        <v>0</v>
      </c>
      <c r="D72" s="37">
        <f t="shared" si="1"/>
        <v>0</v>
      </c>
    </row>
    <row r="73" spans="1:4" ht="19" x14ac:dyDescent="0.25">
      <c r="A73" s="54" t="s">
        <v>108</v>
      </c>
      <c r="B73" s="59">
        <v>5.1303864841692146</v>
      </c>
      <c r="C73" s="46">
        <v>0</v>
      </c>
      <c r="D73" s="36">
        <f t="shared" si="1"/>
        <v>0</v>
      </c>
    </row>
    <row r="74" spans="1:4" ht="19" x14ac:dyDescent="0.25">
      <c r="A74" s="55" t="s">
        <v>109</v>
      </c>
      <c r="B74" s="59">
        <v>4.5379079915092131</v>
      </c>
      <c r="C74" s="47">
        <v>0</v>
      </c>
      <c r="D74" s="37">
        <f t="shared" si="1"/>
        <v>0</v>
      </c>
    </row>
    <row r="75" spans="1:4" ht="19" x14ac:dyDescent="0.25">
      <c r="A75" s="54" t="s">
        <v>110</v>
      </c>
      <c r="B75" s="59">
        <v>6.1313349307646918</v>
      </c>
      <c r="C75" s="46">
        <v>0</v>
      </c>
      <c r="D75" s="36">
        <f t="shared" si="1"/>
        <v>0</v>
      </c>
    </row>
    <row r="76" spans="1:4" ht="19" x14ac:dyDescent="0.25">
      <c r="A76" s="55" t="s">
        <v>111</v>
      </c>
      <c r="B76" s="59">
        <v>4.2961051501975707</v>
      </c>
      <c r="C76" s="47">
        <v>0</v>
      </c>
      <c r="D76" s="37">
        <f t="shared" si="1"/>
        <v>0</v>
      </c>
    </row>
    <row r="77" spans="1:4" ht="19" x14ac:dyDescent="0.25">
      <c r="A77" s="54" t="s">
        <v>112</v>
      </c>
      <c r="B77" s="59">
        <v>5.373680321889462</v>
      </c>
      <c r="C77" s="46">
        <v>0</v>
      </c>
      <c r="D77" s="36">
        <f t="shared" si="1"/>
        <v>0</v>
      </c>
    </row>
    <row r="78" spans="1:4" ht="19" x14ac:dyDescent="0.25">
      <c r="A78" s="55" t="s">
        <v>113</v>
      </c>
      <c r="B78" s="59">
        <v>5.1391788730224306</v>
      </c>
      <c r="C78" s="47">
        <v>0</v>
      </c>
      <c r="D78" s="37">
        <f t="shared" si="1"/>
        <v>0</v>
      </c>
    </row>
    <row r="79" spans="1:4" ht="19" x14ac:dyDescent="0.25">
      <c r="A79" s="54" t="s">
        <v>114</v>
      </c>
      <c r="B79" s="59">
        <v>3.9664492327048539</v>
      </c>
      <c r="C79" s="46">
        <v>0</v>
      </c>
      <c r="D79" s="36">
        <f t="shared" si="1"/>
        <v>0</v>
      </c>
    </row>
    <row r="80" spans="1:4" ht="19" x14ac:dyDescent="0.25">
      <c r="A80" s="55" t="s">
        <v>115</v>
      </c>
      <c r="B80" s="59">
        <v>6.1238543404169867</v>
      </c>
      <c r="C80" s="47">
        <v>0</v>
      </c>
      <c r="D80" s="37">
        <f t="shared" si="1"/>
        <v>0</v>
      </c>
    </row>
    <row r="81" spans="1:4" ht="19" x14ac:dyDescent="0.25">
      <c r="A81" s="54" t="s">
        <v>116</v>
      </c>
      <c r="B81" s="59">
        <v>5.48860822118026</v>
      </c>
      <c r="C81" s="46">
        <v>0</v>
      </c>
      <c r="D81" s="36">
        <f t="shared" si="1"/>
        <v>0</v>
      </c>
    </row>
    <row r="82" spans="1:4" ht="19" x14ac:dyDescent="0.25">
      <c r="A82" s="55" t="s">
        <v>117</v>
      </c>
      <c r="B82" s="59">
        <v>5.9675040107987867</v>
      </c>
      <c r="C82" s="47">
        <v>0</v>
      </c>
      <c r="D82" s="37">
        <f t="shared" si="1"/>
        <v>0</v>
      </c>
    </row>
    <row r="83" spans="1:4" ht="19" x14ac:dyDescent="0.25">
      <c r="A83" s="54" t="s">
        <v>118</v>
      </c>
      <c r="B83" s="59">
        <v>5.6755260890564418</v>
      </c>
      <c r="C83" s="46">
        <v>0</v>
      </c>
      <c r="D83" s="36">
        <f t="shared" si="1"/>
        <v>0</v>
      </c>
    </row>
    <row r="84" spans="1:4" ht="19" x14ac:dyDescent="0.25">
      <c r="A84" s="55" t="s">
        <v>119</v>
      </c>
      <c r="B84" s="59">
        <v>3.9263549476589308</v>
      </c>
      <c r="C84" s="47">
        <v>0</v>
      </c>
      <c r="D84" s="37">
        <f t="shared" si="1"/>
        <v>0</v>
      </c>
    </row>
    <row r="85" spans="1:4" ht="19" x14ac:dyDescent="0.25">
      <c r="A85" s="54" t="s">
        <v>120</v>
      </c>
      <c r="B85" s="59">
        <v>5.8210372928345899</v>
      </c>
      <c r="C85" s="46">
        <v>0</v>
      </c>
      <c r="D85" s="36">
        <f t="shared" si="1"/>
        <v>0</v>
      </c>
    </row>
    <row r="86" spans="1:4" ht="19" x14ac:dyDescent="0.25">
      <c r="A86" s="55" t="s">
        <v>121</v>
      </c>
      <c r="B86" s="59">
        <v>5.5779364438856991</v>
      </c>
      <c r="C86" s="47">
        <v>0</v>
      </c>
      <c r="D86" s="37">
        <f t="shared" si="1"/>
        <v>0</v>
      </c>
    </row>
    <row r="87" spans="1:4" ht="19" x14ac:dyDescent="0.25">
      <c r="A87" s="54" t="s">
        <v>122</v>
      </c>
      <c r="B87" s="59">
        <v>4.0335588563178906</v>
      </c>
      <c r="C87" s="46">
        <v>0</v>
      </c>
      <c r="D87" s="36">
        <f t="shared" si="1"/>
        <v>0</v>
      </c>
    </row>
    <row r="88" spans="1:4" ht="19" x14ac:dyDescent="0.25">
      <c r="A88" s="55" t="s">
        <v>123</v>
      </c>
      <c r="B88" s="59">
        <v>7.1049758774245326</v>
      </c>
      <c r="C88" s="47">
        <v>0</v>
      </c>
      <c r="D88" s="37">
        <f t="shared" si="1"/>
        <v>0</v>
      </c>
    </row>
    <row r="89" spans="1:4" ht="19" x14ac:dyDescent="0.25">
      <c r="A89" s="54" t="s">
        <v>124</v>
      </c>
      <c r="B89" s="59">
        <v>6.2753028505143282</v>
      </c>
      <c r="C89" s="46">
        <v>0</v>
      </c>
      <c r="D89" s="36">
        <f t="shared" si="1"/>
        <v>0</v>
      </c>
    </row>
    <row r="90" spans="1:4" ht="19" x14ac:dyDescent="0.25">
      <c r="A90" s="55" t="s">
        <v>125</v>
      </c>
      <c r="B90" s="59">
        <v>3.4654790256975891</v>
      </c>
      <c r="C90" s="47">
        <v>0</v>
      </c>
      <c r="D90" s="37">
        <f t="shared" si="1"/>
        <v>0</v>
      </c>
    </row>
    <row r="91" spans="1:4" ht="19" x14ac:dyDescent="0.25">
      <c r="A91" s="54" t="s">
        <v>126</v>
      </c>
      <c r="B91" s="59">
        <v>5.4234078040770983</v>
      </c>
      <c r="C91" s="46">
        <v>0</v>
      </c>
      <c r="D91" s="36">
        <f t="shared" si="1"/>
        <v>0</v>
      </c>
    </row>
    <row r="92" spans="1:4" ht="19" x14ac:dyDescent="0.25">
      <c r="A92" s="55" t="s">
        <v>127</v>
      </c>
      <c r="B92" s="59">
        <v>5.1376667464547303</v>
      </c>
      <c r="C92" s="47">
        <v>0</v>
      </c>
      <c r="D92" s="37">
        <f t="shared" si="1"/>
        <v>0</v>
      </c>
    </row>
    <row r="93" spans="1:4" ht="19" x14ac:dyDescent="0.25">
      <c r="A93" s="54" t="s">
        <v>128</v>
      </c>
      <c r="B93" s="59">
        <v>4.6510069196773065</v>
      </c>
      <c r="C93" s="46">
        <v>0</v>
      </c>
      <c r="D93" s="36">
        <f t="shared" si="1"/>
        <v>0</v>
      </c>
    </row>
    <row r="94" spans="1:4" ht="19" x14ac:dyDescent="0.25">
      <c r="A94" s="55" t="s">
        <v>129</v>
      </c>
      <c r="B94" s="59">
        <v>5.1009280794553211</v>
      </c>
      <c r="C94" s="47">
        <v>0</v>
      </c>
      <c r="D94" s="37">
        <f t="shared" si="1"/>
        <v>0</v>
      </c>
    </row>
    <row r="95" spans="1:4" ht="19" x14ac:dyDescent="0.25">
      <c r="A95" s="54" t="s">
        <v>130</v>
      </c>
      <c r="B95" s="59">
        <v>6.2957088620382402</v>
      </c>
      <c r="C95" s="46">
        <v>0</v>
      </c>
      <c r="D95" s="36">
        <f t="shared" si="1"/>
        <v>0</v>
      </c>
    </row>
    <row r="96" spans="1:4" ht="19" x14ac:dyDescent="0.25">
      <c r="A96" s="55" t="s">
        <v>131</v>
      </c>
      <c r="B96" s="59">
        <v>4.6400800634309949</v>
      </c>
      <c r="C96" s="47">
        <v>0</v>
      </c>
      <c r="D96" s="37">
        <f t="shared" si="1"/>
        <v>0</v>
      </c>
    </row>
    <row r="97" spans="1:4" ht="19" x14ac:dyDescent="0.25">
      <c r="A97" s="54" t="s">
        <v>132</v>
      </c>
      <c r="B97" s="59">
        <v>5.7812106231736005</v>
      </c>
      <c r="C97" s="46">
        <v>0</v>
      </c>
      <c r="D97" s="36">
        <f t="shared" si="1"/>
        <v>0</v>
      </c>
    </row>
    <row r="98" spans="1:4" ht="19" x14ac:dyDescent="0.25">
      <c r="A98" s="55" t="s">
        <v>133</v>
      </c>
      <c r="B98" s="59">
        <v>3.5907872747385401</v>
      </c>
      <c r="C98" s="47">
        <v>7.690000000000001E-2</v>
      </c>
      <c r="D98" s="37">
        <f t="shared" si="1"/>
        <v>8.8850375505488174E-2</v>
      </c>
    </row>
    <row r="99" spans="1:4" ht="19" x14ac:dyDescent="0.25">
      <c r="A99" s="54" t="s">
        <v>134</v>
      </c>
      <c r="B99" s="59">
        <v>3.3163390659638341</v>
      </c>
      <c r="C99" s="46">
        <v>0</v>
      </c>
      <c r="D99" s="36">
        <f t="shared" si="1"/>
        <v>0</v>
      </c>
    </row>
    <row r="100" spans="1:4" ht="19" x14ac:dyDescent="0.25">
      <c r="A100" s="55" t="s">
        <v>135</v>
      </c>
      <c r="B100" s="59">
        <v>5.8020732010296063</v>
      </c>
      <c r="C100" s="47">
        <v>0</v>
      </c>
      <c r="D100" s="37">
        <f t="shared" si="1"/>
        <v>0</v>
      </c>
    </row>
    <row r="101" spans="1:4" ht="19" x14ac:dyDescent="0.25">
      <c r="A101" s="54" t="s">
        <v>136</v>
      </c>
      <c r="B101" s="59">
        <v>7.0685249610665801</v>
      </c>
      <c r="C101" s="46">
        <v>0</v>
      </c>
      <c r="D101" s="36">
        <f t="shared" si="1"/>
        <v>0</v>
      </c>
    </row>
    <row r="102" spans="1:4" ht="19" x14ac:dyDescent="0.25">
      <c r="A102" s="55" t="s">
        <v>137</v>
      </c>
      <c r="B102" s="59">
        <v>6.5035912603709098</v>
      </c>
      <c r="C102" s="47">
        <v>0</v>
      </c>
      <c r="D102" s="37">
        <f t="shared" si="1"/>
        <v>0</v>
      </c>
    </row>
    <row r="103" spans="1:4" ht="19" x14ac:dyDescent="0.25">
      <c r="A103" s="54" t="s">
        <v>138</v>
      </c>
      <c r="B103" s="59">
        <v>4.1624840904381539</v>
      </c>
      <c r="C103" s="46">
        <v>0</v>
      </c>
      <c r="D103" s="36">
        <f t="shared" si="1"/>
        <v>0</v>
      </c>
    </row>
    <row r="104" spans="1:4" ht="19" x14ac:dyDescent="0.25">
      <c r="A104" s="55" t="s">
        <v>139</v>
      </c>
      <c r="B104" s="59">
        <v>3.3787152608913655</v>
      </c>
      <c r="C104" s="47">
        <v>1.1899999999999999E-2</v>
      </c>
      <c r="D104" s="37">
        <f t="shared" si="1"/>
        <v>1.3749277874061236E-2</v>
      </c>
    </row>
    <row r="105" spans="1:4" ht="19" x14ac:dyDescent="0.25">
      <c r="A105" s="54" t="s">
        <v>140</v>
      </c>
      <c r="B105" s="59">
        <v>4.0162254988757935</v>
      </c>
      <c r="C105" s="46">
        <v>0</v>
      </c>
      <c r="D105" s="36">
        <f t="shared" si="1"/>
        <v>0</v>
      </c>
    </row>
    <row r="106" spans="1:4" ht="19" x14ac:dyDescent="0.25">
      <c r="A106" s="55" t="s">
        <v>141</v>
      </c>
      <c r="B106" s="59">
        <v>6.648668082818161</v>
      </c>
      <c r="C106" s="47">
        <v>0</v>
      </c>
      <c r="D106" s="37">
        <f t="shared" si="1"/>
        <v>0</v>
      </c>
    </row>
    <row r="107" spans="1:4" ht="19" x14ac:dyDescent="0.25">
      <c r="A107" s="54" t="s">
        <v>142</v>
      </c>
      <c r="B107" s="59">
        <v>4.5635733416096631</v>
      </c>
      <c r="C107" s="46">
        <v>0</v>
      </c>
      <c r="D107" s="36">
        <f t="shared" si="1"/>
        <v>0</v>
      </c>
    </row>
    <row r="108" spans="1:4" ht="19" x14ac:dyDescent="0.25">
      <c r="A108" s="55" t="s">
        <v>143</v>
      </c>
      <c r="B108" s="59">
        <v>5.3398873222843388</v>
      </c>
      <c r="C108" s="47">
        <v>0</v>
      </c>
      <c r="D108" s="37">
        <f t="shared" si="1"/>
        <v>0</v>
      </c>
    </row>
    <row r="109" spans="1:4" ht="19" x14ac:dyDescent="0.25">
      <c r="A109" s="54" t="s">
        <v>144</v>
      </c>
      <c r="B109" s="59">
        <v>4.7159164073345954</v>
      </c>
      <c r="C109" s="46">
        <v>0</v>
      </c>
      <c r="D109" s="36">
        <f t="shared" si="1"/>
        <v>0</v>
      </c>
    </row>
    <row r="110" spans="1:4" ht="19" x14ac:dyDescent="0.25">
      <c r="A110" s="55" t="s">
        <v>145</v>
      </c>
      <c r="B110" s="59">
        <v>5.2817219635350439</v>
      </c>
      <c r="C110" s="47">
        <v>4.3E-3</v>
      </c>
      <c r="D110" s="37">
        <f t="shared" si="1"/>
        <v>4.9682264586943968E-3</v>
      </c>
    </row>
    <row r="111" spans="1:4" ht="19" x14ac:dyDescent="0.25">
      <c r="A111" s="54" t="s">
        <v>146</v>
      </c>
      <c r="B111" s="59">
        <v>5.8016442493647551</v>
      </c>
      <c r="C111" s="46">
        <v>0</v>
      </c>
      <c r="D111" s="36">
        <f t="shared" si="1"/>
        <v>0</v>
      </c>
    </row>
    <row r="112" spans="1:4" ht="19" x14ac:dyDescent="0.25">
      <c r="A112" s="55" t="s">
        <v>147</v>
      </c>
      <c r="B112" s="59">
        <v>4.1502930814875194</v>
      </c>
      <c r="C112" s="47">
        <v>3.7000000000000005E-2</v>
      </c>
      <c r="D112" s="37">
        <f t="shared" si="1"/>
        <v>4.2749855574812257E-2</v>
      </c>
    </row>
    <row r="113" spans="1:4" ht="19" x14ac:dyDescent="0.25">
      <c r="A113" s="54" t="s">
        <v>148</v>
      </c>
      <c r="B113" s="59">
        <v>3.4281858950270068</v>
      </c>
      <c r="C113" s="46">
        <v>0</v>
      </c>
      <c r="D113" s="36">
        <f t="shared" si="1"/>
        <v>0</v>
      </c>
    </row>
    <row r="114" spans="1:4" ht="19" x14ac:dyDescent="0.25">
      <c r="A114" s="55" t="s">
        <v>149</v>
      </c>
      <c r="B114" s="59">
        <v>3.1959809471990606</v>
      </c>
      <c r="C114" s="47">
        <v>0</v>
      </c>
      <c r="D114" s="37">
        <f t="shared" si="1"/>
        <v>0</v>
      </c>
    </row>
    <row r="115" spans="1:4" ht="19" x14ac:dyDescent="0.25">
      <c r="A115" s="54" t="s">
        <v>150</v>
      </c>
      <c r="B115" s="59">
        <v>4.0482582591129548</v>
      </c>
      <c r="C115" s="46">
        <v>0</v>
      </c>
      <c r="D115" s="36">
        <f t="shared" si="1"/>
        <v>0</v>
      </c>
    </row>
    <row r="116" spans="1:4" ht="19" x14ac:dyDescent="0.25">
      <c r="A116" s="55" t="s">
        <v>151</v>
      </c>
      <c r="B116" s="59">
        <v>5.9582623064002229</v>
      </c>
      <c r="C116" s="47">
        <v>0</v>
      </c>
      <c r="D116" s="37">
        <f t="shared" si="1"/>
        <v>0</v>
      </c>
    </row>
    <row r="117" spans="1:4" ht="19" x14ac:dyDescent="0.25">
      <c r="A117" s="54" t="s">
        <v>152</v>
      </c>
      <c r="B117" s="59">
        <v>5.4717687502053103</v>
      </c>
      <c r="C117" s="46">
        <v>0</v>
      </c>
      <c r="D117" s="36">
        <f t="shared" si="1"/>
        <v>0</v>
      </c>
    </row>
    <row r="118" spans="1:4" ht="19" x14ac:dyDescent="0.25">
      <c r="A118" s="55" t="s">
        <v>153</v>
      </c>
      <c r="B118" s="59">
        <v>4.4233746630959043</v>
      </c>
      <c r="C118" s="47">
        <v>0</v>
      </c>
      <c r="D118" s="37">
        <f t="shared" si="1"/>
        <v>0</v>
      </c>
    </row>
    <row r="119" spans="1:4" ht="19" x14ac:dyDescent="0.25">
      <c r="A119" s="54" t="s">
        <v>154</v>
      </c>
      <c r="B119" s="59">
        <v>5.3961053213656953</v>
      </c>
      <c r="C119" s="46">
        <v>0</v>
      </c>
      <c r="D119" s="36">
        <f t="shared" si="1"/>
        <v>0</v>
      </c>
    </row>
    <row r="120" spans="1:4" ht="19" x14ac:dyDescent="0.25">
      <c r="A120" s="55" t="s">
        <v>155</v>
      </c>
      <c r="B120" s="59">
        <v>5.0353573500743858</v>
      </c>
      <c r="C120" s="47">
        <v>0</v>
      </c>
      <c r="D120" s="37">
        <f t="shared" si="1"/>
        <v>0</v>
      </c>
    </row>
    <row r="121" spans="1:4" ht="19" x14ac:dyDescent="0.25">
      <c r="A121" s="54" t="s">
        <v>156</v>
      </c>
      <c r="B121" s="59">
        <v>5.6408231615395454</v>
      </c>
      <c r="C121" s="46">
        <v>0</v>
      </c>
      <c r="D121" s="36">
        <f t="shared" si="1"/>
        <v>0</v>
      </c>
    </row>
    <row r="122" spans="1:4" ht="19" x14ac:dyDescent="0.25">
      <c r="A122" s="55" t="s">
        <v>157</v>
      </c>
      <c r="B122" s="59">
        <v>3.0386535635012972</v>
      </c>
      <c r="C122" s="47">
        <v>0</v>
      </c>
      <c r="D122" s="37">
        <f t="shared" si="1"/>
        <v>0</v>
      </c>
    </row>
    <row r="123" spans="1:4" ht="19" x14ac:dyDescent="0.25">
      <c r="A123" s="54" t="s">
        <v>158</v>
      </c>
      <c r="B123" s="59">
        <v>3.791880207241451</v>
      </c>
      <c r="C123" s="46">
        <v>0</v>
      </c>
      <c r="D123" s="36">
        <f t="shared" si="1"/>
        <v>0</v>
      </c>
    </row>
    <row r="124" spans="1:4" ht="19" x14ac:dyDescent="0.25">
      <c r="A124" s="55" t="s">
        <v>159</v>
      </c>
      <c r="B124" s="59">
        <v>3.4781584832038352</v>
      </c>
      <c r="C124" s="47">
        <v>0</v>
      </c>
      <c r="D124" s="37">
        <f t="shared" si="1"/>
        <v>0</v>
      </c>
    </row>
    <row r="125" spans="1:4" ht="19" x14ac:dyDescent="0.25">
      <c r="A125" s="54" t="s">
        <v>160</v>
      </c>
      <c r="B125" s="59">
        <v>5.2224005392752639</v>
      </c>
      <c r="C125" s="46">
        <v>0</v>
      </c>
      <c r="D125" s="36">
        <f t="shared" si="1"/>
        <v>0</v>
      </c>
    </row>
    <row r="126" spans="1:4" ht="19" x14ac:dyDescent="0.25">
      <c r="A126" s="55" t="s">
        <v>161</v>
      </c>
      <c r="B126" s="59">
        <v>3.5667851803481079</v>
      </c>
      <c r="C126" s="47">
        <v>0</v>
      </c>
      <c r="D126" s="37">
        <f t="shared" si="1"/>
        <v>0</v>
      </c>
    </row>
    <row r="127" spans="1:4" ht="19" x14ac:dyDescent="0.25">
      <c r="A127" s="54" t="s">
        <v>162</v>
      </c>
      <c r="B127" s="59">
        <v>3.7006443947932954</v>
      </c>
      <c r="C127" s="46">
        <v>2.0499999999999997E-2</v>
      </c>
      <c r="D127" s="36">
        <f t="shared" si="1"/>
        <v>2.3685730791450029E-2</v>
      </c>
    </row>
    <row r="128" spans="1:4" ht="19" x14ac:dyDescent="0.25">
      <c r="A128" s="55" t="s">
        <v>163</v>
      </c>
      <c r="B128" s="59">
        <v>5.1109914616879202</v>
      </c>
      <c r="C128" s="47">
        <v>0</v>
      </c>
      <c r="D128" s="37">
        <f t="shared" si="1"/>
        <v>0</v>
      </c>
    </row>
    <row r="129" spans="1:4" ht="19" x14ac:dyDescent="0.25">
      <c r="A129" s="54" t="s">
        <v>164</v>
      </c>
      <c r="B129" s="59">
        <v>7.0987237940608701</v>
      </c>
      <c r="C129" s="46">
        <v>0</v>
      </c>
      <c r="D129" s="36">
        <f t="shared" si="1"/>
        <v>0</v>
      </c>
    </row>
    <row r="130" spans="1:4" ht="19" x14ac:dyDescent="0.25">
      <c r="A130" s="55" t="s">
        <v>165</v>
      </c>
      <c r="B130" s="59">
        <v>3.5240069552478133</v>
      </c>
      <c r="C130" s="47">
        <v>0</v>
      </c>
      <c r="D130" s="37">
        <f t="shared" si="1"/>
        <v>0</v>
      </c>
    </row>
    <row r="131" spans="1:4" ht="19" x14ac:dyDescent="0.25">
      <c r="A131" s="54" t="s">
        <v>166</v>
      </c>
      <c r="B131" s="59">
        <v>2.7770010876672497</v>
      </c>
      <c r="C131" s="46">
        <v>2.1600000000000001E-2</v>
      </c>
      <c r="D131" s="36">
        <f t="shared" si="1"/>
        <v>2.495667244367418E-2</v>
      </c>
    </row>
    <row r="132" spans="1:4" ht="19" x14ac:dyDescent="0.25">
      <c r="A132" s="55" t="s">
        <v>167</v>
      </c>
      <c r="B132" s="59">
        <v>7.3330533031040499</v>
      </c>
      <c r="C132" s="47">
        <v>0</v>
      </c>
      <c r="D132" s="37">
        <f t="shared" si="1"/>
        <v>0</v>
      </c>
    </row>
    <row r="133" spans="1:4" ht="19" x14ac:dyDescent="0.25">
      <c r="A133" s="54" t="s">
        <v>168</v>
      </c>
      <c r="B133" s="59">
        <v>5.6864357260548895</v>
      </c>
      <c r="C133" s="46">
        <v>0</v>
      </c>
      <c r="D133" s="36">
        <f t="shared" ref="D133:D150" si="2">C133/$C$151</f>
        <v>0</v>
      </c>
    </row>
    <row r="134" spans="1:4" ht="19" x14ac:dyDescent="0.25">
      <c r="A134" s="55" t="s">
        <v>169</v>
      </c>
      <c r="B134" s="59">
        <v>5.2061146997824723</v>
      </c>
      <c r="C134" s="47">
        <v>0</v>
      </c>
      <c r="D134" s="37">
        <f t="shared" si="2"/>
        <v>0</v>
      </c>
    </row>
    <row r="135" spans="1:4" ht="19" x14ac:dyDescent="0.25">
      <c r="A135" s="54" t="s">
        <v>170</v>
      </c>
      <c r="B135" s="59">
        <v>5.1473122500344015</v>
      </c>
      <c r="C135" s="46">
        <v>0</v>
      </c>
      <c r="D135" s="36">
        <f t="shared" si="2"/>
        <v>0</v>
      </c>
    </row>
    <row r="136" spans="1:4" ht="19" x14ac:dyDescent="0.25">
      <c r="A136" s="55" t="s">
        <v>171</v>
      </c>
      <c r="B136" s="59">
        <v>5.8734951860587028</v>
      </c>
      <c r="C136" s="47">
        <v>0</v>
      </c>
      <c r="D136" s="37">
        <f t="shared" si="2"/>
        <v>0</v>
      </c>
    </row>
    <row r="137" spans="1:4" ht="19" x14ac:dyDescent="0.25">
      <c r="A137" s="54" t="s">
        <v>172</v>
      </c>
      <c r="B137" s="59">
        <v>4.3829710171749507</v>
      </c>
      <c r="C137" s="46">
        <v>0</v>
      </c>
      <c r="D137" s="36">
        <f t="shared" si="2"/>
        <v>0</v>
      </c>
    </row>
    <row r="138" spans="1:4" ht="19" x14ac:dyDescent="0.25">
      <c r="A138" s="55" t="s">
        <v>173</v>
      </c>
      <c r="B138" s="59">
        <v>5.1269871649881278</v>
      </c>
      <c r="C138" s="47">
        <v>0</v>
      </c>
      <c r="D138" s="37">
        <f t="shared" si="2"/>
        <v>0</v>
      </c>
    </row>
    <row r="139" spans="1:4" ht="19" x14ac:dyDescent="0.25">
      <c r="A139" s="54" t="s">
        <v>174</v>
      </c>
      <c r="B139" s="59">
        <v>5.2574384214456868</v>
      </c>
      <c r="C139" s="46">
        <v>0</v>
      </c>
      <c r="D139" s="36">
        <f t="shared" si="2"/>
        <v>0</v>
      </c>
    </row>
    <row r="140" spans="1:4" ht="19" x14ac:dyDescent="0.25">
      <c r="A140" s="55" t="s">
        <v>175</v>
      </c>
      <c r="B140" s="59">
        <v>6.2888889425300309</v>
      </c>
      <c r="C140" s="47">
        <v>0</v>
      </c>
      <c r="D140" s="37">
        <f t="shared" si="2"/>
        <v>0</v>
      </c>
    </row>
    <row r="141" spans="1:4" ht="19" x14ac:dyDescent="0.25">
      <c r="A141" s="54" t="s">
        <v>176</v>
      </c>
      <c r="B141" s="59">
        <v>6.3476767840395238</v>
      </c>
      <c r="C141" s="46">
        <v>0</v>
      </c>
      <c r="D141" s="36">
        <f t="shared" si="2"/>
        <v>0</v>
      </c>
    </row>
    <row r="142" spans="1:4" ht="19" x14ac:dyDescent="0.25">
      <c r="A142" s="55" t="s">
        <v>177</v>
      </c>
      <c r="B142" s="59">
        <v>3.7156413836197295</v>
      </c>
      <c r="C142" s="47">
        <v>0</v>
      </c>
      <c r="D142" s="37">
        <f t="shared" si="2"/>
        <v>0</v>
      </c>
    </row>
    <row r="143" spans="1:4" ht="19" x14ac:dyDescent="0.25">
      <c r="A143" s="54" t="s">
        <v>178</v>
      </c>
      <c r="B143" s="59">
        <v>3.3179607898236139</v>
      </c>
      <c r="C143" s="46">
        <v>2.7200000000000002E-2</v>
      </c>
      <c r="D143" s="36">
        <f t="shared" si="2"/>
        <v>3.1426920854997119E-2</v>
      </c>
    </row>
    <row r="144" spans="1:4" ht="19" x14ac:dyDescent="0.25">
      <c r="A144" s="55" t="s">
        <v>179</v>
      </c>
      <c r="B144" s="59">
        <v>4.1903553610988471</v>
      </c>
      <c r="C144" s="47">
        <v>0.17309999999999998</v>
      </c>
      <c r="D144" s="37">
        <f t="shared" si="2"/>
        <v>0.19999999999999998</v>
      </c>
    </row>
    <row r="145" spans="1:4" ht="19" x14ac:dyDescent="0.25">
      <c r="A145" s="54" t="s">
        <v>180</v>
      </c>
      <c r="B145" s="59">
        <v>3.9104307580301834</v>
      </c>
      <c r="C145" s="46">
        <v>0</v>
      </c>
      <c r="D145" s="36">
        <f t="shared" si="2"/>
        <v>0</v>
      </c>
    </row>
    <row r="146" spans="1:4" ht="19" x14ac:dyDescent="0.25">
      <c r="A146" s="55" t="s">
        <v>181</v>
      </c>
      <c r="B146" s="59">
        <v>5.7741934156294281</v>
      </c>
      <c r="C146" s="47">
        <v>0</v>
      </c>
      <c r="D146" s="37">
        <f t="shared" si="2"/>
        <v>0</v>
      </c>
    </row>
    <row r="147" spans="1:4" ht="19" x14ac:dyDescent="0.25">
      <c r="A147" s="54" t="s">
        <v>182</v>
      </c>
      <c r="B147" s="59">
        <v>4.3230065548271748</v>
      </c>
      <c r="C147" s="46">
        <v>0</v>
      </c>
      <c r="D147" s="36">
        <f t="shared" si="2"/>
        <v>0</v>
      </c>
    </row>
    <row r="148" spans="1:4" ht="19" x14ac:dyDescent="0.25">
      <c r="A148" s="55" t="s">
        <v>183</v>
      </c>
      <c r="B148" s="59">
        <v>6.3044304196425287</v>
      </c>
      <c r="C148" s="47">
        <v>0</v>
      </c>
      <c r="D148" s="37">
        <f t="shared" si="2"/>
        <v>0</v>
      </c>
    </row>
    <row r="149" spans="1:4" ht="19" x14ac:dyDescent="0.25">
      <c r="A149" s="54" t="s">
        <v>184</v>
      </c>
      <c r="B149" s="59">
        <v>4.9494000233782742</v>
      </c>
      <c r="C149" s="46">
        <v>0</v>
      </c>
      <c r="D149" s="36">
        <f t="shared" si="2"/>
        <v>0</v>
      </c>
    </row>
    <row r="150" spans="1:4" ht="19" x14ac:dyDescent="0.25">
      <c r="A150" s="56" t="s">
        <v>185</v>
      </c>
      <c r="B150" s="59">
        <v>6.1447845309536486</v>
      </c>
      <c r="C150" s="48">
        <v>0</v>
      </c>
      <c r="D150" s="38">
        <f t="shared" si="2"/>
        <v>0</v>
      </c>
    </row>
    <row r="151" spans="1:4" ht="19" x14ac:dyDescent="0.25">
      <c r="A151" s="43" t="s">
        <v>186</v>
      </c>
      <c r="B151" s="44"/>
      <c r="C151" s="34">
        <f>SUM(C4:C150)</f>
        <v>0.86549999999999994</v>
      </c>
      <c r="D151" s="34">
        <f>SUM(D4:D150)</f>
        <v>0.99999999999999989</v>
      </c>
    </row>
  </sheetData>
  <mergeCells count="1">
    <mergeCell ref="A1:D2"/>
  </mergeCells>
  <conditionalFormatting sqref="B4:B150">
    <cfRule type="colorScale" priority="1">
      <colorScale>
        <cfvo type="min"/>
        <cfvo type="percentile" val="50"/>
        <cfvo type="max"/>
        <color rgb="FF63BE7B"/>
        <color theme="0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DC0FFDEFA864DA147FFDEA823F2EE" ma:contentTypeVersion="3" ma:contentTypeDescription="Create a new document." ma:contentTypeScope="" ma:versionID="39870545afabb502c4050089500bd5b6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9bb2a11c505461e40f497f8b9cdcbcf5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F08ABC-13A0-4F5D-9E81-9ED665737C5C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c41a64fd-65ba-4a6e-8004-8ade4c8fdb39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530B0C-B530-42AC-84FD-C2059CBF0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DE55F-16AF-462E-A9F0-01F805372C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27</vt:i4>
      </vt:variant>
    </vt:vector>
  </HeadingPairs>
  <TitlesOfParts>
    <vt:vector size="27" baseType="lpstr">
      <vt:lpstr>Revenue Exposure - Overall</vt:lpstr>
      <vt:lpstr>HHI Index Submultiplier</vt:lpstr>
      <vt:lpstr>Country of Revenues - Apple</vt:lpstr>
      <vt:lpstr>Country of Revenues - Meta</vt:lpstr>
      <vt:lpstr>Country of Revenues - Microsoft</vt:lpstr>
      <vt:lpstr>Country of Revenues - Ford</vt:lpstr>
      <vt:lpstr>Country of Revenues - P&amp;G</vt:lpstr>
      <vt:lpstr>Country of Revenues - Samsung</vt:lpstr>
      <vt:lpstr>Country of Revenues - Amazon</vt:lpstr>
      <vt:lpstr>Country of Revenues - NVIDIA</vt:lpstr>
      <vt:lpstr>Country of Revenues - Allianz</vt:lpstr>
      <vt:lpstr>Country of Revenues - ASML</vt:lpstr>
      <vt:lpstr>Country of Revenues - BNP</vt:lpstr>
      <vt:lpstr>Country of Revenues - Eli LIlly</vt:lpstr>
      <vt:lpstr>Country of Revenues - ENI</vt:lpstr>
      <vt:lpstr>Country of Revenues - JP Morgan</vt:lpstr>
      <vt:lpstr>Country of Revenues - Oreal</vt:lpstr>
      <vt:lpstr>Country of Revenues - LVMH</vt:lpstr>
      <vt:lpstr>Country of Revenues - Nordisk</vt:lpstr>
      <vt:lpstr>Country of Revenues - Reliance</vt:lpstr>
      <vt:lpstr>Country of Revenues - SAP</vt:lpstr>
      <vt:lpstr>Country of Revenues - Sony</vt:lpstr>
      <vt:lpstr>Country of Revenues - Tencent</vt:lpstr>
      <vt:lpstr>Country of Revenues - Total En</vt:lpstr>
      <vt:lpstr>Country of Revenues - Toyota</vt:lpstr>
      <vt:lpstr>Country of Revenues - TSMC</vt:lpstr>
      <vt:lpstr>Country of Revenues - VW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2026-03-14T18:04:21Z</dcterms:created>
  <dcterms:modified xsi:type="dcterms:W3CDTF">2026-04-01T17:33:56Z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