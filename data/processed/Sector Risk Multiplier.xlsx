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7" documentId="13_ncr:1_{C119449E-6502-3D40-900F-2253E9344213}" xr6:coauthVersionLast="47" xr6:coauthVersionMax="47" xr10:uidLastSave="{0780D0DC-50D8-7644-9934-F9CFC6A28B08}"/>
  <bookViews>
    <workbookView xWindow="0" yWindow="0" windowWidth="28800" windowHeight="18000" xr2:uid="{39628D33-4669-BF42-B458-9D95EBDC9FA0}"/>
  </bookViews>
  <sheets>
    <sheet name="Sector Risk Multipli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F11" i="1"/>
  <c r="F7" i="1"/>
  <c r="F16" i="1"/>
  <c r="F17" i="1"/>
  <c r="F12" i="1"/>
  <c r="F20" i="1"/>
  <c r="F22" i="1"/>
  <c r="F6" i="1"/>
  <c r="F19" i="1"/>
  <c r="F5" i="1"/>
  <c r="F14" i="1"/>
  <c r="F15" i="1"/>
  <c r="F18" i="1"/>
  <c r="F21" i="1"/>
  <c r="F23" i="1"/>
  <c r="F24" i="1"/>
  <c r="F25" i="1"/>
  <c r="F26" i="1"/>
  <c r="F27" i="1"/>
  <c r="F28" i="1"/>
  <c r="F29" i="1"/>
  <c r="F13" i="1"/>
  <c r="F8" i="1"/>
  <c r="F9" i="1"/>
  <c r="F10" i="1"/>
  <c r="G11" i="1" l="1"/>
  <c r="H11" i="1"/>
  <c r="H7" i="1"/>
  <c r="G7" i="1"/>
  <c r="G16" i="1"/>
  <c r="H16" i="1"/>
  <c r="G17" i="1"/>
  <c r="H17" i="1"/>
  <c r="G12" i="1"/>
  <c r="H12" i="1"/>
  <c r="G20" i="1"/>
  <c r="H20" i="1"/>
  <c r="G22" i="1"/>
  <c r="H22" i="1"/>
  <c r="G6" i="1"/>
  <c r="H6" i="1"/>
  <c r="G19" i="1"/>
  <c r="H19" i="1"/>
  <c r="G5" i="1"/>
  <c r="H5" i="1"/>
  <c r="G14" i="1"/>
  <c r="H14" i="1"/>
  <c r="G15" i="1"/>
  <c r="H15" i="1"/>
  <c r="G18" i="1"/>
  <c r="H18" i="1"/>
  <c r="G21" i="1"/>
  <c r="H21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13" i="1"/>
  <c r="H13" i="1"/>
  <c r="G8" i="1"/>
  <c r="H8" i="1"/>
  <c r="G9" i="1"/>
  <c r="H9" i="1"/>
  <c r="G10" i="1"/>
  <c r="H10" i="1"/>
</calcChain>
</file>

<file path=xl/sharedStrings.xml><?xml version="1.0" encoding="utf-8"?>
<sst xmlns="http://schemas.openxmlformats.org/spreadsheetml/2006/main" count="210" uniqueCount="115">
  <si>
    <r>
      <rPr>
        <b/>
        <sz val="16"/>
        <color theme="1"/>
        <rFont val="Aptos Narrow (Corpo)"/>
      </rPr>
      <t>Source - S&amp;P Global Ratings (Industry Risk Assessment)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https://spratings.spglobal.com/ratings/en/regulatory/article/-/view/sourceId/8304862</t>
    </r>
  </si>
  <si>
    <t>Sector - List</t>
  </si>
  <si>
    <t>S&amp;P Global Industry Risk Assessment Index</t>
  </si>
  <si>
    <t>Company Name</t>
  </si>
  <si>
    <t>Sector</t>
  </si>
  <si>
    <t>S&amp;P Global Industry Risk Assessment</t>
  </si>
  <si>
    <t>S&amp;P Global Industry Risk Assessment - Value</t>
  </si>
  <si>
    <t>Sector Risk - Multiplier</t>
  </si>
  <si>
    <t>Aerospace and defense</t>
  </si>
  <si>
    <t>Intermediate risk</t>
  </si>
  <si>
    <t>Apple</t>
  </si>
  <si>
    <t>Technology hardware and semiconductors</t>
  </si>
  <si>
    <t>Agribusiness, commodity foods, and agricultural cooperatives</t>
  </si>
  <si>
    <t>Meta</t>
  </si>
  <si>
    <t>Technology software and services</t>
  </si>
  <si>
    <t>Asset managers</t>
  </si>
  <si>
    <t>Microsoft</t>
  </si>
  <si>
    <t>Auto and commercial vehicle manufacturing</t>
  </si>
  <si>
    <t>Moderately high risk</t>
  </si>
  <si>
    <t>Ford</t>
  </si>
  <si>
    <t>Auto suppliers</t>
  </si>
  <si>
    <t>Procter &amp; Gamble</t>
  </si>
  <si>
    <t>Consumer staples and branded nondurables</t>
  </si>
  <si>
    <t>Building materials</t>
  </si>
  <si>
    <t>Samsung</t>
  </si>
  <si>
    <t>Business and consumer services</t>
  </si>
  <si>
    <t>Amazon</t>
  </si>
  <si>
    <t>Retail and restaurants</t>
  </si>
  <si>
    <t>Capital goods</t>
  </si>
  <si>
    <t>NVIDIA</t>
  </si>
  <si>
    <t>Charter schools</t>
  </si>
  <si>
    <t>Allianz</t>
  </si>
  <si>
    <t>Insurance (Financial services)</t>
  </si>
  <si>
    <t>Commodity chemicals</t>
  </si>
  <si>
    <t>L'Oreal</t>
  </si>
  <si>
    <t>Consumer durables</t>
  </si>
  <si>
    <t>LVMH</t>
  </si>
  <si>
    <t>Low risk</t>
  </si>
  <si>
    <t>Novo Nordisk</t>
  </si>
  <si>
    <t>Pharmaceuticals</t>
  </si>
  <si>
    <t>Containers and packaging</t>
  </si>
  <si>
    <t>Reliance Industries</t>
  </si>
  <si>
    <t>Oil and gas exploration and production</t>
  </si>
  <si>
    <t>Digital infrastructure</t>
  </si>
  <si>
    <t>SAP</t>
  </si>
  <si>
    <t>Engineering and construction</t>
  </si>
  <si>
    <t>Sony</t>
  </si>
  <si>
    <t>Environmental services</t>
  </si>
  <si>
    <t>Tencent</t>
  </si>
  <si>
    <t>Financial market infrastructure companies</t>
  </si>
  <si>
    <t>Totale Energies</t>
  </si>
  <si>
    <t>Financial services finance companies</t>
  </si>
  <si>
    <t>Toyota</t>
  </si>
  <si>
    <t>Forest and paper products</t>
  </si>
  <si>
    <t>TSMC</t>
  </si>
  <si>
    <t>Health care equipment</t>
  </si>
  <si>
    <t>Volkswagen</t>
  </si>
  <si>
    <t>Health care services</t>
  </si>
  <si>
    <t>JP Morgan</t>
  </si>
  <si>
    <t>Homebuilders and real estate developers</t>
  </si>
  <si>
    <t>ASML</t>
  </si>
  <si>
    <t>Leisure and sports</t>
  </si>
  <si>
    <t>BNP Paribas</t>
  </si>
  <si>
    <t>Long-term municipal pools</t>
  </si>
  <si>
    <t>Eli Lilly</t>
  </si>
  <si>
    <t>Media and entertainment</t>
  </si>
  <si>
    <t>ENI</t>
  </si>
  <si>
    <t>Metals production and processing</t>
  </si>
  <si>
    <t>Midstream energy</t>
  </si>
  <si>
    <t>Mining</t>
  </si>
  <si>
    <t>Municipal retail electric and gas utilities</t>
  </si>
  <si>
    <t>Very low risk</t>
  </si>
  <si>
    <t>Municipal water and waste - Irrigation</t>
  </si>
  <si>
    <t>Municipal water and waste - Solid waste</t>
  </si>
  <si>
    <t>Municipal water and waste - Water, sewer, and combined</t>
  </si>
  <si>
    <t>Not-for-profit acute care health care organizations</t>
  </si>
  <si>
    <t>Not-for-profit education providers</t>
  </si>
  <si>
    <t>Not-for-profit transportation infrastructure enterprises - Airports and ports</t>
  </si>
  <si>
    <t>Not-for-profit transportation infrastructure enterprises - Toll roads, parking systems, and mass transit</t>
  </si>
  <si>
    <t>Oilfield services and equipment</t>
  </si>
  <si>
    <t>Public and nonprofit social housing providers</t>
  </si>
  <si>
    <t>Railroads, package express, and logistics</t>
  </si>
  <si>
    <t>Real estate</t>
  </si>
  <si>
    <t>Refining and marketing</t>
  </si>
  <si>
    <t>Regulated utilities</t>
  </si>
  <si>
    <t>Specialty chemicals</t>
  </si>
  <si>
    <t>Telecommunications</t>
  </si>
  <si>
    <t>Transportation cyclical</t>
  </si>
  <si>
    <t>High risk</t>
  </si>
  <si>
    <t>Transportation infrastructure</t>
  </si>
  <si>
    <t>Transportation leasing</t>
  </si>
  <si>
    <t>Unregulated power and gas</t>
  </si>
  <si>
    <t>Leonardo</t>
  </si>
  <si>
    <t>Pfizer</t>
  </si>
  <si>
    <t>Prysmian</t>
  </si>
  <si>
    <t>Unicredit</t>
  </si>
  <si>
    <t>Campari</t>
  </si>
  <si>
    <t>Moncler</t>
  </si>
  <si>
    <t>Ferrari</t>
  </si>
  <si>
    <t>Alibaba</t>
  </si>
  <si>
    <t>Nestlè</t>
  </si>
  <si>
    <t>Gazprom</t>
  </si>
  <si>
    <t>Novartis</t>
  </si>
  <si>
    <t>Moderna</t>
  </si>
  <si>
    <t>HSBC</t>
  </si>
  <si>
    <t>Walmart</t>
  </si>
  <si>
    <t>Unilever</t>
  </si>
  <si>
    <t>Coca-Cola</t>
  </si>
  <si>
    <t>Caterpillar</t>
  </si>
  <si>
    <t>Tesla</t>
  </si>
  <si>
    <t>Alphabet</t>
  </si>
  <si>
    <t>Saudi Aramco</t>
  </si>
  <si>
    <t>Shell</t>
  </si>
  <si>
    <t>Chevron</t>
  </si>
  <si>
    <t>ExxonMobil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</si>
</sst>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15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6"/>
      <color theme="1"/>
      <name val="Aptos Narrow (Corpo)"/>
    </font>
    <font>
      <sz val="8"/>
      <name val="Aptos Narrow"/>
      <family val="2"/>
      <scheme val="minor"/>
    </font>
    <font>
      <sz val="15"/>
      <color theme="1"/>
      <name val="Aptos Narrow"/>
      <scheme val="minor"/>
    </font>
    <font>
      <b/>
      <sz val="15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10" fillId="0" borderId="0" xfId="0" applyFont="1"/>
    <xf numFmtId="0" fontId="2" fillId="2" borderId="0" xfId="0" applyFont="1" applyFill="1"/>
    <xf numFmtId="0" fontId="9" fillId="0" borderId="2" xfId="0" applyFont="1" applyBorder="1"/>
    <xf numFmtId="0" fontId="8" fillId="0" borderId="2" xfId="0" applyFont="1" applyBorder="1"/>
    <xf numFmtId="0" fontId="4" fillId="0" borderId="2" xfId="0" applyFont="1" applyBorder="1"/>
    <xf numFmtId="0" fontId="3" fillId="0" borderId="1" xfId="0" applyFont="1" applyBorder="1" applyAlignment="1">
      <alignment horizontal="center" wrapText="1"/>
    </xf>
    <xf numFmtId="0" fontId="9" fillId="0" borderId="2" xfId="0" applyNumberFormat="1" applyFont="1" applyBorder="1"/>
    <xf numFmtId="0" fontId="11" fillId="0" borderId="2" xfId="0" applyNumberFormat="1" applyFont="1" applyBorder="1"/>
    <xf numFmtId="0" fontId="8" fillId="0" borderId="3" xfId="0" applyFont="1" applyBorder="1"/>
    <xf numFmtId="0" fontId="9" fillId="0" borderId="3" xfId="0" applyNumberFormat="1" applyFont="1" applyBorder="1"/>
    <xf numFmtId="0" fontId="11" fillId="0" borderId="3" xfId="0" applyNumberFormat="1" applyFont="1" applyBorder="1"/>
    <xf numFmtId="0" fontId="12" fillId="0" borderId="0" xfId="0" applyFont="1"/>
    <xf numFmtId="0" fontId="12" fillId="3" borderId="0" xfId="0" applyFont="1" applyFill="1"/>
    <xf numFmtId="0" fontId="12" fillId="0" borderId="4" xfId="0" applyFont="1" applyBorder="1"/>
  </cellXfs>
  <cellStyles count="1">
    <cellStyle name="Normale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5FB89-DD84-974B-A765-C7F0F462A224}" name="Tabella1" displayName="Tabella1" ref="A4:B57" totalsRowShown="0" headerRowDxfId="10" dataDxfId="9">
  <autoFilter ref="A4:B57" xr:uid="{E9C5FB89-DD84-974B-A765-C7F0F462A224}"/>
  <sortState xmlns:xlrd2="http://schemas.microsoft.com/office/spreadsheetml/2017/richdata2" ref="A5:B57">
    <sortCondition ref="A5:A57"/>
  </sortState>
  <tableColumns count="2">
    <tableColumn id="1" xr3:uid="{F995D46E-6783-1449-BB0E-55AD3E4317C4}" name="Sector - List" dataDxfId="8"/>
    <tableColumn id="2" xr3:uid="{CE07BB20-3EF4-0140-9D40-5DD21B85B94E}" name="S&amp;P Global Industry Risk Assessment Index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E3128-EB28-7849-AE77-5A030531D3E5}" name="Tabella2" displayName="Tabella2" ref="D4:H52" totalsRowShown="0" headerRowDxfId="6" dataDxfId="5">
  <autoFilter ref="D4:H52" xr:uid="{EB4E3128-EB28-7849-AE77-5A030531D3E5}"/>
  <sortState xmlns:xlrd2="http://schemas.microsoft.com/office/spreadsheetml/2017/richdata2" ref="D5:H29">
    <sortCondition ref="D4:D29"/>
  </sortState>
  <tableColumns count="5">
    <tableColumn id="1" xr3:uid="{436E0C34-2AD4-564E-B45B-473212DE2704}" name="Company Name" dataDxfId="4"/>
    <tableColumn id="2" xr3:uid="{833C13A5-BFAC-914C-8669-EFCBA93C0C68}" name="Sector" dataDxfId="3"/>
    <tableColumn id="3" xr3:uid="{6DAA5F69-3F1B-184C-9FCB-0F6541229920}" name="S&amp;P Global Industry Risk Assessment" dataDxfId="2">
      <calculatedColumnFormula xml:space="preserve"> VLOOKUP(Tabella2[[#This Row],[Sector]],Tabella1[],2)</calculatedColumnFormula>
    </tableColumn>
    <tableColumn id="4" xr3:uid="{0E34A201-1018-E44D-9539-FCB034D8A583}" name="S&amp;P Global Industry Risk Assessment - Value" dataDxfId="1">
      <calculatedColumnFormula>IF(F5="Very low risk",1,IF(F5="Low risk",2,IF(F5="Intermediate risk",3,IF(F5="Moderately high risk",4,IF(F5="High risk",5,IF(F5="Very high risk",6, ""))))))</calculatedColumnFormula>
    </tableColumn>
    <tableColumn id="5" xr3:uid="{5DC1E4BE-261B-894E-A248-CF240280B948}" name="Sector Risk - Multiplier" dataDxfId="0">
      <calculatedColumnFormula>IF(F5="Very low risk",0.75,IF(F5="Low risk",0.85,IF(F5="Intermediate risk",1,IF(F5="Moderately high risk",1.1,IF(F5="High risk",1.15,IF(F5="Very high risk",1.25, ""))))))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4F98-0CFC-C046-9A47-47B71559761B}">
  <dimension ref="A1:J57"/>
  <sheetViews>
    <sheetView tabSelected="1" topLeftCell="A3" workbookViewId="0">
      <selection activeCell="D52" sqref="D52"/>
    </sheetView>
  </sheetViews>
  <sheetFormatPr baseColWidth="10" defaultColWidth="11" defaultRowHeight="20" x14ac:dyDescent="0.25"/>
  <cols>
    <col min="1" max="1" width="55.83203125" style="3" bestFit="1" customWidth="1"/>
    <col min="2" max="2" width="51.33203125" bestFit="1" customWidth="1"/>
    <col min="3" max="3" width="30.83203125" bestFit="1" customWidth="1"/>
    <col min="4" max="4" width="37" style="4" bestFit="1" customWidth="1"/>
    <col min="5" max="5" width="47.6640625" style="4" bestFit="1" customWidth="1"/>
    <col min="6" max="6" width="50.5" style="4" bestFit="1" customWidth="1"/>
    <col min="7" max="7" width="51.6640625" style="4" customWidth="1"/>
    <col min="8" max="8" width="28.5" style="4" bestFit="1" customWidth="1"/>
    <col min="9" max="9" width="13.5" style="4" customWidth="1"/>
    <col min="10" max="10" width="10.83203125" style="4"/>
  </cols>
  <sheetData>
    <row r="1" spans="1:10" ht="22" x14ac:dyDescent="0.3">
      <c r="A1" s="10" t="s">
        <v>0</v>
      </c>
      <c r="B1" s="10"/>
      <c r="C1" s="10"/>
      <c r="D1" s="10"/>
      <c r="G1" s="2"/>
      <c r="H1" s="2"/>
      <c r="I1"/>
      <c r="J1"/>
    </row>
    <row r="2" spans="1:10" x14ac:dyDescent="0.25">
      <c r="A2" s="10"/>
      <c r="B2" s="10"/>
      <c r="C2" s="10"/>
      <c r="D2" s="10"/>
    </row>
    <row r="4" spans="1:10" ht="22" x14ac:dyDescent="0.3">
      <c r="A4" s="2" t="s">
        <v>1</v>
      </c>
      <c r="B4" s="5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6" t="s">
        <v>7</v>
      </c>
      <c r="I4"/>
      <c r="J4"/>
    </row>
    <row r="5" spans="1:10" x14ac:dyDescent="0.25">
      <c r="A5" s="1" t="s">
        <v>8</v>
      </c>
      <c r="B5" s="3" t="s">
        <v>9</v>
      </c>
      <c r="D5" s="7" t="s">
        <v>31</v>
      </c>
      <c r="E5" s="8" t="s">
        <v>32</v>
      </c>
      <c r="F5" s="7" t="str">
        <f xml:space="preserve"> VLOOKUP(Tabella2[[#This Row],[Sector]],Tabella1[],2)</f>
        <v>Moderately high risk</v>
      </c>
      <c r="G5" s="8">
        <f t="shared" ref="G5:G29" si="0">IF(F5="Very low risk",1,IF(F5="Low risk",2,IF(F5="Intermediate risk",3,IF(F5="Moderately high risk",4,IF(F5="High risk",5,IF(F5="Very high risk",6, ""))))))</f>
        <v>4</v>
      </c>
      <c r="H5" s="7">
        <f t="shared" ref="H5:H29" si="1">IF(F5="Very low risk",0.75,IF(F5="Low risk",0.85,IF(F5="Intermediate risk",1,IF(F5="Moderately high risk",1.1,IF(F5="High risk",1.15,IF(F5="Very high risk",1.25, ""))))))</f>
        <v>1.1000000000000001</v>
      </c>
      <c r="I5"/>
      <c r="J5"/>
    </row>
    <row r="6" spans="1:10" x14ac:dyDescent="0.25">
      <c r="A6" s="1" t="s">
        <v>12</v>
      </c>
      <c r="B6" s="3" t="s">
        <v>9</v>
      </c>
      <c r="D6" s="7" t="s">
        <v>26</v>
      </c>
      <c r="E6" s="8" t="s">
        <v>27</v>
      </c>
      <c r="F6" s="7" t="str">
        <f xml:space="preserve"> VLOOKUP(Tabella2[[#This Row],[Sector]],Tabella1[],2)</f>
        <v>Intermediate risk</v>
      </c>
      <c r="G6" s="8">
        <f t="shared" si="0"/>
        <v>3</v>
      </c>
      <c r="H6" s="7">
        <f t="shared" si="1"/>
        <v>1</v>
      </c>
      <c r="I6"/>
      <c r="J6"/>
    </row>
    <row r="7" spans="1:10" x14ac:dyDescent="0.25">
      <c r="A7" s="1" t="s">
        <v>15</v>
      </c>
      <c r="B7" s="3" t="s">
        <v>9</v>
      </c>
      <c r="D7" s="7" t="s">
        <v>10</v>
      </c>
      <c r="E7" s="8" t="s">
        <v>11</v>
      </c>
      <c r="F7" s="7" t="str">
        <f xml:space="preserve"> VLOOKUP(Tabella2[[#This Row],[Sector]],Tabella1[],2)</f>
        <v>Moderately high risk</v>
      </c>
      <c r="G7" s="8">
        <f t="shared" si="0"/>
        <v>4</v>
      </c>
      <c r="H7" s="7">
        <f t="shared" si="1"/>
        <v>1.1000000000000001</v>
      </c>
      <c r="I7"/>
      <c r="J7"/>
    </row>
    <row r="8" spans="1:10" x14ac:dyDescent="0.25">
      <c r="A8" s="1" t="s">
        <v>17</v>
      </c>
      <c r="B8" s="3" t="s">
        <v>18</v>
      </c>
      <c r="D8" s="7" t="s">
        <v>60</v>
      </c>
      <c r="E8" s="8" t="s">
        <v>11</v>
      </c>
      <c r="F8" s="7" t="str">
        <f xml:space="preserve"> VLOOKUP(Tabella2[[#This Row],[Sector]],Tabella1[],2)</f>
        <v>Moderately high risk</v>
      </c>
      <c r="G8" s="8">
        <f t="shared" si="0"/>
        <v>4</v>
      </c>
      <c r="H8" s="7">
        <f t="shared" si="1"/>
        <v>1.1000000000000001</v>
      </c>
      <c r="I8"/>
      <c r="J8"/>
    </row>
    <row r="9" spans="1:10" x14ac:dyDescent="0.25">
      <c r="A9" s="1" t="s">
        <v>20</v>
      </c>
      <c r="B9" s="3" t="s">
        <v>18</v>
      </c>
      <c r="D9" s="7" t="s">
        <v>62</v>
      </c>
      <c r="E9" s="8" t="s">
        <v>51</v>
      </c>
      <c r="F9" s="7" t="str">
        <f xml:space="preserve"> VLOOKUP(Tabella2[[#This Row],[Sector]],Tabella1[],2)</f>
        <v>Moderately high risk</v>
      </c>
      <c r="G9" s="8">
        <f t="shared" si="0"/>
        <v>4</v>
      </c>
      <c r="H9" s="7">
        <f t="shared" si="1"/>
        <v>1.1000000000000001</v>
      </c>
      <c r="I9"/>
      <c r="J9"/>
    </row>
    <row r="10" spans="1:10" x14ac:dyDescent="0.25">
      <c r="A10" s="1" t="s">
        <v>23</v>
      </c>
      <c r="B10" s="3" t="s">
        <v>9</v>
      </c>
      <c r="D10" s="7" t="s">
        <v>64</v>
      </c>
      <c r="E10" s="8" t="s">
        <v>39</v>
      </c>
      <c r="F10" s="7" t="str">
        <f xml:space="preserve"> VLOOKUP(Tabella2[[#This Row],[Sector]],Tabella1[],2)</f>
        <v>Low risk</v>
      </c>
      <c r="G10" s="8">
        <f t="shared" si="0"/>
        <v>2</v>
      </c>
      <c r="H10" s="7">
        <f t="shared" si="1"/>
        <v>0.85</v>
      </c>
      <c r="I10"/>
      <c r="J10"/>
    </row>
    <row r="11" spans="1:10" x14ac:dyDescent="0.25">
      <c r="A11" s="1" t="s">
        <v>25</v>
      </c>
      <c r="B11" s="3" t="s">
        <v>9</v>
      </c>
      <c r="D11" s="7" t="s">
        <v>66</v>
      </c>
      <c r="E11" s="9" t="s">
        <v>42</v>
      </c>
      <c r="F11" s="7" t="str">
        <f xml:space="preserve"> VLOOKUP(Tabella2[[#This Row],[Sector]],Tabella1[],2)</f>
        <v>Moderately high risk</v>
      </c>
      <c r="G11" s="8">
        <f t="shared" si="0"/>
        <v>4</v>
      </c>
      <c r="H11" s="7">
        <f t="shared" si="1"/>
        <v>1.1000000000000001</v>
      </c>
      <c r="I11"/>
      <c r="J11"/>
    </row>
    <row r="12" spans="1:10" x14ac:dyDescent="0.25">
      <c r="A12" s="1" t="s">
        <v>28</v>
      </c>
      <c r="B12" s="3" t="s">
        <v>9</v>
      </c>
      <c r="D12" s="7" t="s">
        <v>19</v>
      </c>
      <c r="E12" s="8" t="s">
        <v>17</v>
      </c>
      <c r="F12" s="7" t="str">
        <f xml:space="preserve"> VLOOKUP(Tabella2[[#This Row],[Sector]],Tabella1[],2)</f>
        <v>Moderately high risk</v>
      </c>
      <c r="G12" s="8">
        <f t="shared" si="0"/>
        <v>4</v>
      </c>
      <c r="H12" s="7">
        <f t="shared" si="1"/>
        <v>1.1000000000000001</v>
      </c>
      <c r="I12"/>
      <c r="J12"/>
    </row>
    <row r="13" spans="1:10" x14ac:dyDescent="0.25">
      <c r="A13" s="1" t="s">
        <v>30</v>
      </c>
      <c r="B13" s="3" t="s">
        <v>18</v>
      </c>
      <c r="D13" s="7" t="s">
        <v>58</v>
      </c>
      <c r="E13" s="8" t="s">
        <v>51</v>
      </c>
      <c r="F13" s="7" t="str">
        <f xml:space="preserve"> VLOOKUP(Tabella2[[#This Row],[Sector]],Tabella1[],2)</f>
        <v>Moderately high risk</v>
      </c>
      <c r="G13" s="8">
        <f t="shared" si="0"/>
        <v>4</v>
      </c>
      <c r="H13" s="7">
        <f t="shared" si="1"/>
        <v>1.1000000000000001</v>
      </c>
      <c r="I13"/>
      <c r="J13"/>
    </row>
    <row r="14" spans="1:10" x14ac:dyDescent="0.25">
      <c r="A14" s="1" t="s">
        <v>33</v>
      </c>
      <c r="B14" s="3" t="s">
        <v>18</v>
      </c>
      <c r="D14" s="7" t="s">
        <v>34</v>
      </c>
      <c r="E14" s="8" t="s">
        <v>22</v>
      </c>
      <c r="F14" s="7" t="str">
        <f xml:space="preserve"> VLOOKUP(Tabella2[[#This Row],[Sector]],Tabella1[],2)</f>
        <v>Low risk</v>
      </c>
      <c r="G14" s="8">
        <f t="shared" si="0"/>
        <v>2</v>
      </c>
      <c r="H14" s="7">
        <f t="shared" si="1"/>
        <v>0.85</v>
      </c>
      <c r="I14"/>
      <c r="J14"/>
    </row>
    <row r="15" spans="1:10" x14ac:dyDescent="0.25">
      <c r="A15" s="1" t="s">
        <v>35</v>
      </c>
      <c r="B15" s="3" t="s">
        <v>9</v>
      </c>
      <c r="D15" s="7" t="s">
        <v>36</v>
      </c>
      <c r="E15" s="8" t="s">
        <v>35</v>
      </c>
      <c r="F15" s="7" t="str">
        <f xml:space="preserve"> VLOOKUP(Tabella2[[#This Row],[Sector]],Tabella1[],2)</f>
        <v>Intermediate risk</v>
      </c>
      <c r="G15" s="8">
        <f t="shared" si="0"/>
        <v>3</v>
      </c>
      <c r="H15" s="7">
        <f t="shared" si="1"/>
        <v>1</v>
      </c>
      <c r="I15"/>
      <c r="J15"/>
    </row>
    <row r="16" spans="1:10" x14ac:dyDescent="0.25">
      <c r="A16" s="1" t="s">
        <v>22</v>
      </c>
      <c r="B16" s="3" t="s">
        <v>37</v>
      </c>
      <c r="D16" s="7" t="s">
        <v>13</v>
      </c>
      <c r="E16" s="8" t="s">
        <v>14</v>
      </c>
      <c r="F16" s="7" t="str">
        <f xml:space="preserve"> VLOOKUP(Tabella2[[#This Row],[Sector]],Tabella1[],2)</f>
        <v>Intermediate risk</v>
      </c>
      <c r="G16" s="8">
        <f t="shared" si="0"/>
        <v>3</v>
      </c>
      <c r="H16" s="7">
        <f t="shared" si="1"/>
        <v>1</v>
      </c>
      <c r="I16"/>
      <c r="J16"/>
    </row>
    <row r="17" spans="1:10" x14ac:dyDescent="0.25">
      <c r="A17" s="1" t="s">
        <v>40</v>
      </c>
      <c r="B17" s="3" t="s">
        <v>9</v>
      </c>
      <c r="D17" s="7" t="s">
        <v>16</v>
      </c>
      <c r="E17" s="8" t="s">
        <v>14</v>
      </c>
      <c r="F17" s="7" t="str">
        <f xml:space="preserve"> VLOOKUP(Tabella2[[#This Row],[Sector]],Tabella1[],2)</f>
        <v>Intermediate risk</v>
      </c>
      <c r="G17" s="8">
        <f t="shared" si="0"/>
        <v>3</v>
      </c>
      <c r="H17" s="7">
        <f t="shared" si="1"/>
        <v>1</v>
      </c>
      <c r="I17"/>
      <c r="J17"/>
    </row>
    <row r="18" spans="1:10" x14ac:dyDescent="0.25">
      <c r="A18" s="1" t="s">
        <v>43</v>
      </c>
      <c r="B18" s="3" t="s">
        <v>37</v>
      </c>
      <c r="D18" s="7" t="s">
        <v>38</v>
      </c>
      <c r="E18" s="8" t="s">
        <v>39</v>
      </c>
      <c r="F18" s="7" t="str">
        <f xml:space="preserve"> VLOOKUP(Tabella2[[#This Row],[Sector]],Tabella1[],2)</f>
        <v>Low risk</v>
      </c>
      <c r="G18" s="8">
        <f t="shared" si="0"/>
        <v>2</v>
      </c>
      <c r="H18" s="7">
        <f t="shared" si="1"/>
        <v>0.85</v>
      </c>
      <c r="I18"/>
      <c r="J18"/>
    </row>
    <row r="19" spans="1:10" x14ac:dyDescent="0.25">
      <c r="A19" s="1" t="s">
        <v>45</v>
      </c>
      <c r="B19" s="3" t="s">
        <v>18</v>
      </c>
      <c r="D19" s="7" t="s">
        <v>29</v>
      </c>
      <c r="E19" s="8" t="s">
        <v>11</v>
      </c>
      <c r="F19" s="7" t="str">
        <f xml:space="preserve"> VLOOKUP(Tabella2[[#This Row],[Sector]],Tabella1[],2)</f>
        <v>Moderately high risk</v>
      </c>
      <c r="G19" s="8">
        <f t="shared" si="0"/>
        <v>4</v>
      </c>
      <c r="H19" s="7">
        <f t="shared" si="1"/>
        <v>1.1000000000000001</v>
      </c>
      <c r="I19"/>
      <c r="J19"/>
    </row>
    <row r="20" spans="1:10" x14ac:dyDescent="0.25">
      <c r="A20" s="1" t="s">
        <v>47</v>
      </c>
      <c r="B20" s="3" t="s">
        <v>37</v>
      </c>
      <c r="D20" s="7" t="s">
        <v>21</v>
      </c>
      <c r="E20" s="8" t="s">
        <v>22</v>
      </c>
      <c r="F20" s="7" t="str">
        <f xml:space="preserve"> VLOOKUP(Tabella2[[#This Row],[Sector]],Tabella1[],2)</f>
        <v>Low risk</v>
      </c>
      <c r="G20" s="8">
        <f t="shared" si="0"/>
        <v>2</v>
      </c>
      <c r="H20" s="7">
        <f t="shared" si="1"/>
        <v>0.85</v>
      </c>
      <c r="I20"/>
      <c r="J20"/>
    </row>
    <row r="21" spans="1:10" x14ac:dyDescent="0.25">
      <c r="A21" s="1" t="s">
        <v>49</v>
      </c>
      <c r="B21" s="3" t="s">
        <v>37</v>
      </c>
      <c r="D21" s="7" t="s">
        <v>41</v>
      </c>
      <c r="E21" s="8" t="s">
        <v>42</v>
      </c>
      <c r="F21" s="7" t="str">
        <f xml:space="preserve"> VLOOKUP(Tabella2[[#This Row],[Sector]],Tabella1[],2)</f>
        <v>Moderately high risk</v>
      </c>
      <c r="G21" s="8">
        <f t="shared" si="0"/>
        <v>4</v>
      </c>
      <c r="H21" s="7">
        <f t="shared" si="1"/>
        <v>1.1000000000000001</v>
      </c>
      <c r="I21"/>
      <c r="J21"/>
    </row>
    <row r="22" spans="1:10" x14ac:dyDescent="0.25">
      <c r="A22" s="1" t="s">
        <v>51</v>
      </c>
      <c r="B22" s="3" t="s">
        <v>18</v>
      </c>
      <c r="D22" s="7" t="s">
        <v>24</v>
      </c>
      <c r="E22" s="8" t="s">
        <v>11</v>
      </c>
      <c r="F22" s="7" t="str">
        <f xml:space="preserve"> VLOOKUP(Tabella2[[#This Row],[Sector]],Tabella1[],2)</f>
        <v>Moderately high risk</v>
      </c>
      <c r="G22" s="8">
        <f t="shared" si="0"/>
        <v>4</v>
      </c>
      <c r="H22" s="7">
        <f t="shared" si="1"/>
        <v>1.1000000000000001</v>
      </c>
      <c r="I22"/>
      <c r="J22"/>
    </row>
    <row r="23" spans="1:10" x14ac:dyDescent="0.25">
      <c r="A23" s="1" t="s">
        <v>53</v>
      </c>
      <c r="B23" s="3" t="s">
        <v>18</v>
      </c>
      <c r="D23" s="7" t="s">
        <v>44</v>
      </c>
      <c r="E23" s="8" t="s">
        <v>14</v>
      </c>
      <c r="F23" s="7" t="str">
        <f xml:space="preserve"> VLOOKUP(Tabella2[[#This Row],[Sector]],Tabella1[],2)</f>
        <v>Intermediate risk</v>
      </c>
      <c r="G23" s="8">
        <f t="shared" si="0"/>
        <v>3</v>
      </c>
      <c r="H23" s="7">
        <f t="shared" si="1"/>
        <v>1</v>
      </c>
      <c r="I23"/>
      <c r="J23"/>
    </row>
    <row r="24" spans="1:10" x14ac:dyDescent="0.25">
      <c r="A24" s="1" t="s">
        <v>55</v>
      </c>
      <c r="B24" s="3" t="s">
        <v>37</v>
      </c>
      <c r="D24" s="7" t="s">
        <v>46</v>
      </c>
      <c r="E24" s="8" t="s">
        <v>35</v>
      </c>
      <c r="F24" s="7" t="str">
        <f xml:space="preserve"> VLOOKUP(Tabella2[[#This Row],[Sector]],Tabella1[],2)</f>
        <v>Intermediate risk</v>
      </c>
      <c r="G24" s="8">
        <f t="shared" si="0"/>
        <v>3</v>
      </c>
      <c r="H24" s="7">
        <f t="shared" si="1"/>
        <v>1</v>
      </c>
      <c r="I24"/>
      <c r="J24"/>
    </row>
    <row r="25" spans="1:10" x14ac:dyDescent="0.25">
      <c r="A25" s="1" t="s">
        <v>57</v>
      </c>
      <c r="B25" s="3" t="s">
        <v>9</v>
      </c>
      <c r="D25" s="7" t="s">
        <v>48</v>
      </c>
      <c r="E25" s="8" t="s">
        <v>14</v>
      </c>
      <c r="F25" s="7" t="str">
        <f xml:space="preserve"> VLOOKUP(Tabella2[[#This Row],[Sector]],Tabella1[],2)</f>
        <v>Intermediate risk</v>
      </c>
      <c r="G25" s="8">
        <f t="shared" si="0"/>
        <v>3</v>
      </c>
      <c r="H25" s="7">
        <f t="shared" si="1"/>
        <v>1</v>
      </c>
      <c r="I25"/>
      <c r="J25"/>
    </row>
    <row r="26" spans="1:10" x14ac:dyDescent="0.25">
      <c r="A26" s="1" t="s">
        <v>59</v>
      </c>
      <c r="B26" s="3" t="s">
        <v>18</v>
      </c>
      <c r="D26" s="7" t="s">
        <v>50</v>
      </c>
      <c r="E26" s="8" t="s">
        <v>42</v>
      </c>
      <c r="F26" s="7" t="str">
        <f xml:space="preserve"> VLOOKUP(Tabella2[[#This Row],[Sector]],Tabella1[],2)</f>
        <v>Moderately high risk</v>
      </c>
      <c r="G26" s="8">
        <f t="shared" si="0"/>
        <v>4</v>
      </c>
      <c r="H26" s="7">
        <f t="shared" si="1"/>
        <v>1.1000000000000001</v>
      </c>
      <c r="I26"/>
      <c r="J26"/>
    </row>
    <row r="27" spans="1:10" x14ac:dyDescent="0.25">
      <c r="A27" s="1" t="s">
        <v>61</v>
      </c>
      <c r="B27" s="3" t="s">
        <v>9</v>
      </c>
      <c r="D27" s="7" t="s">
        <v>52</v>
      </c>
      <c r="E27" s="8" t="s">
        <v>17</v>
      </c>
      <c r="F27" s="7" t="str">
        <f xml:space="preserve"> VLOOKUP(Tabella2[[#This Row],[Sector]],Tabella1[],2)</f>
        <v>Moderately high risk</v>
      </c>
      <c r="G27" s="8">
        <f t="shared" si="0"/>
        <v>4</v>
      </c>
      <c r="H27" s="7">
        <f t="shared" si="1"/>
        <v>1.1000000000000001</v>
      </c>
      <c r="I27"/>
      <c r="J27"/>
    </row>
    <row r="28" spans="1:10" x14ac:dyDescent="0.25">
      <c r="A28" s="1" t="s">
        <v>63</v>
      </c>
      <c r="B28" s="3" t="s">
        <v>37</v>
      </c>
      <c r="D28" s="7" t="s">
        <v>54</v>
      </c>
      <c r="E28" s="8" t="s">
        <v>11</v>
      </c>
      <c r="F28" s="7" t="str">
        <f xml:space="preserve"> VLOOKUP(Tabella2[[#This Row],[Sector]],Tabella1[],2)</f>
        <v>Moderately high risk</v>
      </c>
      <c r="G28" s="8">
        <f t="shared" si="0"/>
        <v>4</v>
      </c>
      <c r="H28" s="7">
        <f t="shared" si="1"/>
        <v>1.1000000000000001</v>
      </c>
      <c r="I28"/>
      <c r="J28"/>
    </row>
    <row r="29" spans="1:10" x14ac:dyDescent="0.25">
      <c r="A29" s="1" t="s">
        <v>65</v>
      </c>
      <c r="B29" s="3" t="s">
        <v>9</v>
      </c>
      <c r="D29" s="7" t="s">
        <v>56</v>
      </c>
      <c r="E29" s="8" t="s">
        <v>17</v>
      </c>
      <c r="F29" s="7" t="str">
        <f xml:space="preserve"> VLOOKUP(Tabella2[[#This Row],[Sector]],Tabella1[],2)</f>
        <v>Moderately high risk</v>
      </c>
      <c r="G29" s="8">
        <f t="shared" si="0"/>
        <v>4</v>
      </c>
      <c r="H29" s="7">
        <f t="shared" si="1"/>
        <v>1.1000000000000001</v>
      </c>
    </row>
    <row r="30" spans="1:10" x14ac:dyDescent="0.25">
      <c r="A30" s="1" t="s">
        <v>67</v>
      </c>
      <c r="B30" s="3" t="s">
        <v>18</v>
      </c>
      <c r="D30" s="16" t="s">
        <v>92</v>
      </c>
      <c r="E30" s="8" t="s">
        <v>8</v>
      </c>
      <c r="F30" s="11" t="str">
        <f xml:space="preserve"> VLOOKUP(Tabella2[[#This Row],[Sector]],Tabella1[],2)</f>
        <v>Intermediate risk</v>
      </c>
      <c r="G30" s="8">
        <f t="shared" ref="G30:G52" si="2">IF(F30="Very low risk",1,IF(F30="Low risk",2,IF(F30="Intermediate risk",3,IF(F30="Moderately high risk",4,IF(F30="High risk",5,IF(F30="Very high risk",6, ""))))))</f>
        <v>3</v>
      </c>
      <c r="H30" s="12">
        <f t="shared" ref="H30:H52" si="3">IF(F30="Very low risk",0.75,IF(F30="Low risk",0.85,IF(F30="Intermediate risk",1,IF(F30="Moderately high risk",1.1,IF(F30="High risk",1.15,IF(F30="Very high risk",1.25, ""))))))</f>
        <v>1</v>
      </c>
    </row>
    <row r="31" spans="1:10" x14ac:dyDescent="0.25">
      <c r="A31" s="1" t="s">
        <v>68</v>
      </c>
      <c r="B31" s="3" t="s">
        <v>9</v>
      </c>
      <c r="D31" s="17" t="s">
        <v>93</v>
      </c>
      <c r="E31" s="8" t="s">
        <v>39</v>
      </c>
      <c r="F31" s="11" t="str">
        <f xml:space="preserve"> VLOOKUP(Tabella2[[#This Row],[Sector]],Tabella1[],2)</f>
        <v>Low risk</v>
      </c>
      <c r="G31" s="8">
        <f t="shared" si="2"/>
        <v>2</v>
      </c>
      <c r="H31" s="12">
        <f t="shared" si="3"/>
        <v>0.85</v>
      </c>
    </row>
    <row r="32" spans="1:10" x14ac:dyDescent="0.25">
      <c r="A32" s="1" t="s">
        <v>69</v>
      </c>
      <c r="B32" s="3" t="s">
        <v>18</v>
      </c>
      <c r="D32" s="16" t="s">
        <v>94</v>
      </c>
      <c r="E32" s="8" t="s">
        <v>28</v>
      </c>
      <c r="F32" s="11" t="str">
        <f xml:space="preserve"> VLOOKUP(Tabella2[[#This Row],[Sector]],Tabella1[],2)</f>
        <v>Intermediate risk</v>
      </c>
      <c r="G32" s="8">
        <f t="shared" si="2"/>
        <v>3</v>
      </c>
      <c r="H32" s="12">
        <f t="shared" si="3"/>
        <v>1</v>
      </c>
    </row>
    <row r="33" spans="1:8" x14ac:dyDescent="0.25">
      <c r="A33" s="1" t="s">
        <v>70</v>
      </c>
      <c r="B33" s="3" t="s">
        <v>71</v>
      </c>
      <c r="D33" s="17" t="s">
        <v>95</v>
      </c>
      <c r="E33" s="8" t="s">
        <v>51</v>
      </c>
      <c r="F33" s="11" t="str">
        <f xml:space="preserve"> VLOOKUP(Tabella2[[#This Row],[Sector]],Tabella1[],2)</f>
        <v>Moderately high risk</v>
      </c>
      <c r="G33" s="8">
        <f t="shared" si="2"/>
        <v>4</v>
      </c>
      <c r="H33" s="12">
        <f t="shared" si="3"/>
        <v>1.1000000000000001</v>
      </c>
    </row>
    <row r="34" spans="1:8" x14ac:dyDescent="0.25">
      <c r="A34" s="1" t="s">
        <v>72</v>
      </c>
      <c r="B34" s="3" t="s">
        <v>71</v>
      </c>
      <c r="D34" s="16" t="s">
        <v>96</v>
      </c>
      <c r="E34" s="8" t="s">
        <v>22</v>
      </c>
      <c r="F34" s="11" t="str">
        <f xml:space="preserve"> VLOOKUP(Tabella2[[#This Row],[Sector]],Tabella1[],2)</f>
        <v>Low risk</v>
      </c>
      <c r="G34" s="8">
        <f t="shared" si="2"/>
        <v>2</v>
      </c>
      <c r="H34" s="12">
        <f t="shared" si="3"/>
        <v>0.85</v>
      </c>
    </row>
    <row r="35" spans="1:8" x14ac:dyDescent="0.25">
      <c r="A35" s="1" t="s">
        <v>73</v>
      </c>
      <c r="B35" s="3" t="s">
        <v>37</v>
      </c>
      <c r="D35" s="17" t="s">
        <v>97</v>
      </c>
      <c r="E35" s="8" t="s">
        <v>35</v>
      </c>
      <c r="F35" s="11" t="str">
        <f xml:space="preserve"> VLOOKUP(Tabella2[[#This Row],[Sector]],Tabella1[],2)</f>
        <v>Intermediate risk</v>
      </c>
      <c r="G35" s="8">
        <f t="shared" si="2"/>
        <v>3</v>
      </c>
      <c r="H35" s="12">
        <f t="shared" si="3"/>
        <v>1</v>
      </c>
    </row>
    <row r="36" spans="1:8" x14ac:dyDescent="0.25">
      <c r="A36" s="1" t="s">
        <v>74</v>
      </c>
      <c r="B36" s="3" t="s">
        <v>71</v>
      </c>
      <c r="D36" s="16" t="s">
        <v>98</v>
      </c>
      <c r="E36" s="8" t="s">
        <v>17</v>
      </c>
      <c r="F36" s="11" t="str">
        <f xml:space="preserve"> VLOOKUP(Tabella2[[#This Row],[Sector]],Tabella1[],2)</f>
        <v>Moderately high risk</v>
      </c>
      <c r="G36" s="8">
        <f t="shared" si="2"/>
        <v>4</v>
      </c>
      <c r="H36" s="12">
        <f t="shared" si="3"/>
        <v>1.1000000000000001</v>
      </c>
    </row>
    <row r="37" spans="1:8" x14ac:dyDescent="0.25">
      <c r="A37" s="1" t="s">
        <v>75</v>
      </c>
      <c r="B37" s="3" t="s">
        <v>9</v>
      </c>
      <c r="D37" s="17" t="s">
        <v>99</v>
      </c>
      <c r="E37" s="8" t="s">
        <v>27</v>
      </c>
      <c r="F37" s="11" t="str">
        <f xml:space="preserve"> VLOOKUP(Tabella2[[#This Row],[Sector]],Tabella1[],2)</f>
        <v>Intermediate risk</v>
      </c>
      <c r="G37" s="8">
        <f t="shared" si="2"/>
        <v>3</v>
      </c>
      <c r="H37" s="12">
        <f t="shared" si="3"/>
        <v>1</v>
      </c>
    </row>
    <row r="38" spans="1:8" x14ac:dyDescent="0.25">
      <c r="A38" s="1" t="s">
        <v>76</v>
      </c>
      <c r="B38" s="3" t="s">
        <v>37</v>
      </c>
      <c r="D38" s="16" t="s">
        <v>100</v>
      </c>
      <c r="E38" s="8" t="s">
        <v>22</v>
      </c>
      <c r="F38" s="11" t="str">
        <f xml:space="preserve"> VLOOKUP(Tabella2[[#This Row],[Sector]],Tabella1[],2)</f>
        <v>Low risk</v>
      </c>
      <c r="G38" s="8">
        <f t="shared" si="2"/>
        <v>2</v>
      </c>
      <c r="H38" s="12">
        <f t="shared" si="3"/>
        <v>0.85</v>
      </c>
    </row>
    <row r="39" spans="1:8" x14ac:dyDescent="0.25">
      <c r="A39" s="1" t="s">
        <v>77</v>
      </c>
      <c r="B39" s="3" t="s">
        <v>37</v>
      </c>
      <c r="D39" s="17" t="s">
        <v>101</v>
      </c>
      <c r="E39" s="8" t="s">
        <v>42</v>
      </c>
      <c r="F39" s="11" t="str">
        <f xml:space="preserve"> VLOOKUP(Tabella2[[#This Row],[Sector]],Tabella1[],2)</f>
        <v>Moderately high risk</v>
      </c>
      <c r="G39" s="8">
        <f t="shared" si="2"/>
        <v>4</v>
      </c>
      <c r="H39" s="12">
        <f t="shared" si="3"/>
        <v>1.1000000000000001</v>
      </c>
    </row>
    <row r="40" spans="1:8" x14ac:dyDescent="0.25">
      <c r="A40" s="1" t="s">
        <v>78</v>
      </c>
      <c r="B40" s="3" t="s">
        <v>37</v>
      </c>
      <c r="D40" s="16" t="s">
        <v>102</v>
      </c>
      <c r="E40" s="8" t="s">
        <v>39</v>
      </c>
      <c r="F40" s="11" t="str">
        <f xml:space="preserve"> VLOOKUP(Tabella2[[#This Row],[Sector]],Tabella1[],2)</f>
        <v>Low risk</v>
      </c>
      <c r="G40" s="8">
        <f t="shared" si="2"/>
        <v>2</v>
      </c>
      <c r="H40" s="12">
        <f t="shared" si="3"/>
        <v>0.85</v>
      </c>
    </row>
    <row r="41" spans="1:8" x14ac:dyDescent="0.25">
      <c r="A41" s="1" t="s">
        <v>42</v>
      </c>
      <c r="B41" s="3" t="s">
        <v>18</v>
      </c>
      <c r="D41" s="17" t="s">
        <v>103</v>
      </c>
      <c r="E41" s="8" t="s">
        <v>39</v>
      </c>
      <c r="F41" s="11" t="str">
        <f xml:space="preserve"> VLOOKUP(Tabella2[[#This Row],[Sector]],Tabella1[],2)</f>
        <v>Low risk</v>
      </c>
      <c r="G41" s="8">
        <f t="shared" si="2"/>
        <v>2</v>
      </c>
      <c r="H41" s="12">
        <f t="shared" si="3"/>
        <v>0.85</v>
      </c>
    </row>
    <row r="42" spans="1:8" x14ac:dyDescent="0.25">
      <c r="A42" s="1" t="s">
        <v>79</v>
      </c>
      <c r="B42" s="3" t="s">
        <v>18</v>
      </c>
      <c r="D42" s="16" t="s">
        <v>104</v>
      </c>
      <c r="E42" s="8" t="s">
        <v>51</v>
      </c>
      <c r="F42" s="11" t="str">
        <f xml:space="preserve"> VLOOKUP(Tabella2[[#This Row],[Sector]],Tabella1[],2)</f>
        <v>Moderately high risk</v>
      </c>
      <c r="G42" s="8">
        <f t="shared" si="2"/>
        <v>4</v>
      </c>
      <c r="H42" s="12">
        <f t="shared" si="3"/>
        <v>1.1000000000000001</v>
      </c>
    </row>
    <row r="43" spans="1:8" x14ac:dyDescent="0.25">
      <c r="A43" s="1" t="s">
        <v>39</v>
      </c>
      <c r="B43" s="3" t="s">
        <v>37</v>
      </c>
      <c r="D43" s="17" t="s">
        <v>105</v>
      </c>
      <c r="E43" s="8" t="s">
        <v>27</v>
      </c>
      <c r="F43" s="11" t="str">
        <f xml:space="preserve"> VLOOKUP(Tabella2[[#This Row],[Sector]],Tabella1[],2)</f>
        <v>Intermediate risk</v>
      </c>
      <c r="G43" s="8">
        <f t="shared" si="2"/>
        <v>3</v>
      </c>
      <c r="H43" s="12">
        <f t="shared" si="3"/>
        <v>1</v>
      </c>
    </row>
    <row r="44" spans="1:8" x14ac:dyDescent="0.25">
      <c r="A44" s="1" t="s">
        <v>80</v>
      </c>
      <c r="B44" s="3" t="s">
        <v>37</v>
      </c>
      <c r="D44" s="16" t="s">
        <v>106</v>
      </c>
      <c r="E44" s="8" t="s">
        <v>22</v>
      </c>
      <c r="F44" s="11" t="str">
        <f xml:space="preserve"> VLOOKUP(Tabella2[[#This Row],[Sector]],Tabella1[],2)</f>
        <v>Low risk</v>
      </c>
      <c r="G44" s="8">
        <f t="shared" si="2"/>
        <v>2</v>
      </c>
      <c r="H44" s="12">
        <f t="shared" si="3"/>
        <v>0.85</v>
      </c>
    </row>
    <row r="45" spans="1:8" x14ac:dyDescent="0.25">
      <c r="A45" s="1" t="s">
        <v>81</v>
      </c>
      <c r="B45" s="3" t="s">
        <v>37</v>
      </c>
      <c r="D45" s="17" t="s">
        <v>107</v>
      </c>
      <c r="E45" s="8" t="s">
        <v>22</v>
      </c>
      <c r="F45" s="11" t="str">
        <f xml:space="preserve"> VLOOKUP(Tabella2[[#This Row],[Sector]],Tabella1[],2)</f>
        <v>Low risk</v>
      </c>
      <c r="G45" s="8">
        <f t="shared" si="2"/>
        <v>2</v>
      </c>
      <c r="H45" s="12">
        <f t="shared" si="3"/>
        <v>0.85</v>
      </c>
    </row>
    <row r="46" spans="1:8" x14ac:dyDescent="0.25">
      <c r="A46" s="1" t="s">
        <v>82</v>
      </c>
      <c r="B46" s="3" t="s">
        <v>37</v>
      </c>
      <c r="D46" s="16" t="s">
        <v>108</v>
      </c>
      <c r="E46" s="8" t="s">
        <v>28</v>
      </c>
      <c r="F46" s="11" t="str">
        <f xml:space="preserve"> VLOOKUP(Tabella2[[#This Row],[Sector]],Tabella1[],2)</f>
        <v>Intermediate risk</v>
      </c>
      <c r="G46" s="8">
        <f t="shared" si="2"/>
        <v>3</v>
      </c>
      <c r="H46" s="12">
        <f t="shared" si="3"/>
        <v>1</v>
      </c>
    </row>
    <row r="47" spans="1:8" x14ac:dyDescent="0.25">
      <c r="A47" s="1" t="s">
        <v>83</v>
      </c>
      <c r="B47" s="3" t="s">
        <v>18</v>
      </c>
      <c r="D47" s="17" t="s">
        <v>109</v>
      </c>
      <c r="E47" s="8" t="s">
        <v>17</v>
      </c>
      <c r="F47" s="11" t="str">
        <f xml:space="preserve"> VLOOKUP(Tabella2[[#This Row],[Sector]],Tabella1[],2)</f>
        <v>Moderately high risk</v>
      </c>
      <c r="G47" s="8">
        <f t="shared" si="2"/>
        <v>4</v>
      </c>
      <c r="H47" s="12">
        <f t="shared" si="3"/>
        <v>1.1000000000000001</v>
      </c>
    </row>
    <row r="48" spans="1:8" x14ac:dyDescent="0.25">
      <c r="A48" s="1" t="s">
        <v>84</v>
      </c>
      <c r="B48" s="3" t="s">
        <v>71</v>
      </c>
      <c r="D48" s="16" t="s">
        <v>110</v>
      </c>
      <c r="E48" s="8" t="s">
        <v>14</v>
      </c>
      <c r="F48" s="11" t="str">
        <f xml:space="preserve"> VLOOKUP(Tabella2[[#This Row],[Sector]],Tabella1[],2)</f>
        <v>Intermediate risk</v>
      </c>
      <c r="G48" s="8">
        <f t="shared" si="2"/>
        <v>3</v>
      </c>
      <c r="H48" s="12">
        <f t="shared" si="3"/>
        <v>1</v>
      </c>
    </row>
    <row r="49" spans="1:8" x14ac:dyDescent="0.25">
      <c r="A49" s="1" t="s">
        <v>27</v>
      </c>
      <c r="B49" s="3" t="s">
        <v>9</v>
      </c>
      <c r="D49" s="17" t="s">
        <v>111</v>
      </c>
      <c r="E49" s="8" t="s">
        <v>42</v>
      </c>
      <c r="F49" s="11" t="str">
        <f xml:space="preserve"> VLOOKUP(Tabella2[[#This Row],[Sector]],Tabella1[],2)</f>
        <v>Moderately high risk</v>
      </c>
      <c r="G49" s="8">
        <f t="shared" si="2"/>
        <v>4</v>
      </c>
      <c r="H49" s="12">
        <f t="shared" si="3"/>
        <v>1.1000000000000001</v>
      </c>
    </row>
    <row r="50" spans="1:8" x14ac:dyDescent="0.25">
      <c r="A50" s="1" t="s">
        <v>85</v>
      </c>
      <c r="B50" s="3" t="s">
        <v>37</v>
      </c>
      <c r="D50" s="16" t="s">
        <v>112</v>
      </c>
      <c r="E50" s="8" t="s">
        <v>42</v>
      </c>
      <c r="F50" s="11" t="str">
        <f xml:space="preserve"> VLOOKUP(Tabella2[[#This Row],[Sector]],Tabella1[],2)</f>
        <v>Moderately high risk</v>
      </c>
      <c r="G50" s="8">
        <f t="shared" si="2"/>
        <v>4</v>
      </c>
      <c r="H50" s="12">
        <f t="shared" si="3"/>
        <v>1.1000000000000001</v>
      </c>
    </row>
    <row r="51" spans="1:8" x14ac:dyDescent="0.25">
      <c r="A51" s="1" t="s">
        <v>11</v>
      </c>
      <c r="B51" s="3" t="s">
        <v>18</v>
      </c>
      <c r="D51" s="17" t="s">
        <v>113</v>
      </c>
      <c r="E51" s="8" t="s">
        <v>42</v>
      </c>
      <c r="F51" s="11" t="str">
        <f xml:space="preserve"> VLOOKUP(Tabella2[[#This Row],[Sector]],Tabella1[],2)</f>
        <v>Moderately high risk</v>
      </c>
      <c r="G51" s="8">
        <f t="shared" si="2"/>
        <v>4</v>
      </c>
      <c r="H51" s="12">
        <f t="shared" si="3"/>
        <v>1.1000000000000001</v>
      </c>
    </row>
    <row r="52" spans="1:8" x14ac:dyDescent="0.25">
      <c r="A52" s="1" t="s">
        <v>14</v>
      </c>
      <c r="B52" s="3" t="s">
        <v>9</v>
      </c>
      <c r="D52" s="18" t="s">
        <v>114</v>
      </c>
      <c r="E52" s="13" t="s">
        <v>42</v>
      </c>
      <c r="F52" s="14" t="str">
        <f xml:space="preserve"> VLOOKUP(Tabella2[[#This Row],[Sector]],Tabella1[],2)</f>
        <v>Moderately high risk</v>
      </c>
      <c r="G52" s="13">
        <f t="shared" si="2"/>
        <v>4</v>
      </c>
      <c r="H52" s="15">
        <f t="shared" si="3"/>
        <v>1.1000000000000001</v>
      </c>
    </row>
    <row r="53" spans="1:8" x14ac:dyDescent="0.25">
      <c r="A53" s="1" t="s">
        <v>86</v>
      </c>
      <c r="B53" s="3" t="s">
        <v>9</v>
      </c>
    </row>
    <row r="54" spans="1:8" x14ac:dyDescent="0.25">
      <c r="A54" s="1" t="s">
        <v>87</v>
      </c>
      <c r="B54" s="3" t="s">
        <v>88</v>
      </c>
    </row>
    <row r="55" spans="1:8" x14ac:dyDescent="0.25">
      <c r="A55" s="1" t="s">
        <v>89</v>
      </c>
      <c r="B55" s="3" t="s">
        <v>37</v>
      </c>
    </row>
    <row r="56" spans="1:8" x14ac:dyDescent="0.25">
      <c r="A56" s="1" t="s">
        <v>90</v>
      </c>
      <c r="B56" s="3" t="s">
        <v>9</v>
      </c>
    </row>
    <row r="57" spans="1:8" x14ac:dyDescent="0.25">
      <c r="A57" s="1" t="s">
        <v>91</v>
      </c>
      <c r="B57" s="3" t="s">
        <v>18</v>
      </c>
    </row>
  </sheetData>
  <mergeCells count="1">
    <mergeCell ref="A1:D2"/>
  </mergeCells>
  <phoneticPr fontId="7" type="noConversion"/>
  <conditionalFormatting sqref="H5:H5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1">
    <dataValidation type="list" allowBlank="1" showInputMessage="1" showErrorMessage="1" sqref="F5 D6:D24 C25:C1048575" xr:uid="{15540C1D-FD67-AF40-B50A-61F6F8E9CCBF}">
      <formula1>"Very low risk, Low risk, Intermediate risk, Moderately high risk, High risk, Very high risk"</formula1>
    </dataValidation>
  </dataValidation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0047C2-3AA2-4380-A263-E8F6A41797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C7DB2B-ED72-4A45-9CDA-C30219DC14E3}"/>
</file>

<file path=customXml/itemProps3.xml><?xml version="1.0" encoding="utf-8"?>
<ds:datastoreItem xmlns:ds="http://schemas.openxmlformats.org/officeDocument/2006/customXml" ds:itemID="{CC3B53C7-F1BC-413A-A4D7-DC6FF0496D9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c41a64fd-65ba-4a6e-8004-8ade4c8fdb39"/>
    <ds:schemaRef ds:uri="http://schemas.microsoft.com/office/2006/metadata/properties"/>
    <ds:schemaRef ds:uri="http://purl.org/dc/dcmitype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Sector Risk Multiplier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2026-03-13T15:41:13Z</dcterms:created>
  <dcterms:modified xsi:type="dcterms:W3CDTF">2026-04-25T10:43:54Z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