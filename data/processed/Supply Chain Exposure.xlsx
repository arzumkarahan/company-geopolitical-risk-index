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445" documentId="8_{CE761FCC-72CC-8848-84B8-DF0AC30ABCD7}" xr6:coauthVersionLast="47" xr6:coauthVersionMax="47" xr10:uidLastSave="{242F2663-4D87-1C4D-B634-0E61D2B73A59}"/>
  <bookViews>
    <workbookView xWindow="0" yWindow="660" windowWidth="28800" windowHeight="16100" xr2:uid="{2BE9271D-A544-7B45-982E-365B03A5B8B0}"/>
  </bookViews>
  <sheets>
    <sheet name="Supply Chain Exposure - Overall" sheetId="2" r:id="rId1"/>
    <sheet name="HHI Index - Submultiplier" sheetId="27" r:id="rId2"/>
    <sheet name="Country of Suppliers - Apple" sheetId="1" r:id="rId3"/>
    <sheet name="Country of Suppliers - Sony" sheetId="3" r:id="rId4"/>
    <sheet name="Country of Suppliers - Meta" sheetId="4" r:id="rId5"/>
    <sheet name="Country of Suppliers - NVIDIA" sheetId="5" r:id="rId6"/>
    <sheet name="Country of Suppliers - VW" sheetId="6" r:id="rId7"/>
    <sheet name="Country of Suppliers Microsoft" sheetId="7" r:id="rId8"/>
    <sheet name="Country of Suppliers - JPMorgan" sheetId="8" r:id="rId9"/>
    <sheet name="Country of Suppliers - Tencent" sheetId="9" r:id="rId10"/>
    <sheet name="Country of Suppliers - Reliance" sheetId="10" r:id="rId11"/>
    <sheet name="Country of Suppliers - Total En" sheetId="11" r:id="rId12"/>
    <sheet name="Country of Suppliers - P&amp;G" sheetId="12" r:id="rId13"/>
    <sheet name="Country of Suppliers - EliLilly" sheetId="13" r:id="rId14"/>
    <sheet name="Country of Suppliers - ENI" sheetId="14" r:id="rId15"/>
    <sheet name="Country of Suppliers - Allianz" sheetId="15" r:id="rId16"/>
    <sheet name="Country of Suppliers - ASML" sheetId="16" r:id="rId17"/>
    <sheet name="Country of Suppliers - TSMC" sheetId="17" r:id="rId18"/>
    <sheet name="Country of Suppliers - Toyota" sheetId="18" r:id="rId19"/>
    <sheet name="Country of Suppliers - SAP" sheetId="19" r:id="rId20"/>
    <sheet name="Country of Suppliers - Nordisk" sheetId="20" r:id="rId21"/>
    <sheet name="Country of Suppliers - LVMH" sheetId="21" r:id="rId22"/>
    <sheet name="Country of Suppliers - Oreal" sheetId="22" r:id="rId23"/>
    <sheet name="Country of Suppliers - BNP" sheetId="23" r:id="rId24"/>
    <sheet name="Country of Suppliers - Samsung" sheetId="24" r:id="rId25"/>
    <sheet name="Country of Suppliers - Amazon" sheetId="26" r:id="rId26"/>
    <sheet name="Country of Suppliers - Ford" sheetId="25" r:id="rId27"/>
  </sheets>
  <externalReferences>
    <externalReference r:id="rId2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G2" i="2" s="1"/>
  <c r="D3" i="2"/>
  <c r="G3" i="2" s="1"/>
  <c r="D4" i="2"/>
  <c r="G4" i="2" s="1"/>
  <c r="D5" i="2"/>
  <c r="D6" i="2"/>
  <c r="G6" i="2" s="1"/>
  <c r="D7" i="2"/>
  <c r="G7" i="2" s="1"/>
  <c r="D8" i="2"/>
  <c r="G8" i="2" s="1"/>
  <c r="D9" i="2"/>
  <c r="G9" i="2" s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7"/>
  <c r="G5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C3" i="27"/>
  <c r="C2" i="27"/>
  <c r="B3" i="27"/>
  <c r="B2" i="27"/>
  <c r="C8" i="2"/>
  <c r="C7" i="2"/>
  <c r="C6" i="2"/>
  <c r="C5" i="2"/>
  <c r="C10" i="2"/>
  <c r="C26" i="2"/>
  <c r="C25" i="2"/>
  <c r="C24" i="2"/>
  <c r="C23" i="2"/>
  <c r="C22" i="2"/>
  <c r="C21" i="2"/>
  <c r="C20" i="2"/>
  <c r="C18" i="2"/>
  <c r="C15" i="2"/>
  <c r="C12" i="2"/>
  <c r="C11" i="2"/>
  <c r="C2" i="2"/>
  <c r="C16" i="2"/>
  <c r="C3" i="2"/>
  <c r="C19" i="2"/>
  <c r="C17" i="2"/>
  <c r="C9" i="2"/>
  <c r="C14" i="2"/>
  <c r="C13" i="2"/>
  <c r="B8" i="2"/>
  <c r="B7" i="2"/>
  <c r="B6" i="2"/>
  <c r="B5" i="2"/>
  <c r="B10" i="2"/>
  <c r="B26" i="2"/>
  <c r="B25" i="2"/>
  <c r="B24" i="2"/>
  <c r="B23" i="2"/>
  <c r="B22" i="2"/>
  <c r="B21" i="2"/>
  <c r="B20" i="2"/>
  <c r="B18" i="2"/>
  <c r="B15" i="2"/>
  <c r="B12" i="2"/>
  <c r="B11" i="2"/>
  <c r="B2" i="2"/>
  <c r="B16" i="2"/>
  <c r="B3" i="2"/>
  <c r="B19" i="2"/>
  <c r="B17" i="2"/>
  <c r="B9" i="2"/>
  <c r="B14" i="2"/>
  <c r="B13" i="2"/>
  <c r="B4" i="2"/>
  <c r="C4" i="2"/>
  <c r="K9" i="1"/>
  <c r="K9" i="3"/>
  <c r="K9" i="4"/>
  <c r="K9" i="5"/>
  <c r="K9" i="6"/>
  <c r="K9" i="7"/>
  <c r="K9" i="8"/>
  <c r="K9" i="9"/>
  <c r="K9" i="11"/>
  <c r="K9" i="12"/>
  <c r="K9" i="13"/>
  <c r="K9" i="14"/>
  <c r="K9" i="15"/>
  <c r="K9" i="16"/>
  <c r="K9" i="17"/>
  <c r="K9" i="18"/>
  <c r="K9" i="19"/>
  <c r="K9" i="20"/>
  <c r="K9" i="21"/>
  <c r="K9" i="22"/>
  <c r="K9" i="23"/>
  <c r="K9" i="24"/>
  <c r="K9" i="26"/>
  <c r="K9" i="25"/>
  <c r="K9" i="10"/>
  <c r="P9" i="3"/>
  <c r="P9" i="4"/>
  <c r="P9" i="5"/>
  <c r="P9" i="6"/>
  <c r="P9" i="7"/>
  <c r="P9" i="8"/>
  <c r="P9" i="9"/>
  <c r="P9" i="10"/>
  <c r="P9" i="11"/>
  <c r="P9" i="12"/>
  <c r="P9" i="13"/>
  <c r="P9" i="14"/>
  <c r="P9" i="15"/>
  <c r="P9" i="16"/>
  <c r="P9" i="17"/>
  <c r="P9" i="18"/>
  <c r="P9" i="19"/>
  <c r="P9" i="20"/>
  <c r="P9" i="21"/>
  <c r="P9" i="22"/>
  <c r="P9" i="23"/>
  <c r="P9" i="24"/>
  <c r="P9" i="26"/>
  <c r="P9" i="25"/>
  <c r="P9" i="1"/>
  <c r="B151" i="7"/>
  <c r="B151" i="6"/>
  <c r="B151" i="5"/>
  <c r="B151" i="4"/>
  <c r="B151" i="3"/>
  <c r="B151" i="1"/>
  <c r="P8" i="25"/>
  <c r="O8" i="25"/>
  <c r="N8" i="25"/>
  <c r="K8" i="25"/>
  <c r="J8" i="25"/>
  <c r="I8" i="25"/>
  <c r="P7" i="25"/>
  <c r="O7" i="25"/>
  <c r="N7" i="25"/>
  <c r="K7" i="25"/>
  <c r="J7" i="25"/>
  <c r="I7" i="25"/>
  <c r="P8" i="26"/>
  <c r="O8" i="26"/>
  <c r="N8" i="26"/>
  <c r="K8" i="26"/>
  <c r="J8" i="26"/>
  <c r="I8" i="26"/>
  <c r="P7" i="26"/>
  <c r="O7" i="26"/>
  <c r="N7" i="26"/>
  <c r="K7" i="26"/>
  <c r="J7" i="26"/>
  <c r="I7" i="26"/>
  <c r="P8" i="24"/>
  <c r="O8" i="24"/>
  <c r="N8" i="24"/>
  <c r="K8" i="24"/>
  <c r="J8" i="24"/>
  <c r="I8" i="24"/>
  <c r="P7" i="24"/>
  <c r="O7" i="24"/>
  <c r="N7" i="24"/>
  <c r="K7" i="24"/>
  <c r="J7" i="24"/>
  <c r="I7" i="24"/>
  <c r="P8" i="23"/>
  <c r="O8" i="23"/>
  <c r="N8" i="23"/>
  <c r="K8" i="23"/>
  <c r="J8" i="23"/>
  <c r="I8" i="23"/>
  <c r="P7" i="23"/>
  <c r="O7" i="23"/>
  <c r="N7" i="23"/>
  <c r="K7" i="23"/>
  <c r="J7" i="23"/>
  <c r="I7" i="23"/>
  <c r="P8" i="22"/>
  <c r="O8" i="22"/>
  <c r="N8" i="22"/>
  <c r="K8" i="22"/>
  <c r="J8" i="22"/>
  <c r="I8" i="22"/>
  <c r="P7" i="22"/>
  <c r="O7" i="22"/>
  <c r="N7" i="22"/>
  <c r="K7" i="22"/>
  <c r="J7" i="22"/>
  <c r="I7" i="22"/>
  <c r="P8" i="21"/>
  <c r="O8" i="21"/>
  <c r="N8" i="21"/>
  <c r="K8" i="21"/>
  <c r="J8" i="21"/>
  <c r="I8" i="21"/>
  <c r="P7" i="21"/>
  <c r="O7" i="21"/>
  <c r="N7" i="21"/>
  <c r="K7" i="21"/>
  <c r="J7" i="21"/>
  <c r="I7" i="21"/>
  <c r="P8" i="20"/>
  <c r="O8" i="20"/>
  <c r="N8" i="20"/>
  <c r="K8" i="20"/>
  <c r="J8" i="20"/>
  <c r="I8" i="20"/>
  <c r="P7" i="20"/>
  <c r="O7" i="20"/>
  <c r="N7" i="20"/>
  <c r="K7" i="20"/>
  <c r="J7" i="20"/>
  <c r="I7" i="20"/>
  <c r="P8" i="19"/>
  <c r="O8" i="19"/>
  <c r="N8" i="19"/>
  <c r="K8" i="19"/>
  <c r="J8" i="19"/>
  <c r="I8" i="19"/>
  <c r="P7" i="19"/>
  <c r="O7" i="19"/>
  <c r="N7" i="19"/>
  <c r="K7" i="19"/>
  <c r="J7" i="19"/>
  <c r="I7" i="19"/>
  <c r="P8" i="18"/>
  <c r="O8" i="18"/>
  <c r="N8" i="18"/>
  <c r="K8" i="18"/>
  <c r="J8" i="18"/>
  <c r="I8" i="18"/>
  <c r="P7" i="18"/>
  <c r="O7" i="18"/>
  <c r="N7" i="18"/>
  <c r="K7" i="18"/>
  <c r="J7" i="18"/>
  <c r="I7" i="18"/>
  <c r="P8" i="17"/>
  <c r="O8" i="17"/>
  <c r="N8" i="17"/>
  <c r="K8" i="17"/>
  <c r="J8" i="17"/>
  <c r="I8" i="17"/>
  <c r="P7" i="17"/>
  <c r="O7" i="17"/>
  <c r="N7" i="17"/>
  <c r="K7" i="17"/>
  <c r="J7" i="17"/>
  <c r="I7" i="17"/>
  <c r="P8" i="16"/>
  <c r="O8" i="16"/>
  <c r="N8" i="16"/>
  <c r="K8" i="16"/>
  <c r="J8" i="16"/>
  <c r="I8" i="16"/>
  <c r="P7" i="16"/>
  <c r="O7" i="16"/>
  <c r="N7" i="16"/>
  <c r="K7" i="16"/>
  <c r="J7" i="16"/>
  <c r="I7" i="16"/>
  <c r="P8" i="15"/>
  <c r="O8" i="15"/>
  <c r="N8" i="15"/>
  <c r="K8" i="15"/>
  <c r="J8" i="15"/>
  <c r="I8" i="15"/>
  <c r="P7" i="15"/>
  <c r="O7" i="15"/>
  <c r="N7" i="15"/>
  <c r="K7" i="15"/>
  <c r="J7" i="15"/>
  <c r="I7" i="15"/>
  <c r="P8" i="14"/>
  <c r="O8" i="14"/>
  <c r="N8" i="14"/>
  <c r="K8" i="14"/>
  <c r="J8" i="14"/>
  <c r="I8" i="14"/>
  <c r="P7" i="14"/>
  <c r="O7" i="14"/>
  <c r="N7" i="14"/>
  <c r="K7" i="14"/>
  <c r="J7" i="14"/>
  <c r="I7" i="14"/>
  <c r="P8" i="13"/>
  <c r="O8" i="13"/>
  <c r="N8" i="13"/>
  <c r="K8" i="13"/>
  <c r="J8" i="13"/>
  <c r="I8" i="13"/>
  <c r="P7" i="13"/>
  <c r="O7" i="13"/>
  <c r="N7" i="13"/>
  <c r="K7" i="13"/>
  <c r="J7" i="13"/>
  <c r="I7" i="13"/>
  <c r="P8" i="12"/>
  <c r="O8" i="12"/>
  <c r="N8" i="12"/>
  <c r="K8" i="12"/>
  <c r="J8" i="12"/>
  <c r="I8" i="12"/>
  <c r="P7" i="12"/>
  <c r="O7" i="12"/>
  <c r="N7" i="12"/>
  <c r="K7" i="12"/>
  <c r="J7" i="12"/>
  <c r="I7" i="12"/>
  <c r="P8" i="11"/>
  <c r="O8" i="11"/>
  <c r="N8" i="11"/>
  <c r="K8" i="11"/>
  <c r="J8" i="11"/>
  <c r="I8" i="11"/>
  <c r="P7" i="11"/>
  <c r="O7" i="11"/>
  <c r="N7" i="11"/>
  <c r="K7" i="11"/>
  <c r="J7" i="11"/>
  <c r="I7" i="11"/>
  <c r="P8" i="10"/>
  <c r="O8" i="10"/>
  <c r="N8" i="10"/>
  <c r="K8" i="10"/>
  <c r="J8" i="10"/>
  <c r="I8" i="10"/>
  <c r="P7" i="10"/>
  <c r="O7" i="10"/>
  <c r="N7" i="10"/>
  <c r="K7" i="10"/>
  <c r="J7" i="10"/>
  <c r="I7" i="10"/>
  <c r="P8" i="9"/>
  <c r="O8" i="9"/>
  <c r="N8" i="9"/>
  <c r="K8" i="9"/>
  <c r="J8" i="9"/>
  <c r="I8" i="9"/>
  <c r="P7" i="9"/>
  <c r="O7" i="9"/>
  <c r="N7" i="9"/>
  <c r="K7" i="9"/>
  <c r="J7" i="9"/>
  <c r="I7" i="9"/>
  <c r="P8" i="8"/>
  <c r="O8" i="8"/>
  <c r="N8" i="8"/>
  <c r="K8" i="8"/>
  <c r="J8" i="8"/>
  <c r="I8" i="8"/>
  <c r="P7" i="8"/>
  <c r="O7" i="8"/>
  <c r="N7" i="8"/>
  <c r="K7" i="8"/>
  <c r="J7" i="8"/>
  <c r="I7" i="8"/>
  <c r="P8" i="7"/>
  <c r="O8" i="7"/>
  <c r="N8" i="7"/>
  <c r="K8" i="7"/>
  <c r="J8" i="7"/>
  <c r="I8" i="7"/>
  <c r="P7" i="7"/>
  <c r="O7" i="7"/>
  <c r="N7" i="7"/>
  <c r="K7" i="7"/>
  <c r="J7" i="7"/>
  <c r="I7" i="7"/>
  <c r="P8" i="6"/>
  <c r="O8" i="6"/>
  <c r="N8" i="6"/>
  <c r="K8" i="6"/>
  <c r="J8" i="6"/>
  <c r="I8" i="6"/>
  <c r="P7" i="6"/>
  <c r="O7" i="6"/>
  <c r="N7" i="6"/>
  <c r="K7" i="6"/>
  <c r="J7" i="6"/>
  <c r="I7" i="6"/>
  <c r="P8" i="5"/>
  <c r="O8" i="5"/>
  <c r="N8" i="5"/>
  <c r="K8" i="5"/>
  <c r="J8" i="5"/>
  <c r="I8" i="5"/>
  <c r="P7" i="5"/>
  <c r="O7" i="5"/>
  <c r="N7" i="5"/>
  <c r="K7" i="5"/>
  <c r="J7" i="5"/>
  <c r="I7" i="5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E151" i="26"/>
  <c r="C151" i="26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E151" i="24"/>
  <c r="C151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E151" i="23"/>
  <c r="C151" i="23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E151" i="22"/>
  <c r="C151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E151" i="21"/>
  <c r="C151" i="21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E151" i="20"/>
  <c r="C151" i="20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E151" i="19"/>
  <c r="C151" i="19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E151" i="18"/>
  <c r="C151" i="18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E151" i="17"/>
  <c r="C151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E151" i="16"/>
  <c r="C151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E151" i="15"/>
  <c r="C151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E151" i="14"/>
  <c r="C151" i="14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E151" i="13"/>
  <c r="C151" i="13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E151" i="12"/>
  <c r="C151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E151" i="11"/>
  <c r="C151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C151" i="10"/>
  <c r="E151" i="10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E151" i="9"/>
  <c r="C151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E151" i="8"/>
  <c r="C151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4" i="7"/>
  <c r="E151" i="7"/>
  <c r="C151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E151" i="6"/>
  <c r="C151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E151" i="5"/>
  <c r="C151" i="5"/>
  <c r="E151" i="4"/>
  <c r="C151" i="4"/>
  <c r="E151" i="3"/>
  <c r="C151" i="3"/>
  <c r="E151" i="1"/>
  <c r="C151" i="1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E151" i="25"/>
  <c r="C31" i="1"/>
  <c r="C31" i="25"/>
  <c r="C151" i="25" s="1"/>
  <c r="C31" i="26"/>
  <c r="C31" i="24"/>
  <c r="C31" i="23"/>
  <c r="C31" i="22"/>
  <c r="C31" i="21"/>
  <c r="C31" i="20"/>
  <c r="C31" i="18"/>
  <c r="C31" i="17"/>
  <c r="C31" i="16"/>
  <c r="C31" i="15"/>
  <c r="C31" i="12"/>
  <c r="C31" i="11"/>
  <c r="C31" i="10"/>
  <c r="C31" i="9"/>
  <c r="C31" i="8"/>
  <c r="C31" i="7"/>
  <c r="C31" i="6"/>
  <c r="C31" i="5"/>
  <c r="C31" i="4"/>
  <c r="C31" i="3"/>
  <c r="D7" i="4" l="1"/>
  <c r="D8" i="4"/>
  <c r="D9" i="4"/>
  <c r="D11" i="4"/>
  <c r="D13" i="4"/>
  <c r="D15" i="4"/>
  <c r="D17" i="4"/>
  <c r="D19" i="4"/>
  <c r="D21" i="4"/>
  <c r="D23" i="4"/>
  <c r="D25" i="4"/>
  <c r="D27" i="4"/>
  <c r="D29" i="4"/>
  <c r="D31" i="4"/>
  <c r="D34" i="4"/>
  <c r="D37" i="4"/>
  <c r="D39" i="4"/>
  <c r="D41" i="4"/>
  <c r="D43" i="4"/>
  <c r="D45" i="4"/>
  <c r="D47" i="4"/>
  <c r="D49" i="4"/>
  <c r="D51" i="4"/>
  <c r="D53" i="4"/>
  <c r="D54" i="4"/>
  <c r="D56" i="4"/>
  <c r="D58" i="4"/>
  <c r="D60" i="4"/>
  <c r="D62" i="4"/>
  <c r="D64" i="4"/>
  <c r="D66" i="4"/>
  <c r="D68" i="4"/>
  <c r="D70" i="4"/>
  <c r="D72" i="4"/>
  <c r="D74" i="4"/>
  <c r="D76" i="4"/>
  <c r="D78" i="4"/>
  <c r="D80" i="4"/>
  <c r="D82" i="4"/>
  <c r="D84" i="4"/>
  <c r="D86" i="4"/>
  <c r="D88" i="4"/>
  <c r="D90" i="4"/>
  <c r="D92" i="4"/>
  <c r="D94" i="4"/>
  <c r="D96" i="4"/>
  <c r="D98" i="4"/>
  <c r="D100" i="4"/>
  <c r="D102" i="4"/>
  <c r="D104" i="4"/>
  <c r="D106" i="4"/>
  <c r="D108" i="4"/>
  <c r="D110" i="4"/>
  <c r="D112" i="4"/>
  <c r="D115" i="4"/>
  <c r="D117" i="4"/>
  <c r="D119" i="4"/>
  <c r="D121" i="4"/>
  <c r="D123" i="4"/>
  <c r="D125" i="4"/>
  <c r="D128" i="4"/>
  <c r="D130" i="4"/>
  <c r="D132" i="4"/>
  <c r="D134" i="4"/>
  <c r="D136" i="4"/>
  <c r="D138" i="4"/>
  <c r="D140" i="4"/>
  <c r="D142" i="4"/>
  <c r="D144" i="4"/>
  <c r="D146" i="4"/>
  <c r="D148" i="4"/>
  <c r="D150" i="4"/>
  <c r="D5" i="4"/>
  <c r="D6" i="4"/>
  <c r="D10" i="4"/>
  <c r="D12" i="4"/>
  <c r="D14" i="4"/>
  <c r="D16" i="4"/>
  <c r="D18" i="4"/>
  <c r="D20" i="4"/>
  <c r="D22" i="4"/>
  <c r="D24" i="4"/>
  <c r="D26" i="4"/>
  <c r="D28" i="4"/>
  <c r="D30" i="4"/>
  <c r="D32" i="4"/>
  <c r="D33" i="4"/>
  <c r="D35" i="4"/>
  <c r="D36" i="4"/>
  <c r="D38" i="4"/>
  <c r="D40" i="4"/>
  <c r="D42" i="4"/>
  <c r="D44" i="4"/>
  <c r="D46" i="4"/>
  <c r="D48" i="4"/>
  <c r="D50" i="4"/>
  <c r="D52" i="4"/>
  <c r="D55" i="4"/>
  <c r="D57" i="4"/>
  <c r="D59" i="4"/>
  <c r="D61" i="4"/>
  <c r="D63" i="4"/>
  <c r="D65" i="4"/>
  <c r="D67" i="4"/>
  <c r="D69" i="4"/>
  <c r="D71" i="4"/>
  <c r="D73" i="4"/>
  <c r="D75" i="4"/>
  <c r="D77" i="4"/>
  <c r="D79" i="4"/>
  <c r="D81" i="4"/>
  <c r="D83" i="4"/>
  <c r="D85" i="4"/>
  <c r="D87" i="4"/>
  <c r="D89" i="4"/>
  <c r="D91" i="4"/>
  <c r="D93" i="4"/>
  <c r="D95" i="4"/>
  <c r="D97" i="4"/>
  <c r="D99" i="4"/>
  <c r="D101" i="4"/>
  <c r="D103" i="4"/>
  <c r="D105" i="4"/>
  <c r="D107" i="4"/>
  <c r="D109" i="4"/>
  <c r="D111" i="4"/>
  <c r="D114" i="4"/>
  <c r="D116" i="4"/>
  <c r="D118" i="4"/>
  <c r="D120" i="4"/>
  <c r="D122" i="4"/>
  <c r="D124" i="4"/>
  <c r="D126" i="4"/>
  <c r="D127" i="4"/>
  <c r="D129" i="4"/>
  <c r="D131" i="4"/>
  <c r="D133" i="4"/>
  <c r="D135" i="4"/>
  <c r="D137" i="4"/>
  <c r="D139" i="4"/>
  <c r="D141" i="4"/>
  <c r="D143" i="4"/>
  <c r="D145" i="4"/>
  <c r="D147" i="4"/>
  <c r="D149" i="4"/>
  <c r="D4" i="4"/>
  <c r="D113" i="4"/>
  <c r="D149" i="3"/>
  <c r="D8" i="3"/>
  <c r="D10" i="3"/>
  <c r="D12" i="3"/>
  <c r="D14" i="3"/>
  <c r="D16" i="3"/>
  <c r="D18" i="3"/>
  <c r="D20" i="3"/>
  <c r="D22" i="3"/>
  <c r="D24" i="3"/>
  <c r="D26" i="3"/>
  <c r="D28" i="3"/>
  <c r="D30" i="3"/>
  <c r="D32" i="3"/>
  <c r="D33" i="3"/>
  <c r="D35" i="3"/>
  <c r="D37" i="3"/>
  <c r="D39" i="3"/>
  <c r="D40" i="3"/>
  <c r="D42" i="3"/>
  <c r="D44" i="3"/>
  <c r="D46" i="3"/>
  <c r="D48" i="3"/>
  <c r="D50" i="3"/>
  <c r="D52" i="3"/>
  <c r="D54" i="3"/>
  <c r="D56" i="3"/>
  <c r="D58" i="3"/>
  <c r="D60" i="3"/>
  <c r="D61" i="3"/>
  <c r="D63" i="3"/>
  <c r="D65" i="3"/>
  <c r="D67" i="3"/>
  <c r="D69" i="3"/>
  <c r="D71" i="3"/>
  <c r="D73" i="3"/>
  <c r="D75" i="3"/>
  <c r="D77" i="3"/>
  <c r="D79" i="3"/>
  <c r="D81" i="3"/>
  <c r="D83" i="3"/>
  <c r="D85" i="3"/>
  <c r="D86" i="3"/>
  <c r="D88" i="3"/>
  <c r="D90" i="3"/>
  <c r="D92" i="3"/>
  <c r="D94" i="3"/>
  <c r="D96" i="3"/>
  <c r="D98" i="3"/>
  <c r="D100" i="3"/>
  <c r="D102" i="3"/>
  <c r="D104" i="3"/>
  <c r="D106" i="3"/>
  <c r="D108" i="3"/>
  <c r="D110" i="3"/>
  <c r="D112" i="3"/>
  <c r="D114" i="3"/>
  <c r="D116" i="3"/>
  <c r="D118" i="3"/>
  <c r="D119" i="3"/>
  <c r="D121" i="3"/>
  <c r="D123" i="3"/>
  <c r="D125" i="3"/>
  <c r="D127" i="3"/>
  <c r="D129" i="3"/>
  <c r="D131" i="3"/>
  <c r="D133" i="3"/>
  <c r="D135" i="3"/>
  <c r="D137" i="3"/>
  <c r="D139" i="3"/>
  <c r="D141" i="3"/>
  <c r="D143" i="3"/>
  <c r="D145" i="3"/>
  <c r="D147" i="3"/>
  <c r="D5" i="3"/>
  <c r="D150" i="3"/>
  <c r="D4" i="3"/>
  <c r="D6" i="3"/>
  <c r="D7" i="3"/>
  <c r="D9" i="3"/>
  <c r="D11" i="3"/>
  <c r="D13" i="3"/>
  <c r="D15" i="3"/>
  <c r="D17" i="3"/>
  <c r="D19" i="3"/>
  <c r="D21" i="3"/>
  <c r="D23" i="3"/>
  <c r="D25" i="3"/>
  <c r="D27" i="3"/>
  <c r="D29" i="3"/>
  <c r="D31" i="3"/>
  <c r="D34" i="3"/>
  <c r="D36" i="3"/>
  <c r="D38" i="3"/>
  <c r="D41" i="3"/>
  <c r="D43" i="3"/>
  <c r="D45" i="3"/>
  <c r="D47" i="3"/>
  <c r="D49" i="3"/>
  <c r="D51" i="3"/>
  <c r="D53" i="3"/>
  <c r="D55" i="3"/>
  <c r="D57" i="3"/>
  <c r="D59" i="3"/>
  <c r="D62" i="3"/>
  <c r="D64" i="3"/>
  <c r="D66" i="3"/>
  <c r="D68" i="3"/>
  <c r="D70" i="3"/>
  <c r="D72" i="3"/>
  <c r="D74" i="3"/>
  <c r="D76" i="3"/>
  <c r="D78" i="3"/>
  <c r="D80" i="3"/>
  <c r="D82" i="3"/>
  <c r="D84" i="3"/>
  <c r="D87" i="3"/>
  <c r="D89" i="3"/>
  <c r="D91" i="3"/>
  <c r="D93" i="3"/>
  <c r="D95" i="3"/>
  <c r="D97" i="3"/>
  <c r="D99" i="3"/>
  <c r="D101" i="3"/>
  <c r="D103" i="3"/>
  <c r="D105" i="3"/>
  <c r="D107" i="3"/>
  <c r="D109" i="3"/>
  <c r="D111" i="3"/>
  <c r="D113" i="3"/>
  <c r="D115" i="3"/>
  <c r="D117" i="3"/>
  <c r="D120" i="3"/>
  <c r="D122" i="3"/>
  <c r="D124" i="3"/>
  <c r="D126" i="3"/>
  <c r="D128" i="3"/>
  <c r="D130" i="3"/>
  <c r="D132" i="3"/>
  <c r="D134" i="3"/>
  <c r="D136" i="3"/>
  <c r="D138" i="3"/>
  <c r="D140" i="3"/>
  <c r="D142" i="3"/>
  <c r="D144" i="3"/>
  <c r="D146" i="3"/>
  <c r="D148" i="3"/>
  <c r="D151" i="3"/>
  <c r="D18" i="1"/>
  <c r="D31" i="1"/>
  <c r="D36" i="1"/>
  <c r="D39" i="1"/>
  <c r="D41" i="1"/>
  <c r="D43" i="1"/>
  <c r="D45" i="1"/>
  <c r="D47" i="1"/>
  <c r="D49" i="1"/>
  <c r="D51" i="1"/>
  <c r="D53" i="1"/>
  <c r="D55" i="1"/>
  <c r="D57" i="1"/>
  <c r="D59" i="1"/>
  <c r="D61" i="1"/>
  <c r="D63" i="1"/>
  <c r="D65" i="1"/>
  <c r="D67" i="1"/>
  <c r="D69" i="1"/>
  <c r="D71" i="1"/>
  <c r="D73" i="1"/>
  <c r="D75" i="1"/>
  <c r="D77" i="1"/>
  <c r="D79" i="1"/>
  <c r="D81" i="1"/>
  <c r="D83" i="1"/>
  <c r="D85" i="1"/>
  <c r="D87" i="1"/>
  <c r="D89" i="1"/>
  <c r="D91" i="1"/>
  <c r="D93" i="1"/>
  <c r="D95" i="1"/>
  <c r="D97" i="1"/>
  <c r="D99" i="1"/>
  <c r="D101" i="1"/>
  <c r="D103" i="1"/>
  <c r="D105" i="1"/>
  <c r="D107" i="1"/>
  <c r="D109" i="1"/>
  <c r="D111" i="1"/>
  <c r="D113" i="1"/>
  <c r="D115" i="1"/>
  <c r="D116" i="1"/>
  <c r="D118" i="1"/>
  <c r="D119" i="1"/>
  <c r="D121" i="1"/>
  <c r="D123" i="1"/>
  <c r="D125" i="1"/>
  <c r="D127" i="1"/>
  <c r="D129" i="1"/>
  <c r="D131" i="1"/>
  <c r="D132" i="1"/>
  <c r="D134" i="1"/>
  <c r="D137" i="1"/>
  <c r="D138" i="1"/>
  <c r="D140" i="1"/>
  <c r="D142" i="1"/>
  <c r="D144" i="1"/>
  <c r="D150" i="1"/>
  <c r="D151" i="1"/>
  <c r="D4" i="1"/>
  <c r="D147" i="1"/>
  <c r="D5" i="1"/>
  <c r="D7" i="1"/>
  <c r="D8" i="1"/>
  <c r="D9" i="1"/>
  <c r="D10" i="1"/>
  <c r="D11" i="1"/>
  <c r="D12" i="1"/>
  <c r="D13" i="1"/>
  <c r="D14" i="1"/>
  <c r="D15" i="1"/>
  <c r="D16" i="1"/>
  <c r="D17" i="1"/>
  <c r="D6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7" i="1"/>
  <c r="D38" i="1"/>
  <c r="D40" i="1"/>
  <c r="D42" i="1"/>
  <c r="D44" i="1"/>
  <c r="D46" i="1"/>
  <c r="D48" i="1"/>
  <c r="D50" i="1"/>
  <c r="D52" i="1"/>
  <c r="D54" i="1"/>
  <c r="D56" i="1"/>
  <c r="D58" i="1"/>
  <c r="D60" i="1"/>
  <c r="D62" i="1"/>
  <c r="D64" i="1"/>
  <c r="D66" i="1"/>
  <c r="D68" i="1"/>
  <c r="D70" i="1"/>
  <c r="D72" i="1"/>
  <c r="D74" i="1"/>
  <c r="D76" i="1"/>
  <c r="D78" i="1"/>
  <c r="D80" i="1"/>
  <c r="D82" i="1"/>
  <c r="D84" i="1"/>
  <c r="D86" i="1"/>
  <c r="D88" i="1"/>
  <c r="D90" i="1"/>
  <c r="D92" i="1"/>
  <c r="D94" i="1"/>
  <c r="D96" i="1"/>
  <c r="D98" i="1"/>
  <c r="D100" i="1"/>
  <c r="D102" i="1"/>
  <c r="D104" i="1"/>
  <c r="D106" i="1"/>
  <c r="D108" i="1"/>
  <c r="D110" i="1"/>
  <c r="D112" i="1"/>
  <c r="D114" i="1"/>
  <c r="D117" i="1"/>
  <c r="D120" i="1"/>
  <c r="D122" i="1"/>
  <c r="D124" i="1"/>
  <c r="D126" i="1"/>
  <c r="D128" i="1"/>
  <c r="D130" i="1"/>
  <c r="D133" i="1"/>
  <c r="D135" i="1"/>
  <c r="D136" i="1"/>
  <c r="D139" i="1"/>
  <c r="D141" i="1"/>
  <c r="D143" i="1"/>
  <c r="D145" i="1"/>
  <c r="D146" i="1"/>
  <c r="D148" i="1"/>
  <c r="D149" i="1"/>
  <c r="K8" i="1"/>
  <c r="K7" i="1"/>
  <c r="J8" i="1"/>
  <c r="J7" i="1"/>
  <c r="I8" i="1"/>
  <c r="I7" i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4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J7" i="4" l="1"/>
  <c r="J8" i="4"/>
  <c r="K7" i="4"/>
  <c r="I8" i="4"/>
  <c r="I7" i="4"/>
  <c r="K8" i="4"/>
  <c r="D151" i="4"/>
  <c r="P8" i="4"/>
  <c r="P7" i="4"/>
  <c r="O7" i="4"/>
  <c r="O8" i="4"/>
  <c r="N8" i="4"/>
  <c r="N7" i="4"/>
  <c r="J8" i="3"/>
  <c r="I8" i="3"/>
  <c r="I7" i="3"/>
  <c r="J7" i="3"/>
  <c r="K7" i="3"/>
  <c r="K8" i="3"/>
  <c r="O8" i="3"/>
  <c r="N7" i="3"/>
  <c r="P8" i="3"/>
  <c r="O7" i="3"/>
  <c r="P7" i="3"/>
  <c r="N8" i="3"/>
  <c r="P8" i="1"/>
  <c r="P7" i="1"/>
  <c r="O8" i="1"/>
  <c r="O7" i="1"/>
  <c r="N8" i="1"/>
  <c r="N7" i="1"/>
  <c r="F151" i="26"/>
  <c r="F151" i="24"/>
  <c r="F151" i="22"/>
  <c r="F151" i="21"/>
  <c r="F151" i="20"/>
  <c r="F151" i="19"/>
  <c r="F151" i="18"/>
  <c r="F151" i="17"/>
  <c r="F151" i="16"/>
  <c r="F151" i="15"/>
  <c r="F151" i="14"/>
  <c r="F151" i="13"/>
  <c r="F151" i="12"/>
  <c r="F151" i="11"/>
  <c r="F151" i="10"/>
  <c r="F151" i="9"/>
  <c r="F151" i="8"/>
  <c r="F151" i="7"/>
  <c r="F151" i="6"/>
  <c r="F151" i="5"/>
  <c r="F151" i="4"/>
  <c r="F151" i="3"/>
  <c r="F151" i="1"/>
  <c r="F151" i="25"/>
</calcChain>
</file>

<file path=xl/sharedStrings.xml><?xml version="1.0" encoding="utf-8"?>
<sst xmlns="http://schemas.openxmlformats.org/spreadsheetml/2006/main" count="4312" uniqueCount="200">
  <si>
    <t>Company Name</t>
  </si>
  <si>
    <t>Apple Inc.</t>
  </si>
  <si>
    <t>Country of Supplier</t>
  </si>
  <si>
    <t>Country Geopolitical Risk Index</t>
  </si>
  <si>
    <t>Percentage of Suppliers - Raw</t>
  </si>
  <si>
    <t>Percentage of Suppliers - Standardized</t>
  </si>
  <si>
    <t>Percentage of Supplier's Facilities - Raw</t>
  </si>
  <si>
    <t>Percentage of Supplier's Facilities - Standardize</t>
  </si>
  <si>
    <t>Albania</t>
  </si>
  <si>
    <t>Algeria</t>
  </si>
  <si>
    <t>Main Data</t>
  </si>
  <si>
    <t>Angola</t>
  </si>
  <si>
    <t>Country</t>
  </si>
  <si>
    <t>Geopolitical Risk Index</t>
  </si>
  <si>
    <t>Value</t>
  </si>
  <si>
    <t>Argentina</t>
  </si>
  <si>
    <t>Minimum</t>
  </si>
  <si>
    <t>Armenia</t>
  </si>
  <si>
    <t>Maximum</t>
  </si>
  <si>
    <t>Australia</t>
  </si>
  <si>
    <t>Component - Suppliers</t>
  </si>
  <si>
    <t>Component - Suppliers' Facilities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</si>
  <si>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</si>
  <si>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</si>
  <si>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</si>
  <si>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</si>
  <si>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</si>
  <si>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</si>
  <si>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</si>
  <si>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</si>
  <si>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</si>
  <si>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</si>
  <si>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</si>
  <si>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</si>
  <si>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</si>
  <si>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</si>
  <si>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</si>
  <si>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</si>
  <si>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</si>
  <si>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</si>
  <si>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</si>
  <si>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</si>
  <si>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</si>
  <si>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</si>
  <si>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Includes Taiwan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</si>
  <si>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</si>
  <si>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</si>
  <si>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</si>
  <si>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</si>
  <si>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</si>
  <si>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</si>
  <si>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</si>
  <si>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</si>
  <si>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</si>
  <si>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</si>
  <si>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</si>
  <si>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</si>
  <si>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</si>
  <si>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</si>
  <si>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</si>
  <si>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</si>
  <si>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</si>
  <si>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</si>
  <si>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</si>
  <si>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</si>
  <si>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</si>
  <si>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</si>
  <si>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</si>
  <si>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</si>
  <si>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</si>
  <si>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</si>
  <si>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</si>
  <si>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</si>
  <si>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</si>
  <si>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</si>
  <si>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</si>
  <si>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</si>
  <si>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</si>
  <si>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</si>
  <si>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</si>
  <si>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</si>
  <si>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</si>
  <si>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</si>
  <si>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</si>
  <si>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</si>
  <si>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</si>
  <si>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</si>
  <si>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</si>
  <si>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</si>
  <si>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</si>
  <si>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</si>
  <si>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</si>
  <si>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</si>
  <si>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</si>
  <si>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</si>
  <si>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</si>
  <si>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</si>
  <si>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</si>
  <si>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</si>
  <si>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</si>
  <si>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</si>
  <si>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</si>
  <si>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</si>
  <si>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</si>
  <si>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</si>
  <si>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</si>
  <si>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</si>
  <si>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</si>
  <si>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</si>
  <si>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</si>
  <si>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</si>
  <si>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</si>
  <si>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</si>
  <si>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</si>
  <si>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</si>
  <si>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</si>
  <si>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</si>
  <si>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</si>
  <si>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</si>
  <si>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</si>
  <si>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</si>
  <si>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</si>
  <si>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</si>
  <si>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</si>
  <si>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</si>
  <si>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</si>
  <si>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</si>
  <si>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</si>
  <si>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</si>
  <si>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</si>
  <si>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</si>
  <si>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</si>
  <si>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</si>
  <si>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</si>
  <si>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</si>
  <si>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</si>
  <si>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</si>
  <si>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</si>
  <si>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</si>
  <si>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</si>
  <si>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</si>
  <si>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</si>
  <si>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</si>
  <si>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</si>
  <si>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</si>
  <si>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</si>
  <si>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</si>
  <si>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</si>
  <si>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</si>
  <si>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</si>
  <si>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</si>
  <si>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</si>
  <si>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</si>
  <si>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</si>
  <si>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</si>
  <si>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</si>
  <si>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</si>
  <si>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</si>
  <si>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</si>
  <si>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</si>
  <si>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</si>
  <si>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</si>
  <si>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</si>
  <si>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</si>
  <si>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TOTAL</t>
  </si>
  <si>
    <t>Sony</t>
  </si>
  <si>
    <t>Percentage of Supplier's Facilities - Standardized</t>
  </si>
  <si>
    <t>Meta</t>
  </si>
  <si>
    <t>NVIDIA</t>
  </si>
  <si>
    <t>Volkswagen</t>
  </si>
  <si>
    <t>Microsoft</t>
  </si>
  <si>
    <t>JP Morgan</t>
  </si>
  <si>
    <t>Percentage of Supplier's Facilities - Standardizd</t>
  </si>
  <si>
    <t>Tencent</t>
  </si>
  <si>
    <t>Reliance Industries</t>
  </si>
  <si>
    <t>Total Energies</t>
  </si>
  <si>
    <t>Procter &amp; Gamble</t>
  </si>
  <si>
    <t>Eli Lilly</t>
  </si>
  <si>
    <t>ENI</t>
  </si>
  <si>
    <t>Allianz</t>
  </si>
  <si>
    <t>ASML</t>
  </si>
  <si>
    <t>TSMC</t>
  </si>
  <si>
    <t>Toyota</t>
  </si>
  <si>
    <t>SAP</t>
  </si>
  <si>
    <t>Novo Nordisk</t>
  </si>
  <si>
    <t>LVMH</t>
  </si>
  <si>
    <t>L'Oreal</t>
  </si>
  <si>
    <t>BNP Paribas</t>
  </si>
  <si>
    <t>Samsung</t>
  </si>
  <si>
    <t>Amazon</t>
  </si>
  <si>
    <t>Ford</t>
  </si>
  <si>
    <t>Apple</t>
  </si>
  <si>
    <t>Component - Suppliers Distribution</t>
  </si>
  <si>
    <t>Component - Suppliers' Facilities Distribution</t>
  </si>
  <si>
    <t>Supply Chain Exposure - Intermediate Component</t>
  </si>
  <si>
    <t>HHI Index - Suppliers Distribution</t>
  </si>
  <si>
    <t>HHI Index - Suppliers' Facilities Distribution</t>
  </si>
  <si>
    <t>HHI Index - Value</t>
  </si>
  <si>
    <t>HHI Index - Submultiplier</t>
  </si>
  <si>
    <t>Supply Chain Exposure - Final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</si>
</sst>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4"/>
      <color indexed="8"/>
      <name val="Aptos Narrow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4"/>
      <color rgb="FF000000"/>
      <name val="Aptos Narrow"/>
      <scheme val="minor"/>
    </font>
  </fonts>
  <fills count="13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DEAD5"/>
        <bgColor rgb="FF000000"/>
      </patternFill>
    </fill>
    <fill>
      <patternFill patternType="solid">
        <fgColor rgb="FFFFF8F8"/>
        <bgColor rgb="FF000000"/>
      </patternFill>
    </fill>
    <fill>
      <patternFill patternType="solid">
        <fgColor rgb="FFFEDCDC"/>
        <bgColor rgb="FF000000"/>
      </patternFill>
    </fill>
    <fill>
      <patternFill patternType="solid">
        <fgColor rgb="FFEAF6ED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8DCF9E"/>
        <bgColor rgb="FF000000"/>
      </patternFill>
    </fill>
    <fill>
      <patternFill patternType="solid">
        <fgColor rgb="FFC6E7CF"/>
        <bgColor rgb="FF000000"/>
      </patternFill>
    </fill>
    <fill>
      <patternFill patternType="solid">
        <fgColor rgb="FFFCAFB0"/>
        <bgColor rgb="FF000000"/>
      </patternFill>
    </fill>
    <fill>
      <patternFill patternType="solid">
        <fgColor rgb="FFFEE8E9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FDC3C4"/>
        <bgColor rgb="FF000000"/>
      </patternFill>
    </fill>
    <fill>
      <patternFill patternType="solid">
        <fgColor rgb="FFF9FCFA"/>
        <bgColor rgb="FF000000"/>
      </patternFill>
    </fill>
    <fill>
      <patternFill patternType="solid">
        <fgColor rgb="FFFFEBEB"/>
        <bgColor rgb="FF000000"/>
      </patternFill>
    </fill>
    <fill>
      <patternFill patternType="solid">
        <fgColor rgb="FFFFEFEF"/>
        <bgColor rgb="FF000000"/>
      </patternFill>
    </fill>
    <fill>
      <patternFill patternType="solid">
        <fgColor rgb="FFCBE9D3"/>
        <bgColor rgb="FF000000"/>
      </patternFill>
    </fill>
    <fill>
      <patternFill patternType="solid">
        <fgColor rgb="FFD1ECD8"/>
        <bgColor rgb="FF000000"/>
      </patternFill>
    </fill>
    <fill>
      <patternFill patternType="solid">
        <fgColor rgb="FFFB9EA0"/>
        <bgColor rgb="FF000000"/>
      </patternFill>
    </fill>
    <fill>
      <patternFill patternType="solid">
        <fgColor rgb="FFFCADAE"/>
        <bgColor rgb="FF000000"/>
      </patternFill>
    </fill>
    <fill>
      <patternFill patternType="solid">
        <fgColor rgb="FFFEDBDC"/>
        <bgColor rgb="FF000000"/>
      </patternFill>
    </fill>
    <fill>
      <patternFill patternType="solid">
        <fgColor rgb="FFFA8B8D"/>
        <bgColor rgb="FF000000"/>
      </patternFill>
    </fill>
    <fill>
      <patternFill patternType="solid">
        <fgColor rgb="FF8FD0A0"/>
        <bgColor rgb="FF000000"/>
      </patternFill>
    </fill>
    <fill>
      <patternFill patternType="solid">
        <fgColor rgb="FFFA8E8F"/>
        <bgColor rgb="FF000000"/>
      </patternFill>
    </fill>
    <fill>
      <patternFill patternType="solid">
        <fgColor rgb="FFFA8B8C"/>
        <bgColor rgb="FF000000"/>
      </patternFill>
    </fill>
    <fill>
      <patternFill patternType="solid">
        <fgColor rgb="FFCDEAD4"/>
        <bgColor rgb="FF000000"/>
      </patternFill>
    </fill>
    <fill>
      <patternFill patternType="solid">
        <fgColor rgb="FFFED6D6"/>
        <bgColor rgb="FF000000"/>
      </patternFill>
    </fill>
    <fill>
      <patternFill patternType="solid">
        <fgColor rgb="FFFEDBDB"/>
        <bgColor rgb="FF000000"/>
      </patternFill>
    </fill>
    <fill>
      <patternFill patternType="solid">
        <fgColor rgb="FFC4E6CD"/>
        <bgColor rgb="FF000000"/>
      </patternFill>
    </fill>
    <fill>
      <patternFill patternType="solid">
        <fgColor rgb="FFFEDEDF"/>
        <bgColor rgb="FF000000"/>
      </patternFill>
    </fill>
    <fill>
      <patternFill patternType="solid">
        <fgColor rgb="FFC8E8D0"/>
        <bgColor rgb="FF000000"/>
      </patternFill>
    </fill>
    <fill>
      <patternFill patternType="solid">
        <fgColor rgb="FFE1F2E6"/>
        <bgColor rgb="FF000000"/>
      </patternFill>
    </fill>
    <fill>
      <patternFill patternType="solid">
        <fgColor rgb="FFA4D9B2"/>
        <bgColor rgb="FF000000"/>
      </patternFill>
    </fill>
    <fill>
      <patternFill patternType="solid">
        <fgColor rgb="FF7FC992"/>
        <bgColor rgb="FF000000"/>
      </patternFill>
    </fill>
    <fill>
      <patternFill patternType="solid">
        <fgColor rgb="FFFDC5C5"/>
        <bgColor rgb="FF000000"/>
      </patternFill>
    </fill>
    <fill>
      <patternFill patternType="solid">
        <fgColor rgb="FFE3F3E7"/>
        <bgColor rgb="FF000000"/>
      </patternFill>
    </fill>
    <fill>
      <patternFill patternType="solid">
        <fgColor rgb="FFFED7D7"/>
        <bgColor rgb="FF000000"/>
      </patternFill>
    </fill>
    <fill>
      <patternFill patternType="solid">
        <fgColor rgb="FFFEDEDE"/>
        <bgColor rgb="FF000000"/>
      </patternFill>
    </fill>
    <fill>
      <patternFill patternType="solid">
        <fgColor rgb="FF98D4A8"/>
        <bgColor rgb="FF000000"/>
      </patternFill>
    </fill>
    <fill>
      <patternFill patternType="solid">
        <fgColor rgb="FFD6EEDC"/>
        <bgColor rgb="FF000000"/>
      </patternFill>
    </fill>
    <fill>
      <patternFill patternType="solid">
        <fgColor rgb="FFFA8586"/>
        <bgColor rgb="FF000000"/>
      </patternFill>
    </fill>
    <fill>
      <patternFill patternType="solid">
        <fgColor rgb="FF89CD9B"/>
        <bgColor rgb="FF000000"/>
      </patternFill>
    </fill>
    <fill>
      <patternFill patternType="solid">
        <fgColor rgb="FF9DD6AC"/>
        <bgColor rgb="FF000000"/>
      </patternFill>
    </fill>
    <fill>
      <patternFill patternType="solid">
        <fgColor rgb="FFFDD2D2"/>
        <bgColor rgb="FF000000"/>
      </patternFill>
    </fill>
    <fill>
      <patternFill patternType="solid">
        <fgColor rgb="FFFFEDED"/>
        <bgColor rgb="FF000000"/>
      </patternFill>
    </fill>
    <fill>
      <patternFill patternType="solid">
        <fgColor rgb="FFF3FAF5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DFF1E4"/>
        <bgColor rgb="FF000000"/>
      </patternFill>
    </fill>
    <fill>
      <patternFill patternType="solid">
        <fgColor rgb="FFFEE8E8"/>
        <bgColor rgb="FF000000"/>
      </patternFill>
    </fill>
    <fill>
      <patternFill patternType="solid">
        <fgColor rgb="FFFCABAC"/>
        <bgColor rgb="FF000000"/>
      </patternFill>
    </fill>
    <fill>
      <patternFill patternType="solid">
        <fgColor rgb="FFFDC7C8"/>
        <bgColor rgb="FF000000"/>
      </patternFill>
    </fill>
    <fill>
      <patternFill patternType="solid">
        <fgColor rgb="FFF2F9F4"/>
        <bgColor rgb="FF000000"/>
      </patternFill>
    </fill>
    <fill>
      <patternFill patternType="solid">
        <fgColor rgb="FFFB9FA1"/>
        <bgColor rgb="FF000000"/>
      </patternFill>
    </fill>
    <fill>
      <patternFill patternType="solid">
        <fgColor rgb="FFFDD3D3"/>
        <bgColor rgb="FF000000"/>
      </patternFill>
    </fill>
    <fill>
      <patternFill patternType="solid">
        <fgColor rgb="FF9CD5AB"/>
        <bgColor rgb="FF000000"/>
      </patternFill>
    </fill>
    <fill>
      <patternFill patternType="solid">
        <fgColor rgb="FF8BCE9C"/>
        <bgColor rgb="FF000000"/>
      </patternFill>
    </fill>
    <fill>
      <patternFill patternType="solid">
        <fgColor rgb="FFFCFEFD"/>
        <bgColor rgb="FF000000"/>
      </patternFill>
    </fill>
    <fill>
      <patternFill patternType="solid">
        <fgColor rgb="FFF3FAF4"/>
        <bgColor rgb="FF000000"/>
      </patternFill>
    </fill>
    <fill>
      <patternFill patternType="solid">
        <fgColor rgb="FFFDCBCC"/>
        <bgColor rgb="FF000000"/>
      </patternFill>
    </fill>
    <fill>
      <patternFill patternType="solid">
        <fgColor rgb="FFFDC0C1"/>
        <bgColor rgb="FF000000"/>
      </patternFill>
    </fill>
    <fill>
      <patternFill patternType="solid">
        <fgColor rgb="FF83CB96"/>
        <bgColor rgb="FF000000"/>
      </patternFill>
    </fill>
    <fill>
      <patternFill patternType="solid">
        <fgColor rgb="FFDDF1E3"/>
        <bgColor rgb="FF000000"/>
      </patternFill>
    </fill>
    <fill>
      <patternFill patternType="solid">
        <fgColor rgb="FFAADBB7"/>
        <bgColor rgb="FF000000"/>
      </patternFill>
    </fill>
    <fill>
      <patternFill patternType="solid">
        <fgColor rgb="FFE7F5EA"/>
        <bgColor rgb="FF000000"/>
      </patternFill>
    </fill>
    <fill>
      <patternFill patternType="solid">
        <fgColor rgb="FFFFFEFE"/>
        <bgColor rgb="FF000000"/>
      </patternFill>
    </fill>
    <fill>
      <patternFill patternType="solid">
        <fgColor rgb="FFD9EFDF"/>
        <bgColor rgb="FF000000"/>
      </patternFill>
    </fill>
    <fill>
      <patternFill patternType="solid">
        <fgColor rgb="FFFCBABB"/>
        <bgColor rgb="FF000000"/>
      </patternFill>
    </fill>
    <fill>
      <patternFill patternType="solid">
        <fgColor rgb="FFC8E8D1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B2DFBE"/>
        <bgColor rgb="FF000000"/>
      </patternFill>
    </fill>
    <fill>
      <patternFill patternType="solid">
        <fgColor rgb="FFFCBBBC"/>
        <bgColor rgb="FF000000"/>
      </patternFill>
    </fill>
    <fill>
      <patternFill patternType="solid">
        <fgColor rgb="FFFEE5E6"/>
        <bgColor rgb="FF000000"/>
      </patternFill>
    </fill>
    <fill>
      <patternFill patternType="solid">
        <fgColor rgb="FFFDC5C6"/>
        <bgColor rgb="FF000000"/>
      </patternFill>
    </fill>
    <fill>
      <patternFill patternType="solid">
        <fgColor rgb="FFFED9D9"/>
        <bgColor rgb="FF000000"/>
      </patternFill>
    </fill>
    <fill>
      <patternFill patternType="solid">
        <fgColor rgb="FFB0DEBC"/>
        <bgColor rgb="FF000000"/>
      </patternFill>
    </fill>
    <fill>
      <patternFill patternType="solid">
        <fgColor rgb="FFFDCFD0"/>
        <bgColor rgb="FF000000"/>
      </patternFill>
    </fill>
    <fill>
      <patternFill patternType="solid">
        <fgColor rgb="FFFEDFE0"/>
        <bgColor rgb="FF000000"/>
      </patternFill>
    </fill>
    <fill>
      <patternFill patternType="solid">
        <fgColor rgb="FFB7E1C2"/>
        <bgColor rgb="FF000000"/>
      </patternFill>
    </fill>
    <fill>
      <patternFill patternType="solid">
        <fgColor rgb="FFF9797B"/>
        <bgColor rgb="FF000000"/>
      </patternFill>
    </fill>
    <fill>
      <patternFill patternType="solid">
        <fgColor rgb="FFFCB1B2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FEEAEA"/>
        <bgColor rgb="FF000000"/>
      </patternFill>
    </fill>
    <fill>
      <patternFill patternType="solid">
        <fgColor rgb="FFE0F2E5"/>
        <bgColor rgb="FF000000"/>
      </patternFill>
    </fill>
    <fill>
      <patternFill patternType="solid">
        <fgColor rgb="FFE0F2E4"/>
        <bgColor rgb="FF000000"/>
      </patternFill>
    </fill>
    <fill>
      <patternFill patternType="solid">
        <fgColor rgb="FF99D4A9"/>
        <bgColor rgb="FF000000"/>
      </patternFill>
    </fill>
    <fill>
      <patternFill patternType="solid">
        <fgColor rgb="FF87CD99"/>
        <bgColor rgb="FF000000"/>
      </patternFill>
    </fill>
    <fill>
      <patternFill patternType="solid">
        <fgColor rgb="FFFDD0D1"/>
        <bgColor rgb="FF000000"/>
      </patternFill>
    </fill>
    <fill>
      <patternFill patternType="solid">
        <fgColor rgb="FFF97B7D"/>
        <bgColor rgb="FF000000"/>
      </patternFill>
    </fill>
    <fill>
      <patternFill patternType="solid">
        <fgColor rgb="FFFBA1A2"/>
        <bgColor rgb="FF000000"/>
      </patternFill>
    </fill>
    <fill>
      <patternFill patternType="solid">
        <fgColor rgb="FFC0E4C9"/>
        <bgColor rgb="FF000000"/>
      </patternFill>
    </fill>
    <fill>
      <patternFill patternType="solid">
        <fgColor rgb="FF8BCE9D"/>
        <bgColor rgb="FF000000"/>
      </patternFill>
    </fill>
    <fill>
      <patternFill patternType="solid">
        <fgColor rgb="FFB6E0C1"/>
        <bgColor rgb="FF000000"/>
      </patternFill>
    </fill>
    <fill>
      <patternFill patternType="solid">
        <fgColor rgb="FFFB9799"/>
        <bgColor rgb="FF000000"/>
      </patternFill>
    </fill>
    <fill>
      <patternFill patternType="solid">
        <fgColor rgb="FFDAEFE0"/>
        <bgColor rgb="FF000000"/>
      </patternFill>
    </fill>
    <fill>
      <patternFill patternType="solid">
        <fgColor rgb="FFFFEFF0"/>
        <bgColor rgb="FF000000"/>
      </patternFill>
    </fill>
    <fill>
      <patternFill patternType="solid">
        <fgColor rgb="FFE5F4E9"/>
        <bgColor rgb="FF000000"/>
      </patternFill>
    </fill>
    <fill>
      <patternFill patternType="solid">
        <fgColor rgb="FFFFF3F4"/>
        <bgColor rgb="FF000000"/>
      </patternFill>
    </fill>
    <fill>
      <patternFill patternType="solid">
        <fgColor rgb="FFBFE4C9"/>
        <bgColor rgb="FF000000"/>
      </patternFill>
    </fill>
    <fill>
      <patternFill patternType="solid">
        <fgColor rgb="FF8ED09F"/>
        <bgColor rgb="FF000000"/>
      </patternFill>
    </fill>
    <fill>
      <patternFill patternType="solid">
        <fgColor rgb="FFB8E1C3"/>
        <bgColor rgb="FF000000"/>
      </patternFill>
    </fill>
    <fill>
      <patternFill patternType="solid">
        <fgColor rgb="FFFDC6C7"/>
        <bgColor rgb="FF000000"/>
      </patternFill>
    </fill>
    <fill>
      <patternFill patternType="solid">
        <fgColor rgb="FFFEE7E7"/>
        <bgColor rgb="FF000000"/>
      </patternFill>
    </fill>
    <fill>
      <patternFill patternType="solid">
        <fgColor rgb="FFFFECEC"/>
        <bgColor rgb="FF000000"/>
      </patternFill>
    </fill>
    <fill>
      <patternFill patternType="solid">
        <fgColor rgb="FFFAFDFB"/>
        <bgColor rgb="FF000000"/>
      </patternFill>
    </fill>
    <fill>
      <patternFill patternType="solid">
        <fgColor rgb="FF74C589"/>
        <bgColor rgb="FF000000"/>
      </patternFill>
    </fill>
    <fill>
      <patternFill patternType="solid">
        <fgColor rgb="FFA7DAB4"/>
        <bgColor rgb="FF000000"/>
      </patternFill>
    </fill>
    <fill>
      <patternFill patternType="solid">
        <fgColor rgb="FF92D1A2"/>
        <bgColor rgb="FF000000"/>
      </patternFill>
    </fill>
    <fill>
      <patternFill patternType="solid">
        <fgColor rgb="FFFFF7F7"/>
        <bgColor rgb="FF000000"/>
      </patternFill>
    </fill>
    <fill>
      <patternFill patternType="solid">
        <fgColor rgb="FF98D4A7"/>
        <bgColor rgb="FF000000"/>
      </patternFill>
    </fill>
    <fill>
      <patternFill patternType="solid">
        <fgColor rgb="FFA1D7AF"/>
        <bgColor rgb="FF000000"/>
      </patternFill>
    </fill>
    <fill>
      <patternFill patternType="solid">
        <fgColor rgb="FF95D2A5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ED8D9"/>
        <bgColor rgb="FF000000"/>
      </patternFill>
    </fill>
    <fill>
      <patternFill patternType="solid">
        <fgColor rgb="FFFFF8F9"/>
        <bgColor rgb="FF000000"/>
      </patternFill>
    </fill>
    <fill>
      <patternFill patternType="solid">
        <fgColor rgb="FFFFFCFC"/>
        <bgColor rgb="FF000000"/>
      </patternFill>
    </fill>
    <fill>
      <patternFill patternType="solid">
        <fgColor rgb="FFFDCCCC"/>
        <bgColor rgb="FF000000"/>
      </patternFill>
    </fill>
    <fill>
      <patternFill patternType="solid">
        <fgColor rgb="FFCEEAD6"/>
        <bgColor rgb="FF000000"/>
      </patternFill>
    </fill>
    <fill>
      <patternFill patternType="solid">
        <fgColor rgb="FFFFF5F5"/>
        <bgColor rgb="FF000000"/>
      </patternFill>
    </fill>
    <fill>
      <patternFill patternType="solid">
        <fgColor rgb="FFFCB0B1"/>
        <bgColor rgb="FF000000"/>
      </patternFill>
    </fill>
    <fill>
      <patternFill patternType="solid">
        <fgColor rgb="FFFCACAD"/>
        <bgColor rgb="FF000000"/>
      </patternFill>
    </fill>
    <fill>
      <patternFill patternType="solid">
        <fgColor rgb="FFA2D8B0"/>
        <bgColor rgb="FF000000"/>
      </patternFill>
    </fill>
    <fill>
      <patternFill patternType="solid">
        <fgColor rgb="FFC1E5CB"/>
        <bgColor rgb="FF000000"/>
      </patternFill>
    </fill>
    <fill>
      <patternFill patternType="solid">
        <fgColor rgb="FFAFDDBB"/>
        <bgColor rgb="FF000000"/>
      </patternFill>
    </fill>
    <fill>
      <patternFill patternType="solid">
        <fgColor rgb="FFFDD2D3"/>
        <bgColor rgb="FF000000"/>
      </patternFill>
    </fill>
    <fill>
      <patternFill patternType="solid">
        <fgColor rgb="FFCAE9D2"/>
        <bgColor rgb="FF000000"/>
      </patternFill>
    </fill>
    <fill>
      <patternFill patternType="solid">
        <fgColor rgb="FFF4FAF6"/>
        <bgColor rgb="FF000000"/>
      </patternFill>
    </fill>
    <fill>
      <patternFill patternType="solid">
        <fgColor rgb="FFFCB9BA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10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5" borderId="8" xfId="0" applyFont="1" applyFill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10" fontId="5" fillId="0" borderId="17" xfId="1" applyNumberFormat="1" applyFont="1" applyBorder="1"/>
    <xf numFmtId="0" fontId="6" fillId="6" borderId="18" xfId="0" applyFont="1" applyFill="1" applyBorder="1"/>
    <xf numFmtId="0" fontId="5" fillId="5" borderId="19" xfId="0" applyFont="1" applyFill="1" applyBorder="1"/>
    <xf numFmtId="10" fontId="1" fillId="0" borderId="2" xfId="1" applyNumberFormat="1" applyFont="1" applyBorder="1"/>
    <xf numFmtId="10" fontId="1" fillId="0" borderId="0" xfId="1" applyNumberFormat="1" applyFont="1"/>
    <xf numFmtId="10" fontId="1" fillId="2" borderId="2" xfId="1" applyNumberFormat="1" applyFont="1" applyFill="1" applyBorder="1"/>
    <xf numFmtId="10" fontId="1" fillId="2" borderId="0" xfId="1" applyNumberFormat="1" applyFont="1" applyFill="1" applyBorder="1"/>
    <xf numFmtId="10" fontId="1" fillId="0" borderId="0" xfId="0" applyNumberFormat="1" applyFont="1"/>
    <xf numFmtId="10" fontId="1" fillId="2" borderId="1" xfId="0" applyNumberFormat="1" applyFont="1" applyFill="1" applyBorder="1"/>
    <xf numFmtId="9" fontId="1" fillId="2" borderId="2" xfId="1" applyFont="1" applyFill="1" applyBorder="1"/>
    <xf numFmtId="10" fontId="1" fillId="0" borderId="2" xfId="0" applyNumberFormat="1" applyFont="1" applyBorder="1"/>
    <xf numFmtId="0" fontId="2" fillId="4" borderId="4" xfId="0" applyFont="1" applyFill="1" applyBorder="1"/>
    <xf numFmtId="0" fontId="7" fillId="0" borderId="4" xfId="0" applyFont="1" applyBorder="1"/>
    <xf numFmtId="0" fontId="7" fillId="0" borderId="0" xfId="0" applyFont="1"/>
    <xf numFmtId="0" fontId="7" fillId="4" borderId="4" xfId="0" applyFont="1" applyFill="1" applyBorder="1"/>
    <xf numFmtId="10" fontId="2" fillId="0" borderId="0" xfId="1" applyNumberFormat="1" applyFont="1"/>
    <xf numFmtId="10" fontId="2" fillId="2" borderId="4" xfId="1" applyNumberFormat="1" applyFont="1" applyFill="1" applyBorder="1"/>
    <xf numFmtId="10" fontId="7" fillId="0" borderId="0" xfId="1" applyNumberFormat="1" applyFont="1" applyBorder="1"/>
    <xf numFmtId="10" fontId="7" fillId="2" borderId="1" xfId="0" applyNumberFormat="1" applyFont="1" applyFill="1" applyBorder="1"/>
    <xf numFmtId="10" fontId="7" fillId="0" borderId="0" xfId="0" applyNumberFormat="1" applyFont="1"/>
    <xf numFmtId="10" fontId="7" fillId="2" borderId="0" xfId="1" applyNumberFormat="1" applyFont="1" applyFill="1" applyBorder="1"/>
    <xf numFmtId="10" fontId="7" fillId="0" borderId="0" xfId="1" applyNumberFormat="1" applyFont="1"/>
    <xf numFmtId="10" fontId="7" fillId="2" borderId="1" xfId="1" applyNumberFormat="1" applyFont="1" applyFill="1" applyBorder="1"/>
    <xf numFmtId="2" fontId="1" fillId="3" borderId="1" xfId="0" applyNumberFormat="1" applyFont="1" applyFill="1" applyBorder="1"/>
    <xf numFmtId="2" fontId="8" fillId="7" borderId="21" xfId="0" applyNumberFormat="1" applyFont="1" applyFill="1" applyBorder="1" applyAlignment="1">
      <alignment horizontal="right" vertical="center"/>
    </xf>
    <xf numFmtId="2" fontId="9" fillId="9" borderId="21" xfId="0" applyNumberFormat="1" applyFont="1" applyFill="1" applyBorder="1" applyAlignment="1">
      <alignment horizontal="right" vertical="center"/>
    </xf>
    <xf numFmtId="2" fontId="9" fillId="10" borderId="21" xfId="0" applyNumberFormat="1" applyFont="1" applyFill="1" applyBorder="1" applyAlignment="1">
      <alignment horizontal="right" vertical="center"/>
    </xf>
    <xf numFmtId="2" fontId="9" fillId="11" borderId="21" xfId="0" applyNumberFormat="1" applyFont="1" applyFill="1" applyBorder="1" applyAlignment="1">
      <alignment horizontal="right" vertical="center"/>
    </xf>
    <xf numFmtId="2" fontId="9" fillId="12" borderId="21" xfId="0" applyNumberFormat="1" applyFont="1" applyFill="1" applyBorder="1" applyAlignment="1">
      <alignment horizontal="right" vertical="center"/>
    </xf>
    <xf numFmtId="2" fontId="9" fillId="13" borderId="21" xfId="0" applyNumberFormat="1" applyFont="1" applyFill="1" applyBorder="1" applyAlignment="1">
      <alignment horizontal="right" vertical="center"/>
    </xf>
    <xf numFmtId="2" fontId="9" fillId="14" borderId="21" xfId="0" applyNumberFormat="1" applyFont="1" applyFill="1" applyBorder="1" applyAlignment="1">
      <alignment horizontal="right" vertical="center"/>
    </xf>
    <xf numFmtId="2" fontId="9" fillId="15" borderId="21" xfId="0" applyNumberFormat="1" applyFont="1" applyFill="1" applyBorder="1" applyAlignment="1">
      <alignment horizontal="right" vertical="center"/>
    </xf>
    <xf numFmtId="2" fontId="9" fillId="16" borderId="21" xfId="0" applyNumberFormat="1" applyFont="1" applyFill="1" applyBorder="1" applyAlignment="1">
      <alignment horizontal="right" vertical="center"/>
    </xf>
    <xf numFmtId="2" fontId="9" fillId="17" borderId="21" xfId="0" applyNumberFormat="1" applyFont="1" applyFill="1" applyBorder="1" applyAlignment="1">
      <alignment horizontal="right" vertical="center"/>
    </xf>
    <xf numFmtId="2" fontId="9" fillId="18" borderId="21" xfId="0" applyNumberFormat="1" applyFont="1" applyFill="1" applyBorder="1" applyAlignment="1">
      <alignment horizontal="right" vertical="center"/>
    </xf>
    <xf numFmtId="2" fontId="9" fillId="19" borderId="21" xfId="0" applyNumberFormat="1" applyFont="1" applyFill="1" applyBorder="1" applyAlignment="1">
      <alignment horizontal="right" vertical="center"/>
    </xf>
    <xf numFmtId="2" fontId="9" fillId="20" borderId="21" xfId="0" applyNumberFormat="1" applyFont="1" applyFill="1" applyBorder="1" applyAlignment="1">
      <alignment horizontal="right" vertical="center"/>
    </xf>
    <xf numFmtId="2" fontId="9" fillId="21" borderId="21" xfId="0" applyNumberFormat="1" applyFont="1" applyFill="1" applyBorder="1" applyAlignment="1">
      <alignment horizontal="right" vertical="center"/>
    </xf>
    <xf numFmtId="2" fontId="9" fillId="22" borderId="21" xfId="0" applyNumberFormat="1" applyFont="1" applyFill="1" applyBorder="1" applyAlignment="1">
      <alignment horizontal="right" vertical="center"/>
    </xf>
    <xf numFmtId="2" fontId="9" fillId="23" borderId="21" xfId="0" applyNumberFormat="1" applyFont="1" applyFill="1" applyBorder="1" applyAlignment="1">
      <alignment horizontal="right" vertical="center"/>
    </xf>
    <xf numFmtId="2" fontId="9" fillId="24" borderId="21" xfId="0" applyNumberFormat="1" applyFont="1" applyFill="1" applyBorder="1" applyAlignment="1">
      <alignment horizontal="right" vertical="center"/>
    </xf>
    <xf numFmtId="2" fontId="9" fillId="25" borderId="21" xfId="0" applyNumberFormat="1" applyFont="1" applyFill="1" applyBorder="1" applyAlignment="1">
      <alignment horizontal="right" vertical="center"/>
    </xf>
    <xf numFmtId="2" fontId="9" fillId="26" borderId="21" xfId="0" applyNumberFormat="1" applyFont="1" applyFill="1" applyBorder="1" applyAlignment="1">
      <alignment horizontal="right" vertical="center"/>
    </xf>
    <xf numFmtId="2" fontId="9" fillId="27" borderId="21" xfId="0" applyNumberFormat="1" applyFont="1" applyFill="1" applyBorder="1" applyAlignment="1">
      <alignment horizontal="right" vertical="center"/>
    </xf>
    <xf numFmtId="2" fontId="9" fillId="28" borderId="21" xfId="0" applyNumberFormat="1" applyFont="1" applyFill="1" applyBorder="1" applyAlignment="1">
      <alignment horizontal="right" vertical="center"/>
    </xf>
    <xf numFmtId="2" fontId="9" fillId="29" borderId="21" xfId="0" applyNumberFormat="1" applyFont="1" applyFill="1" applyBorder="1" applyAlignment="1">
      <alignment horizontal="right" vertical="center"/>
    </xf>
    <xf numFmtId="2" fontId="9" fillId="30" borderId="21" xfId="0" applyNumberFormat="1" applyFont="1" applyFill="1" applyBorder="1" applyAlignment="1">
      <alignment horizontal="right" vertical="center"/>
    </xf>
    <xf numFmtId="2" fontId="9" fillId="31" borderId="21" xfId="0" applyNumberFormat="1" applyFont="1" applyFill="1" applyBorder="1" applyAlignment="1">
      <alignment horizontal="right" vertical="center"/>
    </xf>
    <xf numFmtId="2" fontId="9" fillId="32" borderId="21" xfId="0" applyNumberFormat="1" applyFont="1" applyFill="1" applyBorder="1" applyAlignment="1">
      <alignment horizontal="right" vertical="center"/>
    </xf>
    <xf numFmtId="2" fontId="9" fillId="33" borderId="21" xfId="0" applyNumberFormat="1" applyFont="1" applyFill="1" applyBorder="1" applyAlignment="1">
      <alignment horizontal="right" vertical="center"/>
    </xf>
    <xf numFmtId="2" fontId="9" fillId="34" borderId="21" xfId="0" applyNumberFormat="1" applyFont="1" applyFill="1" applyBorder="1" applyAlignment="1">
      <alignment horizontal="right" vertical="center"/>
    </xf>
    <xf numFmtId="2" fontId="9" fillId="35" borderId="21" xfId="0" applyNumberFormat="1" applyFont="1" applyFill="1" applyBorder="1" applyAlignment="1">
      <alignment horizontal="right" vertical="center"/>
    </xf>
    <xf numFmtId="2" fontId="9" fillId="36" borderId="21" xfId="0" applyNumberFormat="1" applyFont="1" applyFill="1" applyBorder="1" applyAlignment="1">
      <alignment horizontal="right" vertical="center"/>
    </xf>
    <xf numFmtId="2" fontId="9" fillId="37" borderId="21" xfId="0" applyNumberFormat="1" applyFont="1" applyFill="1" applyBorder="1" applyAlignment="1">
      <alignment horizontal="right" vertical="center"/>
    </xf>
    <xf numFmtId="2" fontId="9" fillId="38" borderId="21" xfId="0" applyNumberFormat="1" applyFont="1" applyFill="1" applyBorder="1" applyAlignment="1">
      <alignment horizontal="right" vertical="center"/>
    </xf>
    <xf numFmtId="2" fontId="9" fillId="39" borderId="21" xfId="0" applyNumberFormat="1" applyFont="1" applyFill="1" applyBorder="1" applyAlignment="1">
      <alignment horizontal="right" vertical="center"/>
    </xf>
    <xf numFmtId="2" fontId="9" fillId="40" borderId="21" xfId="0" applyNumberFormat="1" applyFont="1" applyFill="1" applyBorder="1" applyAlignment="1">
      <alignment horizontal="right" vertical="center"/>
    </xf>
    <xf numFmtId="2" fontId="9" fillId="41" borderId="21" xfId="0" applyNumberFormat="1" applyFont="1" applyFill="1" applyBorder="1" applyAlignment="1">
      <alignment horizontal="right" vertical="center"/>
    </xf>
    <xf numFmtId="2" fontId="9" fillId="42" borderId="21" xfId="0" applyNumberFormat="1" applyFont="1" applyFill="1" applyBorder="1" applyAlignment="1">
      <alignment horizontal="right" vertical="center"/>
    </xf>
    <xf numFmtId="2" fontId="9" fillId="43" borderId="21" xfId="0" applyNumberFormat="1" applyFont="1" applyFill="1" applyBorder="1" applyAlignment="1">
      <alignment horizontal="right" vertical="center"/>
    </xf>
    <xf numFmtId="2" fontId="9" fillId="44" borderId="21" xfId="0" applyNumberFormat="1" applyFont="1" applyFill="1" applyBorder="1" applyAlignment="1">
      <alignment horizontal="right" vertical="center"/>
    </xf>
    <xf numFmtId="2" fontId="9" fillId="45" borderId="21" xfId="0" applyNumberFormat="1" applyFont="1" applyFill="1" applyBorder="1" applyAlignment="1">
      <alignment horizontal="right" vertical="center"/>
    </xf>
    <xf numFmtId="2" fontId="9" fillId="46" borderId="21" xfId="0" applyNumberFormat="1" applyFont="1" applyFill="1" applyBorder="1" applyAlignment="1">
      <alignment horizontal="right" vertical="center"/>
    </xf>
    <xf numFmtId="2" fontId="9" fillId="47" borderId="21" xfId="0" applyNumberFormat="1" applyFont="1" applyFill="1" applyBorder="1" applyAlignment="1">
      <alignment horizontal="right" vertical="center"/>
    </xf>
    <xf numFmtId="2" fontId="9" fillId="48" borderId="21" xfId="0" applyNumberFormat="1" applyFont="1" applyFill="1" applyBorder="1" applyAlignment="1">
      <alignment horizontal="right" vertical="center"/>
    </xf>
    <xf numFmtId="2" fontId="9" fillId="49" borderId="21" xfId="0" applyNumberFormat="1" applyFont="1" applyFill="1" applyBorder="1" applyAlignment="1">
      <alignment horizontal="right" vertical="center"/>
    </xf>
    <xf numFmtId="2" fontId="9" fillId="50" borderId="21" xfId="0" applyNumberFormat="1" applyFont="1" applyFill="1" applyBorder="1" applyAlignment="1">
      <alignment horizontal="right" vertical="center"/>
    </xf>
    <xf numFmtId="2" fontId="9" fillId="51" borderId="21" xfId="0" applyNumberFormat="1" applyFont="1" applyFill="1" applyBorder="1" applyAlignment="1">
      <alignment horizontal="right" vertical="center"/>
    </xf>
    <xf numFmtId="2" fontId="9" fillId="52" borderId="21" xfId="0" applyNumberFormat="1" applyFont="1" applyFill="1" applyBorder="1" applyAlignment="1">
      <alignment horizontal="right" vertical="center"/>
    </xf>
    <xf numFmtId="2" fontId="9" fillId="53" borderId="21" xfId="0" applyNumberFormat="1" applyFont="1" applyFill="1" applyBorder="1" applyAlignment="1">
      <alignment horizontal="right" vertical="center"/>
    </xf>
    <xf numFmtId="2" fontId="9" fillId="54" borderId="21" xfId="0" applyNumberFormat="1" applyFont="1" applyFill="1" applyBorder="1" applyAlignment="1">
      <alignment horizontal="right" vertical="center"/>
    </xf>
    <xf numFmtId="2" fontId="9" fillId="55" borderId="21" xfId="0" applyNumberFormat="1" applyFont="1" applyFill="1" applyBorder="1" applyAlignment="1">
      <alignment horizontal="right" vertical="center"/>
    </xf>
    <xf numFmtId="2" fontId="9" fillId="56" borderId="21" xfId="0" applyNumberFormat="1" applyFont="1" applyFill="1" applyBorder="1" applyAlignment="1">
      <alignment horizontal="right" vertical="center"/>
    </xf>
    <xf numFmtId="2" fontId="9" fillId="57" borderId="21" xfId="0" applyNumberFormat="1" applyFont="1" applyFill="1" applyBorder="1" applyAlignment="1">
      <alignment horizontal="right" vertical="center"/>
    </xf>
    <xf numFmtId="2" fontId="9" fillId="58" borderId="21" xfId="0" applyNumberFormat="1" applyFont="1" applyFill="1" applyBorder="1" applyAlignment="1">
      <alignment horizontal="right" vertical="center"/>
    </xf>
    <xf numFmtId="2" fontId="9" fillId="59" borderId="21" xfId="0" applyNumberFormat="1" applyFont="1" applyFill="1" applyBorder="1" applyAlignment="1">
      <alignment horizontal="right" vertical="center"/>
    </xf>
    <xf numFmtId="2" fontId="9" fillId="60" borderId="21" xfId="0" applyNumberFormat="1" applyFont="1" applyFill="1" applyBorder="1" applyAlignment="1">
      <alignment horizontal="right" vertical="center"/>
    </xf>
    <xf numFmtId="2" fontId="9" fillId="61" borderId="21" xfId="0" applyNumberFormat="1" applyFont="1" applyFill="1" applyBorder="1" applyAlignment="1">
      <alignment horizontal="right" vertical="center"/>
    </xf>
    <xf numFmtId="2" fontId="9" fillId="62" borderId="21" xfId="0" applyNumberFormat="1" applyFont="1" applyFill="1" applyBorder="1" applyAlignment="1">
      <alignment horizontal="right" vertical="center"/>
    </xf>
    <xf numFmtId="2" fontId="9" fillId="63" borderId="21" xfId="0" applyNumberFormat="1" applyFont="1" applyFill="1" applyBorder="1" applyAlignment="1">
      <alignment horizontal="right" vertical="center"/>
    </xf>
    <xf numFmtId="2" fontId="9" fillId="64" borderId="21" xfId="0" applyNumberFormat="1" applyFont="1" applyFill="1" applyBorder="1" applyAlignment="1">
      <alignment horizontal="right" vertical="center"/>
    </xf>
    <xf numFmtId="2" fontId="9" fillId="65" borderId="21" xfId="0" applyNumberFormat="1" applyFont="1" applyFill="1" applyBorder="1" applyAlignment="1">
      <alignment horizontal="right" vertical="center"/>
    </xf>
    <xf numFmtId="2" fontId="9" fillId="66" borderId="21" xfId="0" applyNumberFormat="1" applyFont="1" applyFill="1" applyBorder="1" applyAlignment="1">
      <alignment horizontal="right" vertical="center"/>
    </xf>
    <xf numFmtId="2" fontId="9" fillId="67" borderId="21" xfId="0" applyNumberFormat="1" applyFont="1" applyFill="1" applyBorder="1" applyAlignment="1">
      <alignment horizontal="right" vertical="center"/>
    </xf>
    <xf numFmtId="2" fontId="9" fillId="68" borderId="21" xfId="0" applyNumberFormat="1" applyFont="1" applyFill="1" applyBorder="1" applyAlignment="1">
      <alignment horizontal="right" vertical="center"/>
    </xf>
    <xf numFmtId="2" fontId="9" fillId="69" borderId="21" xfId="0" applyNumberFormat="1" applyFont="1" applyFill="1" applyBorder="1" applyAlignment="1">
      <alignment horizontal="right" vertical="center"/>
    </xf>
    <xf numFmtId="2" fontId="9" fillId="70" borderId="21" xfId="0" applyNumberFormat="1" applyFont="1" applyFill="1" applyBorder="1" applyAlignment="1">
      <alignment horizontal="right" vertical="center"/>
    </xf>
    <xf numFmtId="2" fontId="9" fillId="71" borderId="21" xfId="0" applyNumberFormat="1" applyFont="1" applyFill="1" applyBorder="1" applyAlignment="1">
      <alignment horizontal="right" vertical="center"/>
    </xf>
    <xf numFmtId="2" fontId="9" fillId="72" borderId="21" xfId="0" applyNumberFormat="1" applyFont="1" applyFill="1" applyBorder="1" applyAlignment="1">
      <alignment horizontal="right" vertical="center"/>
    </xf>
    <xf numFmtId="2" fontId="9" fillId="73" borderId="21" xfId="0" applyNumberFormat="1" applyFont="1" applyFill="1" applyBorder="1" applyAlignment="1">
      <alignment horizontal="right" vertical="center"/>
    </xf>
    <xf numFmtId="2" fontId="9" fillId="74" borderId="21" xfId="0" applyNumberFormat="1" applyFont="1" applyFill="1" applyBorder="1" applyAlignment="1">
      <alignment horizontal="right" vertical="center"/>
    </xf>
    <xf numFmtId="2" fontId="9" fillId="75" borderId="21" xfId="0" applyNumberFormat="1" applyFont="1" applyFill="1" applyBorder="1" applyAlignment="1">
      <alignment horizontal="right" vertical="center"/>
    </xf>
    <xf numFmtId="2" fontId="9" fillId="76" borderId="21" xfId="0" applyNumberFormat="1" applyFont="1" applyFill="1" applyBorder="1" applyAlignment="1">
      <alignment horizontal="right" vertical="center"/>
    </xf>
    <xf numFmtId="2" fontId="9" fillId="77" borderId="21" xfId="0" applyNumberFormat="1" applyFont="1" applyFill="1" applyBorder="1" applyAlignment="1">
      <alignment horizontal="right" vertical="center"/>
    </xf>
    <xf numFmtId="2" fontId="9" fillId="78" borderId="21" xfId="0" applyNumberFormat="1" applyFont="1" applyFill="1" applyBorder="1" applyAlignment="1">
      <alignment horizontal="right" vertical="center"/>
    </xf>
    <xf numFmtId="2" fontId="9" fillId="79" borderId="21" xfId="0" applyNumberFormat="1" applyFont="1" applyFill="1" applyBorder="1" applyAlignment="1">
      <alignment horizontal="right" vertical="center"/>
    </xf>
    <xf numFmtId="2" fontId="9" fillId="80" borderId="21" xfId="0" applyNumberFormat="1" applyFont="1" applyFill="1" applyBorder="1" applyAlignment="1">
      <alignment horizontal="right" vertical="center"/>
    </xf>
    <xf numFmtId="2" fontId="9" fillId="81" borderId="21" xfId="0" applyNumberFormat="1" applyFont="1" applyFill="1" applyBorder="1" applyAlignment="1">
      <alignment horizontal="right" vertical="center"/>
    </xf>
    <xf numFmtId="2" fontId="9" fillId="82" borderId="21" xfId="0" applyNumberFormat="1" applyFont="1" applyFill="1" applyBorder="1" applyAlignment="1">
      <alignment horizontal="right" vertical="center"/>
    </xf>
    <xf numFmtId="2" fontId="9" fillId="83" borderId="21" xfId="0" applyNumberFormat="1" applyFont="1" applyFill="1" applyBorder="1" applyAlignment="1">
      <alignment horizontal="right" vertical="center"/>
    </xf>
    <xf numFmtId="2" fontId="9" fillId="84" borderId="21" xfId="0" applyNumberFormat="1" applyFont="1" applyFill="1" applyBorder="1" applyAlignment="1">
      <alignment horizontal="right" vertical="center"/>
    </xf>
    <xf numFmtId="2" fontId="9" fillId="85" borderId="21" xfId="0" applyNumberFormat="1" applyFont="1" applyFill="1" applyBorder="1" applyAlignment="1">
      <alignment horizontal="right" vertical="center"/>
    </xf>
    <xf numFmtId="2" fontId="9" fillId="86" borderId="21" xfId="0" applyNumberFormat="1" applyFont="1" applyFill="1" applyBorder="1" applyAlignment="1">
      <alignment horizontal="right" vertical="center"/>
    </xf>
    <xf numFmtId="2" fontId="9" fillId="87" borderId="21" xfId="0" applyNumberFormat="1" applyFont="1" applyFill="1" applyBorder="1" applyAlignment="1">
      <alignment horizontal="right" vertical="center"/>
    </xf>
    <xf numFmtId="2" fontId="9" fillId="88" borderId="21" xfId="0" applyNumberFormat="1" applyFont="1" applyFill="1" applyBorder="1" applyAlignment="1">
      <alignment horizontal="right" vertical="center"/>
    </xf>
    <xf numFmtId="2" fontId="9" fillId="89" borderId="21" xfId="0" applyNumberFormat="1" applyFont="1" applyFill="1" applyBorder="1" applyAlignment="1">
      <alignment horizontal="right" vertical="center"/>
    </xf>
    <xf numFmtId="2" fontId="9" fillId="7" borderId="21" xfId="0" applyNumberFormat="1" applyFont="1" applyFill="1" applyBorder="1" applyAlignment="1">
      <alignment horizontal="right" vertical="center"/>
    </xf>
    <xf numFmtId="2" fontId="9" fillId="90" borderId="21" xfId="0" applyNumberFormat="1" applyFont="1" applyFill="1" applyBorder="1" applyAlignment="1">
      <alignment horizontal="right" vertical="center"/>
    </xf>
    <xf numFmtId="2" fontId="9" fillId="91" borderId="21" xfId="0" applyNumberFormat="1" applyFont="1" applyFill="1" applyBorder="1" applyAlignment="1">
      <alignment horizontal="right" vertical="center"/>
    </xf>
    <xf numFmtId="2" fontId="9" fillId="92" borderId="21" xfId="0" applyNumberFormat="1" applyFont="1" applyFill="1" applyBorder="1" applyAlignment="1">
      <alignment horizontal="right" vertical="center"/>
    </xf>
    <xf numFmtId="2" fontId="9" fillId="93" borderId="21" xfId="0" applyNumberFormat="1" applyFont="1" applyFill="1" applyBorder="1" applyAlignment="1">
      <alignment horizontal="right" vertical="center"/>
    </xf>
    <xf numFmtId="2" fontId="9" fillId="94" borderId="21" xfId="0" applyNumberFormat="1" applyFont="1" applyFill="1" applyBorder="1" applyAlignment="1">
      <alignment horizontal="right" vertical="center"/>
    </xf>
    <xf numFmtId="2" fontId="9" fillId="95" borderId="21" xfId="0" applyNumberFormat="1" applyFont="1" applyFill="1" applyBorder="1" applyAlignment="1">
      <alignment horizontal="right" vertical="center"/>
    </xf>
    <xf numFmtId="2" fontId="9" fillId="96" borderId="21" xfId="0" applyNumberFormat="1" applyFont="1" applyFill="1" applyBorder="1" applyAlignment="1">
      <alignment horizontal="right" vertical="center"/>
    </xf>
    <xf numFmtId="2" fontId="9" fillId="97" borderId="21" xfId="0" applyNumberFormat="1" applyFont="1" applyFill="1" applyBorder="1" applyAlignment="1">
      <alignment horizontal="right" vertical="center"/>
    </xf>
    <xf numFmtId="2" fontId="9" fillId="98" borderId="21" xfId="0" applyNumberFormat="1" applyFont="1" applyFill="1" applyBorder="1" applyAlignment="1">
      <alignment horizontal="right" vertical="center"/>
    </xf>
    <xf numFmtId="2" fontId="9" fillId="99" borderId="21" xfId="0" applyNumberFormat="1" applyFont="1" applyFill="1" applyBorder="1" applyAlignment="1">
      <alignment horizontal="right" vertical="center"/>
    </xf>
    <xf numFmtId="2" fontId="9" fillId="100" borderId="21" xfId="0" applyNumberFormat="1" applyFont="1" applyFill="1" applyBorder="1" applyAlignment="1">
      <alignment horizontal="right" vertical="center"/>
    </xf>
    <xf numFmtId="2" fontId="9" fillId="101" borderId="21" xfId="0" applyNumberFormat="1" applyFont="1" applyFill="1" applyBorder="1" applyAlignment="1">
      <alignment horizontal="right" vertical="center"/>
    </xf>
    <xf numFmtId="2" fontId="9" fillId="102" borderId="21" xfId="0" applyNumberFormat="1" applyFont="1" applyFill="1" applyBorder="1" applyAlignment="1">
      <alignment horizontal="right" vertical="center"/>
    </xf>
    <xf numFmtId="2" fontId="9" fillId="103" borderId="21" xfId="0" applyNumberFormat="1" applyFont="1" applyFill="1" applyBorder="1" applyAlignment="1">
      <alignment horizontal="right" vertical="center"/>
    </xf>
    <xf numFmtId="2" fontId="9" fillId="104" borderId="21" xfId="0" applyNumberFormat="1" applyFont="1" applyFill="1" applyBorder="1" applyAlignment="1">
      <alignment horizontal="right" vertical="center"/>
    </xf>
    <xf numFmtId="2" fontId="9" fillId="105" borderId="21" xfId="0" applyNumberFormat="1" applyFont="1" applyFill="1" applyBorder="1" applyAlignment="1">
      <alignment horizontal="right" vertical="center"/>
    </xf>
    <xf numFmtId="2" fontId="9" fillId="106" borderId="21" xfId="0" applyNumberFormat="1" applyFont="1" applyFill="1" applyBorder="1" applyAlignment="1">
      <alignment horizontal="right" vertical="center"/>
    </xf>
    <xf numFmtId="2" fontId="9" fillId="107" borderId="21" xfId="0" applyNumberFormat="1" applyFont="1" applyFill="1" applyBorder="1" applyAlignment="1">
      <alignment horizontal="right" vertical="center"/>
    </xf>
    <xf numFmtId="2" fontId="9" fillId="108" borderId="21" xfId="0" applyNumberFormat="1" applyFont="1" applyFill="1" applyBorder="1" applyAlignment="1">
      <alignment horizontal="right" vertical="center"/>
    </xf>
    <xf numFmtId="2" fontId="9" fillId="109" borderId="21" xfId="0" applyNumberFormat="1" applyFont="1" applyFill="1" applyBorder="1" applyAlignment="1">
      <alignment horizontal="right" vertical="center"/>
    </xf>
    <xf numFmtId="2" fontId="9" fillId="110" borderId="21" xfId="0" applyNumberFormat="1" applyFont="1" applyFill="1" applyBorder="1" applyAlignment="1">
      <alignment horizontal="right" vertical="center"/>
    </xf>
    <xf numFmtId="2" fontId="9" fillId="111" borderId="21" xfId="0" applyNumberFormat="1" applyFont="1" applyFill="1" applyBorder="1" applyAlignment="1">
      <alignment horizontal="right" vertical="center"/>
    </xf>
    <xf numFmtId="2" fontId="9" fillId="112" borderId="21" xfId="0" applyNumberFormat="1" applyFont="1" applyFill="1" applyBorder="1" applyAlignment="1">
      <alignment horizontal="right" vertical="center"/>
    </xf>
    <xf numFmtId="2" fontId="9" fillId="113" borderId="21" xfId="0" applyNumberFormat="1" applyFont="1" applyFill="1" applyBorder="1" applyAlignment="1">
      <alignment horizontal="right" vertical="center"/>
    </xf>
    <xf numFmtId="2" fontId="9" fillId="114" borderId="21" xfId="0" applyNumberFormat="1" applyFont="1" applyFill="1" applyBorder="1" applyAlignment="1">
      <alignment horizontal="right" vertical="center"/>
    </xf>
    <xf numFmtId="2" fontId="9" fillId="115" borderId="21" xfId="0" applyNumberFormat="1" applyFont="1" applyFill="1" applyBorder="1" applyAlignment="1">
      <alignment horizontal="right" vertical="center"/>
    </xf>
    <xf numFmtId="2" fontId="9" fillId="116" borderId="21" xfId="0" applyNumberFormat="1" applyFont="1" applyFill="1" applyBorder="1" applyAlignment="1">
      <alignment horizontal="right" vertical="center"/>
    </xf>
    <xf numFmtId="2" fontId="9" fillId="117" borderId="21" xfId="0" applyNumberFormat="1" applyFont="1" applyFill="1" applyBorder="1" applyAlignment="1">
      <alignment horizontal="right" vertical="center"/>
    </xf>
    <xf numFmtId="2" fontId="9" fillId="118" borderId="21" xfId="0" applyNumberFormat="1" applyFont="1" applyFill="1" applyBorder="1" applyAlignment="1">
      <alignment horizontal="right" vertical="center"/>
    </xf>
    <xf numFmtId="2" fontId="9" fillId="119" borderId="21" xfId="0" applyNumberFormat="1" applyFont="1" applyFill="1" applyBorder="1" applyAlignment="1">
      <alignment horizontal="right" vertical="center"/>
    </xf>
    <xf numFmtId="2" fontId="9" fillId="120" borderId="21" xfId="0" applyNumberFormat="1" applyFont="1" applyFill="1" applyBorder="1" applyAlignment="1">
      <alignment horizontal="right" vertical="center"/>
    </xf>
    <xf numFmtId="2" fontId="9" fillId="121" borderId="21" xfId="0" applyNumberFormat="1" applyFont="1" applyFill="1" applyBorder="1" applyAlignment="1">
      <alignment horizontal="right" vertical="center"/>
    </xf>
    <xf numFmtId="2" fontId="9" fillId="122" borderId="21" xfId="0" applyNumberFormat="1" applyFont="1" applyFill="1" applyBorder="1" applyAlignment="1">
      <alignment horizontal="right" vertical="center"/>
    </xf>
    <xf numFmtId="2" fontId="9" fillId="123" borderId="21" xfId="0" applyNumberFormat="1" applyFont="1" applyFill="1" applyBorder="1" applyAlignment="1">
      <alignment horizontal="right" vertical="center"/>
    </xf>
    <xf numFmtId="2" fontId="9" fillId="124" borderId="21" xfId="0" applyNumberFormat="1" applyFont="1" applyFill="1" applyBorder="1" applyAlignment="1">
      <alignment horizontal="right" vertical="center"/>
    </xf>
    <xf numFmtId="2" fontId="9" fillId="125" borderId="21" xfId="0" applyNumberFormat="1" applyFont="1" applyFill="1" applyBorder="1" applyAlignment="1">
      <alignment horizontal="right" vertical="center"/>
    </xf>
    <xf numFmtId="2" fontId="9" fillId="126" borderId="21" xfId="0" applyNumberFormat="1" applyFont="1" applyFill="1" applyBorder="1" applyAlignment="1">
      <alignment horizontal="right" vertical="center"/>
    </xf>
    <xf numFmtId="2" fontId="9" fillId="127" borderId="21" xfId="0" applyNumberFormat="1" applyFont="1" applyFill="1" applyBorder="1" applyAlignment="1">
      <alignment horizontal="right" vertical="center"/>
    </xf>
    <xf numFmtId="2" fontId="9" fillId="128" borderId="21" xfId="0" applyNumberFormat="1" applyFont="1" applyFill="1" applyBorder="1" applyAlignment="1">
      <alignment horizontal="right" vertical="center"/>
    </xf>
    <xf numFmtId="2" fontId="9" fillId="129" borderId="21" xfId="0" applyNumberFormat="1" applyFont="1" applyFill="1" applyBorder="1" applyAlignment="1">
      <alignment horizontal="right" vertical="center"/>
    </xf>
    <xf numFmtId="2" fontId="9" fillId="130" borderId="21" xfId="0" applyNumberFormat="1" applyFont="1" applyFill="1" applyBorder="1" applyAlignment="1">
      <alignment horizontal="right" vertical="center"/>
    </xf>
    <xf numFmtId="2" fontId="9" fillId="131" borderId="21" xfId="0" applyNumberFormat="1" applyFont="1" applyFill="1" applyBorder="1" applyAlignment="1">
      <alignment horizontal="right" vertical="center"/>
    </xf>
    <xf numFmtId="2" fontId="9" fillId="132" borderId="21" xfId="0" applyNumberFormat="1" applyFont="1" applyFill="1" applyBorder="1" applyAlignment="1">
      <alignment horizontal="right" vertical="center"/>
    </xf>
    <xf numFmtId="2" fontId="9" fillId="133" borderId="21" xfId="0" applyNumberFormat="1" applyFont="1" applyFill="1" applyBorder="1" applyAlignment="1">
      <alignment horizontal="right" vertical="center"/>
    </xf>
    <xf numFmtId="2" fontId="9" fillId="134" borderId="21" xfId="0" applyNumberFormat="1" applyFont="1" applyFill="1" applyBorder="1" applyAlignment="1">
      <alignment horizontal="right" vertical="center"/>
    </xf>
    <xf numFmtId="2" fontId="10" fillId="8" borderId="22" xfId="0" applyNumberFormat="1" applyFont="1" applyFill="1" applyBorder="1"/>
    <xf numFmtId="10" fontId="2" fillId="0" borderId="0" xfId="1" applyNumberFormat="1" applyFont="1" applyBorder="1"/>
    <xf numFmtId="10" fontId="2" fillId="2" borderId="0" xfId="1" applyNumberFormat="1" applyFont="1" applyFill="1" applyBorder="1"/>
    <xf numFmtId="10" fontId="7" fillId="2" borderId="2" xfId="1" applyNumberFormat="1" applyFont="1" applyFill="1" applyBorder="1"/>
    <xf numFmtId="2" fontId="11" fillId="135" borderId="20" xfId="0" applyNumberFormat="1" applyFont="1" applyFill="1" applyBorder="1"/>
    <xf numFmtId="2" fontId="0" fillId="0" borderId="0" xfId="0" applyNumberFormat="1"/>
    <xf numFmtId="0" fontId="11" fillId="135" borderId="26" xfId="0" applyFont="1" applyFill="1" applyBorder="1"/>
    <xf numFmtId="0" fontId="2" fillId="0" borderId="28" xfId="0" applyFont="1" applyBorder="1"/>
    <xf numFmtId="0" fontId="12" fillId="136" borderId="21" xfId="0" applyFont="1" applyFill="1" applyBorder="1"/>
    <xf numFmtId="2" fontId="5" fillId="0" borderId="21" xfId="0" applyNumberFormat="1" applyFont="1" applyBorder="1"/>
    <xf numFmtId="0" fontId="5" fillId="0" borderId="21" xfId="0" applyFont="1" applyBorder="1"/>
    <xf numFmtId="0" fontId="12" fillId="0" borderId="21" xfId="0" applyFont="1" applyBorder="1"/>
    <xf numFmtId="0" fontId="12" fillId="136" borderId="24" xfId="0" applyFont="1" applyFill="1" applyBorder="1"/>
    <xf numFmtId="0" fontId="12" fillId="0" borderId="24" xfId="0" applyFont="1" applyBorder="1"/>
    <xf numFmtId="2" fontId="5" fillId="0" borderId="30" xfId="0" applyNumberFormat="1" applyFont="1" applyBorder="1"/>
    <xf numFmtId="0" fontId="5" fillId="137" borderId="27" xfId="0" applyFont="1" applyFill="1" applyBorder="1"/>
    <xf numFmtId="0" fontId="2" fillId="137" borderId="24" xfId="0" applyFont="1" applyFill="1" applyBorder="1"/>
    <xf numFmtId="0" fontId="5" fillId="0" borderId="23" xfId="0" applyFont="1" applyBorder="1"/>
    <xf numFmtId="2" fontId="5" fillId="0" borderId="27" xfId="0" applyNumberFormat="1" applyFont="1" applyBorder="1"/>
    <xf numFmtId="0" fontId="12" fillId="4" borderId="24" xfId="0" applyFont="1" applyFill="1" applyBorder="1"/>
    <xf numFmtId="0" fontId="5" fillId="0" borderId="25" xfId="0" applyFont="1" applyBorder="1"/>
    <xf numFmtId="0" fontId="2" fillId="137" borderId="28" xfId="0" applyFont="1" applyFill="1" applyBorder="1"/>
    <xf numFmtId="0" fontId="12" fillId="4" borderId="29" xfId="0" applyFont="1" applyFill="1" applyBorder="1"/>
    <xf numFmtId="0" fontId="5" fillId="0" borderId="31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28"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</dxf>
  </dxfs>
  <tableStyles count="0" defaultTableStyle="TableStyleMedium2" defaultPivotStyle="PivotStyleLight16"/>
  <colors>
    <mruColors>
      <color rgb="FFFF7D7C"/>
      <color rgb="FF7BF190"/>
      <color rgb="FF61F1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sets%20for%20Index/(Final%20database)%20Data%20Final_Database.xlsx" TargetMode="External"/><Relationship Id="rId2" Type="http://schemas.openxmlformats.org/officeDocument/2006/relationships/externalLinkPath" Target="https://bocconi.sharepoint.com/sites/Geopolitics-DataGroup1/Documenti%20condivisi/General/Datasets%20for%20Index/(Final%20database)%20Data%20Final_Database.xlsx" TargetMode="External"/><Relationship Id="rId1" Type="http://schemas.openxmlformats.org/officeDocument/2006/relationships/externalLinkPath" Target="/sites/Geopolitics-DataGroup1/Documenti%20condivisi/General/Datasets%20for%20Index/(Final%20database)%20Data%20Final_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l Index"/>
      <sheetName val="2023 Breakdown"/>
      <sheetName val="Correlations 2023"/>
      <sheetName val="Correlation weightings"/>
      <sheetName val="Final List"/>
      <sheetName val="Pivot"/>
      <sheetName val="Political Risk Index"/>
      <sheetName val="Govt Interference Index"/>
      <sheetName val="Globalization Index"/>
      <sheetName val="Conflict &amp; Unrest Index"/>
      <sheetName val="Geographical Risk Index"/>
      <sheetName val="Geoeconomic Dependency Index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>
            <v>2009</v>
          </cell>
          <cell r="C1">
            <v>2010</v>
          </cell>
          <cell r="D1">
            <v>2011</v>
          </cell>
          <cell r="E1">
            <v>2012</v>
          </cell>
          <cell r="F1">
            <v>2013</v>
          </cell>
          <cell r="G1">
            <v>2014</v>
          </cell>
          <cell r="H1">
            <v>2015</v>
          </cell>
          <cell r="I1">
            <v>2016</v>
          </cell>
          <cell r="J1">
            <v>2017</v>
          </cell>
          <cell r="K1">
            <v>2018</v>
          </cell>
          <cell r="L1">
            <v>2019</v>
          </cell>
          <cell r="M1">
            <v>2020</v>
          </cell>
          <cell r="N1">
            <v>2021</v>
          </cell>
          <cell r="O1">
            <v>2022</v>
          </cell>
          <cell r="P1">
            <v>2023</v>
          </cell>
          <cell r="Q1">
            <v>2024</v>
          </cell>
        </row>
        <row r="2">
          <cell r="A2" t="str">
            <v>Afghanistan</v>
          </cell>
          <cell r="B2">
            <v>7.4811512807490885</v>
          </cell>
          <cell r="C2">
            <v>7.5927390539496074</v>
          </cell>
          <cell r="D2">
            <v>7.4062702499606985</v>
          </cell>
          <cell r="E2">
            <v>7.2954136125172573</v>
          </cell>
          <cell r="F2">
            <v>7.9013503193020496</v>
          </cell>
          <cell r="G2">
            <v>7.8185644250643769</v>
          </cell>
          <cell r="H2">
            <v>7.9302814279132061</v>
          </cell>
          <cell r="I2">
            <v>7.5070310134072962</v>
          </cell>
          <cell r="J2">
            <v>7.8366959015801356</v>
          </cell>
          <cell r="K2">
            <v>7.7990601984360755</v>
          </cell>
          <cell r="L2">
            <v>7.6600447050749327</v>
          </cell>
          <cell r="M2">
            <v>7.5860762860283684</v>
          </cell>
          <cell r="N2">
            <v>6.3947377089783286</v>
          </cell>
          <cell r="O2">
            <v>6.2450375316074656</v>
          </cell>
          <cell r="P2">
            <v>6.3025043262623246</v>
          </cell>
          <cell r="Q2">
            <v>3.6592932841213557</v>
          </cell>
        </row>
        <row r="3">
          <cell r="A3" t="str">
            <v>Albania</v>
          </cell>
          <cell r="B3">
            <v>6.6087642687916937</v>
          </cell>
          <cell r="C3">
            <v>6.3096667279608454</v>
          </cell>
          <cell r="D3">
            <v>6.1431590383742494</v>
          </cell>
          <cell r="E3">
            <v>6.358625340832023</v>
          </cell>
          <cell r="F3">
            <v>6.3092555812994533</v>
          </cell>
          <cell r="G3">
            <v>6.0934935429380737</v>
          </cell>
          <cell r="H3">
            <v>5.9590780187388601</v>
          </cell>
          <cell r="I3">
            <v>5.7548865664187714</v>
          </cell>
          <cell r="J3">
            <v>5.692920956555346</v>
          </cell>
          <cell r="K3">
            <v>5.6298672685391074</v>
          </cell>
          <cell r="L3">
            <v>5.5002686274045951</v>
          </cell>
          <cell r="M3">
            <v>5.5143386041269933</v>
          </cell>
          <cell r="N3">
            <v>5.4175109519351832</v>
          </cell>
          <cell r="O3">
            <v>5.2186333094293156</v>
          </cell>
          <cell r="P3">
            <v>5.1432527612405572</v>
          </cell>
          <cell r="Q3">
            <v>5.2865272019171936</v>
          </cell>
        </row>
        <row r="4">
          <cell r="A4" t="str">
            <v>Algeria</v>
          </cell>
          <cell r="B4">
            <v>6.6482298963593083</v>
          </cell>
          <cell r="C4">
            <v>6.7549839725853476</v>
          </cell>
          <cell r="D4">
            <v>6.4888540903905705</v>
          </cell>
          <cell r="E4">
            <v>6.4455065511996326</v>
          </cell>
          <cell r="F4">
            <v>6.4616467516017861</v>
          </cell>
          <cell r="G4">
            <v>6.4935638416198458</v>
          </cell>
          <cell r="H4">
            <v>6.4128627846948643</v>
          </cell>
          <cell r="I4">
            <v>6.1551513935744273</v>
          </cell>
          <cell r="J4">
            <v>5.8895633402410938</v>
          </cell>
          <cell r="K4">
            <v>5.8621546958293322</v>
          </cell>
          <cell r="L4">
            <v>5.8074936268763411</v>
          </cell>
          <cell r="M4">
            <v>5.9096531908819081</v>
          </cell>
          <cell r="N4">
            <v>5.7442663737461306</v>
          </cell>
          <cell r="O4">
            <v>5.6261017231823596</v>
          </cell>
          <cell r="P4">
            <v>5.5507447041489888</v>
          </cell>
          <cell r="Q4">
            <v>4.3994100278332082</v>
          </cell>
        </row>
        <row r="5">
          <cell r="A5" t="str">
            <v>Angola</v>
          </cell>
          <cell r="B5">
            <v>6.7097280919947817</v>
          </cell>
          <cell r="C5">
            <v>6.7067867595671871</v>
          </cell>
          <cell r="D5">
            <v>6.8072946985677696</v>
          </cell>
          <cell r="E5">
            <v>6.84345081813834</v>
          </cell>
          <cell r="F5">
            <v>6.8070043847884065</v>
          </cell>
          <cell r="G5">
            <v>6.7355698703154374</v>
          </cell>
          <cell r="H5">
            <v>6.8527702605741228</v>
          </cell>
          <cell r="I5">
            <v>7.0206804790539659</v>
          </cell>
          <cell r="J5">
            <v>6.9807952720336326</v>
          </cell>
          <cell r="K5">
            <v>6.9851121730279795</v>
          </cell>
          <cell r="L5">
            <v>6.8499598103207271</v>
          </cell>
          <cell r="M5">
            <v>6.8871788062183423</v>
          </cell>
          <cell r="N5">
            <v>6.8855035608945778</v>
          </cell>
          <cell r="O5">
            <v>6.9230421814613257</v>
          </cell>
          <cell r="P5">
            <v>6.9224626812151984</v>
          </cell>
          <cell r="Q5">
            <v>6.3845994481013131</v>
          </cell>
        </row>
        <row r="6">
          <cell r="A6" t="str">
            <v>Argentina</v>
          </cell>
          <cell r="B6">
            <v>5.0523085625653792</v>
          </cell>
          <cell r="C6">
            <v>5.0092240937558614</v>
          </cell>
          <cell r="D6">
            <v>5.2084679533092286</v>
          </cell>
          <cell r="E6">
            <v>5.176700042343918</v>
          </cell>
          <cell r="F6">
            <v>5.4209531265739397</v>
          </cell>
          <cell r="G6">
            <v>5.4429974212712269</v>
          </cell>
          <cell r="H6">
            <v>5.3784163782994323</v>
          </cell>
          <cell r="I6">
            <v>5.3046142694589191</v>
          </cell>
          <cell r="J6">
            <v>5.3633065695020674</v>
          </cell>
          <cell r="K6">
            <v>5.1414948050432319</v>
          </cell>
          <cell r="L6">
            <v>5.0429568288788253</v>
          </cell>
          <cell r="M6">
            <v>4.984469280767156</v>
          </cell>
          <cell r="N6">
            <v>5.085869499898652</v>
          </cell>
          <cell r="O6">
            <v>4.9938237498293887</v>
          </cell>
          <cell r="P6">
            <v>4.8714571860372207</v>
          </cell>
          <cell r="Q6">
            <v>5.0646641741478087</v>
          </cell>
        </row>
        <row r="7">
          <cell r="A7" t="str">
            <v>Armenia</v>
          </cell>
          <cell r="B7">
            <v>6.5550375980189974</v>
          </cell>
          <cell r="C7">
            <v>6.5177562168071921</v>
          </cell>
          <cell r="D7">
            <v>6.4898668581271961</v>
          </cell>
          <cell r="E7">
            <v>6.5148988324493082</v>
          </cell>
          <cell r="F7">
            <v>6.4080677467172125</v>
          </cell>
          <cell r="G7">
            <v>6.4381731262499748</v>
          </cell>
          <cell r="H7">
            <v>6.2900085744958121</v>
          </cell>
          <cell r="I7">
            <v>6.3849948588691969</v>
          </cell>
          <cell r="J7">
            <v>6.4274572907336456</v>
          </cell>
          <cell r="K7">
            <v>6.6405221033061359</v>
          </cell>
          <cell r="L7">
            <v>6.478658752018883</v>
          </cell>
          <cell r="M7">
            <v>6.2429380376045724</v>
          </cell>
          <cell r="N7">
            <v>6.4401729341058243</v>
          </cell>
          <cell r="O7">
            <v>6.2154018607586963</v>
          </cell>
          <cell r="P7">
            <v>6.1145617463276993</v>
          </cell>
          <cell r="Q7">
            <v>5.8957713287373466</v>
          </cell>
        </row>
        <row r="8">
          <cell r="A8" t="str">
            <v>Australia</v>
          </cell>
          <cell r="B8">
            <v>4.3241725452954638</v>
          </cell>
          <cell r="C8">
            <v>4.3051043265530984</v>
          </cell>
          <cell r="D8">
            <v>4.2960370068588869</v>
          </cell>
          <cell r="E8">
            <v>4.3190403272539069</v>
          </cell>
          <cell r="F8">
            <v>4.069053674886554</v>
          </cell>
          <cell r="G8">
            <v>4.1509706918511355</v>
          </cell>
          <cell r="H8">
            <v>4.0918335198322309</v>
          </cell>
          <cell r="I8">
            <v>3.989579137229097</v>
          </cell>
          <cell r="J8">
            <v>3.9021851700340582</v>
          </cell>
          <cell r="K8">
            <v>3.7121883852994983</v>
          </cell>
          <cell r="L8">
            <v>3.6758113768380967</v>
          </cell>
          <cell r="M8">
            <v>3.6360718273737431</v>
          </cell>
          <cell r="N8">
            <v>3.6794291392798537</v>
          </cell>
          <cell r="O8">
            <v>3.6502383045849784</v>
          </cell>
          <cell r="P8">
            <v>3.6443569697708909</v>
          </cell>
          <cell r="Q8">
            <v>4.7366038185547312</v>
          </cell>
        </row>
        <row r="9">
          <cell r="A9" t="str">
            <v>Austria</v>
          </cell>
          <cell r="B9">
            <v>4.2180175801223632</v>
          </cell>
          <cell r="C9">
            <v>4.1418040848701025</v>
          </cell>
          <cell r="D9">
            <v>4.0376851257740434</v>
          </cell>
          <cell r="E9">
            <v>4.0534939339035132</v>
          </cell>
          <cell r="F9">
            <v>4.1252301194429251</v>
          </cell>
          <cell r="G9">
            <v>4.2245677620770339</v>
          </cell>
          <cell r="H9">
            <v>4.0637067020710873</v>
          </cell>
          <cell r="I9">
            <v>3.8518944416396477</v>
          </cell>
          <cell r="J9">
            <v>3.8458445138497224</v>
          </cell>
          <cell r="K9">
            <v>3.7495083117560579</v>
          </cell>
          <cell r="L9">
            <v>3.6221978597350319</v>
          </cell>
          <cell r="M9">
            <v>3.5268911251927872</v>
          </cell>
          <cell r="N9">
            <v>3.5835039234931654</v>
          </cell>
          <cell r="O9">
            <v>3.4640920092740819</v>
          </cell>
          <cell r="P9">
            <v>3.405220935370652</v>
          </cell>
          <cell r="Q9">
            <v>4.6687899072890389</v>
          </cell>
        </row>
        <row r="10">
          <cell r="A10" t="str">
            <v>Azerbaijan</v>
          </cell>
          <cell r="B10">
            <v>6.4183238761698016</v>
          </cell>
          <cell r="C10">
            <v>6.3989311167057732</v>
          </cell>
          <cell r="D10">
            <v>6.2663472908508755</v>
          </cell>
          <cell r="E10">
            <v>6.1111162711257165</v>
          </cell>
          <cell r="F10">
            <v>6.1040107100107388</v>
          </cell>
          <cell r="G10">
            <v>6.1730771831071118</v>
          </cell>
          <cell r="H10">
            <v>6.3588886963278979</v>
          </cell>
          <cell r="I10">
            <v>6.4012660920078073</v>
          </cell>
          <cell r="J10">
            <v>6.3806564893312361</v>
          </cell>
          <cell r="K10">
            <v>6.2568082612839628</v>
          </cell>
          <cell r="L10">
            <v>6.1957735727949359</v>
          </cell>
          <cell r="M10">
            <v>6.057640339620658</v>
          </cell>
          <cell r="N10">
            <v>6.2812150726854838</v>
          </cell>
          <cell r="O10">
            <v>6.1514769798736992</v>
          </cell>
          <cell r="P10">
            <v>6.2652351384971166</v>
          </cell>
          <cell r="Q10">
            <v>5.5540950074447277</v>
          </cell>
        </row>
        <row r="11">
          <cell r="A11" t="str">
            <v>Bahrain</v>
          </cell>
          <cell r="B11">
            <v>5.8160298921998432</v>
          </cell>
          <cell r="C11">
            <v>5.8097409346926998</v>
          </cell>
          <cell r="D11">
            <v>5.4261387659540707</v>
          </cell>
          <cell r="E11">
            <v>5.6641913915365656</v>
          </cell>
          <cell r="F11">
            <v>5.662389606115461</v>
          </cell>
          <cell r="G11">
            <v>5.8042074395713357</v>
          </cell>
          <cell r="H11">
            <v>5.8589281756853255</v>
          </cell>
          <cell r="I11">
            <v>5.8106855403839619</v>
          </cell>
          <cell r="J11">
            <v>5.760926534372711</v>
          </cell>
          <cell r="K11">
            <v>5.771314882874762</v>
          </cell>
          <cell r="L11">
            <v>5.8517929949964262</v>
          </cell>
          <cell r="M11">
            <v>5.888188536985357</v>
          </cell>
          <cell r="N11">
            <v>6.0659482972136205</v>
          </cell>
          <cell r="O11">
            <v>6.0575633179337407</v>
          </cell>
          <cell r="P11">
            <v>5.9820975102081455</v>
          </cell>
          <cell r="Q11">
            <v>4.7571579703626989</v>
          </cell>
        </row>
        <row r="12">
          <cell r="A12" t="str">
            <v>Bangladesh</v>
          </cell>
          <cell r="B12">
            <v>7.4671683833781648</v>
          </cell>
          <cell r="C12">
            <v>7.3532647101761563</v>
          </cell>
          <cell r="D12">
            <v>7.2625061838214151</v>
          </cell>
          <cell r="E12">
            <v>7.1036864328137916</v>
          </cell>
          <cell r="F12">
            <v>7.1013137771485093</v>
          </cell>
          <cell r="G12">
            <v>7.21008675038492</v>
          </cell>
          <cell r="H12">
            <v>7.1284097520808949</v>
          </cell>
          <cell r="I12">
            <v>6.9882942282043157</v>
          </cell>
          <cell r="J12">
            <v>6.8598917260383683</v>
          </cell>
          <cell r="K12">
            <v>6.7493231682693233</v>
          </cell>
          <cell r="L12">
            <v>6.5204895014912561</v>
          </cell>
          <cell r="M12">
            <v>6.3962985185312187</v>
          </cell>
          <cell r="N12">
            <v>6.4460020953253272</v>
          </cell>
          <cell r="O12">
            <v>6.5086960811617063</v>
          </cell>
          <cell r="P12">
            <v>6.5816323848878042</v>
          </cell>
          <cell r="Q12">
            <v>5.9579961174582818</v>
          </cell>
        </row>
        <row r="13">
          <cell r="A13" t="str">
            <v>Barbados</v>
          </cell>
          <cell r="B13">
            <v>5.3863730067800004</v>
          </cell>
          <cell r="C13">
            <v>5.2072032857199986</v>
          </cell>
          <cell r="D13">
            <v>4.9954671876468844</v>
          </cell>
          <cell r="E13">
            <v>4.9273767210733332</v>
          </cell>
          <cell r="F13">
            <v>4.7445841859117124</v>
          </cell>
          <cell r="G13">
            <v>4.7433399999999999</v>
          </cell>
          <cell r="H13">
            <v>4.6351733333333334</v>
          </cell>
          <cell r="I13">
            <v>4.5524400000000007</v>
          </cell>
          <cell r="J13">
            <v>4.5913000000000013</v>
          </cell>
          <cell r="K13">
            <v>4.5667269812474238</v>
          </cell>
          <cell r="L13">
            <v>4.6433523275013364</v>
          </cell>
          <cell r="M13">
            <v>4.5936602284602079</v>
          </cell>
          <cell r="N13">
            <v>4.5767232399291835</v>
          </cell>
          <cell r="O13">
            <v>4.4939731995713403</v>
          </cell>
          <cell r="P13">
            <v>4.3807620277483785</v>
          </cell>
          <cell r="Q13">
            <v>5.3812910456779424</v>
          </cell>
        </row>
        <row r="14">
          <cell r="A14" t="str">
            <v>Belarus</v>
          </cell>
          <cell r="B14">
            <v>6.7596296069361319</v>
          </cell>
          <cell r="C14">
            <v>6.5566268278239068</v>
          </cell>
          <cell r="D14">
            <v>6.5219930077314556</v>
          </cell>
          <cell r="E14">
            <v>6.5774377431546078</v>
          </cell>
          <cell r="F14">
            <v>6.6620709997449383</v>
          </cell>
          <cell r="G14">
            <v>6.6061926440206653</v>
          </cell>
          <cell r="H14">
            <v>6.6170514650039305</v>
          </cell>
          <cell r="I14">
            <v>6.5652686155682973</v>
          </cell>
          <cell r="J14">
            <v>6.5065848078278856</v>
          </cell>
          <cell r="K14">
            <v>6.500176883437776</v>
          </cell>
          <cell r="L14">
            <v>6.3730301695327407</v>
          </cell>
          <cell r="M14">
            <v>5.8280813853575157</v>
          </cell>
          <cell r="N14">
            <v>5.8788096578704687</v>
          </cell>
          <cell r="O14">
            <v>5.87287904162255</v>
          </cell>
          <cell r="P14">
            <v>5.9872165137577209</v>
          </cell>
          <cell r="Q14">
            <v>5.0013609300865554</v>
          </cell>
        </row>
        <row r="15">
          <cell r="A15" t="str">
            <v>Belgium</v>
          </cell>
          <cell r="B15">
            <v>4.4791199968851503</v>
          </cell>
          <cell r="C15">
            <v>4.25532439429072</v>
          </cell>
          <cell r="D15">
            <v>4.3376495351883868</v>
          </cell>
          <cell r="E15">
            <v>4.3026703673428877</v>
          </cell>
          <cell r="F15">
            <v>4.1589284916247475</v>
          </cell>
          <cell r="G15">
            <v>4.17174871329191</v>
          </cell>
          <cell r="H15">
            <v>4.0048869004168548</v>
          </cell>
          <cell r="I15">
            <v>3.8508622718771761</v>
          </cell>
          <cell r="J15">
            <v>3.9135715917895588</v>
          </cell>
          <cell r="K15">
            <v>3.8334121526663441</v>
          </cell>
          <cell r="L15">
            <v>3.7124893970930892</v>
          </cell>
          <cell r="M15">
            <v>3.5382244825750782</v>
          </cell>
          <cell r="N15">
            <v>3.6674877801719057</v>
          </cell>
          <cell r="O15">
            <v>3.7297400769419911</v>
          </cell>
          <cell r="P15">
            <v>3.6642677000268957</v>
          </cell>
          <cell r="Q15">
            <v>4.6043174561787517</v>
          </cell>
        </row>
        <row r="16">
          <cell r="A16" t="str">
            <v>Benin</v>
          </cell>
          <cell r="B16">
            <v>6.8080135710161551</v>
          </cell>
          <cell r="C16">
            <v>6.8062505707143899</v>
          </cell>
          <cell r="D16">
            <v>6.9226831757827059</v>
          </cell>
          <cell r="E16">
            <v>6.7379386879728607</v>
          </cell>
          <cell r="F16">
            <v>6.7411972653345114</v>
          </cell>
          <cell r="G16">
            <v>6.7802809718637862</v>
          </cell>
          <cell r="H16">
            <v>6.8910619192327331</v>
          </cell>
          <cell r="I16">
            <v>6.8219494403229</v>
          </cell>
          <cell r="J16">
            <v>6.6249858740743637</v>
          </cell>
          <cell r="K16">
            <v>6.3390339297191591</v>
          </cell>
          <cell r="L16">
            <v>6.1101362004396869</v>
          </cell>
          <cell r="M16">
            <v>6.031960159377447</v>
          </cell>
          <cell r="N16">
            <v>6.138541760977537</v>
          </cell>
          <cell r="O16">
            <v>6.1713874137319875</v>
          </cell>
          <cell r="P16">
            <v>6.1321276173125963</v>
          </cell>
          <cell r="Q16">
            <v>5.9387069586321699</v>
          </cell>
        </row>
        <row r="17">
          <cell r="A17" t="str">
            <v>Bhutan</v>
          </cell>
          <cell r="B17">
            <v>7.3509302507954404</v>
          </cell>
          <cell r="C17">
            <v>7.2041923757248902</v>
          </cell>
          <cell r="D17">
            <v>7.0797696614221293</v>
          </cell>
          <cell r="E17">
            <v>6.8960042103231141</v>
          </cell>
          <cell r="F17">
            <v>6.7253037431911302</v>
          </cell>
          <cell r="G17">
            <v>6.5727040599850035</v>
          </cell>
          <cell r="H17">
            <v>6.442788102914248</v>
          </cell>
          <cell r="I17">
            <v>6.2811911101225011</v>
          </cell>
          <cell r="J17">
            <v>6.2910522922148502</v>
          </cell>
          <cell r="K17">
            <v>6.1275764913787212</v>
          </cell>
          <cell r="L17">
            <v>5.9927215240615679</v>
          </cell>
          <cell r="M17">
            <v>5.868629826855881</v>
          </cell>
          <cell r="N17">
            <v>5.7282090560273291</v>
          </cell>
          <cell r="O17">
            <v>5.5403832163096869</v>
          </cell>
          <cell r="P17">
            <v>5.4991502091913436</v>
          </cell>
          <cell r="Q17">
            <v>5.8425483528783486</v>
          </cell>
        </row>
        <row r="18">
          <cell r="A18" t="str">
            <v>Bolivia</v>
          </cell>
          <cell r="B18">
            <v>7.4568819895083855</v>
          </cell>
          <cell r="C18">
            <v>7.2196418756935685</v>
          </cell>
          <cell r="D18">
            <v>7.0984322613412445</v>
          </cell>
          <cell r="E18">
            <v>7.111018112576347</v>
          </cell>
          <cell r="F18">
            <v>6.9902776939355897</v>
          </cell>
          <cell r="G18">
            <v>6.8433804493815567</v>
          </cell>
          <cell r="H18">
            <v>6.7834902548295402</v>
          </cell>
          <cell r="I18">
            <v>6.7518639338627224</v>
          </cell>
          <cell r="J18">
            <v>6.4842964753637746</v>
          </cell>
          <cell r="K18">
            <v>6.396968038149101</v>
          </cell>
          <cell r="L18">
            <v>6.0987015644222078</v>
          </cell>
          <cell r="M18">
            <v>6.3825206813593383</v>
          </cell>
          <cell r="N18">
            <v>6.5133826615479888</v>
          </cell>
          <cell r="O18">
            <v>6.4498117181713317</v>
          </cell>
          <cell r="P18">
            <v>6.2118938136679622</v>
          </cell>
          <cell r="Q18">
            <v>5.3935985890471656</v>
          </cell>
        </row>
        <row r="19">
          <cell r="A19" t="str">
            <v>Bosnia and Herzegovina</v>
          </cell>
          <cell r="B19">
            <v>7.0266463861971769</v>
          </cell>
          <cell r="C19">
            <v>7.0809284816842402</v>
          </cell>
          <cell r="D19">
            <v>6.9312016858637149</v>
          </cell>
          <cell r="E19">
            <v>6.6966658309434113</v>
          </cell>
          <cell r="F19">
            <v>6.5980782021112336</v>
          </cell>
          <cell r="G19">
            <v>6.5403540109650002</v>
          </cell>
          <cell r="H19">
            <v>6.6107057812248504</v>
          </cell>
          <cell r="I19">
            <v>6.4243735382603644</v>
          </cell>
          <cell r="J19">
            <v>6.2615841179194502</v>
          </cell>
          <cell r="K19">
            <v>6.0597079980683421</v>
          </cell>
          <cell r="L19">
            <v>6.0476734437956283</v>
          </cell>
          <cell r="M19">
            <v>6.0211486041404072</v>
          </cell>
          <cell r="N19">
            <v>6.0633188342113273</v>
          </cell>
          <cell r="O19">
            <v>6.0900345687395285</v>
          </cell>
          <cell r="P19">
            <v>6.1307652023169954</v>
          </cell>
          <cell r="Q19">
            <v>6.3256246780699312</v>
          </cell>
        </row>
        <row r="20">
          <cell r="A20" t="str">
            <v>Botswana</v>
          </cell>
          <cell r="B20">
            <v>6.499353114095868</v>
          </cell>
          <cell r="C20">
            <v>6.3334793012321331</v>
          </cell>
          <cell r="D20">
            <v>6.1530388241909746</v>
          </cell>
          <cell r="E20">
            <v>6.0921954981140463</v>
          </cell>
          <cell r="F20">
            <v>5.9988556360980168</v>
          </cell>
          <cell r="G20">
            <v>6.0418697045909395</v>
          </cell>
          <cell r="H20">
            <v>5.8329744684871443</v>
          </cell>
          <cell r="I20">
            <v>5.9336583303508821</v>
          </cell>
          <cell r="J20">
            <v>5.9315076733444272</v>
          </cell>
          <cell r="K20">
            <v>5.8226342928214683</v>
          </cell>
          <cell r="L20">
            <v>5.6752953475990022</v>
          </cell>
          <cell r="M20">
            <v>5.4529379345377151</v>
          </cell>
          <cell r="N20">
            <v>5.3422364309184731</v>
          </cell>
          <cell r="O20">
            <v>5.2632839234321436</v>
          </cell>
          <cell r="P20">
            <v>5.254207407501549</v>
          </cell>
          <cell r="Q20">
            <v>5.7625999076383536</v>
          </cell>
        </row>
        <row r="21">
          <cell r="A21" t="str">
            <v>Brazil</v>
          </cell>
          <cell r="B21">
            <v>6.6296879317834803</v>
          </cell>
          <cell r="C21">
            <v>6.4625083604121434</v>
          </cell>
          <cell r="D21">
            <v>6.2485459640350047</v>
          </cell>
          <cell r="E21">
            <v>6.2004673973653874</v>
          </cell>
          <cell r="F21">
            <v>6.2725397661175748</v>
          </cell>
          <cell r="G21">
            <v>6.2729789315637952</v>
          </cell>
          <cell r="H21">
            <v>6.2587120831842853</v>
          </cell>
          <cell r="I21">
            <v>6.2963806960795639</v>
          </cell>
          <cell r="J21">
            <v>6.4174098066934553</v>
          </cell>
          <cell r="K21">
            <v>6.5153063504300448</v>
          </cell>
          <cell r="L21">
            <v>6.5500657538527518</v>
          </cell>
          <cell r="M21">
            <v>6.5908575573008905</v>
          </cell>
          <cell r="N21">
            <v>6.7739831096388041</v>
          </cell>
          <cell r="O21">
            <v>6.7579210926550815</v>
          </cell>
          <cell r="P21">
            <v>7.1190519323554051</v>
          </cell>
          <cell r="Q21">
            <v>6.1262035271886663</v>
          </cell>
        </row>
        <row r="22">
          <cell r="A22" t="str">
            <v>Bulgaria</v>
          </cell>
          <cell r="B22">
            <v>5.9290898187017937</v>
          </cell>
          <cell r="C22">
            <v>5.8704159660431801</v>
          </cell>
          <cell r="D22">
            <v>5.7191341044426967</v>
          </cell>
          <cell r="E22">
            <v>5.6336341257897935</v>
          </cell>
          <cell r="F22">
            <v>5.4968508520508523</v>
          </cell>
          <cell r="G22">
            <v>5.4860302544154065</v>
          </cell>
          <cell r="H22">
            <v>5.463053122730539</v>
          </cell>
          <cell r="I22">
            <v>5.3060521471819291</v>
          </cell>
          <cell r="J22">
            <v>5.2009550093960533</v>
          </cell>
          <cell r="K22">
            <v>5.0516451332062617</v>
          </cell>
          <cell r="L22">
            <v>4.9610100478438808</v>
          </cell>
          <cell r="M22">
            <v>4.8698821263155834</v>
          </cell>
          <cell r="N22">
            <v>5.0379690942219417</v>
          </cell>
          <cell r="O22">
            <v>5.0738566868115207</v>
          </cell>
          <cell r="P22">
            <v>5.1430967435011627</v>
          </cell>
          <cell r="Q22">
            <v>6.0294555458728034</v>
          </cell>
        </row>
        <row r="23">
          <cell r="A23" t="str">
            <v>Burkina Faso</v>
          </cell>
          <cell r="B23">
            <v>7.6004742533621803</v>
          </cell>
          <cell r="C23">
            <v>7.5819537030701447</v>
          </cell>
          <cell r="D23">
            <v>7.5043132826098056</v>
          </cell>
          <cell r="E23">
            <v>7.5854409567878909</v>
          </cell>
          <cell r="F23">
            <v>7.5761509756507062</v>
          </cell>
          <cell r="G23">
            <v>7.486431897669398</v>
          </cell>
          <cell r="H23">
            <v>7.5000691245313673</v>
          </cell>
          <cell r="I23">
            <v>7.3746954501041904</v>
          </cell>
          <cell r="J23">
            <v>7.280418867096448</v>
          </cell>
          <cell r="K23">
            <v>7.0329785240117655</v>
          </cell>
          <cell r="L23">
            <v>6.7822955153230833</v>
          </cell>
          <cell r="M23">
            <v>6.796987612831626</v>
          </cell>
          <cell r="N23">
            <v>6.8221217642649075</v>
          </cell>
          <cell r="O23">
            <v>7.1076299696552434</v>
          </cell>
          <cell r="P23">
            <v>7.162621634084255</v>
          </cell>
          <cell r="Q23">
            <v>6.2147706500554785</v>
          </cell>
        </row>
        <row r="24">
          <cell r="A24" t="str">
            <v>Burundi</v>
          </cell>
          <cell r="B24">
            <v>7.2154130381462407</v>
          </cell>
          <cell r="C24">
            <v>7.1735255536253231</v>
          </cell>
          <cell r="D24">
            <v>7.4040493821750113</v>
          </cell>
          <cell r="E24">
            <v>7.3440040428670663</v>
          </cell>
          <cell r="F24">
            <v>7.2715863635724531</v>
          </cell>
          <cell r="G24">
            <v>7.2378746047805578</v>
          </cell>
          <cell r="H24">
            <v>7.0791807221498217</v>
          </cell>
          <cell r="I24">
            <v>7.0766074277174873</v>
          </cell>
          <cell r="J24">
            <v>6.9876725440684666</v>
          </cell>
          <cell r="K24">
            <v>6.9296877543128197</v>
          </cell>
          <cell r="L24">
            <v>7.0261028242963519</v>
          </cell>
          <cell r="M24">
            <v>7.1069839960332519</v>
          </cell>
          <cell r="N24">
            <v>7.0053345919960224</v>
          </cell>
          <cell r="O24">
            <v>6.9379817085808435</v>
          </cell>
          <cell r="P24">
            <v>6.7250331075032372</v>
          </cell>
          <cell r="Q24">
            <v>5.1068627807899691</v>
          </cell>
        </row>
        <row r="25">
          <cell r="A25" t="str">
            <v>Cape Verde</v>
          </cell>
          <cell r="B25">
            <v>6.9552451757198295</v>
          </cell>
          <cell r="C25">
            <v>6.905158917984517</v>
          </cell>
          <cell r="D25">
            <v>6.7316816020227384</v>
          </cell>
          <cell r="E25">
            <v>6.5127857771805493</v>
          </cell>
          <cell r="F25">
            <v>6.412023017180549</v>
          </cell>
          <cell r="G25">
            <v>6.3609253505138836</v>
          </cell>
          <cell r="H25">
            <v>6.2597963471436584</v>
          </cell>
          <cell r="I25">
            <v>6.1369162114720748</v>
          </cell>
          <cell r="J25">
            <v>6.1354799376482285</v>
          </cell>
          <cell r="K25">
            <v>5.9894961945492744</v>
          </cell>
          <cell r="L25">
            <v>5.8568207532933592</v>
          </cell>
          <cell r="M25">
            <v>5.666493504955608</v>
          </cell>
          <cell r="N25">
            <v>5.5073753402908503</v>
          </cell>
          <cell r="O25">
            <v>5.2659431146310522</v>
          </cell>
          <cell r="P25">
            <v>5.037543320809359</v>
          </cell>
          <cell r="Q25">
            <v>5.1913104983243068</v>
          </cell>
        </row>
        <row r="26">
          <cell r="A26" t="str">
            <v>Cambodia</v>
          </cell>
          <cell r="B26">
            <v>6.9242639732345808</v>
          </cell>
          <cell r="C26">
            <v>7.0441484286661904</v>
          </cell>
          <cell r="D26">
            <v>7.062830976419364</v>
          </cell>
          <cell r="E26">
            <v>6.9695434203951869</v>
          </cell>
          <cell r="F26">
            <v>6.9278401801216738</v>
          </cell>
          <cell r="G26">
            <v>6.9650742139124269</v>
          </cell>
          <cell r="H26">
            <v>6.9359138118887831</v>
          </cell>
          <cell r="I26">
            <v>6.8376856465132141</v>
          </cell>
          <cell r="J26">
            <v>6.6619902655755698</v>
          </cell>
          <cell r="K26">
            <v>6.6021513332645867</v>
          </cell>
          <cell r="L26">
            <v>6.5603633475900782</v>
          </cell>
          <cell r="M26">
            <v>6.3531788766536552</v>
          </cell>
          <cell r="N26">
            <v>6.4631100693063015</v>
          </cell>
          <cell r="O26">
            <v>6.4840480967056582</v>
          </cell>
          <cell r="P26">
            <v>6.5675604838195731</v>
          </cell>
          <cell r="Q26">
            <v>5.6250761430796201</v>
          </cell>
        </row>
        <row r="27">
          <cell r="A27" t="str">
            <v>Cameroon</v>
          </cell>
          <cell r="B27">
            <v>7.7380447995666701</v>
          </cell>
          <cell r="C27">
            <v>7.653125541791904</v>
          </cell>
          <cell r="D27">
            <v>7.6606847827951032</v>
          </cell>
          <cell r="E27">
            <v>7.5691940689648973</v>
          </cell>
          <cell r="F27">
            <v>7.5569920971795632</v>
          </cell>
          <cell r="G27">
            <v>7.4754394136836755</v>
          </cell>
          <cell r="H27">
            <v>7.5652760600775784</v>
          </cell>
          <cell r="I27">
            <v>7.6035927359311097</v>
          </cell>
          <cell r="J27">
            <v>7.3415293106735424</v>
          </cell>
          <cell r="K27">
            <v>7.3149626945830795</v>
          </cell>
          <cell r="L27">
            <v>7.5169711738509601</v>
          </cell>
          <cell r="M27">
            <v>7.5830607927975269</v>
          </cell>
          <cell r="N27">
            <v>7.5212279096554226</v>
          </cell>
          <cell r="O27">
            <v>7.4369306441425964</v>
          </cell>
          <cell r="P27">
            <v>7.373226768824078</v>
          </cell>
          <cell r="Q27">
            <v>6.498659672012824</v>
          </cell>
        </row>
        <row r="28">
          <cell r="A28" t="str">
            <v>Canada</v>
          </cell>
          <cell r="B28">
            <v>4.0571838094524679</v>
          </cell>
          <cell r="C28">
            <v>4.1242970841299309</v>
          </cell>
          <cell r="D28">
            <v>4.0164376892563194</v>
          </cell>
          <cell r="E28">
            <v>3.9354399751650342</v>
          </cell>
          <cell r="F28">
            <v>3.9964869170800266</v>
          </cell>
          <cell r="G28">
            <v>4.0343118200553443</v>
          </cell>
          <cell r="H28">
            <v>3.8913600763411762</v>
          </cell>
          <cell r="I28">
            <v>3.776323338884465</v>
          </cell>
          <cell r="J28">
            <v>3.7155674213463059</v>
          </cell>
          <cell r="K28">
            <v>3.5480066516532593</v>
          </cell>
          <cell r="L28">
            <v>3.5044685749860687</v>
          </cell>
          <cell r="M28">
            <v>3.3739208348865675</v>
          </cell>
          <cell r="N28">
            <v>3.5066786333750555</v>
          </cell>
          <cell r="O28">
            <v>3.3954677084302816</v>
          </cell>
          <cell r="P28">
            <v>3.4053525718129674</v>
          </cell>
          <cell r="Q28">
            <v>4.5445382682899655</v>
          </cell>
        </row>
        <row r="29">
          <cell r="A29" t="str">
            <v>Central African Republic</v>
          </cell>
          <cell r="B29">
            <v>8.0132847515003078</v>
          </cell>
          <cell r="C29">
            <v>8.0148140450169869</v>
          </cell>
          <cell r="D29">
            <v>7.9355547146425804</v>
          </cell>
          <cell r="E29">
            <v>7.8320028336462082</v>
          </cell>
          <cell r="F29">
            <v>7.7383838904591382</v>
          </cell>
          <cell r="G29">
            <v>8.1805008923604046</v>
          </cell>
          <cell r="H29">
            <v>8.3268994719149596</v>
          </cell>
          <cell r="I29">
            <v>8.3803392043826062</v>
          </cell>
          <cell r="J29">
            <v>8.4218955474784032</v>
          </cell>
          <cell r="K29">
            <v>8.2230052989472746</v>
          </cell>
          <cell r="L29">
            <v>8.1076522665334689</v>
          </cell>
          <cell r="M29">
            <v>7.9844690885999636</v>
          </cell>
          <cell r="N29">
            <v>8.0425710957794632</v>
          </cell>
          <cell r="O29">
            <v>8.1076726437820277</v>
          </cell>
          <cell r="P29">
            <v>7.8381440160099283</v>
          </cell>
          <cell r="Q29">
            <v>6.467114978699458</v>
          </cell>
        </row>
        <row r="30">
          <cell r="A30" t="str">
            <v>Chad</v>
          </cell>
          <cell r="B30">
            <v>8.2333613192398492</v>
          </cell>
          <cell r="C30">
            <v>8.3233904370647416</v>
          </cell>
          <cell r="D30">
            <v>8.1076635284613783</v>
          </cell>
          <cell r="E30">
            <v>7.9655568514958786</v>
          </cell>
          <cell r="F30">
            <v>8.0756612313325178</v>
          </cell>
          <cell r="G30">
            <v>7.9638324138505716</v>
          </cell>
          <cell r="H30">
            <v>7.9310209936789127</v>
          </cell>
          <cell r="I30">
            <v>7.9085453845624336</v>
          </cell>
          <cell r="J30">
            <v>7.7733302379476097</v>
          </cell>
          <cell r="K30">
            <v>7.6787024802672281</v>
          </cell>
          <cell r="L30">
            <v>7.8351587205393249</v>
          </cell>
          <cell r="M30">
            <v>7.7044182180081053</v>
          </cell>
          <cell r="N30">
            <v>7.642770290764366</v>
          </cell>
          <cell r="O30">
            <v>7.6002145373760275</v>
          </cell>
          <cell r="P30">
            <v>7.5438543454705087</v>
          </cell>
          <cell r="Q30">
            <v>6.5677967409119171</v>
          </cell>
        </row>
        <row r="31">
          <cell r="A31" t="str">
            <v>Chile</v>
          </cell>
          <cell r="B31">
            <v>4.8548709957680689</v>
          </cell>
          <cell r="C31">
            <v>4.7606115533773048</v>
          </cell>
          <cell r="D31">
            <v>4.912606947270195</v>
          </cell>
          <cell r="E31">
            <v>5.2699184269804267</v>
          </cell>
          <cell r="F31">
            <v>5.3345109562932693</v>
          </cell>
          <cell r="G31">
            <v>5.2747366051964617</v>
          </cell>
          <cell r="H31">
            <v>5.1774932128252056</v>
          </cell>
          <cell r="I31">
            <v>5.2006298482922366</v>
          </cell>
          <cell r="J31">
            <v>5.0688152306838399</v>
          </cell>
          <cell r="K31">
            <v>4.9305428688219806</v>
          </cell>
          <cell r="L31">
            <v>4.8226391264518682</v>
          </cell>
          <cell r="M31">
            <v>5.5140800731094162</v>
          </cell>
          <cell r="N31">
            <v>5.4671941738459804</v>
          </cell>
          <cell r="O31">
            <v>5.3486900609421877</v>
          </cell>
          <cell r="P31">
            <v>5.2375608832934875</v>
          </cell>
          <cell r="Q31">
            <v>5.5663658417260748</v>
          </cell>
        </row>
        <row r="32">
          <cell r="A32" t="str">
            <v>China</v>
          </cell>
          <cell r="B32">
            <v>6.4449521599746076</v>
          </cell>
          <cell r="C32">
            <v>6.3227331066110164</v>
          </cell>
          <cell r="D32">
            <v>6.1388269454488293</v>
          </cell>
          <cell r="E32">
            <v>6.0715454701641365</v>
          </cell>
          <cell r="F32">
            <v>6.255116570026078</v>
          </cell>
          <cell r="G32">
            <v>6.099616570026078</v>
          </cell>
          <cell r="H32">
            <v>6.023721003923967</v>
          </cell>
          <cell r="I32">
            <v>5.9087882543084209</v>
          </cell>
          <cell r="J32">
            <v>5.8347311920707208</v>
          </cell>
          <cell r="K32">
            <v>5.7035865467009437</v>
          </cell>
          <cell r="L32">
            <v>5.6987435263283315</v>
          </cell>
          <cell r="M32">
            <v>5.7139350194662448</v>
          </cell>
          <cell r="N32">
            <v>5.7366463157894749</v>
          </cell>
          <cell r="O32">
            <v>5.6167710131518254</v>
          </cell>
          <cell r="P32">
            <v>5.4951098237227356</v>
          </cell>
          <cell r="Q32">
            <v>3.7840931790088193</v>
          </cell>
        </row>
        <row r="33">
          <cell r="A33" t="str">
            <v>Colombia</v>
          </cell>
          <cell r="B33">
            <v>7.3797464441019782</v>
          </cell>
          <cell r="C33">
            <v>7.3521925230092808</v>
          </cell>
          <cell r="D33">
            <v>7.4497444730745004</v>
          </cell>
          <cell r="E33">
            <v>7.3424412106034973</v>
          </cell>
          <cell r="F33">
            <v>7.3954836406362148</v>
          </cell>
          <cell r="G33">
            <v>7.3728827185609402</v>
          </cell>
          <cell r="H33">
            <v>7.3672043739240483</v>
          </cell>
          <cell r="I33">
            <v>7.1137862981164899</v>
          </cell>
          <cell r="J33">
            <v>6.9834121895794521</v>
          </cell>
          <cell r="K33">
            <v>6.7456755875382477</v>
          </cell>
          <cell r="L33">
            <v>6.5037991345530219</v>
          </cell>
          <cell r="M33">
            <v>6.5284031979914339</v>
          </cell>
          <cell r="N33">
            <v>6.6222722337669175</v>
          </cell>
          <cell r="O33">
            <v>6.7301700589302547</v>
          </cell>
          <cell r="P33">
            <v>6.5890801754305057</v>
          </cell>
          <cell r="Q33">
            <v>6.1309461193086321</v>
          </cell>
        </row>
        <row r="34">
          <cell r="A34" t="str">
            <v>Comoros</v>
          </cell>
          <cell r="B34">
            <v>7.196836550774159</v>
          </cell>
          <cell r="C34">
            <v>7.0551624873829022</v>
          </cell>
          <cell r="D34">
            <v>6.8930314504687491</v>
          </cell>
          <cell r="E34">
            <v>6.7860773811780906</v>
          </cell>
          <cell r="F34">
            <v>6.8305391161622548</v>
          </cell>
          <cell r="G34">
            <v>6.8516277006815418</v>
          </cell>
          <cell r="H34">
            <v>6.6641110438339597</v>
          </cell>
          <cell r="I34">
            <v>6.724200568214755</v>
          </cell>
          <cell r="J34">
            <v>6.9240411081538422</v>
          </cell>
          <cell r="K34">
            <v>6.709924150924337</v>
          </cell>
          <cell r="L34">
            <v>6.4609949040311001</v>
          </cell>
          <cell r="M34">
            <v>6.4782960875928763</v>
          </cell>
          <cell r="N34">
            <v>6.583737908837163</v>
          </cell>
          <cell r="O34">
            <v>6.516750397135322</v>
          </cell>
          <cell r="P34">
            <v>6.5791332421595135</v>
          </cell>
          <cell r="Q34">
            <v>6.0775072596890016</v>
          </cell>
        </row>
        <row r="35">
          <cell r="A35" t="str">
            <v>Congo Democratic Republic</v>
          </cell>
          <cell r="B35">
            <v>7.4568589726498447</v>
          </cell>
          <cell r="C35">
            <v>7.5837320605966934</v>
          </cell>
          <cell r="D35">
            <v>7.5361405701409634</v>
          </cell>
          <cell r="E35">
            <v>7.8210680625862867</v>
          </cell>
          <cell r="F35">
            <v>7.8749147292529535</v>
          </cell>
          <cell r="G35">
            <v>7.8161147292529538</v>
          </cell>
          <cell r="H35">
            <v>7.8308171248025289</v>
          </cell>
          <cell r="I35">
            <v>7.8864894794178069</v>
          </cell>
          <cell r="J35">
            <v>7.8964494794178055</v>
          </cell>
          <cell r="K35">
            <v>7.9435504657434519</v>
          </cell>
          <cell r="L35">
            <v>7.9209930664760559</v>
          </cell>
          <cell r="M35">
            <v>7.9473935478631699</v>
          </cell>
          <cell r="N35">
            <v>7.7247071207430338</v>
          </cell>
          <cell r="O35">
            <v>7.615693929230936</v>
          </cell>
          <cell r="P35">
            <v>7.7253314052385216</v>
          </cell>
          <cell r="Q35">
            <v>5.8490210159492708</v>
          </cell>
        </row>
        <row r="36">
          <cell r="A36" t="str">
            <v>Congo, Rep.</v>
          </cell>
          <cell r="B36">
            <v>6.634732677352801</v>
          </cell>
          <cell r="C36">
            <v>6.6292089503787306</v>
          </cell>
          <cell r="D36">
            <v>6.5778927055494423</v>
          </cell>
          <cell r="E36">
            <v>6.4708251787083908</v>
          </cell>
          <cell r="F36">
            <v>6.5946918453750571</v>
          </cell>
          <cell r="G36">
            <v>6.5425585120417233</v>
          </cell>
          <cell r="H36">
            <v>6.3174549396116797</v>
          </cell>
          <cell r="I36">
            <v>6.4338462309134741</v>
          </cell>
          <cell r="J36">
            <v>6.4520462309134743</v>
          </cell>
          <cell r="K36">
            <v>6.4896794827389703</v>
          </cell>
          <cell r="L36">
            <v>6.4010840457469627</v>
          </cell>
          <cell r="M36">
            <v>6.4604933436405565</v>
          </cell>
          <cell r="N36">
            <v>6.4510490402476783</v>
          </cell>
          <cell r="O36">
            <v>6.3839741240216741</v>
          </cell>
          <cell r="P36">
            <v>6.7724159147495273</v>
          </cell>
          <cell r="Q36">
            <v>5.1100168070938423</v>
          </cell>
        </row>
        <row r="37">
          <cell r="A37" t="str">
            <v>Costa Rica</v>
          </cell>
          <cell r="B37">
            <v>5.4777508071734653</v>
          </cell>
          <cell r="C37">
            <v>5.377832666151388</v>
          </cell>
          <cell r="D37">
            <v>5.2767816805261223</v>
          </cell>
          <cell r="E37">
            <v>5.3698130810409532</v>
          </cell>
          <cell r="F37">
            <v>5.2866829557700852</v>
          </cell>
          <cell r="G37">
            <v>5.1848888301276173</v>
          </cell>
          <cell r="H37">
            <v>4.9974870428851466</v>
          </cell>
          <cell r="I37">
            <v>4.7897588853259041</v>
          </cell>
          <cell r="J37">
            <v>4.6386187376528367</v>
          </cell>
          <cell r="K37">
            <v>4.5003299564708383</v>
          </cell>
          <cell r="L37">
            <v>4.3680208833866478</v>
          </cell>
          <cell r="M37">
            <v>4.1889388845697706</v>
          </cell>
          <cell r="N37">
            <v>4.2070442893366815</v>
          </cell>
          <cell r="O37">
            <v>4.1414311192295656</v>
          </cell>
          <cell r="P37">
            <v>4.0652621281781336</v>
          </cell>
          <cell r="Q37">
            <v>4.9916030946763295</v>
          </cell>
        </row>
        <row r="38">
          <cell r="A38" t="str">
            <v>Cote d'Ivoire</v>
          </cell>
          <cell r="B38">
            <v>7.8546776733851766</v>
          </cell>
          <cell r="C38">
            <v>7.7550301509764523</v>
          </cell>
          <cell r="D38">
            <v>7.8543180275638003</v>
          </cell>
          <cell r="E38">
            <v>7.8683034851971172</v>
          </cell>
          <cell r="F38">
            <v>7.9176301518637837</v>
          </cell>
          <cell r="G38">
            <v>7.8551634851971173</v>
          </cell>
          <cell r="H38">
            <v>7.7279529541864136</v>
          </cell>
          <cell r="I38">
            <v>7.6190568336458622</v>
          </cell>
          <cell r="J38">
            <v>7.4844501669791956</v>
          </cell>
          <cell r="K38">
            <v>7.3016009655048864</v>
          </cell>
          <cell r="L38">
            <v>7.1269335858946876</v>
          </cell>
          <cell r="M38">
            <v>6.9296574149997321</v>
          </cell>
          <cell r="N38">
            <v>7.0555621878224981</v>
          </cell>
          <cell r="O38">
            <v>7.0752057203855978</v>
          </cell>
          <cell r="P38">
            <v>6.93761816352953</v>
          </cell>
          <cell r="Q38">
            <v>5.7149930319685618</v>
          </cell>
        </row>
        <row r="39">
          <cell r="A39" t="str">
            <v>Croatia</v>
          </cell>
          <cell r="B39">
            <v>5.7489537849751429</v>
          </cell>
          <cell r="C39">
            <v>5.7696454913406479</v>
          </cell>
          <cell r="D39">
            <v>5.5950031604209673</v>
          </cell>
          <cell r="E39">
            <v>5.4962246682698428</v>
          </cell>
          <cell r="F39">
            <v>5.2965063475901291</v>
          </cell>
          <cell r="G39">
            <v>5.2074627490831915</v>
          </cell>
          <cell r="H39">
            <v>5.0812930460612664</v>
          </cell>
          <cell r="I39">
            <v>4.8591913143155283</v>
          </cell>
          <cell r="J39">
            <v>4.7308765896306895</v>
          </cell>
          <cell r="K39">
            <v>4.6047725358186566</v>
          </cell>
          <cell r="L39">
            <v>4.4872664443965666</v>
          </cell>
          <cell r="M39">
            <v>4.3668482261756107</v>
          </cell>
          <cell r="N39">
            <v>4.5133168855693633</v>
          </cell>
          <cell r="O39">
            <v>4.5153769889228466</v>
          </cell>
          <cell r="P39">
            <v>4.5129216386088755</v>
          </cell>
          <cell r="Q39">
            <v>5.5193563629948876</v>
          </cell>
        </row>
        <row r="40">
          <cell r="A40" t="str">
            <v>Cuba</v>
          </cell>
          <cell r="B40">
            <v>5.2528272380045493</v>
          </cell>
          <cell r="C40">
            <v>5.1266309805740198</v>
          </cell>
          <cell r="D40">
            <v>4.9945887994550136</v>
          </cell>
          <cell r="E40">
            <v>4.8406757017947539</v>
          </cell>
          <cell r="F40">
            <v>4.8827557017947543</v>
          </cell>
          <cell r="G40">
            <v>4.8382557017947541</v>
          </cell>
          <cell r="H40">
            <v>4.7665070346022524</v>
          </cell>
          <cell r="I40">
            <v>4.8396762353781595</v>
          </cell>
          <cell r="J40">
            <v>4.8228095687114925</v>
          </cell>
          <cell r="K40">
            <v>4.758013806438397</v>
          </cell>
          <cell r="L40">
            <v>4.5867403431022158</v>
          </cell>
          <cell r="M40">
            <v>4.4354936278447115</v>
          </cell>
          <cell r="N40">
            <v>4.4380598348813214</v>
          </cell>
          <cell r="O40">
            <v>4.526558009231386</v>
          </cell>
          <cell r="P40">
            <v>4.3326204879992023</v>
          </cell>
          <cell r="Q40">
            <v>2.5701448775518148</v>
          </cell>
        </row>
        <row r="41">
          <cell r="A41" t="str">
            <v>Cyprus</v>
          </cell>
          <cell r="B41">
            <v>6.4320760907397956</v>
          </cell>
          <cell r="C41">
            <v>6.2954799822075671</v>
          </cell>
          <cell r="D41">
            <v>6.1662527201751658</v>
          </cell>
          <cell r="E41">
            <v>6.0765832317744621</v>
          </cell>
          <cell r="F41">
            <v>6.1207237105862378</v>
          </cell>
          <cell r="G41">
            <v>6.1893075437481011</v>
          </cell>
          <cell r="H41">
            <v>6.0735349831953425</v>
          </cell>
          <cell r="I41">
            <v>5.9428873922976111</v>
          </cell>
          <cell r="J41">
            <v>5.8047738726177185</v>
          </cell>
          <cell r="K41">
            <v>5.6785333230378248</v>
          </cell>
          <cell r="L41">
            <v>5.4988024472751542</v>
          </cell>
          <cell r="M41">
            <v>5.3450593795540486</v>
          </cell>
          <cell r="N41">
            <v>5.3721864168758948</v>
          </cell>
          <cell r="O41">
            <v>5.3197011634524287</v>
          </cell>
          <cell r="P41">
            <v>5.4697634948326197</v>
          </cell>
          <cell r="Q41">
            <v>6.0133252759348252</v>
          </cell>
        </row>
        <row r="42">
          <cell r="A42" t="str">
            <v>Czech Republic</v>
          </cell>
          <cell r="B42">
            <v>5.0695156479135512</v>
          </cell>
          <cell r="C42">
            <v>4.9563649775743031</v>
          </cell>
          <cell r="D42">
            <v>4.9851097323015372</v>
          </cell>
          <cell r="E42">
            <v>4.7677234128479684</v>
          </cell>
          <cell r="F42">
            <v>4.8669403012302439</v>
          </cell>
          <cell r="G42">
            <v>4.8373758300176961</v>
          </cell>
          <cell r="H42">
            <v>4.6910369109254297</v>
          </cell>
          <cell r="I42">
            <v>4.9579609805993829</v>
          </cell>
          <cell r="J42">
            <v>4.8400590208448397</v>
          </cell>
          <cell r="K42">
            <v>4.817667647613086</v>
          </cell>
          <cell r="L42">
            <v>4.6623279422085915</v>
          </cell>
          <cell r="M42">
            <v>4.5286132454078265</v>
          </cell>
          <cell r="N42">
            <v>4.6401205172900983</v>
          </cell>
          <cell r="O42">
            <v>4.7160253585483334</v>
          </cell>
          <cell r="P42">
            <v>4.6316281124515459</v>
          </cell>
          <cell r="Q42">
            <v>5.2438865031069408</v>
          </cell>
        </row>
        <row r="43">
          <cell r="A43" t="str">
            <v>Denmark</v>
          </cell>
          <cell r="B43">
            <v>3.9795703687747785</v>
          </cell>
          <cell r="C43">
            <v>3.868804441718503</v>
          </cell>
          <cell r="D43">
            <v>3.92723758464484</v>
          </cell>
          <cell r="E43">
            <v>3.8003478976475971</v>
          </cell>
          <cell r="F43">
            <v>3.8148289032301972</v>
          </cell>
          <cell r="G43">
            <v>3.80854071408368</v>
          </cell>
          <cell r="H43">
            <v>3.6758061431987636</v>
          </cell>
          <cell r="I43">
            <v>3.7350426728347745</v>
          </cell>
          <cell r="J43">
            <v>3.7187770724278448</v>
          </cell>
          <cell r="K43">
            <v>3.6060588697140554</v>
          </cell>
          <cell r="L43">
            <v>3.6620591726147125</v>
          </cell>
          <cell r="M43">
            <v>3.4673719402457528</v>
          </cell>
          <cell r="N43">
            <v>3.4878084629879558</v>
          </cell>
          <cell r="O43">
            <v>3.4217558816893034</v>
          </cell>
          <cell r="P43">
            <v>3.4793135036519436</v>
          </cell>
          <cell r="Q43">
            <v>5.1113258049340455</v>
          </cell>
        </row>
        <row r="44">
          <cell r="A44" t="str">
            <v>Djibouti</v>
          </cell>
          <cell r="B44">
            <v>6.031406827487702</v>
          </cell>
          <cell r="C44">
            <v>6.3822256253972744</v>
          </cell>
          <cell r="D44">
            <v>6.4893515666174899</v>
          </cell>
          <cell r="E44">
            <v>6.5344358352884999</v>
          </cell>
          <cell r="F44">
            <v>6.6602598152604182</v>
          </cell>
          <cell r="G44">
            <v>6.7127552866058142</v>
          </cell>
          <cell r="H44">
            <v>6.733079543819275</v>
          </cell>
          <cell r="I44">
            <v>6.8033483363907497</v>
          </cell>
          <cell r="J44">
            <v>6.8002929097240834</v>
          </cell>
          <cell r="K44">
            <v>6.7333683802148228</v>
          </cell>
          <cell r="L44">
            <v>6.716144913699452</v>
          </cell>
          <cell r="M44">
            <v>6.7050244595634911</v>
          </cell>
          <cell r="N44">
            <v>6.7348333373149263</v>
          </cell>
          <cell r="O44">
            <v>6.7087695704359263</v>
          </cell>
          <cell r="P44">
            <v>6.9161827946208181</v>
          </cell>
          <cell r="Q44">
            <v>6.0707465406368684</v>
          </cell>
        </row>
        <row r="45">
          <cell r="A45" t="str">
            <v>Dominican Republic</v>
          </cell>
          <cell r="B45">
            <v>6.7108054436813607</v>
          </cell>
          <cell r="C45">
            <v>6.6424184989008523</v>
          </cell>
          <cell r="D45">
            <v>6.6534626827355874</v>
          </cell>
          <cell r="E45">
            <v>6.5040877224511675</v>
          </cell>
          <cell r="F45">
            <v>6.3196539754429191</v>
          </cell>
          <cell r="G45">
            <v>6.403200687880922</v>
          </cell>
          <cell r="H45">
            <v>6.3632450986379778</v>
          </cell>
          <cell r="I45">
            <v>6.4009918664842385</v>
          </cell>
          <cell r="J45">
            <v>6.2274285519756374</v>
          </cell>
          <cell r="K45">
            <v>6.3972636757813808</v>
          </cell>
          <cell r="L45">
            <v>6.1397211679319836</v>
          </cell>
          <cell r="M45">
            <v>6.2028648929075585</v>
          </cell>
          <cell r="N45">
            <v>6.141794326085626</v>
          </cell>
          <cell r="O45">
            <v>5.9609061814096709</v>
          </cell>
          <cell r="P45">
            <v>5.7691483037687776</v>
          </cell>
          <cell r="Q45">
            <v>5.8354126244719478</v>
          </cell>
        </row>
        <row r="46">
          <cell r="A46" t="str">
            <v>Ecuador</v>
          </cell>
          <cell r="B46">
            <v>6.8544091731172294</v>
          </cell>
          <cell r="C46">
            <v>6.8168418036850307</v>
          </cell>
          <cell r="D46">
            <v>6.7776002912429547</v>
          </cell>
          <cell r="E46">
            <v>6.7262790410187465</v>
          </cell>
          <cell r="F46">
            <v>6.5019214940121168</v>
          </cell>
          <cell r="G46">
            <v>6.4013502842999976</v>
          </cell>
          <cell r="H46">
            <v>6.3182168923167934</v>
          </cell>
          <cell r="I46">
            <v>6.2128507570890257</v>
          </cell>
          <cell r="J46">
            <v>6.2584513970890248</v>
          </cell>
          <cell r="K46">
            <v>6.1590971884490147</v>
          </cell>
          <cell r="L46">
            <v>5.9403225063839056</v>
          </cell>
          <cell r="M46">
            <v>6.0042667149717142</v>
          </cell>
          <cell r="N46">
            <v>5.9894166918010825</v>
          </cell>
          <cell r="O46">
            <v>6.0023246334848883</v>
          </cell>
          <cell r="P46">
            <v>6.1043386231858108</v>
          </cell>
          <cell r="Q46">
            <v>6.0051300208309639</v>
          </cell>
        </row>
        <row r="47">
          <cell r="A47" t="str">
            <v>Egypt</v>
          </cell>
          <cell r="B47">
            <v>6.90684780706649</v>
          </cell>
          <cell r="C47">
            <v>6.8552348897285178</v>
          </cell>
          <cell r="D47">
            <v>7.1099806415435838</v>
          </cell>
          <cell r="E47">
            <v>7.3459901920894071</v>
          </cell>
          <cell r="F47">
            <v>6.8854508496640596</v>
          </cell>
          <cell r="G47">
            <v>6.7351462516398231</v>
          </cell>
          <cell r="H47">
            <v>6.6265740569494991</v>
          </cell>
          <cell r="I47">
            <v>6.5545716398106979</v>
          </cell>
          <cell r="J47">
            <v>6.4757158217126527</v>
          </cell>
          <cell r="K47">
            <v>6.4791078608082566</v>
          </cell>
          <cell r="L47">
            <v>6.4955043326471289</v>
          </cell>
          <cell r="M47">
            <v>6.3852636923970234</v>
          </cell>
          <cell r="N47">
            <v>6.3817779249122797</v>
          </cell>
          <cell r="O47">
            <v>6.3311504175650803</v>
          </cell>
          <cell r="P47">
            <v>6.1826411327775128</v>
          </cell>
          <cell r="Q47">
            <v>4.6007199765179472</v>
          </cell>
        </row>
        <row r="48">
          <cell r="A48" t="str">
            <v>El Salvador</v>
          </cell>
          <cell r="B48">
            <v>6.9062417562341905</v>
          </cell>
          <cell r="C48">
            <v>6.904705533848821</v>
          </cell>
          <cell r="D48">
            <v>6.7751092748682522</v>
          </cell>
          <cell r="E48">
            <v>6.6602693660566441</v>
          </cell>
          <cell r="F48">
            <v>6.5015703461854866</v>
          </cell>
          <cell r="G48">
            <v>6.4001788169900093</v>
          </cell>
          <cell r="H48">
            <v>6.280234432506937</v>
          </cell>
          <cell r="I48">
            <v>6.3538078968528469</v>
          </cell>
          <cell r="J48">
            <v>6.3574248035708241</v>
          </cell>
          <cell r="K48">
            <v>6.127958082828072</v>
          </cell>
          <cell r="L48">
            <v>5.8076362909053794</v>
          </cell>
          <cell r="M48">
            <v>5.4752728276204135</v>
          </cell>
          <cell r="N48">
            <v>5.4143202281289442</v>
          </cell>
          <cell r="O48">
            <v>5.3443323347049505</v>
          </cell>
          <cell r="P48">
            <v>5.244534061201402</v>
          </cell>
          <cell r="Q48">
            <v>5.0527217156152755</v>
          </cell>
        </row>
        <row r="49">
          <cell r="A49" t="str">
            <v>Equatorial Guinea</v>
          </cell>
          <cell r="B49">
            <v>7.0043905401842137</v>
          </cell>
          <cell r="C49">
            <v>6.9883002177856124</v>
          </cell>
          <cell r="D49">
            <v>6.936171398154114</v>
          </cell>
          <cell r="E49">
            <v>6.7181536817647007</v>
          </cell>
          <cell r="F49">
            <v>6.808547953645359</v>
          </cell>
          <cell r="G49">
            <v>6.8683416472057752</v>
          </cell>
          <cell r="H49">
            <v>6.6837426465995025</v>
          </cell>
          <cell r="I49">
            <v>6.6712375737869447</v>
          </cell>
          <cell r="J49">
            <v>6.6081163023269944</v>
          </cell>
          <cell r="K49">
            <v>6.5278474099525177</v>
          </cell>
          <cell r="L49">
            <v>6.592409398014162</v>
          </cell>
          <cell r="M49">
            <v>6.6726524322833374</v>
          </cell>
          <cell r="N49">
            <v>6.7433428404155737</v>
          </cell>
          <cell r="O49">
            <v>6.7266575048545318</v>
          </cell>
          <cell r="P49">
            <v>6.7640379656833964</v>
          </cell>
          <cell r="Q49">
            <v>5.5572552261926571</v>
          </cell>
        </row>
        <row r="50">
          <cell r="A50" t="str">
            <v>Eritrea</v>
          </cell>
          <cell r="B50">
            <v>5.8987354303549706</v>
          </cell>
          <cell r="C50">
            <v>6.0594806440974907</v>
          </cell>
          <cell r="D50">
            <v>6.2514157190839317</v>
          </cell>
          <cell r="E50">
            <v>6.1400563000460204</v>
          </cell>
          <cell r="F50">
            <v>6.2785029667126864</v>
          </cell>
          <cell r="G50">
            <v>6.4141351925308934</v>
          </cell>
          <cell r="H50">
            <v>6.5584896786526929</v>
          </cell>
          <cell r="I50">
            <v>6.6715899256278739</v>
          </cell>
          <cell r="J50">
            <v>6.7006661438199426</v>
          </cell>
          <cell r="K50">
            <v>6.6488043448412171</v>
          </cell>
          <cell r="L50">
            <v>6.6111790368383803</v>
          </cell>
          <cell r="M50">
            <v>6.3304051856184955</v>
          </cell>
          <cell r="N50">
            <v>6.4489283178534578</v>
          </cell>
          <cell r="O50">
            <v>6.4420666957402428</v>
          </cell>
          <cell r="P50">
            <v>6.4733403007668562</v>
          </cell>
          <cell r="Q50">
            <v>4.4613842932756986</v>
          </cell>
        </row>
        <row r="51">
          <cell r="A51" t="str">
            <v>Estonia</v>
          </cell>
          <cell r="B51">
            <v>5.4512079636565627</v>
          </cell>
          <cell r="C51">
            <v>5.3262143713340553</v>
          </cell>
          <cell r="D51">
            <v>5.1661173251857679</v>
          </cell>
          <cell r="E51">
            <v>5.0019162783494391</v>
          </cell>
          <cell r="F51">
            <v>5.1074069748682813</v>
          </cell>
          <cell r="G51">
            <v>5.0672718315572292</v>
          </cell>
          <cell r="H51">
            <v>4.9471194220756454</v>
          </cell>
          <cell r="I51">
            <v>4.8913169718635947</v>
          </cell>
          <cell r="J51">
            <v>4.8729254757200362</v>
          </cell>
          <cell r="K51">
            <v>4.7778601977550545</v>
          </cell>
          <cell r="L51">
            <v>4.5986419704544099</v>
          </cell>
          <cell r="M51">
            <v>4.4339903047331504</v>
          </cell>
          <cell r="N51">
            <v>4.4813088147573774</v>
          </cell>
          <cell r="O51">
            <v>4.3717313990943145</v>
          </cell>
          <cell r="P51">
            <v>4.3360950432792418</v>
          </cell>
          <cell r="Q51">
            <v>5.8189234383205655</v>
          </cell>
        </row>
        <row r="52">
          <cell r="A52" t="str">
            <v>Eswatini</v>
          </cell>
          <cell r="B52">
            <v>2.8570258245429709</v>
          </cell>
          <cell r="C52">
            <v>2.8286596927123644</v>
          </cell>
          <cell r="D52">
            <v>2.7422338250252603</v>
          </cell>
          <cell r="E52">
            <v>2.7031756922310661</v>
          </cell>
          <cell r="F52">
            <v>4.2008635342843998</v>
          </cell>
          <cell r="G52">
            <v>4.2418635342843993</v>
          </cell>
          <cell r="H52">
            <v>4.1802586485246902</v>
          </cell>
          <cell r="I52">
            <v>4.2180518778462375</v>
          </cell>
          <cell r="J52">
            <v>4.2244509938387358</v>
          </cell>
          <cell r="K52">
            <v>4.1694227895204152</v>
          </cell>
          <cell r="L52">
            <v>5.6750101937097925</v>
          </cell>
          <cell r="M52">
            <v>4.7339048206415395</v>
          </cell>
          <cell r="N52">
            <v>6.3711302219958501</v>
          </cell>
          <cell r="O52">
            <v>4.5920706387449872</v>
          </cell>
          <cell r="P52">
            <v>2.3986176276287687</v>
          </cell>
          <cell r="Q52">
            <v>3.8905599209404995</v>
          </cell>
        </row>
        <row r="53">
          <cell r="A53" t="str">
            <v>Ethiopia</v>
          </cell>
          <cell r="B53">
            <v>7.1652181667707637</v>
          </cell>
          <cell r="C53">
            <v>7.1916599632939855</v>
          </cell>
          <cell r="D53">
            <v>7.1278241600451597</v>
          </cell>
          <cell r="E53">
            <v>7.0918276889213345</v>
          </cell>
          <cell r="F53">
            <v>7.1221032146890542</v>
          </cell>
          <cell r="G53">
            <v>7.0056579199369278</v>
          </cell>
          <cell r="H53">
            <v>7.0245437885559232</v>
          </cell>
          <cell r="I53">
            <v>7.0229512579229159</v>
          </cell>
          <cell r="J53">
            <v>7.3343388855218539</v>
          </cell>
          <cell r="K53">
            <v>7.4687835195085883</v>
          </cell>
          <cell r="L53">
            <v>7.2006763502171376</v>
          </cell>
          <cell r="M53">
            <v>7.436698580517473</v>
          </cell>
          <cell r="N53">
            <v>7.6527334058175995</v>
          </cell>
          <cell r="O53">
            <v>7.5681296547544639</v>
          </cell>
          <cell r="P53">
            <v>7.4308107906841547</v>
          </cell>
          <cell r="Q53">
            <v>6.4720259748906184</v>
          </cell>
        </row>
        <row r="54">
          <cell r="A54" t="str">
            <v>Fiji</v>
          </cell>
          <cell r="B54">
            <v>6.4045351061327231</v>
          </cell>
          <cell r="C54">
            <v>6.615210542511103</v>
          </cell>
          <cell r="D54">
            <v>6.5909483714666433</v>
          </cell>
          <cell r="E54">
            <v>6.6524029493905026</v>
          </cell>
          <cell r="F54">
            <v>6.68809770282801</v>
          </cell>
          <cell r="G54">
            <v>6.5871215448694764</v>
          </cell>
          <cell r="H54">
            <v>6.5364878415339183</v>
          </cell>
          <cell r="I54">
            <v>6.3874229466268266</v>
          </cell>
          <cell r="J54">
            <v>6.4150550654949496</v>
          </cell>
          <cell r="K54">
            <v>6.1830760993234177</v>
          </cell>
          <cell r="L54">
            <v>6.810507186140474</v>
          </cell>
          <cell r="M54">
            <v>5.8079873229727852</v>
          </cell>
          <cell r="N54">
            <v>5.6687106866052641</v>
          </cell>
          <cell r="O54">
            <v>5.5208048051856586</v>
          </cell>
          <cell r="P54">
            <v>5.7905428254715661</v>
          </cell>
          <cell r="Q54">
            <v>5.134977218794714</v>
          </cell>
        </row>
        <row r="55">
          <cell r="A55" t="str">
            <v>Finland</v>
          </cell>
          <cell r="B55">
            <v>3.6650473221784643</v>
          </cell>
          <cell r="C55">
            <v>3.5644264727860535</v>
          </cell>
          <cell r="D55">
            <v>3.5583426044569482</v>
          </cell>
          <cell r="E55">
            <v>3.507497785984758</v>
          </cell>
          <cell r="F55">
            <v>3.4512940150109666</v>
          </cell>
          <cell r="G55">
            <v>3.4368305578975114</v>
          </cell>
          <cell r="H55">
            <v>3.260409994101467</v>
          </cell>
          <cell r="I55">
            <v>3.28443004514875</v>
          </cell>
          <cell r="J55">
            <v>3.3092121769509286</v>
          </cell>
          <cell r="K55">
            <v>3.2205449563858686</v>
          </cell>
          <cell r="L55">
            <v>5.1297860875978678</v>
          </cell>
          <cell r="M55">
            <v>3.0373193934594367</v>
          </cell>
          <cell r="N55">
            <v>3.1099500589933009</v>
          </cell>
          <cell r="O55">
            <v>3.0378815445629366</v>
          </cell>
          <cell r="P55">
            <v>3.1859020766009105</v>
          </cell>
          <cell r="Q55">
            <v>4.7428742125292596</v>
          </cell>
        </row>
        <row r="56">
          <cell r="A56" t="str">
            <v>France</v>
          </cell>
          <cell r="B56">
            <v>4.5572401673186489</v>
          </cell>
          <cell r="C56">
            <v>4.5200373051943128</v>
          </cell>
          <cell r="D56">
            <v>4.4497089062749673</v>
          </cell>
          <cell r="E56">
            <v>4.3805344137595883</v>
          </cell>
          <cell r="F56">
            <v>4.3173301103237973</v>
          </cell>
          <cell r="G56">
            <v>4.3635323584511356</v>
          </cell>
          <cell r="H56">
            <v>4.2717556209932344</v>
          </cell>
          <cell r="I56">
            <v>4.2400341311181924</v>
          </cell>
          <cell r="J56">
            <v>4.122121693959242</v>
          </cell>
          <cell r="K56">
            <v>3.9931475302508397</v>
          </cell>
          <cell r="L56">
            <v>3.3153141370903869</v>
          </cell>
          <cell r="M56">
            <v>3.8917310012614412</v>
          </cell>
          <cell r="N56">
            <v>3.8858967341444877</v>
          </cell>
          <cell r="O56">
            <v>3.7861964899440319</v>
          </cell>
          <cell r="P56">
            <v>3.7099384453645849</v>
          </cell>
          <cell r="Q56">
            <v>4.5152047333726966</v>
          </cell>
        </row>
        <row r="57">
          <cell r="A57" t="str">
            <v>Gabon</v>
          </cell>
          <cell r="B57">
            <v>6.6320665128509564</v>
          </cell>
          <cell r="C57">
            <v>6.7526848350533939</v>
          </cell>
          <cell r="D57">
            <v>6.8166545594105656</v>
          </cell>
          <cell r="E57">
            <v>6.8432357774494079</v>
          </cell>
          <cell r="F57">
            <v>6.8614254108922772</v>
          </cell>
          <cell r="G57">
            <v>6.886037488607025</v>
          </cell>
          <cell r="H57">
            <v>6.8207305018473745</v>
          </cell>
          <cell r="I57">
            <v>6.9707538215598221</v>
          </cell>
          <cell r="J57">
            <v>7.0876099546690163</v>
          </cell>
          <cell r="K57">
            <v>6.9134650312256927</v>
          </cell>
          <cell r="L57">
            <v>5.3727557931131864</v>
          </cell>
          <cell r="M57">
            <v>6.6445827804714792</v>
          </cell>
          <cell r="N57">
            <v>6.5203623579510808</v>
          </cell>
          <cell r="O57">
            <v>6.546178691060117</v>
          </cell>
          <cell r="P57">
            <v>6.6097832169982897</v>
          </cell>
          <cell r="Q57">
            <v>6.0899695515559653</v>
          </cell>
        </row>
        <row r="58">
          <cell r="A58" t="str">
            <v>Gambia</v>
          </cell>
          <cell r="B58">
            <v>5.83917347828387</v>
          </cell>
          <cell r="C58">
            <v>5.9365032792291448</v>
          </cell>
          <cell r="D58">
            <v>5.8955729633705394</v>
          </cell>
          <cell r="E58">
            <v>5.918159423224421</v>
          </cell>
          <cell r="F58">
            <v>5.8997727565577538</v>
          </cell>
          <cell r="G58">
            <v>6.016366089891088</v>
          </cell>
          <cell r="H58">
            <v>6.1607615288182238</v>
          </cell>
          <cell r="I58">
            <v>6.2199728904366456</v>
          </cell>
          <cell r="J58">
            <v>7.3451502616305024</v>
          </cell>
          <cell r="K58">
            <v>7.1614913076940674</v>
          </cell>
          <cell r="L58">
            <v>6.7579549630688591</v>
          </cell>
          <cell r="M58">
            <v>6.7411365355934363</v>
          </cell>
          <cell r="N58">
            <v>6.6253234881320964</v>
          </cell>
          <cell r="O58">
            <v>6.4573652397685759</v>
          </cell>
          <cell r="P58">
            <v>6.3265114092221895</v>
          </cell>
          <cell r="Q58">
            <v>5.2207726493914057</v>
          </cell>
        </row>
        <row r="59">
          <cell r="A59" t="str">
            <v>Georgia</v>
          </cell>
          <cell r="B59">
            <v>7.8370335759127778</v>
          </cell>
          <cell r="C59">
            <v>7.7277022041976551</v>
          </cell>
          <cell r="D59">
            <v>7.4313822623847612</v>
          </cell>
          <cell r="E59">
            <v>7.3925799424695597</v>
          </cell>
          <cell r="F59">
            <v>7.4448510806048551</v>
          </cell>
          <cell r="G59">
            <v>7.3818916724779271</v>
          </cell>
          <cell r="H59">
            <v>7.2618716361535185</v>
          </cell>
          <cell r="I59">
            <v>7.2124217543773019</v>
          </cell>
          <cell r="J59">
            <v>7.0582015741631876</v>
          </cell>
          <cell r="K59">
            <v>6.9058286654069079</v>
          </cell>
          <cell r="L59">
            <v>6.83617078101482</v>
          </cell>
          <cell r="M59">
            <v>6.8007197939603525</v>
          </cell>
          <cell r="N59">
            <v>6.7729872814639069</v>
          </cell>
          <cell r="O59">
            <v>6.6823432751309513</v>
          </cell>
          <cell r="P59">
            <v>6.5733309214490365</v>
          </cell>
          <cell r="Q59">
            <v>5.9239052549468045</v>
          </cell>
        </row>
        <row r="60">
          <cell r="A60" t="str">
            <v>Germany</v>
          </cell>
          <cell r="B60">
            <v>4.6048632412855008</v>
          </cell>
          <cell r="C60">
            <v>4.4539799018549235</v>
          </cell>
          <cell r="D60">
            <v>4.2958024026955037</v>
          </cell>
          <cell r="E60">
            <v>4.152801300797913</v>
          </cell>
          <cell r="F60">
            <v>4.0954388274160429</v>
          </cell>
          <cell r="G60">
            <v>4.1546385353961757</v>
          </cell>
          <cell r="H60">
            <v>4.0089976578543034</v>
          </cell>
          <cell r="I60">
            <v>3.894504203022815</v>
          </cell>
          <cell r="J60">
            <v>3.8381613125002203</v>
          </cell>
          <cell r="K60">
            <v>3.666283151899715</v>
          </cell>
          <cell r="L60">
            <v>5.5138493798933519</v>
          </cell>
          <cell r="M60">
            <v>3.4703062466362891</v>
          </cell>
          <cell r="N60">
            <v>3.6103591397349182</v>
          </cell>
          <cell r="O60">
            <v>3.525925050522666</v>
          </cell>
          <cell r="P60">
            <v>3.604704572340363</v>
          </cell>
          <cell r="Q60">
            <v>5.013240046781938</v>
          </cell>
        </row>
        <row r="61">
          <cell r="A61" t="str">
            <v>Ghana</v>
          </cell>
          <cell r="B61">
            <v>6.3036832348319489</v>
          </cell>
          <cell r="C61">
            <v>6.3349281822563537</v>
          </cell>
          <cell r="D61">
            <v>6.2156311240213649</v>
          </cell>
          <cell r="E61">
            <v>6.1418715363948921</v>
          </cell>
          <cell r="F61">
            <v>6.170697157361559</v>
          </cell>
          <cell r="G61">
            <v>6.2510520906948921</v>
          </cell>
          <cell r="H61">
            <v>6.3063855953055086</v>
          </cell>
          <cell r="I61">
            <v>6.2430952552503021</v>
          </cell>
          <cell r="J61">
            <v>6.1252274601777552</v>
          </cell>
          <cell r="K61">
            <v>6.0203070457132695</v>
          </cell>
          <cell r="L61">
            <v>4.7494172585230725</v>
          </cell>
          <cell r="M61">
            <v>5.6525782923733994</v>
          </cell>
          <cell r="N61">
            <v>5.560797489535604</v>
          </cell>
          <cell r="O61">
            <v>5.4762740298972625</v>
          </cell>
          <cell r="P61">
            <v>5.3186646137197497</v>
          </cell>
          <cell r="Q61">
            <v>5.3306980715680101</v>
          </cell>
        </row>
        <row r="62">
          <cell r="A62" t="str">
            <v>Greece</v>
          </cell>
          <cell r="B62">
            <v>5.2936000670226715</v>
          </cell>
          <cell r="C62">
            <v>5.239490331975059</v>
          </cell>
          <cell r="D62">
            <v>5.2174456531991833</v>
          </cell>
          <cell r="E62">
            <v>5.3578928209848131</v>
          </cell>
          <cell r="F62">
            <v>5.3253928209848143</v>
          </cell>
          <cell r="G62">
            <v>5.6114740535231329</v>
          </cell>
          <cell r="H62">
            <v>5.6758231022542525</v>
          </cell>
          <cell r="I62">
            <v>5.6143976249175154</v>
          </cell>
          <cell r="J62">
            <v>5.7268461140529956</v>
          </cell>
          <cell r="K62">
            <v>5.6456362022977844</v>
          </cell>
          <cell r="L62">
            <v>5.3451686616048555</v>
          </cell>
          <cell r="M62">
            <v>5.3395227541336014</v>
          </cell>
          <cell r="N62">
            <v>5.3699194030739852</v>
          </cell>
          <cell r="O62">
            <v>5.4518276646021882</v>
          </cell>
          <cell r="P62">
            <v>5.4483381089547329</v>
          </cell>
          <cell r="Q62">
            <v>4.9081435958525725</v>
          </cell>
        </row>
        <row r="63">
          <cell r="A63" t="str">
            <v>Guatemala</v>
          </cell>
          <cell r="B63">
            <v>6.7501077178432976</v>
          </cell>
          <cell r="C63">
            <v>6.7873025287108497</v>
          </cell>
          <cell r="D63">
            <v>6.7319189789349174</v>
          </cell>
          <cell r="E63">
            <v>6.6912119141610553</v>
          </cell>
          <cell r="F63">
            <v>6.7831444522812472</v>
          </cell>
          <cell r="G63">
            <v>6.7728581611691228</v>
          </cell>
          <cell r="H63">
            <v>6.8372582633806589</v>
          </cell>
          <cell r="I63">
            <v>6.9985777330138959</v>
          </cell>
          <cell r="J63">
            <v>6.9632603696863971</v>
          </cell>
          <cell r="K63">
            <v>6.8364786295993287</v>
          </cell>
          <cell r="L63">
            <v>5.7364068011371705</v>
          </cell>
          <cell r="M63">
            <v>6.731557066133524</v>
          </cell>
          <cell r="N63">
            <v>6.7464778805886194</v>
          </cell>
          <cell r="O63">
            <v>6.6265546170746088</v>
          </cell>
          <cell r="P63">
            <v>6.7579073136146031</v>
          </cell>
          <cell r="Q63">
            <v>6.5119019951519537</v>
          </cell>
        </row>
        <row r="64">
          <cell r="A64" t="str">
            <v>Guinea</v>
          </cell>
          <cell r="B64">
            <v>7.8609811820955233</v>
          </cell>
          <cell r="C64">
            <v>8.2198696680987045</v>
          </cell>
          <cell r="D64">
            <v>7.9591485480979536</v>
          </cell>
          <cell r="E64">
            <v>7.8514611355736399</v>
          </cell>
          <cell r="F64">
            <v>7.8233594759573792</v>
          </cell>
          <cell r="G64">
            <v>7.8809649774284418</v>
          </cell>
          <cell r="H64">
            <v>8.0291390404214891</v>
          </cell>
          <cell r="I64">
            <v>7.8839723049735317</v>
          </cell>
          <cell r="J64">
            <v>7.8071302678652943</v>
          </cell>
          <cell r="K64">
            <v>7.7758923967664915</v>
          </cell>
          <cell r="L64">
            <v>7.0093200957439086</v>
          </cell>
          <cell r="M64">
            <v>7.470905224951327</v>
          </cell>
          <cell r="N64">
            <v>7.5389270487489499</v>
          </cell>
          <cell r="O64">
            <v>7.6460783455033487</v>
          </cell>
          <cell r="P64">
            <v>7.6098150590252107</v>
          </cell>
          <cell r="Q64">
            <v>6.626259639734692</v>
          </cell>
        </row>
        <row r="65">
          <cell r="A65" t="str">
            <v>Guinea-Bissau</v>
          </cell>
          <cell r="B65">
            <v>7.0963213722689522</v>
          </cell>
          <cell r="C65">
            <v>7.2187065749471833</v>
          </cell>
          <cell r="D65">
            <v>7.1776351097835756</v>
          </cell>
          <cell r="E65">
            <v>7.1721415401135147</v>
          </cell>
          <cell r="F65">
            <v>7.3803282067801819</v>
          </cell>
          <cell r="G65">
            <v>7.3444282067801812</v>
          </cell>
          <cell r="H65">
            <v>7.2218579452683089</v>
          </cell>
          <cell r="I65">
            <v>7.2247551906420231</v>
          </cell>
          <cell r="J65">
            <v>7.2827885239753556</v>
          </cell>
          <cell r="K65">
            <v>7.3103084619205161</v>
          </cell>
          <cell r="L65">
            <v>7.5201030116750047</v>
          </cell>
          <cell r="M65">
            <v>7.0116317036347802</v>
          </cell>
          <cell r="N65">
            <v>7.0624145304437569</v>
          </cell>
          <cell r="O65">
            <v>6.9294288659847103</v>
          </cell>
          <cell r="P65">
            <v>6.8650211552634204</v>
          </cell>
          <cell r="Q65">
            <v>5.0641369535051242</v>
          </cell>
        </row>
        <row r="66">
          <cell r="A66" t="str">
            <v>Guyana</v>
          </cell>
          <cell r="B66">
            <v>6.2237753175486015</v>
          </cell>
          <cell r="C66">
            <v>6.2981344798427381</v>
          </cell>
          <cell r="D66">
            <v>6.2711178665581215</v>
          </cell>
          <cell r="E66">
            <v>6.23946291764147</v>
          </cell>
          <cell r="F66">
            <v>6.1800188897511106</v>
          </cell>
          <cell r="G66">
            <v>6.0951226660229949</v>
          </cell>
          <cell r="H66">
            <v>6.2228656398499078</v>
          </cell>
          <cell r="I66">
            <v>6.1471402079148403</v>
          </cell>
          <cell r="J66">
            <v>6.1544982112948041</v>
          </cell>
          <cell r="K66">
            <v>6.0269140089935433</v>
          </cell>
          <cell r="L66">
            <v>6.9305107886001931</v>
          </cell>
          <cell r="M66">
            <v>5.6695078667867591</v>
          </cell>
          <cell r="N66">
            <v>5.7268066549515968</v>
          </cell>
          <cell r="O66">
            <v>5.5543512621967421</v>
          </cell>
          <cell r="P66">
            <v>5.4132889767851626</v>
          </cell>
          <cell r="Q66">
            <v>5.4877734727890815</v>
          </cell>
        </row>
        <row r="67">
          <cell r="A67" t="str">
            <v>Haiti</v>
          </cell>
          <cell r="B67">
            <v>8.0612130835712712</v>
          </cell>
          <cell r="C67">
            <v>8.0613357774591545</v>
          </cell>
          <cell r="D67">
            <v>8.183337911162555</v>
          </cell>
          <cell r="E67">
            <v>7.9657059078249652</v>
          </cell>
          <cell r="F67">
            <v>7.8519107005913877</v>
          </cell>
          <cell r="G67">
            <v>7.8025072290443642</v>
          </cell>
          <cell r="H67">
            <v>7.905813941707609</v>
          </cell>
          <cell r="I67">
            <v>7.9848195133669524</v>
          </cell>
          <cell r="J67">
            <v>8.0299494092028496</v>
          </cell>
          <cell r="K67">
            <v>7.7270413684042554</v>
          </cell>
          <cell r="L67">
            <v>6.3704055841139944</v>
          </cell>
          <cell r="M67">
            <v>7.4097372811992894</v>
          </cell>
          <cell r="N67">
            <v>7.3494661873998757</v>
          </cell>
          <cell r="O67">
            <v>7.5687436155094545</v>
          </cell>
          <cell r="P67">
            <v>7.8192050733193526</v>
          </cell>
          <cell r="Q67">
            <v>6.5653502552315492</v>
          </cell>
        </row>
        <row r="68">
          <cell r="A68" t="str">
            <v>Honduras</v>
          </cell>
          <cell r="B68">
            <v>6.6484474450629945</v>
          </cell>
          <cell r="C68">
            <v>6.7918646327792782</v>
          </cell>
          <cell r="D68">
            <v>6.8072334044280938</v>
          </cell>
          <cell r="E68">
            <v>6.7204836008445774</v>
          </cell>
          <cell r="F68">
            <v>6.7470887999049536</v>
          </cell>
          <cell r="G68">
            <v>6.6770060897037613</v>
          </cell>
          <cell r="H68">
            <v>6.6764332025568276</v>
          </cell>
          <cell r="I68">
            <v>6.7962430223478414</v>
          </cell>
          <cell r="J68">
            <v>6.7925068526652019</v>
          </cell>
          <cell r="K68">
            <v>6.7347718276440292</v>
          </cell>
          <cell r="L68">
            <v>7.4212995037022846</v>
          </cell>
          <cell r="M68">
            <v>6.6622940761272158</v>
          </cell>
          <cell r="N68">
            <v>6.8104761757230721</v>
          </cell>
          <cell r="O68">
            <v>7.0113286548948022</v>
          </cell>
          <cell r="P68">
            <v>7.0568450530889368</v>
          </cell>
          <cell r="Q68">
            <v>6.6093795487799891</v>
          </cell>
        </row>
        <row r="69">
          <cell r="A69" t="str">
            <v>Hungary</v>
          </cell>
          <cell r="B69">
            <v>5.6028905124968293</v>
          </cell>
          <cell r="C69">
            <v>5.5247388117527461</v>
          </cell>
          <cell r="D69">
            <v>5.3982357441363238</v>
          </cell>
          <cell r="E69">
            <v>5.4184613436455793</v>
          </cell>
          <cell r="F69">
            <v>5.3045224294870792</v>
          </cell>
          <cell r="G69">
            <v>5.4461987120126096</v>
          </cell>
          <cell r="H69">
            <v>5.6044641113657772</v>
          </cell>
          <cell r="I69">
            <v>5.5445701419428532</v>
          </cell>
          <cell r="J69">
            <v>5.4713365668791356</v>
          </cell>
          <cell r="K69">
            <v>5.3621259310587437</v>
          </cell>
          <cell r="L69">
            <v>6.0540565402348205</v>
          </cell>
          <cell r="M69">
            <v>5.1633591699996337</v>
          </cell>
          <cell r="N69">
            <v>5.376501699320011</v>
          </cell>
          <cell r="O69">
            <v>5.3902070832630349</v>
          </cell>
          <cell r="P69">
            <v>5.246365305833959</v>
          </cell>
          <cell r="Q69">
            <v>4.7809335323532762</v>
          </cell>
        </row>
        <row r="70">
          <cell r="A70" t="str">
            <v>Iceland</v>
          </cell>
          <cell r="B70">
            <v>4.0967264222766371</v>
          </cell>
          <cell r="C70">
            <v>4.096378557255572</v>
          </cell>
          <cell r="D70">
            <v>3.9859674912653613</v>
          </cell>
          <cell r="E70">
            <v>3.9175452251052088</v>
          </cell>
          <cell r="F70">
            <v>3.7398123077592689</v>
          </cell>
          <cell r="G70">
            <v>3.7949354113176343</v>
          </cell>
          <cell r="H70">
            <v>3.6831635542463288</v>
          </cell>
          <cell r="I70">
            <v>3.6567753790584452</v>
          </cell>
          <cell r="J70">
            <v>3.6038242500535183</v>
          </cell>
          <cell r="K70">
            <v>3.4711063568773453</v>
          </cell>
          <cell r="L70">
            <v>4.9087704733234565</v>
          </cell>
          <cell r="M70">
            <v>3.3534233550027617</v>
          </cell>
          <cell r="N70">
            <v>3.2805470960163912</v>
          </cell>
          <cell r="O70">
            <v>3.1122766281386309</v>
          </cell>
          <cell r="P70">
            <v>3.0282641437944435</v>
          </cell>
          <cell r="Q70">
            <v>4.135570698085786</v>
          </cell>
        </row>
        <row r="71">
          <cell r="A71" t="str">
            <v>India</v>
          </cell>
          <cell r="B71">
            <v>6.65614179179601</v>
          </cell>
          <cell r="C71">
            <v>6.6707328307645222</v>
          </cell>
          <cell r="D71">
            <v>6.5496210484577899</v>
          </cell>
          <cell r="E71">
            <v>6.4148773933179948</v>
          </cell>
          <cell r="F71">
            <v>6.4213144393250499</v>
          </cell>
          <cell r="G71">
            <v>6.3237163026292373</v>
          </cell>
          <cell r="H71">
            <v>6.2814245868623564</v>
          </cell>
          <cell r="I71">
            <v>6.2416301241932315</v>
          </cell>
          <cell r="J71">
            <v>6.0607479007375655</v>
          </cell>
          <cell r="K71">
            <v>5.9384256675202147</v>
          </cell>
          <cell r="L71">
            <v>3.8942692554131897</v>
          </cell>
          <cell r="M71">
            <v>5.898742827014301</v>
          </cell>
          <cell r="N71">
            <v>6.0568141822084618</v>
          </cell>
          <cell r="O71">
            <v>6.0045793479283613</v>
          </cell>
          <cell r="P71">
            <v>5.8869409751976898</v>
          </cell>
          <cell r="Q71">
            <v>5.4019346308586274</v>
          </cell>
        </row>
        <row r="72">
          <cell r="A72" t="str">
            <v>Indonesia</v>
          </cell>
          <cell r="B72">
            <v>6.8797393941524927</v>
          </cell>
          <cell r="C72">
            <v>6.8840803615705681</v>
          </cell>
          <cell r="D72">
            <v>6.8114240008971567</v>
          </cell>
          <cell r="E72">
            <v>6.9736457439498984</v>
          </cell>
          <cell r="F72">
            <v>6.8765943997973462</v>
          </cell>
          <cell r="G72">
            <v>6.8452518315897315</v>
          </cell>
          <cell r="H72">
            <v>6.6964264104355662</v>
          </cell>
          <cell r="I72">
            <v>6.7032194133694851</v>
          </cell>
          <cell r="J72">
            <v>6.527857151186276</v>
          </cell>
          <cell r="K72">
            <v>6.4264106971685919</v>
          </cell>
          <cell r="L72">
            <v>6.4048910634670948</v>
          </cell>
          <cell r="M72">
            <v>6.0740024644599169</v>
          </cell>
          <cell r="N72">
            <v>6.0590388103038633</v>
          </cell>
          <cell r="O72">
            <v>6.079648277061934</v>
          </cell>
          <cell r="P72">
            <v>6.0049961047637179</v>
          </cell>
          <cell r="Q72">
            <v>6.104608348126745</v>
          </cell>
        </row>
        <row r="73">
          <cell r="A73" t="str">
            <v>Iran</v>
          </cell>
          <cell r="B73">
            <v>6.5529887120853259</v>
          </cell>
          <cell r="C73">
            <v>6.7007319582816987</v>
          </cell>
          <cell r="D73">
            <v>6.6315255452660988</v>
          </cell>
          <cell r="E73">
            <v>6.5457024417440319</v>
          </cell>
          <cell r="F73">
            <v>6.6708481796102834</v>
          </cell>
          <cell r="G73">
            <v>6.5123337554424943</v>
          </cell>
          <cell r="H73">
            <v>6.5757174720321085</v>
          </cell>
          <cell r="I73">
            <v>6.6051510740759767</v>
          </cell>
          <cell r="J73">
            <v>6.5937812750894382</v>
          </cell>
          <cell r="K73">
            <v>6.5324696508076192</v>
          </cell>
          <cell r="L73">
            <v>5.5162369144611816</v>
          </cell>
          <cell r="M73">
            <v>6.4316637370640297</v>
          </cell>
          <cell r="N73">
            <v>6.4818079925628469</v>
          </cell>
          <cell r="O73">
            <v>6.4531717720543291</v>
          </cell>
          <cell r="P73">
            <v>6.6275043283201835</v>
          </cell>
          <cell r="Q73">
            <v>5.0892235630004627</v>
          </cell>
        </row>
        <row r="74">
          <cell r="A74" t="str">
            <v>Iraq</v>
          </cell>
          <cell r="B74">
            <v>7.3231911855261078</v>
          </cell>
          <cell r="C74">
            <v>7.2118451785438236</v>
          </cell>
          <cell r="D74">
            <v>6.9928706083949068</v>
          </cell>
          <cell r="E74">
            <v>6.8814440957202043</v>
          </cell>
          <cell r="F74">
            <v>6.9354324896456525</v>
          </cell>
          <cell r="G74">
            <v>7.4205861897186294</v>
          </cell>
          <cell r="H74">
            <v>7.6013709346413414</v>
          </cell>
          <cell r="I74">
            <v>7.4708483450308067</v>
          </cell>
          <cell r="J74">
            <v>7.4947972303991417</v>
          </cell>
          <cell r="K74">
            <v>7.4233558413710368</v>
          </cell>
          <cell r="L74">
            <v>7.1053853329334089</v>
          </cell>
          <cell r="M74">
            <v>7.1572705146675846</v>
          </cell>
          <cell r="N74">
            <v>7.2285345319382888</v>
          </cell>
          <cell r="O74">
            <v>6.5264541601444908</v>
          </cell>
          <cell r="P74">
            <v>6.4240041290708101</v>
          </cell>
          <cell r="Q74">
            <v>4.0208896338156599</v>
          </cell>
        </row>
        <row r="75">
          <cell r="A75" t="str">
            <v>Ireland</v>
          </cell>
          <cell r="B75">
            <v>3.7923818078193983</v>
          </cell>
          <cell r="C75">
            <v>3.8404517875941266</v>
          </cell>
          <cell r="D75">
            <v>3.7480715733333341</v>
          </cell>
          <cell r="E75">
            <v>3.8032768430740913</v>
          </cell>
          <cell r="F75">
            <v>3.6725768430740913</v>
          </cell>
          <cell r="G75">
            <v>3.6984403190673416</v>
          </cell>
          <cell r="H75">
            <v>3.697624134578593</v>
          </cell>
          <cell r="I75">
            <v>3.5948694218171231</v>
          </cell>
          <cell r="J75">
            <v>3.5948809803736945</v>
          </cell>
          <cell r="K75">
            <v>3.5394798603356334</v>
          </cell>
          <cell r="L75">
            <v>6.4446435312915558</v>
          </cell>
          <cell r="M75">
            <v>3.5153693996633639</v>
          </cell>
          <cell r="N75">
            <v>3.6457311796221368</v>
          </cell>
          <cell r="O75">
            <v>3.6227679618967317</v>
          </cell>
          <cell r="P75">
            <v>3.5705224947181939</v>
          </cell>
          <cell r="Q75">
            <v>5.1713679311168015</v>
          </cell>
        </row>
        <row r="76">
          <cell r="A76" t="str">
            <v>Israel</v>
          </cell>
          <cell r="B76">
            <v>7.563515746706873</v>
          </cell>
          <cell r="C76">
            <v>7.4585567929097749</v>
          </cell>
          <cell r="D76">
            <v>7.4428506062987987</v>
          </cell>
          <cell r="E76">
            <v>7.3234611075318297</v>
          </cell>
          <cell r="F76">
            <v>7.1641677741984973</v>
          </cell>
          <cell r="G76">
            <v>7.0262344408651654</v>
          </cell>
          <cell r="H76">
            <v>6.9740869612189789</v>
          </cell>
          <cell r="I76">
            <v>7.0414018590945604</v>
          </cell>
          <cell r="J76">
            <v>6.943101859094563</v>
          </cell>
          <cell r="K76">
            <v>6.90171448256923</v>
          </cell>
          <cell r="L76">
            <v>4.5023734381701219</v>
          </cell>
          <cell r="M76">
            <v>6.5603712558415994</v>
          </cell>
          <cell r="N76">
            <v>4.8121679050567598</v>
          </cell>
          <cell r="O76">
            <v>4.7339507093815971</v>
          </cell>
          <cell r="P76">
            <v>4.7375934807290117</v>
          </cell>
          <cell r="Q76">
            <v>4.7059471973014624</v>
          </cell>
        </row>
        <row r="77">
          <cell r="A77" t="str">
            <v>Italy</v>
          </cell>
          <cell r="B77">
            <v>4.9996022336550565</v>
          </cell>
          <cell r="C77">
            <v>5.1183494041652331</v>
          </cell>
          <cell r="D77">
            <v>5.0747914304733843</v>
          </cell>
          <cell r="E77">
            <v>5.0552307999967887</v>
          </cell>
          <cell r="F77">
            <v>5.0039021268727648</v>
          </cell>
          <cell r="G77">
            <v>4.8730652471165001</v>
          </cell>
          <cell r="H77">
            <v>4.8263170358217353</v>
          </cell>
          <cell r="I77">
            <v>4.6953702111497755</v>
          </cell>
          <cell r="J77">
            <v>4.7073890228098758</v>
          </cell>
          <cell r="K77">
            <v>4.6247436695977386</v>
          </cell>
          <cell r="L77">
            <v>5.7823342735129692</v>
          </cell>
          <cell r="M77">
            <v>4.3591207986616416</v>
          </cell>
          <cell r="N77">
            <v>4.4138483988386428</v>
          </cell>
          <cell r="O77">
            <v>4.2056274739706669</v>
          </cell>
          <cell r="P77">
            <v>4.0694746479434318</v>
          </cell>
          <cell r="Q77">
            <v>4.7084248011823995</v>
          </cell>
        </row>
        <row r="78">
          <cell r="A78" t="str">
            <v>Jamaica</v>
          </cell>
          <cell r="B78">
            <v>6.67665464358757</v>
          </cell>
          <cell r="C78">
            <v>6.5406111365530553</v>
          </cell>
          <cell r="D78">
            <v>6.4079849077655986</v>
          </cell>
          <cell r="E78">
            <v>6.2356859519211847</v>
          </cell>
          <cell r="F78">
            <v>6.216183356803568</v>
          </cell>
          <cell r="G78">
            <v>6.1612852692840736</v>
          </cell>
          <cell r="H78">
            <v>6.0797427377973463</v>
          </cell>
          <cell r="I78">
            <v>6.0477021493116139</v>
          </cell>
          <cell r="J78">
            <v>6.0488991362771625</v>
          </cell>
          <cell r="K78">
            <v>5.91346089457413</v>
          </cell>
          <cell r="L78">
            <v>5.5720694759226728</v>
          </cell>
          <cell r="M78">
            <v>5.6183582488982902</v>
          </cell>
          <cell r="N78">
            <v>5.5937739241413036</v>
          </cell>
          <cell r="O78">
            <v>5.6767203330542317</v>
          </cell>
          <cell r="P78">
            <v>5.6906612840577013</v>
          </cell>
          <cell r="Q78">
            <v>6.0669909911138244</v>
          </cell>
        </row>
        <row r="79">
          <cell r="A79" t="str">
            <v>Japan</v>
          </cell>
          <cell r="B79">
            <v>4.3661003274284118</v>
          </cell>
          <cell r="C79">
            <v>4.1978100860514251</v>
          </cell>
          <cell r="D79">
            <v>4.1883328229314056</v>
          </cell>
          <cell r="E79">
            <v>4.8513342874674041</v>
          </cell>
          <cell r="F79">
            <v>4.3262076208007363</v>
          </cell>
          <cell r="G79">
            <v>4.3470076208007367</v>
          </cell>
          <cell r="H79">
            <v>4.278194486062274</v>
          </cell>
          <cell r="I79">
            <v>4.1923290793542707</v>
          </cell>
          <cell r="J79">
            <v>4.2572740381664085</v>
          </cell>
          <cell r="K79">
            <v>4.0490781629612504</v>
          </cell>
          <cell r="L79">
            <v>4.8307210411943871</v>
          </cell>
          <cell r="M79">
            <v>3.9427777453569988</v>
          </cell>
          <cell r="N79">
            <v>3.8425044709791178</v>
          </cell>
          <cell r="O79">
            <v>3.6898298419962905</v>
          </cell>
          <cell r="P79">
            <v>3.6265879593665975</v>
          </cell>
          <cell r="Q79">
            <v>4.4522248660168566</v>
          </cell>
        </row>
        <row r="80">
          <cell r="A80" t="str">
            <v>Jordan</v>
          </cell>
          <cell r="B80">
            <v>6.3167681482810529</v>
          </cell>
          <cell r="C80">
            <v>6.2806618088455162</v>
          </cell>
          <cell r="D80">
            <v>6.1438009791164925</v>
          </cell>
          <cell r="E80">
            <v>6.3483985170793069</v>
          </cell>
          <cell r="F80">
            <v>6.3881762559656403</v>
          </cell>
          <cell r="G80">
            <v>6.4206176959656398</v>
          </cell>
          <cell r="H80">
            <v>6.4407705698659727</v>
          </cell>
          <cell r="I80">
            <v>6.506310550499153</v>
          </cell>
          <cell r="J80">
            <v>6.5132056294719183</v>
          </cell>
          <cell r="K80">
            <v>6.4288585854698379</v>
          </cell>
          <cell r="L80">
            <v>4.7429355114488247</v>
          </cell>
          <cell r="M80">
            <v>6.2822660642813473</v>
          </cell>
          <cell r="N80">
            <v>6.2812287771558264</v>
          </cell>
          <cell r="O80">
            <v>6.2711703433700059</v>
          </cell>
          <cell r="P80">
            <v>6.2611408560740971</v>
          </cell>
          <cell r="Q80">
            <v>5.2816015780925412</v>
          </cell>
        </row>
        <row r="81">
          <cell r="A81" t="str">
            <v>Kazakhstan</v>
          </cell>
          <cell r="B81">
            <v>6.2516093390790006</v>
          </cell>
          <cell r="C81">
            <v>6.1651926580453935</v>
          </cell>
          <cell r="D81">
            <v>6.0751147655480509</v>
          </cell>
          <cell r="E81">
            <v>6.2615747797238486</v>
          </cell>
          <cell r="F81">
            <v>6.1658852005479634</v>
          </cell>
          <cell r="G81">
            <v>6.0935008561414179</v>
          </cell>
          <cell r="H81">
            <v>6.2023146310876935</v>
          </cell>
          <cell r="I81">
            <v>6.1740940946814522</v>
          </cell>
          <cell r="J81">
            <v>6.1094074822290958</v>
          </cell>
          <cell r="K81">
            <v>5.9507107693840178</v>
          </cell>
          <cell r="L81">
            <v>5.7260483295380356</v>
          </cell>
          <cell r="M81">
            <v>5.8957987888982419</v>
          </cell>
          <cell r="N81">
            <v>5.991930523638854</v>
          </cell>
          <cell r="O81">
            <v>5.8768072960356443</v>
          </cell>
          <cell r="P81">
            <v>5.9701792572808676</v>
          </cell>
          <cell r="Q81">
            <v>5.3298247562322523</v>
          </cell>
        </row>
        <row r="82">
          <cell r="A82" t="str">
            <v>Kenya</v>
          </cell>
          <cell r="B82">
            <v>8.113155616024633</v>
          </cell>
          <cell r="C82">
            <v>8.2486225323912272</v>
          </cell>
          <cell r="D82">
            <v>8.0743149206200098</v>
          </cell>
          <cell r="E82">
            <v>7.998515818964842</v>
          </cell>
          <cell r="F82">
            <v>7.8927591261464158</v>
          </cell>
          <cell r="G82">
            <v>7.7975967202417253</v>
          </cell>
          <cell r="H82">
            <v>7.6102897332245547</v>
          </cell>
          <cell r="I82">
            <v>7.7026243998627679</v>
          </cell>
          <cell r="J82">
            <v>7.5195226969002924</v>
          </cell>
          <cell r="K82">
            <v>7.5857894238921304</v>
          </cell>
          <cell r="L82">
            <v>6.9222072017441034</v>
          </cell>
          <cell r="M82">
            <v>7.2646202584893338</v>
          </cell>
          <cell r="N82">
            <v>7.2287448852012384</v>
          </cell>
          <cell r="O82">
            <v>7.1490141935192399</v>
          </cell>
          <cell r="P82">
            <v>7.0515622920306553</v>
          </cell>
          <cell r="Q82">
            <v>6.0382866903137185</v>
          </cell>
        </row>
        <row r="83">
          <cell r="A83" t="str">
            <v>Kuwait</v>
          </cell>
          <cell r="B83">
            <v>6.0708261054511343</v>
          </cell>
          <cell r="C83">
            <v>5.8852893566129714</v>
          </cell>
          <cell r="D83">
            <v>5.5328772256940741</v>
          </cell>
          <cell r="E83">
            <v>5.6087834839453903</v>
          </cell>
          <cell r="F83">
            <v>5.8543225693572634</v>
          </cell>
          <cell r="G83">
            <v>5.8188949196870672</v>
          </cell>
          <cell r="H83">
            <v>5.8300744407949852</v>
          </cell>
          <cell r="I83">
            <v>5.9277515549638355</v>
          </cell>
          <cell r="J83">
            <v>5.8363787106884546</v>
          </cell>
          <cell r="K83">
            <v>5.7718765664894889</v>
          </cell>
          <cell r="L83">
            <v>6.6399154229295476</v>
          </cell>
          <cell r="M83">
            <v>5.5401137424590488</v>
          </cell>
          <cell r="N83">
            <v>5.6990426505938787</v>
          </cell>
          <cell r="O83">
            <v>5.640030392225384</v>
          </cell>
          <cell r="P83">
            <v>5.9205770076396842</v>
          </cell>
          <cell r="Q83">
            <v>5.5481531612681891</v>
          </cell>
        </row>
        <row r="84">
          <cell r="A84" t="str">
            <v>Kyrgyz Republic</v>
          </cell>
          <cell r="B84">
            <v>6.9940474828334152</v>
          </cell>
          <cell r="C84">
            <v>7.2084713947029426</v>
          </cell>
          <cell r="D84">
            <v>7.5183839062055222</v>
          </cell>
          <cell r="E84">
            <v>7.282678131498697</v>
          </cell>
          <cell r="F84">
            <v>7.1805739154976198</v>
          </cell>
          <cell r="G84">
            <v>7.1124850311412366</v>
          </cell>
          <cell r="H84">
            <v>6.9415647406274026</v>
          </cell>
          <cell r="I84">
            <v>6.8800162458180205</v>
          </cell>
          <cell r="J84">
            <v>6.8454630502054252</v>
          </cell>
          <cell r="K84">
            <v>6.7430822516287092</v>
          </cell>
          <cell r="L84">
            <v>6.1342803337017804</v>
          </cell>
          <cell r="M84">
            <v>6.3531201180211356</v>
          </cell>
          <cell r="N84">
            <v>6.58418146768296</v>
          </cell>
          <cell r="O84">
            <v>6.6042038642892411</v>
          </cell>
          <cell r="P84">
            <v>6.5029455060975243</v>
          </cell>
          <cell r="Q84">
            <v>6.0150797007746304</v>
          </cell>
        </row>
        <row r="85">
          <cell r="A85" t="str">
            <v>Laos</v>
          </cell>
          <cell r="B85">
            <v>5.9958751774850558</v>
          </cell>
          <cell r="C85">
            <v>6.0285446797547291</v>
          </cell>
          <cell r="D85">
            <v>5.851269113870984</v>
          </cell>
          <cell r="E85">
            <v>5.8253244822825572</v>
          </cell>
          <cell r="F85">
            <v>5.8589244822825588</v>
          </cell>
          <cell r="G85">
            <v>5.4623244822825585</v>
          </cell>
          <cell r="H85">
            <v>5.5737490444886095</v>
          </cell>
          <cell r="I85">
            <v>5.6170658451647473</v>
          </cell>
          <cell r="J85">
            <v>5.4875858451647472</v>
          </cell>
          <cell r="K85">
            <v>5.7376683640484014</v>
          </cell>
          <cell r="L85">
            <v>5.3164552346914462</v>
          </cell>
          <cell r="M85">
            <v>5.6131051700801455</v>
          </cell>
          <cell r="N85">
            <v>5.6005298452012378</v>
          </cell>
          <cell r="O85">
            <v>5.5620497156186328</v>
          </cell>
          <cell r="P85">
            <v>5.5102082700926216</v>
          </cell>
          <cell r="Q85">
            <v>3.9320557754875298</v>
          </cell>
        </row>
        <row r="86">
          <cell r="A86" t="str">
            <v>Latvia</v>
          </cell>
          <cell r="B86">
            <v>5.6284436008071586</v>
          </cell>
          <cell r="C86">
            <v>5.6559264825965885</v>
          </cell>
          <cell r="D86">
            <v>5.5882010921728833</v>
          </cell>
          <cell r="E86">
            <v>5.4015055038057298</v>
          </cell>
          <cell r="F86">
            <v>5.2968273878842096</v>
          </cell>
          <cell r="G86">
            <v>5.3268545401542386</v>
          </cell>
          <cell r="H86">
            <v>5.3138266809534613</v>
          </cell>
          <cell r="I86">
            <v>5.1749220246266017</v>
          </cell>
          <cell r="J86">
            <v>5.1035136200330617</v>
          </cell>
          <cell r="K86">
            <v>4.9989319131621928</v>
          </cell>
          <cell r="L86">
            <v>6.4524833077148038</v>
          </cell>
          <cell r="M86">
            <v>4.7896616480375416</v>
          </cell>
          <cell r="N86">
            <v>4.8517852067034841</v>
          </cell>
          <cell r="O86">
            <v>4.7256498868492463</v>
          </cell>
          <cell r="P86">
            <v>4.6408316350720948</v>
          </cell>
          <cell r="Q86">
            <v>5.7919604171626631</v>
          </cell>
        </row>
        <row r="87">
          <cell r="A87" t="str">
            <v>Lebanon</v>
          </cell>
          <cell r="B87">
            <v>7.3014661281149449</v>
          </cell>
          <cell r="C87">
            <v>7.0960716012036142</v>
          </cell>
          <cell r="D87">
            <v>6.8737268400306091</v>
          </cell>
          <cell r="E87">
            <v>6.8236801546189412</v>
          </cell>
          <cell r="F87">
            <v>6.8469574106458033</v>
          </cell>
          <cell r="G87">
            <v>6.8893040773124712</v>
          </cell>
          <cell r="H87">
            <v>6.9782986475054782</v>
          </cell>
          <cell r="I87">
            <v>7.0588527261362621</v>
          </cell>
          <cell r="J87">
            <v>6.958252726136263</v>
          </cell>
          <cell r="K87">
            <v>6.8287183760904986</v>
          </cell>
          <cell r="L87">
            <v>5.5656518942101512</v>
          </cell>
          <cell r="M87">
            <v>6.6102062552057008</v>
          </cell>
          <cell r="N87">
            <v>6.7816733952528381</v>
          </cell>
          <cell r="O87">
            <v>6.9603644037554258</v>
          </cell>
          <cell r="P87">
            <v>6.6750227188527038</v>
          </cell>
          <cell r="Q87">
            <v>5.0966764713683972</v>
          </cell>
        </row>
        <row r="88">
          <cell r="A88" t="str">
            <v>Lesotho</v>
          </cell>
          <cell r="B88">
            <v>6.7886722695868391</v>
          </cell>
          <cell r="C88">
            <v>6.7082197834451476</v>
          </cell>
          <cell r="D88">
            <v>6.6203456772464291</v>
          </cell>
          <cell r="E88">
            <v>6.3642372010470396</v>
          </cell>
          <cell r="F88">
            <v>6.4728239936742007</v>
          </cell>
          <cell r="G88">
            <v>6.350017667967272</v>
          </cell>
          <cell r="H88">
            <v>6.366892141038738</v>
          </cell>
          <cell r="I88">
            <v>6.3399075339577493</v>
          </cell>
          <cell r="J88">
            <v>6.3582437631610151</v>
          </cell>
          <cell r="K88">
            <v>6.2249563506119143</v>
          </cell>
          <cell r="L88">
            <v>6.5412632689068086</v>
          </cell>
          <cell r="M88">
            <v>6.1778198945668894</v>
          </cell>
          <cell r="N88">
            <v>6.0789818523255885</v>
          </cell>
          <cell r="O88">
            <v>6.0643129224697745</v>
          </cell>
          <cell r="P88">
            <v>6.1407058066785858</v>
          </cell>
          <cell r="Q88">
            <v>6.1531984532035962</v>
          </cell>
        </row>
        <row r="89">
          <cell r="A89" t="str">
            <v>Liberia</v>
          </cell>
          <cell r="B89">
            <v>7.2628402422895837</v>
          </cell>
          <cell r="C89">
            <v>7.3247081262226903</v>
          </cell>
          <cell r="D89">
            <v>7.3981303118773614</v>
          </cell>
          <cell r="E89">
            <v>7.3319517749507952</v>
          </cell>
          <cell r="F89">
            <v>7.3798766241659326</v>
          </cell>
          <cell r="G89">
            <v>7.430360907603597</v>
          </cell>
          <cell r="H89">
            <v>7.6788151215297615</v>
          </cell>
          <cell r="I89">
            <v>7.5311238523847432</v>
          </cell>
          <cell r="J89">
            <v>7.3865387219565672</v>
          </cell>
          <cell r="K89">
            <v>7.2511514462582323</v>
          </cell>
          <cell r="L89">
            <v>6.6313141331864776</v>
          </cell>
          <cell r="M89">
            <v>7.0313263515916002</v>
          </cell>
          <cell r="N89">
            <v>7.0598213126961236</v>
          </cell>
          <cell r="O89">
            <v>7.0236896319555484</v>
          </cell>
          <cell r="P89">
            <v>7.1958618478513161</v>
          </cell>
          <cell r="Q89">
            <v>6.666938508650631</v>
          </cell>
        </row>
        <row r="90">
          <cell r="A90" t="str">
            <v>Libya</v>
          </cell>
          <cell r="B90">
            <v>5.0790684452203356</v>
          </cell>
          <cell r="C90">
            <v>5.0682589611995672</v>
          </cell>
          <cell r="D90">
            <v>5.4878046994707326</v>
          </cell>
          <cell r="E90">
            <v>6.8896696364473078</v>
          </cell>
          <cell r="F90">
            <v>6.6277768952293297</v>
          </cell>
          <cell r="G90">
            <v>6.6706004264457732</v>
          </cell>
          <cell r="H90">
            <v>7.1719933333333339</v>
          </cell>
          <cell r="I90">
            <v>6.988865202250202</v>
          </cell>
          <cell r="J90">
            <v>6.8212985355835345</v>
          </cell>
          <cell r="K90">
            <v>6.8037214053127677</v>
          </cell>
          <cell r="L90">
            <v>6.2317948963545389</v>
          </cell>
          <cell r="M90">
            <v>6.8262189952148908</v>
          </cell>
          <cell r="N90">
            <v>6.9428788028895783</v>
          </cell>
          <cell r="O90">
            <v>6.5978067790487662</v>
          </cell>
          <cell r="P90">
            <v>6.6710668957275185</v>
          </cell>
          <cell r="Q90">
            <v>3.8192046275799831</v>
          </cell>
        </row>
        <row r="91">
          <cell r="A91" t="str">
            <v>Lithuania</v>
          </cell>
          <cell r="B91">
            <v>5.3650651533083726</v>
          </cell>
          <cell r="C91">
            <v>5.2438014283847529</v>
          </cell>
          <cell r="D91">
            <v>5.0059749888142582</v>
          </cell>
          <cell r="E91">
            <v>4.8555619311380553</v>
          </cell>
          <cell r="F91">
            <v>4.871838234629605</v>
          </cell>
          <cell r="G91">
            <v>4.8663770438173337</v>
          </cell>
          <cell r="H91">
            <v>4.8624943078174718</v>
          </cell>
          <cell r="I91">
            <v>4.8674051285689508</v>
          </cell>
          <cell r="J91">
            <v>4.7672041491307118</v>
          </cell>
          <cell r="K91">
            <v>4.614507168575626</v>
          </cell>
          <cell r="L91">
            <v>6.5128239620132975</v>
          </cell>
          <cell r="M91">
            <v>4.3501101090466303</v>
          </cell>
          <cell r="N91">
            <v>4.4209590162283252</v>
          </cell>
          <cell r="O91">
            <v>4.4182259775592989</v>
          </cell>
          <cell r="P91">
            <v>4.3359449478166638</v>
          </cell>
          <cell r="Q91">
            <v>5.5602405172253997</v>
          </cell>
        </row>
        <row r="92">
          <cell r="A92" t="str">
            <v>Luxembourg</v>
          </cell>
          <cell r="B92">
            <v>4.1476382968883252</v>
          </cell>
          <cell r="C92">
            <v>4.0320500583026746</v>
          </cell>
          <cell r="D92">
            <v>3.8954724887638221</v>
          </cell>
          <cell r="E92">
            <v>3.9698235408455234</v>
          </cell>
          <cell r="F92">
            <v>3.7889575280644214</v>
          </cell>
          <cell r="G92">
            <v>3.8272513231673018</v>
          </cell>
          <cell r="H92">
            <v>3.6529085651659172</v>
          </cell>
          <cell r="I92">
            <v>3.655688577336627</v>
          </cell>
          <cell r="J92">
            <v>3.6158053632193399</v>
          </cell>
          <cell r="K92">
            <v>3.4615433784739897</v>
          </cell>
          <cell r="L92">
            <v>4.0136549454563113</v>
          </cell>
          <cell r="M92">
            <v>3.3243031584544691</v>
          </cell>
          <cell r="N92">
            <v>3.4444302877904902</v>
          </cell>
          <cell r="O92">
            <v>3.3977179551831296</v>
          </cell>
          <cell r="P92">
            <v>3.3935406002130981</v>
          </cell>
          <cell r="Q92">
            <v>5.0085957757551531</v>
          </cell>
        </row>
        <row r="93">
          <cell r="A93" t="str">
            <v>Madagascar</v>
          </cell>
          <cell r="B93">
            <v>6.7542654647725708</v>
          </cell>
          <cell r="C93">
            <v>6.8334566050837813</v>
          </cell>
          <cell r="D93">
            <v>6.8687378146115865</v>
          </cell>
          <cell r="E93">
            <v>6.859521470426218</v>
          </cell>
          <cell r="F93">
            <v>6.8482105274299805</v>
          </cell>
          <cell r="G93">
            <v>6.9949480267760134</v>
          </cell>
          <cell r="H93">
            <v>7.0767422366550301</v>
          </cell>
          <cell r="I93">
            <v>7.0319506849895905</v>
          </cell>
          <cell r="J93">
            <v>6.975157149869009</v>
          </cell>
          <cell r="K93">
            <v>6.9018067243101351</v>
          </cell>
          <cell r="L93">
            <v>6.1001577888499163</v>
          </cell>
          <cell r="M93">
            <v>6.6015258778201824</v>
          </cell>
          <cell r="N93">
            <v>6.6124898110394721</v>
          </cell>
          <cell r="O93">
            <v>6.7948432606478795</v>
          </cell>
          <cell r="P93">
            <v>6.7809918223081036</v>
          </cell>
          <cell r="Q93">
            <v>6.4696561454322747</v>
          </cell>
        </row>
        <row r="94">
          <cell r="A94" t="str">
            <v>Malawi</v>
          </cell>
          <cell r="B94">
            <v>7.4858082935512886</v>
          </cell>
          <cell r="C94">
            <v>7.4149810087597263</v>
          </cell>
          <cell r="D94">
            <v>7.2806814438673157</v>
          </cell>
          <cell r="E94">
            <v>7.3650882627540213</v>
          </cell>
          <cell r="F94">
            <v>7.3666581722892701</v>
          </cell>
          <cell r="G94">
            <v>7.3108326755738524</v>
          </cell>
          <cell r="H94">
            <v>7.1024689351443584</v>
          </cell>
          <cell r="I94">
            <v>7.0314548740408114</v>
          </cell>
          <cell r="J94">
            <v>7.1177927873516378</v>
          </cell>
          <cell r="K94">
            <v>7.0195990729232767</v>
          </cell>
          <cell r="L94">
            <v>6.862548111494994</v>
          </cell>
          <cell r="M94">
            <v>6.9882953485572727</v>
          </cell>
          <cell r="N94">
            <v>6.9627995475709561</v>
          </cell>
          <cell r="O94">
            <v>6.8380733052031344</v>
          </cell>
          <cell r="P94">
            <v>6.7348587246847913</v>
          </cell>
          <cell r="Q94">
            <v>5.6759264577098083</v>
          </cell>
        </row>
        <row r="95">
          <cell r="A95" t="str">
            <v>Malaysia</v>
          </cell>
          <cell r="B95">
            <v>6.1140865996629898</v>
          </cell>
          <cell r="C95">
            <v>6.1199632327807798</v>
          </cell>
          <cell r="D95">
            <v>6.1187455105495969</v>
          </cell>
          <cell r="E95">
            <v>6.1824800293804243</v>
          </cell>
          <cell r="F95">
            <v>5.9467464044251575</v>
          </cell>
          <cell r="G95">
            <v>6.0269485271792469</v>
          </cell>
          <cell r="H95">
            <v>6.1592197472856665</v>
          </cell>
          <cell r="I95">
            <v>6.2892766997782665</v>
          </cell>
          <cell r="J95">
            <v>6.3593673644825222</v>
          </cell>
          <cell r="K95">
            <v>6.4502342357301368</v>
          </cell>
          <cell r="L95">
            <v>6.4979023413469514</v>
          </cell>
          <cell r="M95">
            <v>6.002618701338351</v>
          </cell>
          <cell r="N95">
            <v>5.8817248309528782</v>
          </cell>
          <cell r="O95">
            <v>5.8751308612934734</v>
          </cell>
          <cell r="P95">
            <v>5.8745244423496903</v>
          </cell>
          <cell r="Q95">
            <v>5.4236870637654642</v>
          </cell>
        </row>
        <row r="96">
          <cell r="A96" t="str">
            <v>Maldives</v>
          </cell>
          <cell r="B96">
            <v>6.6204908443710098</v>
          </cell>
          <cell r="C96">
            <v>6.5328208253544444</v>
          </cell>
          <cell r="D96">
            <v>6.3138691727865561</v>
          </cell>
          <cell r="E96">
            <v>6.3399776354716986</v>
          </cell>
          <cell r="F96">
            <v>6.2468461688050319</v>
          </cell>
          <cell r="G96">
            <v>6.3319683740861334</v>
          </cell>
          <cell r="H96">
            <v>6.3416798309741447</v>
          </cell>
          <cell r="I96">
            <v>6.2644417264059626</v>
          </cell>
          <cell r="J96">
            <v>6.2155479135172289</v>
          </cell>
          <cell r="K96">
            <v>6.0755907468903052</v>
          </cell>
          <cell r="L96">
            <v>6.2730309186296624</v>
          </cell>
          <cell r="M96">
            <v>6.1914566826770274</v>
          </cell>
          <cell r="N96">
            <v>6.1567250980392165</v>
          </cell>
          <cell r="O96">
            <v>5.910947550390552</v>
          </cell>
          <cell r="P96">
            <v>5.8309322218902508</v>
          </cell>
          <cell r="Q96">
            <v>4.6858455180190646</v>
          </cell>
        </row>
        <row r="97">
          <cell r="A97" t="str">
            <v>Mali</v>
          </cell>
          <cell r="B97">
            <v>6.731655328995239</v>
          </cell>
          <cell r="C97">
            <v>6.7051570182324811</v>
          </cell>
          <cell r="D97">
            <v>6.6946994260266379</v>
          </cell>
          <cell r="E97">
            <v>6.5437487180136138</v>
          </cell>
          <cell r="F97">
            <v>7.2407059700010885</v>
          </cell>
          <cell r="G97">
            <v>7.2930108569430239</v>
          </cell>
          <cell r="H97">
            <v>7.411863855390858</v>
          </cell>
          <cell r="I97">
            <v>7.5145087151632017</v>
          </cell>
          <cell r="J97">
            <v>7.3797955052311135</v>
          </cell>
          <cell r="K97">
            <v>7.3475745808385202</v>
          </cell>
          <cell r="L97">
            <v>7.2001064276569018</v>
          </cell>
          <cell r="M97">
            <v>7.6931686758279785</v>
          </cell>
          <cell r="N97">
            <v>7.6752983080790464</v>
          </cell>
          <cell r="O97">
            <v>7.7720614499832346</v>
          </cell>
          <cell r="P97">
            <v>7.7963201270865268</v>
          </cell>
          <cell r="Q97">
            <v>6.7257463500837398</v>
          </cell>
        </row>
        <row r="98">
          <cell r="A98" t="str">
            <v>Malta</v>
          </cell>
          <cell r="B98">
            <v>5.2342913296495359</v>
          </cell>
          <cell r="C98">
            <v>5.1399362733384866</v>
          </cell>
          <cell r="D98">
            <v>4.9120743047214805</v>
          </cell>
          <cell r="E98">
            <v>4.867992738150023</v>
          </cell>
          <cell r="F98">
            <v>4.928048561495757</v>
          </cell>
          <cell r="G98">
            <v>4.9394862668858339</v>
          </cell>
          <cell r="H98">
            <v>4.8252070592101823</v>
          </cell>
          <cell r="I98">
            <v>4.7514674244839403</v>
          </cell>
          <cell r="J98">
            <v>4.6267146220662783</v>
          </cell>
          <cell r="K98">
            <v>4.5421358037998534</v>
          </cell>
          <cell r="L98">
            <v>6.0916296397208711</v>
          </cell>
          <cell r="M98">
            <v>4.4555770015484102</v>
          </cell>
          <cell r="N98">
            <v>4.5592408709402514</v>
          </cell>
          <cell r="O98">
            <v>4.4373185512807671</v>
          </cell>
          <cell r="P98">
            <v>4.3135983192072507</v>
          </cell>
          <cell r="Q98">
            <v>4.6637289014650856</v>
          </cell>
        </row>
        <row r="99">
          <cell r="A99" t="str">
            <v>Mauritania</v>
          </cell>
          <cell r="B99">
            <v>7.1790484243876085</v>
          </cell>
          <cell r="C99">
            <v>7.2149278210267234</v>
          </cell>
          <cell r="D99">
            <v>7.0804919567688467</v>
          </cell>
          <cell r="E99">
            <v>7.1533069367330917</v>
          </cell>
          <cell r="F99">
            <v>7.0921865374201065</v>
          </cell>
          <cell r="G99">
            <v>7.129854991025792</v>
          </cell>
          <cell r="H99">
            <v>7.2963522080386616</v>
          </cell>
          <cell r="I99">
            <v>7.4120134842340759</v>
          </cell>
          <cell r="J99">
            <v>7.2122663577334247</v>
          </cell>
          <cell r="K99">
            <v>7.2076374718125198</v>
          </cell>
          <cell r="L99">
            <v>5.3998876938424827</v>
          </cell>
          <cell r="M99">
            <v>7.1138940475659931</v>
          </cell>
          <cell r="N99">
            <v>7.0250966943707152</v>
          </cell>
          <cell r="O99">
            <v>6.9616705970056909</v>
          </cell>
          <cell r="P99">
            <v>6.9991488304182887</v>
          </cell>
          <cell r="Q99">
            <v>6.4696305657507613</v>
          </cell>
        </row>
        <row r="100">
          <cell r="A100" t="str">
            <v>Mauritius</v>
          </cell>
          <cell r="B100">
            <v>5.6733250048938952</v>
          </cell>
          <cell r="C100">
            <v>5.6408181755694455</v>
          </cell>
          <cell r="D100">
            <v>5.5064984615709696</v>
          </cell>
          <cell r="E100">
            <v>5.5135135825060813</v>
          </cell>
          <cell r="F100">
            <v>5.3707687293199404</v>
          </cell>
          <cell r="G100">
            <v>5.3790278080763452</v>
          </cell>
          <cell r="H100">
            <v>5.2666235058002027</v>
          </cell>
          <cell r="I100">
            <v>5.0887286381527872</v>
          </cell>
          <cell r="J100">
            <v>4.9423728727745893</v>
          </cell>
          <cell r="K100">
            <v>4.8649491787430765</v>
          </cell>
          <cell r="L100">
            <v>6.6674787776560756</v>
          </cell>
          <cell r="M100">
            <v>4.4838010573287157</v>
          </cell>
          <cell r="N100">
            <v>4.3309540319192203</v>
          </cell>
          <cell r="O100">
            <v>4.1981490208324992</v>
          </cell>
          <cell r="P100">
            <v>4.2086120456339557</v>
          </cell>
          <cell r="Q100">
            <v>4.7273606623121172</v>
          </cell>
        </row>
        <row r="101">
          <cell r="A101" t="str">
            <v>Mexico</v>
          </cell>
          <cell r="B101">
            <v>6.6253239114487306</v>
          </cell>
          <cell r="C101">
            <v>6.6141570707481447</v>
          </cell>
          <cell r="D101">
            <v>6.5769495215000351</v>
          </cell>
          <cell r="E101">
            <v>6.5480396027223957</v>
          </cell>
          <cell r="F101">
            <v>6.4886975727799472</v>
          </cell>
          <cell r="G101">
            <v>6.3205688063259871</v>
          </cell>
          <cell r="H101">
            <v>6.4212643004643528</v>
          </cell>
          <cell r="I101">
            <v>6.3676602306219525</v>
          </cell>
          <cell r="J101">
            <v>6.5563727256968889</v>
          </cell>
          <cell r="K101">
            <v>6.4678062222763604</v>
          </cell>
          <cell r="L101">
            <v>5.0201188659690388</v>
          </cell>
          <cell r="M101">
            <v>6.0465962288933275</v>
          </cell>
          <cell r="N101">
            <v>6.0827966298018747</v>
          </cell>
          <cell r="O101">
            <v>6.0890217599982988</v>
          </cell>
          <cell r="P101">
            <v>6.0802984732950112</v>
          </cell>
          <cell r="Q101">
            <v>5.9497968340288372</v>
          </cell>
        </row>
        <row r="102">
          <cell r="A102" t="str">
            <v>Moldova</v>
          </cell>
          <cell r="B102">
            <v>7.026267425803856</v>
          </cell>
          <cell r="C102">
            <v>7.1380380155973109</v>
          </cell>
          <cell r="D102">
            <v>6.9584897144006748</v>
          </cell>
          <cell r="E102">
            <v>6.7579136179691579</v>
          </cell>
          <cell r="F102">
            <v>6.537945637279801</v>
          </cell>
          <cell r="G102">
            <v>6.463497786241053</v>
          </cell>
          <cell r="H102">
            <v>6.3076902667333901</v>
          </cell>
          <cell r="I102">
            <v>6.3212575747437683</v>
          </cell>
          <cell r="J102">
            <v>6.1904993791998395</v>
          </cell>
          <cell r="K102">
            <v>6.1055517776121073</v>
          </cell>
          <cell r="L102">
            <v>5.8135508651400585</v>
          </cell>
          <cell r="M102">
            <v>5.9831977601122404</v>
          </cell>
          <cell r="N102">
            <v>6.0272400657609166</v>
          </cell>
          <cell r="O102">
            <v>5.8832184239896756</v>
          </cell>
          <cell r="P102">
            <v>5.7370800008286773</v>
          </cell>
          <cell r="Q102">
            <v>6.0057985971068586</v>
          </cell>
        </row>
        <row r="103">
          <cell r="A103" t="str">
            <v>Mongolia</v>
          </cell>
          <cell r="B103">
            <v>6.7267874390984614</v>
          </cell>
          <cell r="C103">
            <v>6.5315749811261892</v>
          </cell>
          <cell r="D103">
            <v>6.4350639328660284</v>
          </cell>
          <cell r="E103">
            <v>6.3257740432344756</v>
          </cell>
          <cell r="F103">
            <v>6.1558574356501596</v>
          </cell>
          <cell r="G103">
            <v>5.9818667451685155</v>
          </cell>
          <cell r="H103">
            <v>5.867035650919326</v>
          </cell>
          <cell r="I103">
            <v>5.7472985900800753</v>
          </cell>
          <cell r="J103">
            <v>5.534406964907582</v>
          </cell>
          <cell r="K103">
            <v>5.4426316951360922</v>
          </cell>
          <cell r="L103">
            <v>6.0382081308430768</v>
          </cell>
          <cell r="M103">
            <v>5.3207871675531644</v>
          </cell>
          <cell r="N103">
            <v>5.2508155463425377</v>
          </cell>
          <cell r="O103">
            <v>5.1549479423424911</v>
          </cell>
          <cell r="P103">
            <v>5.1708193196343197</v>
          </cell>
          <cell r="Q103">
            <v>5.5455895718334078</v>
          </cell>
        </row>
        <row r="104">
          <cell r="A104" t="str">
            <v>Montenegro</v>
          </cell>
          <cell r="B104">
            <v>5.7979444073198829</v>
          </cell>
          <cell r="C104">
            <v>5.7438386000429835</v>
          </cell>
          <cell r="D104">
            <v>5.4948964980094157</v>
          </cell>
          <cell r="E104">
            <v>5.4012133784023924</v>
          </cell>
          <cell r="F104">
            <v>5.2735105041646921</v>
          </cell>
          <cell r="G104">
            <v>5.3849784418968101</v>
          </cell>
          <cell r="H104">
            <v>5.325018690339526</v>
          </cell>
          <cell r="I104">
            <v>5.4525158082788252</v>
          </cell>
          <cell r="J104">
            <v>5.3881601925710036</v>
          </cell>
          <cell r="K104">
            <v>5.2187714073787834</v>
          </cell>
          <cell r="L104">
            <v>5.1773825784854983</v>
          </cell>
          <cell r="M104">
            <v>5.2024773755737277</v>
          </cell>
          <cell r="N104">
            <v>5.2932332826659918</v>
          </cell>
          <cell r="O104">
            <v>5.3411090539073589</v>
          </cell>
          <cell r="P104">
            <v>5.34251255251049</v>
          </cell>
          <cell r="Q104">
            <v>5.7246647383462701</v>
          </cell>
        </row>
        <row r="105">
          <cell r="A105" t="str">
            <v>Morocco</v>
          </cell>
          <cell r="B105">
            <v>6.6521110194197233</v>
          </cell>
          <cell r="C105">
            <v>6.6364737113719787</v>
          </cell>
          <cell r="D105">
            <v>6.4819268874456997</v>
          </cell>
          <cell r="E105">
            <v>6.4145542781709155</v>
          </cell>
          <cell r="F105">
            <v>6.2844523094660341</v>
          </cell>
          <cell r="G105">
            <v>6.2537760537786387</v>
          </cell>
          <cell r="H105">
            <v>6.3664638371439075</v>
          </cell>
          <cell r="I105">
            <v>6.4040434659505134</v>
          </cell>
          <cell r="J105">
            <v>6.3461298770083747</v>
          </cell>
          <cell r="K105">
            <v>6.3465650974891634</v>
          </cell>
          <cell r="L105">
            <v>5.3400422411087085</v>
          </cell>
          <cell r="M105">
            <v>6.1517113474530971</v>
          </cell>
          <cell r="N105">
            <v>6.0920272128362445</v>
          </cell>
          <cell r="O105">
            <v>6.0226422149341863</v>
          </cell>
          <cell r="P105">
            <v>5.8727526540074644</v>
          </cell>
          <cell r="Q105">
            <v>5.2301380506230641</v>
          </cell>
        </row>
        <row r="106">
          <cell r="A106" t="str">
            <v>Mozambique</v>
          </cell>
          <cell r="B106">
            <v>6.9676055687830711</v>
          </cell>
          <cell r="C106">
            <v>7.1155096388658112</v>
          </cell>
          <cell r="D106">
            <v>7.0453244595207289</v>
          </cell>
          <cell r="E106">
            <v>6.9221105349658014</v>
          </cell>
          <cell r="F106">
            <v>6.8946355078538479</v>
          </cell>
          <cell r="G106">
            <v>7.055774836885135</v>
          </cell>
          <cell r="H106">
            <v>6.9484701789892336</v>
          </cell>
          <cell r="I106">
            <v>6.7994034985446969</v>
          </cell>
          <cell r="J106">
            <v>6.6975979158853471</v>
          </cell>
          <cell r="K106">
            <v>6.6137037458406125</v>
          </cell>
          <cell r="L106">
            <v>6.4088289088137085</v>
          </cell>
          <cell r="M106">
            <v>6.8991988702511904</v>
          </cell>
          <cell r="N106">
            <v>7.1592532134259068</v>
          </cell>
          <cell r="O106">
            <v>7.1934318567727296</v>
          </cell>
          <cell r="P106">
            <v>7.2399975067249356</v>
          </cell>
          <cell r="Q106">
            <v>6.4626009212535944</v>
          </cell>
        </row>
        <row r="107">
          <cell r="A107" t="str">
            <v>Myanmar</v>
          </cell>
          <cell r="B107">
            <v>6.4338109379463582</v>
          </cell>
          <cell r="C107">
            <v>6.4964543700726542</v>
          </cell>
          <cell r="D107">
            <v>6.7375836598019188</v>
          </cell>
          <cell r="E107">
            <v>6.6990792913023478</v>
          </cell>
          <cell r="F107">
            <v>6.5694992913023471</v>
          </cell>
          <cell r="G107">
            <v>6.6400592913023466</v>
          </cell>
          <cell r="H107">
            <v>6.7230391836110694</v>
          </cell>
          <cell r="I107">
            <v>6.8106329493704791</v>
          </cell>
          <cell r="J107">
            <v>6.7865329493704794</v>
          </cell>
          <cell r="K107">
            <v>6.7988159554413023</v>
          </cell>
          <cell r="L107">
            <v>6.5558100357398148</v>
          </cell>
          <cell r="M107">
            <v>6.7749451851851852</v>
          </cell>
          <cell r="N107">
            <v>5.9765167182662546</v>
          </cell>
          <cell r="O107">
            <v>6.2795891029500304</v>
          </cell>
          <cell r="P107">
            <v>6.32064</v>
          </cell>
          <cell r="Q107">
            <v>3.6279522293575619</v>
          </cell>
        </row>
        <row r="108">
          <cell r="A108" t="str">
            <v>Namibia</v>
          </cell>
          <cell r="B108">
            <v>6.6906400342560639</v>
          </cell>
          <cell r="C108">
            <v>6.5454466984292665</v>
          </cell>
          <cell r="D108">
            <v>6.3532472288778274</v>
          </cell>
          <cell r="E108">
            <v>6.2630094121481106</v>
          </cell>
          <cell r="F108">
            <v>6.1283077161191786</v>
          </cell>
          <cell r="G108">
            <v>6.1492952239976484</v>
          </cell>
          <cell r="H108">
            <v>6.0378662238121326</v>
          </cell>
          <cell r="I108">
            <v>5.929899791125548</v>
          </cell>
          <cell r="J108">
            <v>5.7985893081310831</v>
          </cell>
          <cell r="K108">
            <v>5.6147677363555788</v>
          </cell>
          <cell r="L108">
            <v>6.7320764694213535</v>
          </cell>
          <cell r="M108">
            <v>5.5255673825371137</v>
          </cell>
          <cell r="N108">
            <v>5.4043493501562159</v>
          </cell>
          <cell r="O108">
            <v>5.2612907221174332</v>
          </cell>
          <cell r="P108">
            <v>5.1397215475908782</v>
          </cell>
          <cell r="Q108">
            <v>5.3930840957592565</v>
          </cell>
        </row>
        <row r="109">
          <cell r="A109" t="str">
            <v>Nepal</v>
          </cell>
          <cell r="B109">
            <v>8.0059095815815891</v>
          </cell>
          <cell r="C109">
            <v>8.0164715411102794</v>
          </cell>
          <cell r="D109">
            <v>7.9015568884934844</v>
          </cell>
          <cell r="E109">
            <v>7.8781643701316435</v>
          </cell>
          <cell r="F109">
            <v>7.7063815626065839</v>
          </cell>
          <cell r="G109">
            <v>7.5949579319500664</v>
          </cell>
          <cell r="H109">
            <v>7.5049263719906065</v>
          </cell>
          <cell r="I109">
            <v>7.5326850789301973</v>
          </cell>
          <cell r="J109">
            <v>7.5898889269437246</v>
          </cell>
          <cell r="K109">
            <v>7.4003871757835391</v>
          </cell>
          <cell r="L109">
            <v>6.1295697785331971</v>
          </cell>
          <cell r="M109">
            <v>6.8795594241559987</v>
          </cell>
          <cell r="N109">
            <v>6.8051965489108426</v>
          </cell>
          <cell r="O109">
            <v>6.7192127242694761</v>
          </cell>
          <cell r="P109">
            <v>6.8707131651055988</v>
          </cell>
          <cell r="Q109">
            <v>6.4253652710455631</v>
          </cell>
        </row>
        <row r="110">
          <cell r="A110" t="str">
            <v>Netherlands</v>
          </cell>
          <cell r="B110">
            <v>4.0313373752597608</v>
          </cell>
          <cell r="C110">
            <v>4.0093227782552656</v>
          </cell>
          <cell r="D110">
            <v>3.93642693347133</v>
          </cell>
          <cell r="E110">
            <v>3.8505155485909648</v>
          </cell>
          <cell r="F110">
            <v>3.7151457666974079</v>
          </cell>
          <cell r="G110">
            <v>3.8279558518512165</v>
          </cell>
          <cell r="H110">
            <v>3.7506166061817514</v>
          </cell>
          <cell r="I110">
            <v>3.8422699016249218</v>
          </cell>
          <cell r="J110">
            <v>3.8093071379112553</v>
          </cell>
          <cell r="K110">
            <v>3.6880090861177894</v>
          </cell>
          <cell r="L110">
            <v>5.7846832484409214</v>
          </cell>
          <cell r="M110">
            <v>3.4533005415691052</v>
          </cell>
          <cell r="N110">
            <v>3.505364825886359</v>
          </cell>
          <cell r="O110">
            <v>3.3752055553732556</v>
          </cell>
          <cell r="P110">
            <v>3.3574108016989013</v>
          </cell>
          <cell r="Q110">
            <v>4.9965528216317345</v>
          </cell>
        </row>
        <row r="111">
          <cell r="A111" t="str">
            <v>New Zealand</v>
          </cell>
          <cell r="B111">
            <v>3.5889573432788451</v>
          </cell>
          <cell r="C111">
            <v>3.8609611177980057</v>
          </cell>
          <cell r="D111">
            <v>3.8674151556802587</v>
          </cell>
          <cell r="E111">
            <v>3.8475024300137535</v>
          </cell>
          <cell r="F111">
            <v>3.6292920746423478</v>
          </cell>
          <cell r="G111">
            <v>3.7059573800640959</v>
          </cell>
          <cell r="H111">
            <v>3.6821192119023345</v>
          </cell>
          <cell r="I111">
            <v>3.5590215233990148</v>
          </cell>
          <cell r="J111">
            <v>3.7227787659706677</v>
          </cell>
          <cell r="K111">
            <v>3.506638629598529</v>
          </cell>
          <cell r="L111">
            <v>3.6384237266217507</v>
          </cell>
          <cell r="M111">
            <v>3.3487337347300952</v>
          </cell>
          <cell r="N111">
            <v>3.3826193779198266</v>
          </cell>
          <cell r="O111">
            <v>3.2918514045287446</v>
          </cell>
          <cell r="P111">
            <v>3.2825201930073908</v>
          </cell>
          <cell r="Q111">
            <v>4.8271494538173743</v>
          </cell>
        </row>
        <row r="112">
          <cell r="A112" t="str">
            <v>Nicaragua</v>
          </cell>
          <cell r="B112">
            <v>6.8096537865637368</v>
          </cell>
          <cell r="C112">
            <v>6.86450287530044</v>
          </cell>
          <cell r="D112">
            <v>6.7857444088204346</v>
          </cell>
          <cell r="E112">
            <v>6.7091106273940389</v>
          </cell>
          <cell r="F112">
            <v>6.5464918515291819</v>
          </cell>
          <cell r="G112">
            <v>6.5267933964382934</v>
          </cell>
          <cell r="H112">
            <v>6.53606932397898</v>
          </cell>
          <cell r="I112">
            <v>6.5725041766375121</v>
          </cell>
          <cell r="J112">
            <v>6.4269892096563979</v>
          </cell>
          <cell r="K112">
            <v>5.8903227168340759</v>
          </cell>
          <cell r="L112">
            <v>3.9882544054293598</v>
          </cell>
          <cell r="M112">
            <v>6.2136132520780496</v>
          </cell>
          <cell r="N112">
            <v>6.1728048514744724</v>
          </cell>
          <cell r="O112">
            <v>6.1112072353783535</v>
          </cell>
          <cell r="P112">
            <v>6.1056984129889296</v>
          </cell>
          <cell r="Q112">
            <v>5.2987063855225633</v>
          </cell>
        </row>
        <row r="113">
          <cell r="A113" t="str">
            <v>Niger</v>
          </cell>
          <cell r="B113">
            <v>8.1181017784808311</v>
          </cell>
          <cell r="C113">
            <v>8.318940391949516</v>
          </cell>
          <cell r="D113">
            <v>8.2909057336921492</v>
          </cell>
          <cell r="E113">
            <v>8.0391089612264572</v>
          </cell>
          <cell r="F113">
            <v>8.0404770571059814</v>
          </cell>
          <cell r="G113">
            <v>7.8945422667264795</v>
          </cell>
          <cell r="H113">
            <v>7.725352596683928</v>
          </cell>
          <cell r="I113">
            <v>7.7158844831752447</v>
          </cell>
          <cell r="J113">
            <v>7.5383709857995234</v>
          </cell>
          <cell r="K113">
            <v>7.4215973382355749</v>
          </cell>
          <cell r="L113">
            <v>7.2914367626856382</v>
          </cell>
          <cell r="M113">
            <v>7.4307239977721897</v>
          </cell>
          <cell r="N113">
            <v>7.4845036675280907</v>
          </cell>
          <cell r="O113">
            <v>7.3915293874923886</v>
          </cell>
          <cell r="P113">
            <v>7.2570200113373211</v>
          </cell>
          <cell r="Q113">
            <v>6.5620271430453414</v>
          </cell>
        </row>
        <row r="114">
          <cell r="A114" t="str">
            <v>Nigeria</v>
          </cell>
          <cell r="B114">
            <v>8.1488875547823909</v>
          </cell>
          <cell r="C114">
            <v>8.2520721877557257</v>
          </cell>
          <cell r="D114">
            <v>8.1728658307572957</v>
          </cell>
          <cell r="E114">
            <v>8.1829889503323088</v>
          </cell>
          <cell r="F114">
            <v>8.1438784430466225</v>
          </cell>
          <cell r="G114">
            <v>8.0904709816233442</v>
          </cell>
          <cell r="H114">
            <v>8.181714487190753</v>
          </cell>
          <cell r="I114">
            <v>8.2279170347032213</v>
          </cell>
          <cell r="J114">
            <v>8.0951225747423408</v>
          </cell>
          <cell r="K114">
            <v>7.9462242461551105</v>
          </cell>
          <cell r="L114">
            <v>7.4965521044584671</v>
          </cell>
          <cell r="M114">
            <v>7.7697659286937419</v>
          </cell>
          <cell r="N114">
            <v>7.8877238184958074</v>
          </cell>
          <cell r="O114">
            <v>7.7823270025321749</v>
          </cell>
          <cell r="P114">
            <v>7.7869011462939239</v>
          </cell>
          <cell r="Q114">
            <v>6.7510615945966457</v>
          </cell>
        </row>
        <row r="115">
          <cell r="A115" t="str">
            <v>North Korea</v>
          </cell>
          <cell r="B115">
            <v>6.3023048489657718</v>
          </cell>
          <cell r="C115">
            <v>6.3068526387385999</v>
          </cell>
          <cell r="D115">
            <v>6.253564011947808</v>
          </cell>
          <cell r="E115">
            <v>6.2532071974229178</v>
          </cell>
          <cell r="F115">
            <v>6.2222071974229172</v>
          </cell>
          <cell r="G115">
            <v>6.1582071974229171</v>
          </cell>
          <cell r="H115">
            <v>6.1788933007185447</v>
          </cell>
          <cell r="I115">
            <v>6.1787027520314313</v>
          </cell>
          <cell r="J115">
            <v>6.1317027520314316</v>
          </cell>
          <cell r="K115">
            <v>6.1056853984575845</v>
          </cell>
          <cell r="L115">
            <v>6.1093230545627826</v>
          </cell>
          <cell r="M115">
            <v>5.9796225677112522</v>
          </cell>
          <cell r="N115">
            <v>5.976039587203303</v>
          </cell>
          <cell r="O115">
            <v>5.9585457595825826</v>
          </cell>
          <cell r="P115">
            <v>5.8595113076386811</v>
          </cell>
          <cell r="Q115">
            <v>3.0421925446402311</v>
          </cell>
        </row>
        <row r="116">
          <cell r="A116" t="str">
            <v>North Macedonia</v>
          </cell>
          <cell r="B116">
            <v>6.3274445876315939</v>
          </cell>
          <cell r="C116">
            <v>6.2056245004379882</v>
          </cell>
          <cell r="D116">
            <v>5.9888438253943308</v>
          </cell>
          <cell r="E116">
            <v>5.8136296364473079</v>
          </cell>
          <cell r="F116">
            <v>5.5789896364473073</v>
          </cell>
          <cell r="G116">
            <v>5.4956721644424</v>
          </cell>
          <cell r="H116">
            <v>5.3137667013198806</v>
          </cell>
          <cell r="I116">
            <v>5.3838626073756597</v>
          </cell>
          <cell r="J116">
            <v>5.4180280400035716</v>
          </cell>
          <cell r="K116">
            <v>5.29487264781491</v>
          </cell>
          <cell r="L116">
            <v>3.7288554681915658</v>
          </cell>
          <cell r="M116">
            <v>5.0792712271307456</v>
          </cell>
          <cell r="N116">
            <v>5.1491490196078438</v>
          </cell>
          <cell r="O116">
            <v>4.9487153895839082</v>
          </cell>
          <cell r="P116">
            <v>4.7256220376456533</v>
          </cell>
          <cell r="Q116">
            <v>4.4717342799805424</v>
          </cell>
        </row>
        <row r="117">
          <cell r="A117" t="str">
            <v>Norway</v>
          </cell>
          <cell r="B117">
            <v>3.4462640197323182</v>
          </cell>
          <cell r="C117">
            <v>3.5787671604232147</v>
          </cell>
          <cell r="D117">
            <v>3.6509203823704541</v>
          </cell>
          <cell r="E117">
            <v>3.6719045887311674</v>
          </cell>
          <cell r="F117">
            <v>3.5196011392913027</v>
          </cell>
          <cell r="G117">
            <v>3.5565166192913025</v>
          </cell>
          <cell r="H117">
            <v>3.4621517956948482</v>
          </cell>
          <cell r="I117">
            <v>3.4738386996731854</v>
          </cell>
          <cell r="J117">
            <v>3.4451321865227951</v>
          </cell>
          <cell r="K117">
            <v>3.3053486697725294</v>
          </cell>
          <cell r="L117">
            <v>6.0365334647725701</v>
          </cell>
          <cell r="M117">
            <v>3.0860482046444315</v>
          </cell>
          <cell r="N117">
            <v>3.1817346481693534</v>
          </cell>
          <cell r="O117">
            <v>3.1296352472435918</v>
          </cell>
          <cell r="P117">
            <v>3.1520237390060752</v>
          </cell>
          <cell r="Q117">
            <v>4.556075620545827</v>
          </cell>
        </row>
        <row r="118">
          <cell r="A118" t="str">
            <v>Oman</v>
          </cell>
          <cell r="B118">
            <v>4.6796280958701653</v>
          </cell>
          <cell r="C118">
            <v>4.8041050131115899</v>
          </cell>
          <cell r="D118">
            <v>4.9589890759436601</v>
          </cell>
          <cell r="E118">
            <v>5.0867579132253695</v>
          </cell>
          <cell r="F118">
            <v>5.0256100161575077</v>
          </cell>
          <cell r="G118">
            <v>5.0996682639943787</v>
          </cell>
          <cell r="H118">
            <v>5.1864523951181871</v>
          </cell>
          <cell r="I118">
            <v>5.0929162406187523</v>
          </cell>
          <cell r="J118">
            <v>5.0391570911724264</v>
          </cell>
          <cell r="K118">
            <v>5.0695258405141388</v>
          </cell>
          <cell r="L118">
            <v>3.3908560388372644</v>
          </cell>
          <cell r="M118">
            <v>4.7715604289504805</v>
          </cell>
          <cell r="N118">
            <v>4.9261425733333333</v>
          </cell>
          <cell r="O118">
            <v>4.844730745927663</v>
          </cell>
          <cell r="P118">
            <v>5.0997160941458457</v>
          </cell>
          <cell r="Q118">
            <v>4.4772574437151702</v>
          </cell>
        </row>
        <row r="119">
          <cell r="A119" t="str">
            <v>Pakistan</v>
          </cell>
          <cell r="B119">
            <v>8.073129152326862</v>
          </cell>
          <cell r="C119">
            <v>7.9393923929190171</v>
          </cell>
          <cell r="D119">
            <v>7.8616115098692481</v>
          </cell>
          <cell r="E119">
            <v>7.7161461760158696</v>
          </cell>
          <cell r="F119">
            <v>7.6812638431220686</v>
          </cell>
          <cell r="G119">
            <v>7.6434399073722972</v>
          </cell>
          <cell r="H119">
            <v>7.6284888963320974</v>
          </cell>
          <cell r="I119">
            <v>7.5250115819363081</v>
          </cell>
          <cell r="J119">
            <v>7.3992512087084146</v>
          </cell>
          <cell r="K119">
            <v>7.2339259557694442</v>
          </cell>
          <cell r="L119">
            <v>6.0486791727615934</v>
          </cell>
          <cell r="M119">
            <v>6.8797600542077344</v>
          </cell>
          <cell r="N119">
            <v>6.8398495307907075</v>
          </cell>
          <cell r="O119">
            <v>6.8008465883485032</v>
          </cell>
          <cell r="P119">
            <v>6.7238748451294379</v>
          </cell>
          <cell r="Q119">
            <v>5.5527839390388944</v>
          </cell>
        </row>
        <row r="120">
          <cell r="A120" t="str">
            <v>Panama</v>
          </cell>
          <cell r="B120">
            <v>5.7849625606263544</v>
          </cell>
          <cell r="C120">
            <v>5.7178212345916419</v>
          </cell>
          <cell r="D120">
            <v>5.7193789612066093</v>
          </cell>
          <cell r="E120">
            <v>5.7467727680894809</v>
          </cell>
          <cell r="F120">
            <v>5.7797413731467939</v>
          </cell>
          <cell r="G120">
            <v>5.8301090683569443</v>
          </cell>
          <cell r="H120">
            <v>5.7497559201524773</v>
          </cell>
          <cell r="I120">
            <v>5.5778391433304124</v>
          </cell>
          <cell r="J120">
            <v>5.3689869124239875</v>
          </cell>
          <cell r="K120">
            <v>5.1577301169410985</v>
          </cell>
          <cell r="L120">
            <v>6.4423999643873726</v>
          </cell>
          <cell r="M120">
            <v>4.891540831965175</v>
          </cell>
          <cell r="N120">
            <v>5.0513597225481659</v>
          </cell>
          <cell r="O120">
            <v>5.0518919216518192</v>
          </cell>
          <cell r="P120">
            <v>5.1163376112114571</v>
          </cell>
          <cell r="Q120">
            <v>5.2588216544741364</v>
          </cell>
        </row>
        <row r="121">
          <cell r="A121" t="str">
            <v>Papua New Guinea</v>
          </cell>
          <cell r="B121">
            <v>7.1303126442618998</v>
          </cell>
          <cell r="C121">
            <v>7.0880403646555568</v>
          </cell>
          <cell r="D121">
            <v>7.1050824086377604</v>
          </cell>
          <cell r="E121">
            <v>7.0801943424660676</v>
          </cell>
          <cell r="F121">
            <v>7.0276888911675535</v>
          </cell>
          <cell r="G121">
            <v>6.9712048441895531</v>
          </cell>
          <cell r="H121">
            <v>6.9333580204247411</v>
          </cell>
          <cell r="I121">
            <v>7.1219011051346177</v>
          </cell>
          <cell r="J121">
            <v>7.0837533835617039</v>
          </cell>
          <cell r="K121">
            <v>7.0177296711856805</v>
          </cell>
          <cell r="L121">
            <v>5.8776591334666293</v>
          </cell>
          <cell r="M121">
            <v>6.810639081819331</v>
          </cell>
          <cell r="N121">
            <v>6.6762347008443212</v>
          </cell>
          <cell r="O121">
            <v>6.4830809211455609</v>
          </cell>
          <cell r="P121">
            <v>6.3365187795612012</v>
          </cell>
          <cell r="Q121">
            <v>5.6418802319331771</v>
          </cell>
        </row>
        <row r="122">
          <cell r="A122" t="str">
            <v>Paraguay</v>
          </cell>
          <cell r="B122">
            <v>6.9930042994643715</v>
          </cell>
          <cell r="C122">
            <v>6.9684060222611386</v>
          </cell>
          <cell r="D122">
            <v>6.8971483053750688</v>
          </cell>
          <cell r="E122">
            <v>6.734095859288999</v>
          </cell>
          <cell r="F122">
            <v>6.7519300405100049</v>
          </cell>
          <cell r="G122">
            <v>6.6520228737463372</v>
          </cell>
          <cell r="H122">
            <v>6.6152643113874232</v>
          </cell>
          <cell r="I122">
            <v>6.6210999686287746</v>
          </cell>
          <cell r="J122">
            <v>6.4761265540467852</v>
          </cell>
          <cell r="K122">
            <v>6.3579500123126085</v>
          </cell>
          <cell r="L122">
            <v>6.3923583424746271</v>
          </cell>
          <cell r="M122">
            <v>6.0142047190194461</v>
          </cell>
          <cell r="N122">
            <v>6.0601341183763449</v>
          </cell>
          <cell r="O122">
            <v>5.9684867029070245</v>
          </cell>
          <cell r="P122">
            <v>5.8360508519610477</v>
          </cell>
          <cell r="Q122">
            <v>5.5195846796531072</v>
          </cell>
        </row>
        <row r="123">
          <cell r="A123" t="str">
            <v>Peru</v>
          </cell>
          <cell r="B123">
            <v>6.8509812847427387</v>
          </cell>
          <cell r="C123">
            <v>6.9102576238268973</v>
          </cell>
          <cell r="D123">
            <v>6.7779267161977632</v>
          </cell>
          <cell r="E123">
            <v>6.8834050994807177</v>
          </cell>
          <cell r="F123">
            <v>6.7796095095041338</v>
          </cell>
          <cell r="G123">
            <v>6.8163109675640845</v>
          </cell>
          <cell r="H123">
            <v>6.7261439810663726</v>
          </cell>
          <cell r="I123">
            <v>6.7607223400705809</v>
          </cell>
          <cell r="J123">
            <v>6.6250967697634726</v>
          </cell>
          <cell r="K123">
            <v>6.608731972106991</v>
          </cell>
          <cell r="L123">
            <v>6.2223518579200707</v>
          </cell>
          <cell r="M123">
            <v>6.4708294091818681</v>
          </cell>
          <cell r="N123">
            <v>6.5541326608794073</v>
          </cell>
          <cell r="O123">
            <v>6.4313666021537514</v>
          </cell>
          <cell r="P123">
            <v>6.7611422707691684</v>
          </cell>
          <cell r="Q123">
            <v>6.4897602821841716</v>
          </cell>
        </row>
        <row r="124">
          <cell r="A124" t="str">
            <v>Philippines</v>
          </cell>
          <cell r="B124">
            <v>7.2520752958109505</v>
          </cell>
          <cell r="C124">
            <v>7.5013024416287211</v>
          </cell>
          <cell r="D124">
            <v>7.2981878626006083</v>
          </cell>
          <cell r="E124">
            <v>7.177677563607114</v>
          </cell>
          <cell r="F124">
            <v>7.0783634941178297</v>
          </cell>
          <cell r="G124">
            <v>7.1461789933241402</v>
          </cell>
          <cell r="H124">
            <v>7.1751840929375508</v>
          </cell>
          <cell r="I124">
            <v>6.8669494096146124</v>
          </cell>
          <cell r="J124">
            <v>6.8602616448650107</v>
          </cell>
          <cell r="K124">
            <v>6.9890836918393955</v>
          </cell>
          <cell r="L124">
            <v>6.7515331960591318</v>
          </cell>
          <cell r="M124">
            <v>6.7104770530870015</v>
          </cell>
          <cell r="N124">
            <v>6.7891577056636541</v>
          </cell>
          <cell r="O124">
            <v>6.6976282724229961</v>
          </cell>
          <cell r="P124">
            <v>6.5333380527196514</v>
          </cell>
          <cell r="Q124">
            <v>5.9154734125030046</v>
          </cell>
        </row>
        <row r="125">
          <cell r="A125" t="str">
            <v>Poland</v>
          </cell>
          <cell r="B125">
            <v>5.4932648938810491</v>
          </cell>
          <cell r="C125">
            <v>5.4764718805059864</v>
          </cell>
          <cell r="D125">
            <v>5.3290028951003565</v>
          </cell>
          <cell r="E125">
            <v>5.0607199415213282</v>
          </cell>
          <cell r="F125">
            <v>4.8425171310517729</v>
          </cell>
          <cell r="G125">
            <v>4.9184149094295329</v>
          </cell>
          <cell r="H125">
            <v>4.7380279843182045</v>
          </cell>
          <cell r="I125">
            <v>4.6679263125139014</v>
          </cell>
          <cell r="J125">
            <v>4.6174941574862078</v>
          </cell>
          <cell r="K125">
            <v>4.7620189646533184</v>
          </cell>
          <cell r="L125">
            <v>6.1671736121369944</v>
          </cell>
          <cell r="M125">
            <v>4.8209258619807294</v>
          </cell>
          <cell r="N125">
            <v>4.922925643949438</v>
          </cell>
          <cell r="O125">
            <v>4.8346878648521088</v>
          </cell>
          <cell r="P125">
            <v>4.8631753776384894</v>
          </cell>
          <cell r="Q125">
            <v>5.3607919317957444</v>
          </cell>
        </row>
        <row r="126">
          <cell r="A126" t="str">
            <v>Portugal</v>
          </cell>
          <cell r="B126">
            <v>4.5146622717498328</v>
          </cell>
          <cell r="C126">
            <v>4.5084038587743018</v>
          </cell>
          <cell r="D126">
            <v>4.2891886757373445</v>
          </cell>
          <cell r="E126">
            <v>4.2478759910184749</v>
          </cell>
          <cell r="F126">
            <v>4.1495671820831426</v>
          </cell>
          <cell r="G126">
            <v>4.1945177441422512</v>
          </cell>
          <cell r="H126">
            <v>3.9764628738129</v>
          </cell>
          <cell r="I126">
            <v>3.8966480672223578</v>
          </cell>
          <cell r="J126">
            <v>3.8313380121888794</v>
          </cell>
          <cell r="K126">
            <v>3.7554012682090114</v>
          </cell>
          <cell r="L126">
            <v>4.5644553745583289</v>
          </cell>
          <cell r="M126">
            <v>3.4294207385106725</v>
          </cell>
          <cell r="N126">
            <v>3.6321688647227148</v>
          </cell>
          <cell r="O126">
            <v>3.6668441378456929</v>
          </cell>
          <cell r="P126">
            <v>3.6491962172574195</v>
          </cell>
          <cell r="Q126">
            <v>4.8551786402802142</v>
          </cell>
        </row>
        <row r="127">
          <cell r="A127" t="str">
            <v>Qatar</v>
          </cell>
          <cell r="B127">
            <v>4.8407128686340855</v>
          </cell>
          <cell r="C127">
            <v>4.8344366645428405</v>
          </cell>
          <cell r="D127">
            <v>4.7747093739089683</v>
          </cell>
          <cell r="E127">
            <v>4.7597099158895224</v>
          </cell>
          <cell r="F127">
            <v>4.6050073223561885</v>
          </cell>
          <cell r="G127">
            <v>4.7410896455345908</v>
          </cell>
          <cell r="H127">
            <v>4.6420430472914438</v>
          </cell>
          <cell r="I127">
            <v>4.6612290179087417</v>
          </cell>
          <cell r="J127">
            <v>4.5779490045754097</v>
          </cell>
          <cell r="K127">
            <v>5.0242374901326103</v>
          </cell>
          <cell r="L127">
            <v>3.571706088094083</v>
          </cell>
          <cell r="M127">
            <v>4.8855406365322374</v>
          </cell>
          <cell r="N127">
            <v>4.8597539948623156</v>
          </cell>
          <cell r="O127">
            <v>4.6931055014566923</v>
          </cell>
          <cell r="P127">
            <v>4.6131290474820315</v>
          </cell>
          <cell r="Q127">
            <v>4.3911560844999098</v>
          </cell>
        </row>
        <row r="128">
          <cell r="A128" t="str">
            <v>Romania</v>
          </cell>
          <cell r="B128">
            <v>6.1724073441157339</v>
          </cell>
          <cell r="C128">
            <v>6.0410014444701092</v>
          </cell>
          <cell r="D128">
            <v>5.9167239150511906</v>
          </cell>
          <cell r="E128">
            <v>5.9326853082655777</v>
          </cell>
          <cell r="F128">
            <v>5.9732745594726211</v>
          </cell>
          <cell r="G128">
            <v>5.9734667533344306</v>
          </cell>
          <cell r="H128">
            <v>5.8151312829436526</v>
          </cell>
          <cell r="I128">
            <v>5.7766542253100335</v>
          </cell>
          <cell r="J128">
            <v>5.4246803373763299</v>
          </cell>
          <cell r="K128">
            <v>5.4015165124800539</v>
          </cell>
          <cell r="L128">
            <v>5.4848803778975306</v>
          </cell>
          <cell r="M128">
            <v>5.2481285794608006</v>
          </cell>
          <cell r="N128">
            <v>5.4605707739355163</v>
          </cell>
          <cell r="O128">
            <v>5.2729628190363469</v>
          </cell>
          <cell r="P128">
            <v>5.2375385097101885</v>
          </cell>
          <cell r="Q128">
            <v>5.2238413242920094</v>
          </cell>
        </row>
        <row r="129">
          <cell r="A129" t="str">
            <v>Russia</v>
          </cell>
          <cell r="B129">
            <v>6.3739249886261442</v>
          </cell>
          <cell r="C129">
            <v>6.2860063502859802</v>
          </cell>
          <cell r="D129">
            <v>6.2179482471309537</v>
          </cell>
          <cell r="E129">
            <v>6.1475474766068414</v>
          </cell>
          <cell r="F129">
            <v>6.1858874766068412</v>
          </cell>
          <cell r="G129">
            <v>6.0754391655161832</v>
          </cell>
          <cell r="H129">
            <v>6.27796289252408</v>
          </cell>
          <cell r="I129">
            <v>6.3094391749263332</v>
          </cell>
          <cell r="J129">
            <v>6.2630725082596665</v>
          </cell>
          <cell r="K129">
            <v>6.2210329640842277</v>
          </cell>
          <cell r="L129">
            <v>5.16569581605909</v>
          </cell>
          <cell r="M129">
            <v>5.9581853279785815</v>
          </cell>
          <cell r="N129">
            <v>6.0291987616099076</v>
          </cell>
          <cell r="O129">
            <v>5.8283583598037056</v>
          </cell>
          <cell r="P129">
            <v>6.1421110068718265</v>
          </cell>
          <cell r="Q129">
            <v>4.430337581014081</v>
          </cell>
        </row>
        <row r="130">
          <cell r="A130" t="str">
            <v>Rwanda</v>
          </cell>
          <cell r="B130">
            <v>6.8529281266105899</v>
          </cell>
          <cell r="C130">
            <v>6.8890152665017776</v>
          </cell>
          <cell r="D130">
            <v>7.017119848971336</v>
          </cell>
          <cell r="E130">
            <v>7.0301469870625866</v>
          </cell>
          <cell r="F130">
            <v>6.9318714335063065</v>
          </cell>
          <cell r="G130">
            <v>6.9818776371689601</v>
          </cell>
          <cell r="H130">
            <v>6.9482271583957305</v>
          </cell>
          <cell r="I130">
            <v>6.8980364182667309</v>
          </cell>
          <cell r="J130">
            <v>6.8370576141764108</v>
          </cell>
          <cell r="K130">
            <v>6.7183861440499246</v>
          </cell>
          <cell r="L130">
            <v>6.4481927572546276</v>
          </cell>
          <cell r="M130">
            <v>6.418798757823053</v>
          </cell>
          <cell r="N130">
            <v>6.2615262091727475</v>
          </cell>
          <cell r="O130">
            <v>6.0025944969132672</v>
          </cell>
          <cell r="P130">
            <v>5.8236098087879693</v>
          </cell>
          <cell r="Q130">
            <v>4.969633763172526</v>
          </cell>
        </row>
        <row r="131">
          <cell r="A131" t="str">
            <v>Sao Tome and Principe</v>
          </cell>
          <cell r="B131">
            <v>6.3077008781674877</v>
          </cell>
          <cell r="C131">
            <v>6.2501863554387596</v>
          </cell>
          <cell r="D131">
            <v>6.1035532882670447</v>
          </cell>
          <cell r="E131">
            <v>6.004007093112441</v>
          </cell>
          <cell r="F131">
            <v>5.9369204264457744</v>
          </cell>
          <cell r="G131">
            <v>5.9803204264457737</v>
          </cell>
          <cell r="H131">
            <v>5.8103397655812055</v>
          </cell>
          <cell r="I131">
            <v>5.6704406161264398</v>
          </cell>
          <cell r="J131">
            <v>5.6109959174926338</v>
          </cell>
          <cell r="K131">
            <v>5.4784091516969369</v>
          </cell>
          <cell r="L131">
            <v>5.2029478294019551</v>
          </cell>
          <cell r="M131">
            <v>5.3275707387318665</v>
          </cell>
          <cell r="N131">
            <v>5.3102747987616112</v>
          </cell>
          <cell r="O131">
            <v>5.2130462788985454</v>
          </cell>
          <cell r="P131">
            <v>5.1853468120705113</v>
          </cell>
          <cell r="Q131">
            <v>5.0414798445446598</v>
          </cell>
        </row>
        <row r="132">
          <cell r="A132" t="str">
            <v>Saudi Arabia</v>
          </cell>
          <cell r="B132">
            <v>6.3703283295929634</v>
          </cell>
          <cell r="C132">
            <v>6.3194416292188054</v>
          </cell>
          <cell r="D132">
            <v>6.1828488242275128</v>
          </cell>
          <cell r="E132">
            <v>5.9326814268707473</v>
          </cell>
          <cell r="F132">
            <v>5.814378727541035</v>
          </cell>
          <cell r="G132">
            <v>5.8968873675410345</v>
          </cell>
          <cell r="H132">
            <v>5.8835387463126239</v>
          </cell>
          <cell r="I132">
            <v>5.8815710501805016</v>
          </cell>
          <cell r="J132">
            <v>5.7337308142691308</v>
          </cell>
          <cell r="K132">
            <v>5.708516829751499</v>
          </cell>
          <cell r="L132">
            <v>5.0055806315749338</v>
          </cell>
          <cell r="M132">
            <v>5.7001158850828757</v>
          </cell>
          <cell r="N132">
            <v>5.7217856179876678</v>
          </cell>
          <cell r="O132">
            <v>5.6213327631228847</v>
          </cell>
          <cell r="P132">
            <v>5.6514162249134605</v>
          </cell>
          <cell r="Q132">
            <v>5.0091484392590404</v>
          </cell>
        </row>
        <row r="133">
          <cell r="A133" t="str">
            <v>Senegal</v>
          </cell>
          <cell r="B133">
            <v>6.731039373971953</v>
          </cell>
          <cell r="C133">
            <v>6.7052375884040565</v>
          </cell>
          <cell r="D133">
            <v>6.8152170903035723</v>
          </cell>
          <cell r="E133">
            <v>6.8044859595968363</v>
          </cell>
          <cell r="F133">
            <v>6.8343143820037531</v>
          </cell>
          <cell r="G133">
            <v>6.9125764624415265</v>
          </cell>
          <cell r="H133">
            <v>6.8140635777151806</v>
          </cell>
          <cell r="I133">
            <v>6.8008636445948607</v>
          </cell>
          <cell r="J133">
            <v>6.6353015899311885</v>
          </cell>
          <cell r="K133">
            <v>6.4188436405137121</v>
          </cell>
          <cell r="L133">
            <v>6.9797544077219111</v>
          </cell>
          <cell r="M133">
            <v>6.0633553784398426</v>
          </cell>
          <cell r="N133">
            <v>5.9448098577184734</v>
          </cell>
          <cell r="O133">
            <v>5.9103787066999933</v>
          </cell>
          <cell r="P133">
            <v>5.7472132174701684</v>
          </cell>
          <cell r="Q133">
            <v>5.7282079598469089</v>
          </cell>
        </row>
        <row r="134">
          <cell r="A134" t="str">
            <v>Serbia</v>
          </cell>
          <cell r="B134">
            <v>5.9710971545668228</v>
          </cell>
          <cell r="C134">
            <v>6.7016482827466879</v>
          </cell>
          <cell r="D134">
            <v>6.5006644428102316</v>
          </cell>
          <cell r="E134">
            <v>6.5480507919872588</v>
          </cell>
          <cell r="F134">
            <v>6.2145512891729684</v>
          </cell>
          <cell r="G134">
            <v>5.932510559598783</v>
          </cell>
          <cell r="H134">
            <v>5.8915518550613299</v>
          </cell>
          <cell r="I134">
            <v>5.6928271339706162</v>
          </cell>
          <cell r="J134">
            <v>5.492121067874157</v>
          </cell>
          <cell r="K134">
            <v>5.408368499525734</v>
          </cell>
          <cell r="L134">
            <v>5.4897464539873173</v>
          </cell>
          <cell r="M134">
            <v>5.3642409365378363</v>
          </cell>
          <cell r="N134">
            <v>5.4463255561242923</v>
          </cell>
          <cell r="O134">
            <v>5.5044577447136778</v>
          </cell>
          <cell r="P134">
            <v>5.6520605573732574</v>
          </cell>
          <cell r="Q134">
            <v>5.9171299017668133</v>
          </cell>
        </row>
        <row r="135">
          <cell r="A135" t="str">
            <v>Seychelles</v>
          </cell>
          <cell r="B135">
            <v>5.9899095878961015</v>
          </cell>
          <cell r="C135">
            <v>5.9475403916112741</v>
          </cell>
          <cell r="D135">
            <v>5.9548872666310322</v>
          </cell>
          <cell r="E135">
            <v>5.9614455911356465</v>
          </cell>
          <cell r="F135">
            <v>5.943713789004093</v>
          </cell>
          <cell r="G135">
            <v>5.8899637319424185</v>
          </cell>
          <cell r="H135">
            <v>5.7499724482705803</v>
          </cell>
          <cell r="I135">
            <v>5.7220193531888697</v>
          </cell>
          <cell r="J135">
            <v>5.601961796596667</v>
          </cell>
          <cell r="K135">
            <v>5.4289455192324363</v>
          </cell>
          <cell r="L135">
            <v>5.6269904889604518</v>
          </cell>
          <cell r="M135">
            <v>5.4064828852251363</v>
          </cell>
          <cell r="N135">
            <v>5.4153019855061277</v>
          </cell>
          <cell r="O135">
            <v>5.314551051335787</v>
          </cell>
          <cell r="P135">
            <v>5.1794636760322685</v>
          </cell>
          <cell r="Q135">
            <v>5.0962276875136761</v>
          </cell>
        </row>
        <row r="136">
          <cell r="A136" t="str">
            <v>Sierra Leone</v>
          </cell>
          <cell r="B136">
            <v>7.3624161816418079</v>
          </cell>
          <cell r="C136">
            <v>7.5247235460939823</v>
          </cell>
          <cell r="D136">
            <v>7.4418630410743001</v>
          </cell>
          <cell r="E136">
            <v>7.2574006516965079</v>
          </cell>
          <cell r="F136">
            <v>7.1560735283933097</v>
          </cell>
          <cell r="G136">
            <v>7.1488838178882439</v>
          </cell>
          <cell r="H136">
            <v>7.1920140876082224</v>
          </cell>
          <cell r="I136">
            <v>7.1514627816445939</v>
          </cell>
          <cell r="J136">
            <v>6.9931669952666482</v>
          </cell>
          <cell r="K136">
            <v>6.9808595432047991</v>
          </cell>
          <cell r="L136">
            <v>5.9212392502072904</v>
          </cell>
          <cell r="M136">
            <v>6.7070842341503178</v>
          </cell>
          <cell r="N136">
            <v>6.6148956984503888</v>
          </cell>
          <cell r="O136">
            <v>6.5585078211301688</v>
          </cell>
          <cell r="P136">
            <v>6.4675485303814373</v>
          </cell>
          <cell r="Q136">
            <v>5.8614443685740651</v>
          </cell>
        </row>
        <row r="137">
          <cell r="A137" t="str">
            <v>Singapore</v>
          </cell>
          <cell r="B137">
            <v>4.43901626336124</v>
          </cell>
          <cell r="C137">
            <v>4.4666583939117261</v>
          </cell>
          <cell r="D137">
            <v>4.5026480092468972</v>
          </cell>
          <cell r="E137">
            <v>4.4645425457982055</v>
          </cell>
          <cell r="F137">
            <v>4.1911980363284389</v>
          </cell>
          <cell r="G137">
            <v>4.3099852642982066</v>
          </cell>
          <cell r="H137">
            <v>4.3578041096742055</v>
          </cell>
          <cell r="I137">
            <v>4.2930181878710627</v>
          </cell>
          <cell r="J137">
            <v>4.3140008508955958</v>
          </cell>
          <cell r="K137">
            <v>4.280444957894864</v>
          </cell>
          <cell r="L137">
            <v>5.6216045360881663</v>
          </cell>
          <cell r="M137">
            <v>4.0227712321540912</v>
          </cell>
          <cell r="N137">
            <v>4.1641841504747665</v>
          </cell>
          <cell r="O137">
            <v>4.1869577794731692</v>
          </cell>
          <cell r="P137">
            <v>4.1667437778789633</v>
          </cell>
          <cell r="Q137">
            <v>4.9549590139677422</v>
          </cell>
        </row>
        <row r="138">
          <cell r="A138" t="str">
            <v>Slovakia</v>
          </cell>
          <cell r="B138">
            <v>5.454138494428542</v>
          </cell>
          <cell r="C138">
            <v>5.4753579452982652</v>
          </cell>
          <cell r="D138">
            <v>5.3547441340521482</v>
          </cell>
          <cell r="E138">
            <v>5.3588543013363523</v>
          </cell>
          <cell r="F138">
            <v>5.1649509022860212</v>
          </cell>
          <cell r="G138">
            <v>5.0991961474965901</v>
          </cell>
          <cell r="H138">
            <v>4.9517068154902564</v>
          </cell>
          <cell r="I138">
            <v>5.0915879695927257</v>
          </cell>
          <cell r="J138">
            <v>4.9653866591081925</v>
          </cell>
          <cell r="K138">
            <v>4.0140254155955448</v>
          </cell>
          <cell r="L138">
            <v>3.6074863616869197</v>
          </cell>
          <cell r="M138">
            <v>3.8393075591253911</v>
          </cell>
          <cell r="N138">
            <v>3.8650508359133133</v>
          </cell>
          <cell r="O138">
            <v>3.7728734738109573</v>
          </cell>
          <cell r="P138">
            <v>4.5464132142595988</v>
          </cell>
          <cell r="Q138">
            <v>5.2672520364482587</v>
          </cell>
        </row>
        <row r="139">
          <cell r="A139" t="str">
            <v>Slovenia</v>
          </cell>
          <cell r="B139">
            <v>4.7802123098485199</v>
          </cell>
          <cell r="C139">
            <v>4.7249883504483572</v>
          </cell>
          <cell r="D139">
            <v>4.6728226099647596</v>
          </cell>
          <cell r="E139">
            <v>4.4820962926737593</v>
          </cell>
          <cell r="F139">
            <v>4.3560055718040918</v>
          </cell>
          <cell r="G139">
            <v>4.3325782704647953</v>
          </cell>
          <cell r="H139">
            <v>4.1824641860102938</v>
          </cell>
          <cell r="I139">
            <v>4.1552018206089825</v>
          </cell>
          <cell r="J139">
            <v>4.2035980550604428</v>
          </cell>
          <cell r="K139">
            <v>4.0600376828549258</v>
          </cell>
          <cell r="L139">
            <v>4.5046778205722466</v>
          </cell>
          <cell r="M139">
            <v>3.7737546197177592</v>
          </cell>
          <cell r="N139">
            <v>3.8808870497617916</v>
          </cell>
          <cell r="O139">
            <v>3.9413978850296814</v>
          </cell>
          <cell r="P139">
            <v>3.8679381704092188</v>
          </cell>
          <cell r="Q139">
            <v>4.9905928381950391</v>
          </cell>
        </row>
        <row r="140">
          <cell r="A140" t="str">
            <v>Solomon Islands</v>
          </cell>
          <cell r="B140">
            <v>7.3969558378513112</v>
          </cell>
          <cell r="C140">
            <v>7.2851408047581776</v>
          </cell>
          <cell r="D140">
            <v>7.2123755120825539</v>
          </cell>
          <cell r="E140">
            <v>7.0642122156664877</v>
          </cell>
          <cell r="F140">
            <v>6.8874154634543574</v>
          </cell>
          <cell r="G140">
            <v>6.9642408174939288</v>
          </cell>
          <cell r="H140">
            <v>6.9891586924761517</v>
          </cell>
          <cell r="I140">
            <v>6.9355826525686215</v>
          </cell>
          <cell r="J140">
            <v>6.9703989214305322</v>
          </cell>
          <cell r="K140">
            <v>6.765292444031247</v>
          </cell>
          <cell r="L140">
            <v>4.9882436339646627</v>
          </cell>
          <cell r="M140">
            <v>6.4635843468309719</v>
          </cell>
          <cell r="N140">
            <v>6.4368121246409515</v>
          </cell>
          <cell r="O140">
            <v>6.536734906538733</v>
          </cell>
          <cell r="P140">
            <v>6.6506156369023897</v>
          </cell>
          <cell r="Q140">
            <v>6.5156697028269592</v>
          </cell>
        </row>
        <row r="141">
          <cell r="A141" t="str">
            <v>Somalia</v>
          </cell>
          <cell r="B141">
            <v>7.4234600000000013</v>
          </cell>
          <cell r="C141">
            <v>7.4889799999999997</v>
          </cell>
          <cell r="D141">
            <v>7.4243285112403727</v>
          </cell>
          <cell r="E141">
            <v>7.5141396042337778</v>
          </cell>
          <cell r="F141">
            <v>7.384039604233779</v>
          </cell>
          <cell r="G141">
            <v>7.264039604233778</v>
          </cell>
          <cell r="H141">
            <v>7.3748336676349178</v>
          </cell>
          <cell r="I141">
            <v>7.3678908223948563</v>
          </cell>
          <cell r="J141">
            <v>7.3092308223948574</v>
          </cell>
          <cell r="K141">
            <v>7.2121757361260252</v>
          </cell>
          <cell r="L141">
            <v>6.1603202573266627</v>
          </cell>
          <cell r="M141">
            <v>7.0755575358803808</v>
          </cell>
          <cell r="N141">
            <v>7.1685232198142419</v>
          </cell>
          <cell r="O141">
            <v>7.256163660445516</v>
          </cell>
          <cell r="P141">
            <v>7.410966023304451</v>
          </cell>
          <cell r="Q141">
            <v>4.6398636123983845</v>
          </cell>
        </row>
        <row r="142">
          <cell r="A142" t="str">
            <v>South Africa</v>
          </cell>
          <cell r="B142">
            <v>6.2881073695234226</v>
          </cell>
          <cell r="C142">
            <v>6.3546433347412714</v>
          </cell>
          <cell r="D142">
            <v>6.2522728797278875</v>
          </cell>
          <cell r="E142">
            <v>6.1379176512837725</v>
          </cell>
          <cell r="F142">
            <v>6.1501229502450734</v>
          </cell>
          <cell r="G142">
            <v>6.0868155592282989</v>
          </cell>
          <cell r="H142">
            <v>6.0927190691559217</v>
          </cell>
          <cell r="I142">
            <v>6.1681671962273619</v>
          </cell>
          <cell r="J142">
            <v>6.3453445505648789</v>
          </cell>
          <cell r="K142">
            <v>6.4037072624489024</v>
          </cell>
          <cell r="L142">
            <v>7.2989267952393062</v>
          </cell>
          <cell r="M142">
            <v>6.1050193846060026</v>
          </cell>
          <cell r="N142">
            <v>6.041991163567479</v>
          </cell>
          <cell r="O142">
            <v>6.2302392851648314</v>
          </cell>
          <cell r="P142">
            <v>6.1674144266923339</v>
          </cell>
          <cell r="Q142">
            <v>5.6428767164667617</v>
          </cell>
        </row>
        <row r="143">
          <cell r="A143" t="str">
            <v>South Korea</v>
          </cell>
          <cell r="B143">
            <v>4.7534535756229168</v>
          </cell>
          <cell r="C143">
            <v>4.6994293553872319</v>
          </cell>
          <cell r="D143">
            <v>4.5553524655452504</v>
          </cell>
          <cell r="E143">
            <v>4.4556107838625563</v>
          </cell>
          <cell r="F143">
            <v>4.2582241171958888</v>
          </cell>
          <cell r="G143">
            <v>4.3466494431661298</v>
          </cell>
          <cell r="H143">
            <v>4.4225427661417731</v>
          </cell>
          <cell r="I143">
            <v>4.4329170515224581</v>
          </cell>
          <cell r="J143">
            <v>4.7862037181891246</v>
          </cell>
          <cell r="K143">
            <v>4.6312307283633247</v>
          </cell>
          <cell r="L143">
            <v>5.8257730998332145</v>
          </cell>
          <cell r="M143">
            <v>4.3241657920571175</v>
          </cell>
          <cell r="N143">
            <v>4.2983595046439627</v>
          </cell>
          <cell r="O143">
            <v>4.2602635185229847</v>
          </cell>
          <cell r="P143">
            <v>4.1481509152474851</v>
          </cell>
          <cell r="Q143">
            <v>4.4172542960352006</v>
          </cell>
        </row>
        <row r="144">
          <cell r="A144" t="str">
            <v>Spain</v>
          </cell>
          <cell r="B144">
            <v>4.4708062118668996</v>
          </cell>
          <cell r="C144">
            <v>4.4789562160919729</v>
          </cell>
          <cell r="D144">
            <v>4.669948013128141</v>
          </cell>
          <cell r="E144">
            <v>4.5914069411632497</v>
          </cell>
          <cell r="F144">
            <v>4.6097599601165831</v>
          </cell>
          <cell r="G144">
            <v>4.6102932934499163</v>
          </cell>
          <cell r="H144">
            <v>4.500547446363961</v>
          </cell>
          <cell r="I144">
            <v>4.4167612195115185</v>
          </cell>
          <cell r="J144">
            <v>4.3058984200520412</v>
          </cell>
          <cell r="K144">
            <v>5.0502047158897962</v>
          </cell>
          <cell r="L144">
            <v>6.7897565181703454</v>
          </cell>
          <cell r="M144">
            <v>5.1167962637017164</v>
          </cell>
          <cell r="N144">
            <v>5.2391348383165255</v>
          </cell>
          <cell r="O144">
            <v>5.213514839905053</v>
          </cell>
          <cell r="P144">
            <v>5.1249569584702712</v>
          </cell>
          <cell r="Q144">
            <v>4.7645462605538444</v>
          </cell>
        </row>
        <row r="145">
          <cell r="A145" t="str">
            <v>Sri Lanka</v>
          </cell>
          <cell r="B145">
            <v>7.2890465041127976</v>
          </cell>
          <cell r="C145">
            <v>7.3769717182043593</v>
          </cell>
          <cell r="D145">
            <v>7.2751741869876945</v>
          </cell>
          <cell r="E145">
            <v>7.107712724755852</v>
          </cell>
          <cell r="F145">
            <v>7.2769164810957996</v>
          </cell>
          <cell r="G145">
            <v>7.2479004799531435</v>
          </cell>
          <cell r="H145">
            <v>7.3522831805666735</v>
          </cell>
          <cell r="I145">
            <v>7.2284803097828627</v>
          </cell>
          <cell r="J145">
            <v>7.0713487516938898</v>
          </cell>
          <cell r="K145">
            <v>7.0352543588796248</v>
          </cell>
          <cell r="L145">
            <v>6.2027172011060809</v>
          </cell>
          <cell r="M145">
            <v>6.5504528136306579</v>
          </cell>
          <cell r="N145">
            <v>6.3752428276573783</v>
          </cell>
          <cell r="O145">
            <v>6.3222280272941322</v>
          </cell>
          <cell r="P145">
            <v>6.9611266706503345</v>
          </cell>
          <cell r="Q145">
            <v>5.1341649833980432</v>
          </cell>
        </row>
        <row r="146">
          <cell r="A146" t="str">
            <v>Sudan</v>
          </cell>
          <cell r="B146">
            <v>7.131849519123949</v>
          </cell>
          <cell r="C146">
            <v>7.1170099706291552</v>
          </cell>
          <cell r="D146">
            <v>6.901420830058167</v>
          </cell>
          <cell r="E146">
            <v>6.80729749654855</v>
          </cell>
          <cell r="F146">
            <v>7.4528066506405626</v>
          </cell>
          <cell r="G146">
            <v>7.2653383241839062</v>
          </cell>
          <cell r="H146">
            <v>7.2935983705862446</v>
          </cell>
          <cell r="I146">
            <v>7.335156685192989</v>
          </cell>
          <cell r="J146">
            <v>7.5690952731480428</v>
          </cell>
          <cell r="K146">
            <v>7.4792475484983587</v>
          </cell>
          <cell r="L146">
            <v>6.781839190149892</v>
          </cell>
          <cell r="M146">
            <v>7.5117813293484259</v>
          </cell>
          <cell r="N146">
            <v>7.3121078431372561</v>
          </cell>
          <cell r="O146">
            <v>7.4421141709299743</v>
          </cell>
          <cell r="P146">
            <v>7.3252844348442476</v>
          </cell>
          <cell r="Q146">
            <v>5.6998264328456507</v>
          </cell>
        </row>
        <row r="147">
          <cell r="A147" t="str">
            <v>Suriname</v>
          </cell>
          <cell r="B147">
            <v>6.6393079407447759</v>
          </cell>
          <cell r="C147">
            <v>6.5280152419666022</v>
          </cell>
          <cell r="D147">
            <v>6.3789505020057531</v>
          </cell>
          <cell r="E147">
            <v>6.4235338335808931</v>
          </cell>
          <cell r="F147">
            <v>6.3554787502017502</v>
          </cell>
          <cell r="G147">
            <v>6.2907041703249833</v>
          </cell>
          <cell r="H147">
            <v>6.1116200915519654</v>
          </cell>
          <cell r="I147">
            <v>5.9190536370693874</v>
          </cell>
          <cell r="J147">
            <v>5.7403487147066707</v>
          </cell>
          <cell r="K147">
            <v>5.6146733493744634</v>
          </cell>
          <cell r="L147">
            <v>7.1321838925613523</v>
          </cell>
          <cell r="M147">
            <v>5.3149969623354885</v>
          </cell>
          <cell r="N147">
            <v>5.3411905675954596</v>
          </cell>
          <cell r="O147">
            <v>5.2652313883012649</v>
          </cell>
          <cell r="P147">
            <v>5.275478065929688</v>
          </cell>
          <cell r="Q147">
            <v>4.9831614864952716</v>
          </cell>
        </row>
        <row r="148">
          <cell r="A148" t="str">
            <v>Sweden</v>
          </cell>
          <cell r="B148">
            <v>3.5464457141205599</v>
          </cell>
          <cell r="C148">
            <v>3.5067147002071759</v>
          </cell>
          <cell r="D148">
            <v>3.5891730661668086</v>
          </cell>
          <cell r="E148">
            <v>3.5614683093542103</v>
          </cell>
          <cell r="F148">
            <v>3.4728051426587232</v>
          </cell>
          <cell r="G148">
            <v>3.5666388402549818</v>
          </cell>
          <cell r="H148">
            <v>3.5308879111622313</v>
          </cell>
          <cell r="I148">
            <v>3.5523899695787824</v>
          </cell>
          <cell r="J148">
            <v>3.4967158373176694</v>
          </cell>
          <cell r="K148">
            <v>3.3802483974963704</v>
          </cell>
          <cell r="L148">
            <v>3.3643450123187932</v>
          </cell>
          <cell r="M148">
            <v>3.1716309870943724</v>
          </cell>
          <cell r="N148">
            <v>3.4298642623806517</v>
          </cell>
          <cell r="O148">
            <v>3.5113573463267289</v>
          </cell>
          <cell r="P148">
            <v>3.6079449112595783</v>
          </cell>
          <cell r="Q148">
            <v>5.1643466883102338</v>
          </cell>
        </row>
        <row r="149">
          <cell r="A149" t="str">
            <v>Switzerland</v>
          </cell>
          <cell r="B149">
            <v>3.9528861745271024</v>
          </cell>
          <cell r="C149">
            <v>3.9898359211714283</v>
          </cell>
          <cell r="D149">
            <v>4.0277400196976938</v>
          </cell>
          <cell r="E149">
            <v>4.0162123134906924</v>
          </cell>
          <cell r="F149">
            <v>3.8919066360993959</v>
          </cell>
          <cell r="G149">
            <v>3.9792985619224295</v>
          </cell>
          <cell r="H149">
            <v>3.9551138319594199</v>
          </cell>
          <cell r="I149">
            <v>3.9251953138507663</v>
          </cell>
          <cell r="J149">
            <v>3.8539347745399111</v>
          </cell>
          <cell r="K149">
            <v>3.6780921444099404</v>
          </cell>
          <cell r="L149">
            <v>3.6529304363738286</v>
          </cell>
          <cell r="M149">
            <v>3.5053646604883597</v>
          </cell>
          <cell r="N149">
            <v>3.6140755691228308</v>
          </cell>
          <cell r="O149">
            <v>3.5124858234083209</v>
          </cell>
          <cell r="P149">
            <v>3.467534446068707</v>
          </cell>
          <cell r="Q149">
            <v>5.2487093092090484</v>
          </cell>
        </row>
        <row r="150">
          <cell r="A150" t="str">
            <v>Syrian Arab Republic</v>
          </cell>
          <cell r="B150">
            <v>6.391229023143346</v>
          </cell>
          <cell r="C150">
            <v>6.3118208606166144</v>
          </cell>
          <cell r="D150">
            <v>6.2598853235999998</v>
          </cell>
          <cell r="E150">
            <v>6.5240133333333334</v>
          </cell>
          <cell r="F150">
            <v>6.5171866666666673</v>
          </cell>
          <cell r="G150">
            <v>6.3459000000000012</v>
          </cell>
          <cell r="H150">
            <v>6.6684727839779843</v>
          </cell>
          <cell r="I150">
            <v>7.0323379962496642</v>
          </cell>
          <cell r="J150">
            <v>6.7290179962496648</v>
          </cell>
          <cell r="K150">
            <v>6.9903402224183857</v>
          </cell>
          <cell r="L150">
            <v>6.9853349773647864</v>
          </cell>
          <cell r="M150">
            <v>6.9668175655995928</v>
          </cell>
          <cell r="N150">
            <v>6.9644719711042322</v>
          </cell>
          <cell r="O150">
            <v>6.6020057314870568</v>
          </cell>
          <cell r="P150">
            <v>6.5540163370182256</v>
          </cell>
          <cell r="Q150">
            <v>3.6940631765201024</v>
          </cell>
        </row>
        <row r="151">
          <cell r="A151" t="str">
            <v>Tajikistan</v>
          </cell>
          <cell r="B151">
            <v>6.8972593178952186</v>
          </cell>
          <cell r="C151">
            <v>6.7924625948708925</v>
          </cell>
          <cell r="D151">
            <v>6.7413320421614751</v>
          </cell>
          <cell r="E151">
            <v>6.6182254057250693</v>
          </cell>
          <cell r="F151">
            <v>6.4796446981335007</v>
          </cell>
          <cell r="G151">
            <v>6.4196259358913625</v>
          </cell>
          <cell r="H151">
            <v>6.315653104177601</v>
          </cell>
          <cell r="I151">
            <v>6.3175885696065608</v>
          </cell>
          <cell r="J151">
            <v>6.2238892672762756</v>
          </cell>
          <cell r="K151">
            <v>6.0403765187226899</v>
          </cell>
          <cell r="L151">
            <v>5.9883397696399792</v>
          </cell>
          <cell r="M151">
            <v>5.9063819545980962</v>
          </cell>
          <cell r="N151">
            <v>5.9665142771283044</v>
          </cell>
          <cell r="O151">
            <v>5.9847039480857083</v>
          </cell>
          <cell r="P151">
            <v>6.0804197910362427</v>
          </cell>
          <cell r="Q151">
            <v>5.1541986929481123</v>
          </cell>
        </row>
        <row r="152">
          <cell r="A152" t="str">
            <v>Tanzania</v>
          </cell>
          <cell r="B152">
            <v>6.7072464225424531</v>
          </cell>
          <cell r="C152">
            <v>6.7117199027155161</v>
          </cell>
          <cell r="D152">
            <v>6.8782394579055293</v>
          </cell>
          <cell r="E152">
            <v>6.7488684002822525</v>
          </cell>
          <cell r="F152">
            <v>6.848476562952567</v>
          </cell>
          <cell r="G152">
            <v>6.8224081745122609</v>
          </cell>
          <cell r="H152">
            <v>6.7697634790941077</v>
          </cell>
          <cell r="I152">
            <v>6.7737685618358228</v>
          </cell>
          <cell r="J152">
            <v>6.6636198161501534</v>
          </cell>
          <cell r="K152">
            <v>6.5954378222045005</v>
          </cell>
          <cell r="L152">
            <v>6.7528572153340223</v>
          </cell>
          <cell r="M152">
            <v>6.6538756912507777</v>
          </cell>
          <cell r="N152">
            <v>6.9638376171094478</v>
          </cell>
          <cell r="O152">
            <v>6.9639939954905499</v>
          </cell>
          <cell r="P152">
            <v>6.827379545810035</v>
          </cell>
          <cell r="Q152">
            <v>6.5778971763710432</v>
          </cell>
        </row>
        <row r="153">
          <cell r="A153" t="str">
            <v>Thailand</v>
          </cell>
          <cell r="B153">
            <v>7.1073213479069892</v>
          </cell>
          <cell r="C153">
            <v>6.9852856831364578</v>
          </cell>
          <cell r="D153">
            <v>7.087386317943575</v>
          </cell>
          <cell r="E153">
            <v>6.786142136324691</v>
          </cell>
          <cell r="F153">
            <v>6.5695041826498466</v>
          </cell>
          <cell r="G153">
            <v>6.3038536180482971</v>
          </cell>
          <cell r="H153">
            <v>6.4463381839097851</v>
          </cell>
          <cell r="I153">
            <v>6.4132348501741356</v>
          </cell>
          <cell r="J153">
            <v>6.2408849326085081</v>
          </cell>
          <cell r="K153">
            <v>6.3116012471269967</v>
          </cell>
          <cell r="L153">
            <v>6.3434735390240098</v>
          </cell>
          <cell r="M153">
            <v>6.1430345649708711</v>
          </cell>
          <cell r="N153">
            <v>6.1573601738578523</v>
          </cell>
          <cell r="O153">
            <v>5.9635877977306242</v>
          </cell>
          <cell r="P153">
            <v>5.9111818021485192</v>
          </cell>
          <cell r="Q153">
            <v>5.2429252165619102</v>
          </cell>
        </row>
        <row r="154">
          <cell r="A154" t="str">
            <v>Timor-Leste</v>
          </cell>
          <cell r="B154">
            <v>7.856197324299858</v>
          </cell>
          <cell r="C154">
            <v>7.8126863613881072</v>
          </cell>
          <cell r="D154">
            <v>7.5138235165884648</v>
          </cell>
          <cell r="E154">
            <v>7.2297590642736607</v>
          </cell>
          <cell r="F154">
            <v>7.0679676209541347</v>
          </cell>
          <cell r="G154">
            <v>6.9226596209541347</v>
          </cell>
          <cell r="H154">
            <v>6.898257313472965</v>
          </cell>
          <cell r="I154">
            <v>6.853906026998839</v>
          </cell>
          <cell r="J154">
            <v>6.9389065726904198</v>
          </cell>
          <cell r="K154">
            <v>6.6952049409924639</v>
          </cell>
          <cell r="L154">
            <v>6.4444162504169658</v>
          </cell>
          <cell r="M154">
            <v>6.1944787248371256</v>
          </cell>
          <cell r="N154">
            <v>6.0368178524251803</v>
          </cell>
          <cell r="O154">
            <v>6.0147014659427072</v>
          </cell>
          <cell r="P154">
            <v>6.0996819132118318</v>
          </cell>
          <cell r="Q154">
            <v>5.8913320069868149</v>
          </cell>
        </row>
        <row r="155">
          <cell r="A155" t="str">
            <v>Togo</v>
          </cell>
          <cell r="B155">
            <v>7.1650420406717474</v>
          </cell>
          <cell r="C155">
            <v>7.1942542804632419</v>
          </cell>
          <cell r="D155">
            <v>7.3531085123405768</v>
          </cell>
          <cell r="E155">
            <v>7.2453333506941586</v>
          </cell>
          <cell r="F155">
            <v>7.2725049964555781</v>
          </cell>
          <cell r="G155">
            <v>7.2548027004043778</v>
          </cell>
          <cell r="H155">
            <v>7.1744594743359507</v>
          </cell>
          <cell r="I155">
            <v>7.070627998539182</v>
          </cell>
          <cell r="J155">
            <v>6.8411834182858993</v>
          </cell>
          <cell r="K155">
            <v>6.9321032566022343</v>
          </cell>
          <cell r="L155">
            <v>7.2257627103575093</v>
          </cell>
          <cell r="M155">
            <v>7.3177675297369777</v>
          </cell>
          <cell r="N155">
            <v>7.1425390823167101</v>
          </cell>
          <cell r="O155">
            <v>6.9827318579051685</v>
          </cell>
          <cell r="P155">
            <v>6.6068393477296885</v>
          </cell>
          <cell r="Q155">
            <v>5.7545585161898902</v>
          </cell>
        </row>
        <row r="156">
          <cell r="A156" t="str">
            <v>Trinidad and Tobago</v>
          </cell>
          <cell r="B156">
            <v>6.4634651184275302</v>
          </cell>
          <cell r="C156">
            <v>6.1671860959798011</v>
          </cell>
          <cell r="D156">
            <v>5.9542265953508355</v>
          </cell>
          <cell r="E156">
            <v>6.0747844625464058</v>
          </cell>
          <cell r="F156">
            <v>5.9852880952838516</v>
          </cell>
          <cell r="G156">
            <v>5.8224087813770087</v>
          </cell>
          <cell r="H156">
            <v>5.6444612738340671</v>
          </cell>
          <cell r="I156">
            <v>5.3947000572078219</v>
          </cell>
          <cell r="J156">
            <v>5.1592204899151719</v>
          </cell>
          <cell r="K156">
            <v>4.9516884978577549</v>
          </cell>
          <cell r="L156">
            <v>4.8321809405575413</v>
          </cell>
          <cell r="M156">
            <v>4.7303196556043341</v>
          </cell>
          <cell r="N156">
            <v>4.778759757936017</v>
          </cell>
          <cell r="O156">
            <v>4.6620322180421869</v>
          </cell>
          <cell r="P156">
            <v>4.7731977267279184</v>
          </cell>
          <cell r="Q156">
            <v>4.8946465820212861</v>
          </cell>
        </row>
        <row r="157">
          <cell r="A157" t="str">
            <v>Tunisia</v>
          </cell>
          <cell r="B157">
            <v>5.817400331701406</v>
          </cell>
          <cell r="C157">
            <v>5.7907444650190705</v>
          </cell>
          <cell r="D157">
            <v>6.0182978273856316</v>
          </cell>
          <cell r="E157">
            <v>7.1414648280911281</v>
          </cell>
          <cell r="F157">
            <v>7.2407717322302831</v>
          </cell>
          <cell r="G157">
            <v>7.1356950594268653</v>
          </cell>
          <cell r="H157">
            <v>6.7645459426910746</v>
          </cell>
          <cell r="I157">
            <v>6.5676380429236882</v>
          </cell>
          <cell r="J157">
            <v>6.4678433988137289</v>
          </cell>
          <cell r="K157">
            <v>6.3602189898837294</v>
          </cell>
          <cell r="L157">
            <v>6.2555176563845984</v>
          </cell>
          <cell r="M157">
            <v>6.0467035770705992</v>
          </cell>
          <cell r="N157">
            <v>6.0662549014231892</v>
          </cell>
          <cell r="O157">
            <v>5.8412362236099078</v>
          </cell>
          <cell r="P157">
            <v>5.6163074190060742</v>
          </cell>
          <cell r="Q157">
            <v>4.9393828989834958</v>
          </cell>
        </row>
        <row r="158">
          <cell r="A158" t="str">
            <v>Turkey</v>
          </cell>
          <cell r="B158">
            <v>6.2844785261598703</v>
          </cell>
          <cell r="C158">
            <v>5.9978220085536149</v>
          </cell>
          <cell r="D158">
            <v>5.8356866153120581</v>
          </cell>
          <cell r="E158">
            <v>6.0176633532750428</v>
          </cell>
          <cell r="F158">
            <v>5.8078635158766687</v>
          </cell>
          <cell r="G158">
            <v>5.7894301825433345</v>
          </cell>
          <cell r="H158">
            <v>5.8269742944503893</v>
          </cell>
          <cell r="I158">
            <v>5.7914266666666663</v>
          </cell>
          <cell r="J158">
            <v>5.9459933333333321</v>
          </cell>
          <cell r="K158">
            <v>6.0279666666666669</v>
          </cell>
          <cell r="L158">
            <v>5.9873599999999998</v>
          </cell>
          <cell r="M158">
            <v>5.9979647259007631</v>
          </cell>
          <cell r="N158">
            <v>5.9880866666666668</v>
          </cell>
          <cell r="O158">
            <v>5.9362693158590174</v>
          </cell>
          <cell r="P158">
            <v>6.0066176476446564</v>
          </cell>
          <cell r="Q158">
            <v>4.7200308297500611</v>
          </cell>
        </row>
        <row r="159">
          <cell r="A159" t="str">
            <v>Turkmenistan</v>
          </cell>
          <cell r="B159">
            <v>6.0874085092954546</v>
          </cell>
          <cell r="C159">
            <v>5.9356375935090071</v>
          </cell>
          <cell r="D159">
            <v>5.8710004838226695</v>
          </cell>
          <cell r="E159">
            <v>5.8502791841860304</v>
          </cell>
          <cell r="F159">
            <v>5.8865844826378808</v>
          </cell>
          <cell r="G159">
            <v>5.9909572651776344</v>
          </cell>
          <cell r="H159">
            <v>6.0178814401687264</v>
          </cell>
          <cell r="I159">
            <v>6.0044409557952942</v>
          </cell>
          <cell r="J159">
            <v>5.9206270538011907</v>
          </cell>
          <cell r="K159">
            <v>5.8437453403411324</v>
          </cell>
          <cell r="L159">
            <v>5.7951550563257923</v>
          </cell>
          <cell r="M159">
            <v>5.636584989840955</v>
          </cell>
          <cell r="N159">
            <v>5.6537763879871967</v>
          </cell>
          <cell r="O159">
            <v>5.6086615125589319</v>
          </cell>
          <cell r="P159">
            <v>5.5915359019592286</v>
          </cell>
          <cell r="Q159">
            <v>4.6006538790864786</v>
          </cell>
        </row>
        <row r="160">
          <cell r="A160" t="str">
            <v>Uganda</v>
          </cell>
          <cell r="B160">
            <v>7.7283925051875135</v>
          </cell>
          <cell r="C160">
            <v>7.691565977836146</v>
          </cell>
          <cell r="D160">
            <v>7.6533484637425531</v>
          </cell>
          <cell r="E160">
            <v>7.7227155322220744</v>
          </cell>
          <cell r="F160">
            <v>7.7247982241676523</v>
          </cell>
          <cell r="G160">
            <v>7.581670669139049</v>
          </cell>
          <cell r="H160">
            <v>7.7024913108828379</v>
          </cell>
          <cell r="I160">
            <v>7.6967662945750774</v>
          </cell>
          <cell r="J160">
            <v>7.7301424837493471</v>
          </cell>
          <cell r="K160">
            <v>7.610500071830935</v>
          </cell>
          <cell r="L160">
            <v>7.5811254838830937</v>
          </cell>
          <cell r="M160">
            <v>7.4115585543730198</v>
          </cell>
          <cell r="N160">
            <v>7.2420958824035262</v>
          </cell>
          <cell r="O160">
            <v>7.0888975777272387</v>
          </cell>
          <cell r="P160">
            <v>6.9637085530823448</v>
          </cell>
          <cell r="Q160">
            <v>5.7455006245315454</v>
          </cell>
        </row>
        <row r="161">
          <cell r="A161" t="str">
            <v>Ukraine</v>
          </cell>
          <cell r="B161">
            <v>6.2646546458276475</v>
          </cell>
          <cell r="C161">
            <v>5.9614163433565226</v>
          </cell>
          <cell r="D161">
            <v>5.9540191869454482</v>
          </cell>
          <cell r="E161">
            <v>5.9040073075072863</v>
          </cell>
          <cell r="F161">
            <v>6.0052568019154347</v>
          </cell>
          <cell r="G161">
            <v>6.194652856794181</v>
          </cell>
          <cell r="H161">
            <v>6.5500362985638727</v>
          </cell>
          <cell r="I161">
            <v>6.4637586211646081</v>
          </cell>
          <cell r="J161">
            <v>6.3665806581887869</v>
          </cell>
          <cell r="K161">
            <v>6.357742775925832</v>
          </cell>
          <cell r="L161">
            <v>6.3096479916980517</v>
          </cell>
          <cell r="M161">
            <v>6.169396631162626</v>
          </cell>
          <cell r="N161">
            <v>6.0877292383823107</v>
          </cell>
          <cell r="O161">
            <v>5.7014522345157923</v>
          </cell>
          <cell r="P161">
            <v>6.0241142575440696</v>
          </cell>
          <cell r="Q161">
            <v>3.9648049073129115</v>
          </cell>
        </row>
        <row r="162">
          <cell r="A162" t="str">
            <v>United Arab Emirates</v>
          </cell>
          <cell r="B162">
            <v>5.2077454735484849</v>
          </cell>
          <cell r="C162">
            <v>5.2005666873266829</v>
          </cell>
          <cell r="D162">
            <v>5.0234861282930847</v>
          </cell>
          <cell r="E162">
            <v>5.0512570525251954</v>
          </cell>
          <cell r="F162">
            <v>5.0203060107342914</v>
          </cell>
          <cell r="G162">
            <v>4.9885096650651954</v>
          </cell>
          <cell r="H162">
            <v>5.0571988106069785</v>
          </cell>
          <cell r="I162">
            <v>5.1676824106153969</v>
          </cell>
          <cell r="J162">
            <v>5.0237816385060903</v>
          </cell>
          <cell r="K162">
            <v>4.9192511381042561</v>
          </cell>
          <cell r="L162">
            <v>4.7905591244297856</v>
          </cell>
          <cell r="M162">
            <v>4.7042248765794543</v>
          </cell>
          <cell r="N162">
            <v>4.7369141507599366</v>
          </cell>
          <cell r="O162">
            <v>4.6838628265172995</v>
          </cell>
          <cell r="P162">
            <v>4.6229009072131682</v>
          </cell>
          <cell r="Q162">
            <v>4.6395668552701164</v>
          </cell>
        </row>
        <row r="163">
          <cell r="A163" t="str">
            <v>United Kingdom</v>
          </cell>
          <cell r="B163">
            <v>4.5525898775340679</v>
          </cell>
          <cell r="C163">
            <v>4.4444291166576839</v>
          </cell>
          <cell r="D163">
            <v>4.2369957772975919</v>
          </cell>
          <cell r="E163">
            <v>4.2710779066298823</v>
          </cell>
          <cell r="F163">
            <v>4.0545647041632149</v>
          </cell>
          <cell r="G163">
            <v>4.1779150704095604</v>
          </cell>
          <cell r="H163">
            <v>4.2091647846932263</v>
          </cell>
          <cell r="I163">
            <v>4.1891187616060144</v>
          </cell>
          <cell r="J163">
            <v>4.2018544617473053</v>
          </cell>
          <cell r="K163">
            <v>4.2754184093144607</v>
          </cell>
          <cell r="L163">
            <v>4.4206377309057956</v>
          </cell>
          <cell r="M163">
            <v>4.5409183131460775</v>
          </cell>
          <cell r="N163">
            <v>4.6709984391027763</v>
          </cell>
          <cell r="O163">
            <v>4.5896950159624534</v>
          </cell>
          <cell r="P163">
            <v>4.6128570700129474</v>
          </cell>
          <cell r="Q163">
            <v>4.7179189753026805</v>
          </cell>
        </row>
        <row r="164">
          <cell r="A164" t="str">
            <v>United States</v>
          </cell>
          <cell r="B164">
            <v>5.0196394477285295</v>
          </cell>
          <cell r="C164">
            <v>4.8384088248834418</v>
          </cell>
          <cell r="D164">
            <v>4.6295309627566201</v>
          </cell>
          <cell r="E164">
            <v>4.6764132015646576</v>
          </cell>
          <cell r="F164">
            <v>4.5330808682313242</v>
          </cell>
          <cell r="G164">
            <v>4.6509375640435646</v>
          </cell>
          <cell r="H164">
            <v>4.7455354699941479</v>
          </cell>
          <cell r="I164">
            <v>4.6182200183537185</v>
          </cell>
          <cell r="J164">
            <v>4.5987049543698344</v>
          </cell>
          <cell r="K164">
            <v>4.7358413011592893</v>
          </cell>
          <cell r="L164">
            <v>4.7965577346988422</v>
          </cell>
          <cell r="M164">
            <v>4.8176779484990018</v>
          </cell>
          <cell r="N164">
            <v>5.2328155830753351</v>
          </cell>
          <cell r="O164">
            <v>5.4287234748793063</v>
          </cell>
          <cell r="P164">
            <v>5.2011414002589378</v>
          </cell>
          <cell r="Q164">
            <v>5.192124565232664</v>
          </cell>
        </row>
        <row r="165">
          <cell r="A165" t="str">
            <v>Uruguay</v>
          </cell>
          <cell r="B165">
            <v>4.5717827118827703</v>
          </cell>
          <cell r="C165">
            <v>4.5246282769969604</v>
          </cell>
          <cell r="D165">
            <v>4.5565925232880824</v>
          </cell>
          <cell r="E165">
            <v>4.5895710701168033</v>
          </cell>
          <cell r="F165">
            <v>4.3984887237646024</v>
          </cell>
          <cell r="G165">
            <v>4.3651639468967298</v>
          </cell>
          <cell r="H165">
            <v>4.2322134865550547</v>
          </cell>
          <cell r="I165">
            <v>4.2022670256148915</v>
          </cell>
          <cell r="J165">
            <v>4.1867069532329895</v>
          </cell>
          <cell r="K165">
            <v>4.0904276932872961</v>
          </cell>
          <cell r="L165">
            <v>4.0051053759585455</v>
          </cell>
          <cell r="M165">
            <v>3.9071090126475685</v>
          </cell>
          <cell r="N165">
            <v>4.0077218615927217</v>
          </cell>
          <cell r="O165">
            <v>3.9640242083297546</v>
          </cell>
          <cell r="P165">
            <v>4.0816403922255358</v>
          </cell>
          <cell r="Q165">
            <v>5.2986400284542015</v>
          </cell>
        </row>
        <row r="166">
          <cell r="A166" t="str">
            <v>Uzbekistan</v>
          </cell>
          <cell r="B166">
            <v>6.5314607074275397</v>
          </cell>
          <cell r="C166">
            <v>6.273105181362884</v>
          </cell>
          <cell r="D166">
            <v>6.1579554640089231</v>
          </cell>
          <cell r="E166">
            <v>6.2306290200355798</v>
          </cell>
          <cell r="F166">
            <v>6.1882626705037547</v>
          </cell>
          <cell r="G166">
            <v>6.240827535379843</v>
          </cell>
          <cell r="H166">
            <v>6.246400277449407</v>
          </cell>
          <cell r="I166">
            <v>6.2658319455211373</v>
          </cell>
          <cell r="J166">
            <v>6.2962043644153791</v>
          </cell>
          <cell r="K166">
            <v>6.210526077992288</v>
          </cell>
          <cell r="L166">
            <v>6.1052783638485417</v>
          </cell>
          <cell r="M166">
            <v>6.0731232197034011</v>
          </cell>
          <cell r="N166">
            <v>6.0141381798888531</v>
          </cell>
          <cell r="O166">
            <v>5.9365768558334411</v>
          </cell>
          <cell r="P166">
            <v>5.8580937542594924</v>
          </cell>
          <cell r="Q166">
            <v>5.0639845653094024</v>
          </cell>
        </row>
        <row r="167">
          <cell r="A167" t="str">
            <v>Venezuela</v>
          </cell>
          <cell r="B167">
            <v>6.6291785524345324</v>
          </cell>
          <cell r="C167">
            <v>6.5293969150393698</v>
          </cell>
          <cell r="D167">
            <v>6.5427809286193686</v>
          </cell>
          <cell r="E167">
            <v>6.5742820754277984</v>
          </cell>
          <cell r="F167">
            <v>6.1025242767050161</v>
          </cell>
          <cell r="G167">
            <v>6.1660794004049695</v>
          </cell>
          <cell r="H167">
            <v>6.2937092615807995</v>
          </cell>
          <cell r="I167">
            <v>6.4161767211358161</v>
          </cell>
          <cell r="J167">
            <v>6.2609235949638364</v>
          </cell>
          <cell r="K167">
            <v>6.2888735561268208</v>
          </cell>
          <cell r="L167">
            <v>6.4363661806051944</v>
          </cell>
          <cell r="M167">
            <v>6.4723538032726395</v>
          </cell>
          <cell r="N167">
            <v>6.534772817337462</v>
          </cell>
          <cell r="O167">
            <v>6.517249642250297</v>
          </cell>
          <cell r="P167">
            <v>6.2544074813265613</v>
          </cell>
          <cell r="Q167">
            <v>3.8893878629841407</v>
          </cell>
        </row>
        <row r="168">
          <cell r="A168" t="str">
            <v>Vietnam</v>
          </cell>
          <cell r="B168">
            <v>6.122653074766216</v>
          </cell>
          <cell r="C168">
            <v>6.1324197740254336</v>
          </cell>
          <cell r="D168">
            <v>6.2829680940304815</v>
          </cell>
          <cell r="E168">
            <v>6.1720704846784118</v>
          </cell>
          <cell r="F168">
            <v>6.1440050300033153</v>
          </cell>
          <cell r="G168">
            <v>6.1718098001652208</v>
          </cell>
          <cell r="H168">
            <v>6.1580187734659795</v>
          </cell>
          <cell r="I168">
            <v>6.1396164291328059</v>
          </cell>
          <cell r="J168">
            <v>6.1070122705285552</v>
          </cell>
          <cell r="K168">
            <v>6.0750631827742616</v>
          </cell>
          <cell r="L168">
            <v>6.0119266896453247</v>
          </cell>
          <cell r="M168">
            <v>5.8884740892875449</v>
          </cell>
          <cell r="N168">
            <v>5.9045621816323957</v>
          </cell>
          <cell r="O168">
            <v>5.7729250920700341</v>
          </cell>
          <cell r="P168">
            <v>5.6602288301191264</v>
          </cell>
          <cell r="Q168">
            <v>5.1765834224010243</v>
          </cell>
        </row>
        <row r="169">
          <cell r="A169" t="str">
            <v>Yemen</v>
          </cell>
          <cell r="B169">
            <v>7.1172889412311839</v>
          </cell>
          <cell r="C169">
            <v>7.2446541906571165</v>
          </cell>
          <cell r="D169">
            <v>7.3060849169577438</v>
          </cell>
          <cell r="E169">
            <v>7.6919736875318456</v>
          </cell>
          <cell r="F169">
            <v>7.6858701885242979</v>
          </cell>
          <cell r="G169">
            <v>7.3948596099552848</v>
          </cell>
          <cell r="H169">
            <v>7.3245290452236729</v>
          </cell>
          <cell r="I169">
            <v>7.071707066702384</v>
          </cell>
          <cell r="J169">
            <v>7.2871030667023833</v>
          </cell>
          <cell r="K169">
            <v>7.3721705317090551</v>
          </cell>
          <cell r="L169">
            <v>7.4323250707457698</v>
          </cell>
          <cell r="M169">
            <v>7.4387287137896703</v>
          </cell>
          <cell r="N169">
            <v>7.4187725818922061</v>
          </cell>
          <cell r="O169">
            <v>7.0325765201685746</v>
          </cell>
          <cell r="P169">
            <v>6.9230873618165516</v>
          </cell>
          <cell r="Q169">
            <v>4.0865046810512018</v>
          </cell>
        </row>
        <row r="170">
          <cell r="A170" t="str">
            <v>Zambia</v>
          </cell>
          <cell r="B170">
            <v>7.1631837718168425</v>
          </cell>
          <cell r="C170">
            <v>7.0898203351500237</v>
          </cell>
          <cell r="D170">
            <v>7.1500484628088055</v>
          </cell>
          <cell r="E170">
            <v>7.3171865465316239</v>
          </cell>
          <cell r="F170">
            <v>7.3483646614551237</v>
          </cell>
          <cell r="G170">
            <v>7.3198356266792661</v>
          </cell>
          <cell r="H170">
            <v>7.1501930076246509</v>
          </cell>
          <cell r="I170">
            <v>7.0166415728328628</v>
          </cell>
          <cell r="J170">
            <v>7.2749665300267683</v>
          </cell>
          <cell r="K170">
            <v>7.3179936267963006</v>
          </cell>
          <cell r="L170">
            <v>7.2363666305265664</v>
          </cell>
          <cell r="M170">
            <v>7.1008718933248831</v>
          </cell>
          <cell r="N170">
            <v>7.1648451393188859</v>
          </cell>
          <cell r="O170">
            <v>7.1957329202556251</v>
          </cell>
          <cell r="P170">
            <v>6.9125281007867745</v>
          </cell>
          <cell r="Q170">
            <v>5.3934368154315369</v>
          </cell>
        </row>
        <row r="171">
          <cell r="A171" t="str">
            <v>Zimbabwe</v>
          </cell>
          <cell r="B171">
            <v>7.9267430186059116</v>
          </cell>
          <cell r="C171">
            <v>7.7527533939158264</v>
          </cell>
          <cell r="D171">
            <v>7.6300844987132175</v>
          </cell>
          <cell r="E171">
            <v>7.6080949637582025</v>
          </cell>
          <cell r="F171">
            <v>7.6645408277769942</v>
          </cell>
          <cell r="G171">
            <v>7.6231700929776043</v>
          </cell>
          <cell r="H171">
            <v>7.479936302655914</v>
          </cell>
          <cell r="I171">
            <v>7.4084344780653328</v>
          </cell>
          <cell r="J171">
            <v>7.5023221571822019</v>
          </cell>
          <cell r="K171">
            <v>7.5642289025074216</v>
          </cell>
          <cell r="L171">
            <v>7.2974394061186576</v>
          </cell>
          <cell r="M171">
            <v>7.3740219077554015</v>
          </cell>
          <cell r="N171">
            <v>7.2211491572919764</v>
          </cell>
          <cell r="O171">
            <v>7.0365441644018283</v>
          </cell>
          <cell r="P171">
            <v>7.085143097280759</v>
          </cell>
          <cell r="Q171">
            <v>5.9509710450980045</v>
          </cell>
        </row>
      </sheetData>
      <sheetData sheetId="7">
        <row r="1">
          <cell r="B1">
            <v>2011</v>
          </cell>
          <cell r="C1">
            <v>2012</v>
          </cell>
          <cell r="D1">
            <v>2013</v>
          </cell>
          <cell r="E1">
            <v>2014</v>
          </cell>
          <cell r="F1">
            <v>2015</v>
          </cell>
          <cell r="G1">
            <v>2016</v>
          </cell>
          <cell r="H1">
            <v>2017</v>
          </cell>
          <cell r="I1">
            <v>2018</v>
          </cell>
          <cell r="J1">
            <v>2019</v>
          </cell>
          <cell r="K1">
            <v>2020</v>
          </cell>
          <cell r="L1">
            <v>2021</v>
          </cell>
          <cell r="M1">
            <v>2022</v>
          </cell>
          <cell r="N1">
            <v>2023</v>
          </cell>
          <cell r="O1">
            <v>2024</v>
          </cell>
        </row>
        <row r="2">
          <cell r="A2" t="str">
            <v>Albania</v>
          </cell>
          <cell r="B2">
            <v>4.6623499999999991</v>
          </cell>
          <cell r="C2">
            <v>4.874950000000001</v>
          </cell>
          <cell r="D2">
            <v>5.1199999999999992</v>
          </cell>
          <cell r="E2">
            <v>4.6833999999999998</v>
          </cell>
          <cell r="F2">
            <v>4.6580000000000004</v>
          </cell>
          <cell r="G2">
            <v>4.3509500000000001</v>
          </cell>
          <cell r="H2">
            <v>4.1564500000000004</v>
          </cell>
          <cell r="I2">
            <v>3.5808000000000004</v>
          </cell>
          <cell r="J2">
            <v>3.5875500000000002</v>
          </cell>
          <cell r="K2">
            <v>3.6829500000000004</v>
          </cell>
          <cell r="L2">
            <v>4.1867999999999999</v>
          </cell>
          <cell r="M2">
            <v>3.6222500000000002</v>
          </cell>
          <cell r="N2">
            <v>3.5382500000000001</v>
          </cell>
          <cell r="O2">
            <v>3.5382500000000001</v>
          </cell>
        </row>
        <row r="3">
          <cell r="A3" t="str">
            <v>Algeria</v>
          </cell>
          <cell r="B3">
            <v>7.1828000000000003</v>
          </cell>
          <cell r="C3">
            <v>7.4350500000000004</v>
          </cell>
          <cell r="D3">
            <v>7.5341000000000005</v>
          </cell>
          <cell r="E3">
            <v>8.050650000000001</v>
          </cell>
          <cell r="F3">
            <v>8.00535</v>
          </cell>
          <cell r="G3">
            <v>7.9427500000000002</v>
          </cell>
          <cell r="H3">
            <v>7.5038000000000009</v>
          </cell>
          <cell r="I3">
            <v>7.8349500000000001</v>
          </cell>
          <cell r="J3">
            <v>7.6173000000000002</v>
          </cell>
          <cell r="K3">
            <v>7.5181000000000013</v>
          </cell>
          <cell r="L3">
            <v>7.7418499999999995</v>
          </cell>
          <cell r="M3">
            <v>7.9183000000000003</v>
          </cell>
          <cell r="N3">
            <v>7.6650499999999999</v>
          </cell>
          <cell r="O3">
            <v>7.6650499999999999</v>
          </cell>
        </row>
        <row r="4">
          <cell r="A4" t="str">
            <v>Angola</v>
          </cell>
          <cell r="B4">
            <v>8.1006500000000017</v>
          </cell>
          <cell r="C4">
            <v>7.6544000000000008</v>
          </cell>
          <cell r="D4">
            <v>7.7828499999999998</v>
          </cell>
          <cell r="E4">
            <v>7.8917000000000002</v>
          </cell>
          <cell r="F4">
            <v>8.0352499999999996</v>
          </cell>
          <cell r="G4">
            <v>8.2626500000000007</v>
          </cell>
          <cell r="H4">
            <v>7.7933500000000002</v>
          </cell>
          <cell r="I4">
            <v>7.6550500000000001</v>
          </cell>
          <cell r="J4">
            <v>7.6774000000000004</v>
          </cell>
          <cell r="K4">
            <v>7.3291500000000003</v>
          </cell>
          <cell r="L4">
            <v>7.5954499999999996</v>
          </cell>
          <cell r="M4">
            <v>7.3129</v>
          </cell>
          <cell r="N4">
            <v>7.1110500000000005</v>
          </cell>
          <cell r="O4">
            <v>7.1110500000000005</v>
          </cell>
        </row>
        <row r="5">
          <cell r="A5" t="str">
            <v>Argentina</v>
          </cell>
          <cell r="B5">
            <v>6.4008000000000012</v>
          </cell>
          <cell r="C5">
            <v>6.7207999999999997</v>
          </cell>
          <cell r="D5">
            <v>6.7911500000000009</v>
          </cell>
          <cell r="E5">
            <v>6.9291499999999999</v>
          </cell>
          <cell r="F5">
            <v>6.8559000000000019</v>
          </cell>
          <cell r="G5">
            <v>6.0532500000000002</v>
          </cell>
          <cell r="H5">
            <v>5.6246</v>
          </cell>
          <cell r="I5">
            <v>5.9663500000000003</v>
          </cell>
          <cell r="J5">
            <v>6.1158000000000001</v>
          </cell>
          <cell r="K5">
            <v>5.6025</v>
          </cell>
          <cell r="L5">
            <v>6.2676000000000007</v>
          </cell>
          <cell r="M5">
            <v>6.8607500000000003</v>
          </cell>
          <cell r="N5">
            <v>6.2812000000000001</v>
          </cell>
          <cell r="O5">
            <v>6.2812000000000001</v>
          </cell>
        </row>
        <row r="6">
          <cell r="A6" t="str">
            <v>Armenia</v>
          </cell>
          <cell r="B6">
            <v>4.2807500000000003</v>
          </cell>
          <cell r="C6">
            <v>4.2664</v>
          </cell>
          <cell r="D6">
            <v>4.4271000000000011</v>
          </cell>
          <cell r="E6">
            <v>4.6085000000000012</v>
          </cell>
          <cell r="F6">
            <v>4.6245000000000003</v>
          </cell>
          <cell r="G6">
            <v>4.6637500000000012</v>
          </cell>
          <cell r="H6">
            <v>5.0122499999999999</v>
          </cell>
          <cell r="I6">
            <v>4.9328500000000002</v>
          </cell>
          <cell r="J6">
            <v>4.6052500000000007</v>
          </cell>
          <cell r="K6">
            <v>4.0503499999999999</v>
          </cell>
          <cell r="L6">
            <v>3.6385500000000008</v>
          </cell>
          <cell r="M6">
            <v>3.8424000000000005</v>
          </cell>
          <cell r="N6">
            <v>3.6999499999999999</v>
          </cell>
          <cell r="O6">
            <v>3.6999499999999999</v>
          </cell>
        </row>
        <row r="7">
          <cell r="A7" t="str">
            <v>Australia</v>
          </cell>
          <cell r="B7">
            <v>1.5844000000000003</v>
          </cell>
          <cell r="C7">
            <v>1.4391</v>
          </cell>
          <cell r="D7">
            <v>1.70235</v>
          </cell>
          <cell r="E7">
            <v>1.7507999999999999</v>
          </cell>
          <cell r="F7">
            <v>1.8158500000000002</v>
          </cell>
          <cell r="G7">
            <v>1.5796000000000001</v>
          </cell>
          <cell r="H7">
            <v>1.7467499999999998</v>
          </cell>
          <cell r="I7">
            <v>1.7683500000000003</v>
          </cell>
          <cell r="J7">
            <v>1.5565000000000002</v>
          </cell>
          <cell r="K7">
            <v>1.5567000000000002</v>
          </cell>
          <cell r="L7">
            <v>1.5015499999999999</v>
          </cell>
          <cell r="M7">
            <v>2.5778000000000003</v>
          </cell>
          <cell r="N7">
            <v>1.2878500000000002</v>
          </cell>
          <cell r="O7">
            <v>1.2878500000000002</v>
          </cell>
        </row>
        <row r="8">
          <cell r="A8" t="str">
            <v>Austria</v>
          </cell>
          <cell r="B8">
            <v>2.1433500000000003</v>
          </cell>
          <cell r="C8">
            <v>1.9473</v>
          </cell>
          <cell r="D8">
            <v>2.12385</v>
          </cell>
          <cell r="E8">
            <v>2.0796000000000006</v>
          </cell>
          <cell r="F8">
            <v>2.0789000000000004</v>
          </cell>
          <cell r="G8">
            <v>2.0846499999999999</v>
          </cell>
          <cell r="H8">
            <v>2.1764000000000001</v>
          </cell>
          <cell r="I8">
            <v>2.7294499999999999</v>
          </cell>
          <cell r="J8">
            <v>2.8405499999999999</v>
          </cell>
          <cell r="K8">
            <v>2.8970000000000002</v>
          </cell>
          <cell r="L8">
            <v>2.9148000000000005</v>
          </cell>
          <cell r="M8">
            <v>2.9090000000000003</v>
          </cell>
          <cell r="N8">
            <v>2.9290500000000002</v>
          </cell>
          <cell r="O8">
            <v>2.9290500000000002</v>
          </cell>
        </row>
        <row r="9">
          <cell r="A9" t="str">
            <v>Azerbaijan</v>
          </cell>
          <cell r="B9">
            <v>7.2430000000000003</v>
          </cell>
          <cell r="C9">
            <v>7.2897000000000007</v>
          </cell>
          <cell r="D9">
            <v>7.0153999999999996</v>
          </cell>
          <cell r="E9">
            <v>6.8818999999999999</v>
          </cell>
          <cell r="F9">
            <v>6.8544999999999998</v>
          </cell>
          <cell r="G9">
            <v>6.7954500000000007</v>
          </cell>
          <cell r="H9">
            <v>6.5238499999999995</v>
          </cell>
          <cell r="I9">
            <v>6.6362500000000004</v>
          </cell>
          <cell r="J9">
            <v>6.3351500000000014</v>
          </cell>
          <cell r="K9">
            <v>6.3460000000000001</v>
          </cell>
          <cell r="L9">
            <v>6.2068000000000003</v>
          </cell>
          <cell r="M9">
            <v>6.6192500000000001</v>
          </cell>
          <cell r="N9">
            <v>6.3878500000000003</v>
          </cell>
          <cell r="O9">
            <v>6.3878500000000003</v>
          </cell>
        </row>
        <row r="10">
          <cell r="A10" t="str">
            <v>Bahrain</v>
          </cell>
          <cell r="B10">
            <v>3.8810000000000002</v>
          </cell>
          <cell r="C10">
            <v>3.8428000000000004</v>
          </cell>
          <cell r="D10">
            <v>3.9224000000000006</v>
          </cell>
          <cell r="E10">
            <v>4.04725</v>
          </cell>
          <cell r="F10">
            <v>3.8834499999999998</v>
          </cell>
          <cell r="G10">
            <v>4.0683499999999997</v>
          </cell>
          <cell r="H10">
            <v>4.3446500000000006</v>
          </cell>
          <cell r="I10">
            <v>4.3367000000000004</v>
          </cell>
          <cell r="J10">
            <v>4.0995500000000007</v>
          </cell>
          <cell r="K10">
            <v>4.10975</v>
          </cell>
          <cell r="L10">
            <v>3.7256999999999998</v>
          </cell>
          <cell r="M10">
            <v>3.4782500000000001</v>
          </cell>
          <cell r="N10">
            <v>3.3494999999999999</v>
          </cell>
          <cell r="O10">
            <v>3.3494999999999999</v>
          </cell>
        </row>
        <row r="11">
          <cell r="A11" t="str">
            <v>Bangladesh</v>
          </cell>
          <cell r="B11">
            <v>7.5161999999999995</v>
          </cell>
          <cell r="C11">
            <v>7.7222</v>
          </cell>
          <cell r="D11">
            <v>7.5323500000000001</v>
          </cell>
          <cell r="E11">
            <v>7.6533499999999997</v>
          </cell>
          <cell r="F11">
            <v>7.7044500000000005</v>
          </cell>
          <cell r="G11">
            <v>7.6107500000000003</v>
          </cell>
          <cell r="H11">
            <v>7.334550000000001</v>
          </cell>
          <cell r="I11">
            <v>7.5829500000000003</v>
          </cell>
          <cell r="J11">
            <v>7.6181999999999999</v>
          </cell>
          <cell r="K11">
            <v>7.4379999999999997</v>
          </cell>
          <cell r="L11">
            <v>7.2736999999999998</v>
          </cell>
          <cell r="M11">
            <v>7.3106499999999999</v>
          </cell>
          <cell r="N11">
            <v>7.3351000000000006</v>
          </cell>
          <cell r="O11">
            <v>7.3351000000000006</v>
          </cell>
        </row>
        <row r="12">
          <cell r="A12" t="str">
            <v>Belarus</v>
          </cell>
          <cell r="B12">
            <v>8.0802999999999994</v>
          </cell>
          <cell r="C12">
            <v>7.8431500000000014</v>
          </cell>
          <cell r="D12">
            <v>7.7795499999999995</v>
          </cell>
          <cell r="E12">
            <v>6.5418000000000003</v>
          </cell>
          <cell r="F12">
            <v>6.48245</v>
          </cell>
          <cell r="G12">
            <v>6.2591000000000001</v>
          </cell>
          <cell r="H12">
            <v>6.2779000000000007</v>
          </cell>
          <cell r="I12">
            <v>5.7218500000000008</v>
          </cell>
          <cell r="J12">
            <v>5.5591999999999997</v>
          </cell>
          <cell r="K12">
            <v>5.4127000000000001</v>
          </cell>
          <cell r="L12">
            <v>5.8679499999999996</v>
          </cell>
          <cell r="M12">
            <v>6.6376999999999997</v>
          </cell>
          <cell r="N12">
            <v>7.5714999999999995</v>
          </cell>
          <cell r="O12">
            <v>7.5714999999999995</v>
          </cell>
        </row>
        <row r="13">
          <cell r="A13" t="str">
            <v>Belgium</v>
          </cell>
          <cell r="B13">
            <v>2.1002999999999998</v>
          </cell>
          <cell r="C13">
            <v>2.0348999999999999</v>
          </cell>
          <cell r="D13">
            <v>2.0161000000000002</v>
          </cell>
          <cell r="E13">
            <v>2.0764500000000004</v>
          </cell>
          <cell r="F13">
            <v>2.0334000000000003</v>
          </cell>
          <cell r="G13">
            <v>2.0274000000000001</v>
          </cell>
          <cell r="H13">
            <v>2.1144500000000002</v>
          </cell>
          <cell r="I13">
            <v>2.1335000000000002</v>
          </cell>
          <cell r="J13">
            <v>2.1063000000000001</v>
          </cell>
          <cell r="K13">
            <v>2.0910000000000002</v>
          </cell>
          <cell r="L13">
            <v>2.157</v>
          </cell>
          <cell r="M13">
            <v>2.0363000000000002</v>
          </cell>
          <cell r="N13">
            <v>2.0992000000000002</v>
          </cell>
          <cell r="O13">
            <v>2.0992000000000002</v>
          </cell>
        </row>
        <row r="14">
          <cell r="A14" t="str">
            <v>Benin</v>
          </cell>
          <cell r="B14">
            <v>6.1963000000000008</v>
          </cell>
          <cell r="C14">
            <v>6.6646000000000001</v>
          </cell>
          <cell r="D14">
            <v>6.6145000000000005</v>
          </cell>
          <cell r="E14">
            <v>6.8143000000000011</v>
          </cell>
          <cell r="F14">
            <v>6.9052999999999995</v>
          </cell>
          <cell r="G14">
            <v>6.7487000000000004</v>
          </cell>
          <cell r="H14">
            <v>5.9300999999999995</v>
          </cell>
          <cell r="I14">
            <v>5.8516500000000002</v>
          </cell>
          <cell r="J14">
            <v>5.6089000000000002</v>
          </cell>
          <cell r="K14">
            <v>5.509500000000001</v>
          </cell>
          <cell r="L14">
            <v>5.8686000000000007</v>
          </cell>
          <cell r="M14">
            <v>5.3459500000000002</v>
          </cell>
          <cell r="N14">
            <v>5.6218000000000004</v>
          </cell>
          <cell r="O14">
            <v>5.6218000000000004</v>
          </cell>
        </row>
        <row r="15">
          <cell r="A15" t="str">
            <v>Bhutan</v>
          </cell>
          <cell r="B15">
            <v>5.3745499999999993</v>
          </cell>
          <cell r="C15">
            <v>5.4279000000000002</v>
          </cell>
          <cell r="D15">
            <v>5.5167500000000018</v>
          </cell>
          <cell r="E15">
            <v>5.4705500000000011</v>
          </cell>
          <cell r="F15">
            <v>5.2158500000000014</v>
          </cell>
          <cell r="G15">
            <v>5.3310499999999994</v>
          </cell>
          <cell r="H15">
            <v>5.0532500000000002</v>
          </cell>
          <cell r="I15">
            <v>4.4681500000000005</v>
          </cell>
          <cell r="J15">
            <v>4.1681499999999998</v>
          </cell>
          <cell r="K15">
            <v>4.0535499999999995</v>
          </cell>
          <cell r="L15">
            <v>5.0327999999999999</v>
          </cell>
          <cell r="M15">
            <v>4.9703499999999998</v>
          </cell>
          <cell r="N15">
            <v>4.89025</v>
          </cell>
          <cell r="O15">
            <v>4.89025</v>
          </cell>
        </row>
        <row r="16">
          <cell r="A16" t="str">
            <v>Bolivia</v>
          </cell>
          <cell r="B16">
            <v>6.45655</v>
          </cell>
          <cell r="C16">
            <v>6.7735500000000002</v>
          </cell>
          <cell r="D16">
            <v>6.683250000000001</v>
          </cell>
          <cell r="E16">
            <v>6.5960000000000001</v>
          </cell>
          <cell r="F16">
            <v>6.5500500000000006</v>
          </cell>
          <cell r="G16">
            <v>6.7233999999999989</v>
          </cell>
          <cell r="H16">
            <v>6.6009500000000001</v>
          </cell>
          <cell r="I16">
            <v>6.7543000000000006</v>
          </cell>
          <cell r="J16">
            <v>7.3331</v>
          </cell>
          <cell r="K16">
            <v>6.9235500000000005</v>
          </cell>
          <cell r="L16">
            <v>7.1916500000000001</v>
          </cell>
          <cell r="M16">
            <v>7.4125000000000014</v>
          </cell>
          <cell r="N16">
            <v>7.410400000000001</v>
          </cell>
          <cell r="O16">
            <v>7.410400000000001</v>
          </cell>
        </row>
        <row r="17">
          <cell r="A17" t="str">
            <v>Bosnia and Herzegovina</v>
          </cell>
          <cell r="B17">
            <v>4.7692500000000004</v>
          </cell>
          <cell r="C17">
            <v>4.66</v>
          </cell>
          <cell r="D17">
            <v>4.7729499999999998</v>
          </cell>
          <cell r="E17">
            <v>4.7881999999999998</v>
          </cell>
          <cell r="F17">
            <v>4.9727500000000004</v>
          </cell>
          <cell r="G17">
            <v>4.9236000000000004</v>
          </cell>
          <cell r="H17">
            <v>4.8087</v>
          </cell>
          <cell r="I17">
            <v>4.7178000000000004</v>
          </cell>
          <cell r="J17">
            <v>5.1499499999999996</v>
          </cell>
          <cell r="K17">
            <v>6.2076500000000001</v>
          </cell>
          <cell r="L17">
            <v>5.6152500000000005</v>
          </cell>
          <cell r="M17">
            <v>5.8279499999999995</v>
          </cell>
          <cell r="N17">
            <v>5.7283000000000008</v>
          </cell>
          <cell r="O17">
            <v>5.7283000000000008</v>
          </cell>
        </row>
        <row r="18">
          <cell r="A18" t="str">
            <v>Botswana</v>
          </cell>
          <cell r="B18">
            <v>3.35025</v>
          </cell>
          <cell r="C18">
            <v>3.0964499999999999</v>
          </cell>
          <cell r="D18">
            <v>3.0459000000000001</v>
          </cell>
          <cell r="E18">
            <v>2.9236000000000004</v>
          </cell>
          <cell r="F18">
            <v>3.6306000000000003</v>
          </cell>
          <cell r="G18">
            <v>3.0172000000000003</v>
          </cell>
          <cell r="H18">
            <v>3.1301999999999999</v>
          </cell>
          <cell r="I18">
            <v>3.1229499999999994</v>
          </cell>
          <cell r="J18">
            <v>3.1246499999999999</v>
          </cell>
          <cell r="K18">
            <v>2.9184999999999999</v>
          </cell>
          <cell r="L18">
            <v>3.0794000000000001</v>
          </cell>
          <cell r="M18">
            <v>2.8712</v>
          </cell>
          <cell r="N18">
            <v>2.9405000000000001</v>
          </cell>
          <cell r="O18">
            <v>2.9405000000000001</v>
          </cell>
        </row>
        <row r="19">
          <cell r="A19" t="str">
            <v>Brazil</v>
          </cell>
          <cell r="B19">
            <v>4.4658999999999995</v>
          </cell>
          <cell r="C19">
            <v>4.6494</v>
          </cell>
          <cell r="D19">
            <v>4.8617500000000007</v>
          </cell>
          <cell r="E19">
            <v>5.1018499999999998</v>
          </cell>
          <cell r="F19">
            <v>5.2888000000000011</v>
          </cell>
          <cell r="G19">
            <v>4.8216500000000009</v>
          </cell>
          <cell r="H19">
            <v>4.6638000000000002</v>
          </cell>
          <cell r="I19">
            <v>4.9433500000000006</v>
          </cell>
          <cell r="J19">
            <v>5.1403499999999998</v>
          </cell>
          <cell r="K19">
            <v>5.2392500000000002</v>
          </cell>
          <cell r="L19">
            <v>5.3926500000000006</v>
          </cell>
          <cell r="M19">
            <v>5.8520000000000003</v>
          </cell>
          <cell r="N19">
            <v>5.6371500000000001</v>
          </cell>
          <cell r="O19">
            <v>5.6371500000000001</v>
          </cell>
        </row>
        <row r="20">
          <cell r="A20" t="str">
            <v>Bulgaria</v>
          </cell>
          <cell r="B20">
            <v>3.81785</v>
          </cell>
          <cell r="C20">
            <v>3.6957500000000003</v>
          </cell>
          <cell r="D20">
            <v>3.6330500000000003</v>
          </cell>
          <cell r="E20">
            <v>3.53125</v>
          </cell>
          <cell r="F20">
            <v>3.6846500000000004</v>
          </cell>
          <cell r="G20">
            <v>3.5736499999999998</v>
          </cell>
          <cell r="H20">
            <v>3.1378499999999998</v>
          </cell>
          <cell r="I20">
            <v>3.1680000000000001</v>
          </cell>
          <cell r="J20">
            <v>3.1765500000000002</v>
          </cell>
          <cell r="K20">
            <v>3.2679499999999999</v>
          </cell>
          <cell r="L20">
            <v>3.2076500000000001</v>
          </cell>
          <cell r="M20">
            <v>3.6610000000000005</v>
          </cell>
          <cell r="N20">
            <v>3.5866999999999996</v>
          </cell>
          <cell r="O20">
            <v>3.5866999999999996</v>
          </cell>
        </row>
        <row r="21">
          <cell r="A21" t="str">
            <v>Burkina Faso</v>
          </cell>
          <cell r="B21">
            <v>5.6501999999999999</v>
          </cell>
          <cell r="C21">
            <v>5.8215000000000012</v>
          </cell>
          <cell r="D21">
            <v>5.656600000000001</v>
          </cell>
          <cell r="E21">
            <v>5.84605</v>
          </cell>
          <cell r="F21">
            <v>5.8094999999999999</v>
          </cell>
          <cell r="G21">
            <v>5.4826500000000005</v>
          </cell>
          <cell r="H21">
            <v>5.2850500000000009</v>
          </cell>
          <cell r="I21">
            <v>5.2410500000000004</v>
          </cell>
          <cell r="J21">
            <v>4.7396000000000003</v>
          </cell>
          <cell r="K21">
            <v>4.9556000000000004</v>
          </cell>
          <cell r="L21">
            <v>4.8151999999999999</v>
          </cell>
          <cell r="M21">
            <v>4.7749999999999995</v>
          </cell>
          <cell r="N21">
            <v>4.8205499999999999</v>
          </cell>
          <cell r="O21">
            <v>4.8205499999999999</v>
          </cell>
        </row>
        <row r="22">
          <cell r="A22" t="str">
            <v>Burundi</v>
          </cell>
          <cell r="B22">
            <v>7.2180499999999999</v>
          </cell>
          <cell r="C22">
            <v>7.2772500000000004</v>
          </cell>
          <cell r="D22">
            <v>6.9518000000000004</v>
          </cell>
          <cell r="E22">
            <v>7.1763500000000002</v>
          </cell>
          <cell r="F22">
            <v>7.2183499999999992</v>
          </cell>
          <cell r="G22">
            <v>7.2555999999999994</v>
          </cell>
          <cell r="H22">
            <v>7.2847500000000007</v>
          </cell>
          <cell r="I22">
            <v>7.6153999999999993</v>
          </cell>
          <cell r="J22">
            <v>7.5875000000000004</v>
          </cell>
          <cell r="K22">
            <v>7.5807000000000002</v>
          </cell>
          <cell r="L22">
            <v>7.8520000000000003</v>
          </cell>
          <cell r="M22">
            <v>7.8178000000000001</v>
          </cell>
          <cell r="N22">
            <v>7.8330500000000001</v>
          </cell>
          <cell r="O22">
            <v>7.8330500000000001</v>
          </cell>
        </row>
        <row r="23">
          <cell r="A23" t="str">
            <v>Cabo Verde</v>
          </cell>
          <cell r="B23">
            <v>4.1277500000000007</v>
          </cell>
          <cell r="C23">
            <v>4.2843</v>
          </cell>
          <cell r="D23">
            <v>4.3512500000000003</v>
          </cell>
          <cell r="E23">
            <v>4.2244000000000002</v>
          </cell>
          <cell r="F23">
            <v>4.0763500000000006</v>
          </cell>
          <cell r="G23">
            <v>4.1052</v>
          </cell>
          <cell r="H23">
            <v>4.3999000000000006</v>
          </cell>
          <cell r="I23">
            <v>4.2990500000000003</v>
          </cell>
          <cell r="J23">
            <v>4.2003000000000004</v>
          </cell>
          <cell r="K23">
            <v>3.7872000000000003</v>
          </cell>
          <cell r="L23">
            <v>3.6662000000000003</v>
          </cell>
          <cell r="M23">
            <v>3.47695</v>
          </cell>
          <cell r="N23">
            <v>3.3640000000000003</v>
          </cell>
          <cell r="O23">
            <v>3.3640000000000003</v>
          </cell>
        </row>
        <row r="24">
          <cell r="A24" t="str">
            <v>Cambodia</v>
          </cell>
          <cell r="B24">
            <v>7.1260000000000003</v>
          </cell>
          <cell r="C24">
            <v>6.5931999999999995</v>
          </cell>
          <cell r="D24">
            <v>6.8390500000000003</v>
          </cell>
          <cell r="E24">
            <v>6.4949500000000002</v>
          </cell>
          <cell r="F24">
            <v>6.5300500000000001</v>
          </cell>
          <cell r="G24">
            <v>6.5013500000000013</v>
          </cell>
          <cell r="H24">
            <v>6.7293500000000002</v>
          </cell>
          <cell r="I24">
            <v>6.847150000000001</v>
          </cell>
          <cell r="J24">
            <v>6.5548500000000001</v>
          </cell>
          <cell r="K24">
            <v>6.4144000000000005</v>
          </cell>
          <cell r="L24">
            <v>6.3609999999999998</v>
          </cell>
          <cell r="M24">
            <v>6.6641999999999992</v>
          </cell>
          <cell r="N24">
            <v>6.5514499999999991</v>
          </cell>
          <cell r="O24">
            <v>6.5514499999999991</v>
          </cell>
        </row>
        <row r="25">
          <cell r="A25" t="str">
            <v>Cameroon</v>
          </cell>
          <cell r="B25">
            <v>7.8276500000000002</v>
          </cell>
          <cell r="C25">
            <v>8.1282999999999994</v>
          </cell>
          <cell r="D25">
            <v>8.0678999999999998</v>
          </cell>
          <cell r="E25">
            <v>7.9594000000000014</v>
          </cell>
          <cell r="F25">
            <v>8.0365500000000001</v>
          </cell>
          <cell r="G25">
            <v>7.8957000000000006</v>
          </cell>
          <cell r="H25">
            <v>7.7625500000000001</v>
          </cell>
          <cell r="I25">
            <v>7.8524000000000003</v>
          </cell>
          <cell r="J25">
            <v>7.8770000000000007</v>
          </cell>
          <cell r="K25">
            <v>7.7313499999999999</v>
          </cell>
          <cell r="L25">
            <v>7.8092000000000006</v>
          </cell>
          <cell r="M25">
            <v>7.6818499999999998</v>
          </cell>
          <cell r="N25">
            <v>7.6502500000000007</v>
          </cell>
          <cell r="O25">
            <v>7.6502500000000007</v>
          </cell>
        </row>
        <row r="26">
          <cell r="A26" t="str">
            <v>Canada</v>
          </cell>
          <cell r="B26">
            <v>1.7117499999999999</v>
          </cell>
          <cell r="C26">
            <v>1.6788000000000003</v>
          </cell>
          <cell r="D26">
            <v>1.6078500000000004</v>
          </cell>
          <cell r="E26">
            <v>1.5661500000000004</v>
          </cell>
          <cell r="F26">
            <v>1.7029500000000004</v>
          </cell>
          <cell r="G26">
            <v>1.9275000000000002</v>
          </cell>
          <cell r="H26">
            <v>1.5688000000000004</v>
          </cell>
          <cell r="I26">
            <v>1.6558999999999999</v>
          </cell>
          <cell r="J26">
            <v>2.0693999999999999</v>
          </cell>
          <cell r="K26">
            <v>2.0332500000000002</v>
          </cell>
          <cell r="L26">
            <v>2.0205500000000001</v>
          </cell>
          <cell r="M26">
            <v>1.97865</v>
          </cell>
          <cell r="N26">
            <v>1.9689000000000005</v>
          </cell>
          <cell r="O26">
            <v>1.9689000000000005</v>
          </cell>
        </row>
        <row r="27">
          <cell r="A27" t="str">
            <v>Central African Republic</v>
          </cell>
          <cell r="B27">
            <v>8.0157000000000007</v>
          </cell>
          <cell r="C27">
            <v>7.3389000000000006</v>
          </cell>
          <cell r="D27">
            <v>6.8485500000000004</v>
          </cell>
          <cell r="E27">
            <v>7.4878500000000017</v>
          </cell>
          <cell r="F27">
            <v>7.5889000000000006</v>
          </cell>
          <cell r="G27">
            <v>7.5280000000000014</v>
          </cell>
          <cell r="H27">
            <v>7.2725499999999998</v>
          </cell>
          <cell r="I27">
            <v>7.5112500000000004</v>
          </cell>
          <cell r="J27">
            <v>7.6096500000000002</v>
          </cell>
          <cell r="K27">
            <v>7.403649999999999</v>
          </cell>
          <cell r="L27">
            <v>7.8778000000000006</v>
          </cell>
          <cell r="M27">
            <v>7.9258499999999987</v>
          </cell>
          <cell r="N27">
            <v>7.9069000000000003</v>
          </cell>
          <cell r="O27">
            <v>7.9069000000000003</v>
          </cell>
        </row>
        <row r="28">
          <cell r="A28" t="str">
            <v>Chad</v>
          </cell>
          <cell r="B28">
            <v>8.2178000000000004</v>
          </cell>
          <cell r="C28">
            <v>8.31</v>
          </cell>
          <cell r="D28">
            <v>8.2969500000000007</v>
          </cell>
          <cell r="E28">
            <v>8.3674999999999997</v>
          </cell>
          <cell r="F28">
            <v>8.432599999999999</v>
          </cell>
          <cell r="G28">
            <v>8.4716000000000005</v>
          </cell>
          <cell r="H28">
            <v>8.2178000000000004</v>
          </cell>
          <cell r="I28">
            <v>7.9027500000000002</v>
          </cell>
          <cell r="J28">
            <v>7.9328500000000011</v>
          </cell>
          <cell r="K28">
            <v>7.7541500000000001</v>
          </cell>
          <cell r="L28">
            <v>7.9370500000000002</v>
          </cell>
          <cell r="M28">
            <v>7.8172999999999995</v>
          </cell>
          <cell r="N28">
            <v>7.8724000000000007</v>
          </cell>
          <cell r="O28">
            <v>7.8724000000000007</v>
          </cell>
        </row>
        <row r="29">
          <cell r="A29" t="str">
            <v>Chile</v>
          </cell>
          <cell r="B29">
            <v>1.8819000000000004</v>
          </cell>
          <cell r="C29">
            <v>2.2721</v>
          </cell>
          <cell r="D29">
            <v>2.1816000000000004</v>
          </cell>
          <cell r="E29">
            <v>2.2208000000000001</v>
          </cell>
          <cell r="F29">
            <v>2.3007</v>
          </cell>
          <cell r="G29">
            <v>2.1827000000000001</v>
          </cell>
          <cell r="H29">
            <v>2.2168000000000001</v>
          </cell>
          <cell r="I29">
            <v>1.8666</v>
          </cell>
          <cell r="J29">
            <v>2.0833000000000004</v>
          </cell>
          <cell r="K29">
            <v>2.1633500000000003</v>
          </cell>
          <cell r="L29">
            <v>2.5056000000000003</v>
          </cell>
          <cell r="M29">
            <v>2.4569500000000004</v>
          </cell>
          <cell r="N29">
            <v>2.5179999999999998</v>
          </cell>
          <cell r="O29">
            <v>2.5179999999999998</v>
          </cell>
        </row>
        <row r="30">
          <cell r="A30" t="str">
            <v>China</v>
          </cell>
          <cell r="B30">
            <v>6.4255000000000004</v>
          </cell>
          <cell r="C30">
            <v>6.4260000000000002</v>
          </cell>
          <cell r="D30">
            <v>6.4392000000000005</v>
          </cell>
          <cell r="E30">
            <v>6.623800000000001</v>
          </cell>
          <cell r="F30">
            <v>6.5388000000000002</v>
          </cell>
          <cell r="G30">
            <v>6.3667999999999996</v>
          </cell>
          <cell r="H30">
            <v>5.8534500000000014</v>
          </cell>
          <cell r="I30">
            <v>5.9586000000000006</v>
          </cell>
          <cell r="J30">
            <v>6.0201500000000001</v>
          </cell>
          <cell r="K30">
            <v>5.6454000000000004</v>
          </cell>
          <cell r="L30">
            <v>5.5218000000000007</v>
          </cell>
          <cell r="M30">
            <v>5.8437500000000009</v>
          </cell>
          <cell r="N30">
            <v>5.8311500000000009</v>
          </cell>
          <cell r="O30">
            <v>5.8311500000000009</v>
          </cell>
        </row>
        <row r="31">
          <cell r="A31" t="str">
            <v>Colombia</v>
          </cell>
          <cell r="B31">
            <v>4.466050000000001</v>
          </cell>
          <cell r="C31">
            <v>4.6613000000000007</v>
          </cell>
          <cell r="D31">
            <v>4.8269000000000002</v>
          </cell>
          <cell r="E31">
            <v>4.4343500000000002</v>
          </cell>
          <cell r="F31">
            <v>4.269750000000001</v>
          </cell>
          <cell r="G31">
            <v>4.3739500000000016</v>
          </cell>
          <cell r="H31">
            <v>4.2063999999999995</v>
          </cell>
          <cell r="I31">
            <v>4.1603000000000003</v>
          </cell>
          <cell r="J31">
            <v>4.30565</v>
          </cell>
          <cell r="K31">
            <v>4.1320000000000006</v>
          </cell>
          <cell r="L31">
            <v>4.1507000000000005</v>
          </cell>
          <cell r="M31">
            <v>4.2602500000000001</v>
          </cell>
          <cell r="N31">
            <v>4.4041499999999996</v>
          </cell>
          <cell r="O31">
            <v>4.4041499999999996</v>
          </cell>
        </row>
        <row r="32">
          <cell r="A32" t="str">
            <v>Comoros</v>
          </cell>
          <cell r="B32">
            <v>7.5909499999999994</v>
          </cell>
          <cell r="C32">
            <v>7.4257000000000009</v>
          </cell>
          <cell r="D32">
            <v>7.3624000000000009</v>
          </cell>
          <cell r="E32">
            <v>7.1849500000000006</v>
          </cell>
          <cell r="F32">
            <v>7.2234499999999997</v>
          </cell>
          <cell r="G32">
            <v>7.1739500000000005</v>
          </cell>
          <cell r="H32">
            <v>7.3174000000000001</v>
          </cell>
          <cell r="I32">
            <v>6.8363000000000005</v>
          </cell>
          <cell r="J32">
            <v>7.8307499999999992</v>
          </cell>
          <cell r="K32">
            <v>7.6637500000000003</v>
          </cell>
          <cell r="L32">
            <v>7.6886500000000009</v>
          </cell>
          <cell r="M32">
            <v>8.1791000000000018</v>
          </cell>
          <cell r="N32">
            <v>7.5130499999999998</v>
          </cell>
          <cell r="O32">
            <v>7.5130499999999998</v>
          </cell>
        </row>
        <row r="33">
          <cell r="A33" t="str">
            <v>Congo, Rep.</v>
          </cell>
          <cell r="B33">
            <v>8.59605</v>
          </cell>
          <cell r="C33">
            <v>8.5464000000000002</v>
          </cell>
          <cell r="D33">
            <v>8.4194500000000012</v>
          </cell>
          <cell r="E33">
            <v>8.3012499999999996</v>
          </cell>
          <cell r="F33">
            <v>8.1610000000000014</v>
          </cell>
          <cell r="G33">
            <v>8.1617499999999996</v>
          </cell>
          <cell r="H33">
            <v>7.8651</v>
          </cell>
          <cell r="I33">
            <v>8.4358000000000004</v>
          </cell>
          <cell r="J33">
            <v>8.5762499999999999</v>
          </cell>
          <cell r="K33">
            <v>8.1721000000000004</v>
          </cell>
          <cell r="L33">
            <v>8.3471499999999992</v>
          </cell>
          <cell r="M33">
            <v>8.3289999999999988</v>
          </cell>
          <cell r="N33">
            <v>8.1066000000000003</v>
          </cell>
          <cell r="O33">
            <v>8.1066000000000003</v>
          </cell>
        </row>
        <row r="34">
          <cell r="A34" t="str">
            <v>Costa Rica</v>
          </cell>
          <cell r="B34">
            <v>3.3702999999999999</v>
          </cell>
          <cell r="C34">
            <v>3.2396500000000001</v>
          </cell>
          <cell r="D34">
            <v>3.3676500000000003</v>
          </cell>
          <cell r="E34">
            <v>3.4909499999999998</v>
          </cell>
          <cell r="F34">
            <v>3.3487500000000003</v>
          </cell>
          <cell r="G34">
            <v>3.5379499999999999</v>
          </cell>
          <cell r="H34">
            <v>3.5849500000000001</v>
          </cell>
          <cell r="I34">
            <v>3.6706500000000002</v>
          </cell>
          <cell r="J34">
            <v>3.3875500000000005</v>
          </cell>
          <cell r="K34">
            <v>3.3546999999999998</v>
          </cell>
          <cell r="L34">
            <v>3.4986500000000005</v>
          </cell>
          <cell r="M34">
            <v>3.4327000000000005</v>
          </cell>
          <cell r="N34">
            <v>3.4067000000000007</v>
          </cell>
          <cell r="O34">
            <v>3.4067000000000007</v>
          </cell>
        </row>
        <row r="35">
          <cell r="A35" t="str">
            <v>Croatia</v>
          </cell>
          <cell r="B35">
            <v>3.6242000000000001</v>
          </cell>
          <cell r="C35">
            <v>3.4575000000000005</v>
          </cell>
          <cell r="D35">
            <v>3.7566000000000002</v>
          </cell>
          <cell r="E35">
            <v>4.0266000000000002</v>
          </cell>
          <cell r="F35">
            <v>4.0662000000000003</v>
          </cell>
          <cell r="G35">
            <v>4.1202000000000005</v>
          </cell>
          <cell r="H35">
            <v>3.5935999999999999</v>
          </cell>
          <cell r="I35">
            <v>3.6125500000000006</v>
          </cell>
          <cell r="J35">
            <v>3.9101000000000004</v>
          </cell>
          <cell r="K35">
            <v>4.0193499999999993</v>
          </cell>
          <cell r="L35">
            <v>3.77555</v>
          </cell>
          <cell r="M35">
            <v>3.6155000000000004</v>
          </cell>
          <cell r="N35">
            <v>3.60975</v>
          </cell>
          <cell r="O35">
            <v>3.60975</v>
          </cell>
        </row>
        <row r="36">
          <cell r="A36" t="str">
            <v>Cyprus</v>
          </cell>
          <cell r="B36">
            <v>1.9786000000000004</v>
          </cell>
          <cell r="C36">
            <v>2.0976000000000004</v>
          </cell>
          <cell r="D36">
            <v>2.3245499999999999</v>
          </cell>
          <cell r="E36">
            <v>2.3025000000000007</v>
          </cell>
          <cell r="F36">
            <v>2.2201</v>
          </cell>
          <cell r="G36">
            <v>2.3316499999999998</v>
          </cell>
          <cell r="H36">
            <v>2.4573</v>
          </cell>
          <cell r="I36">
            <v>2.6176500000000003</v>
          </cell>
          <cell r="J36">
            <v>2.5849500000000001</v>
          </cell>
          <cell r="K36">
            <v>2.5351500000000002</v>
          </cell>
          <cell r="L36">
            <v>2.6109499999999999</v>
          </cell>
          <cell r="M36">
            <v>2.62025</v>
          </cell>
          <cell r="N36">
            <v>2.6402000000000001</v>
          </cell>
          <cell r="O36">
            <v>2.6402000000000001</v>
          </cell>
        </row>
        <row r="37">
          <cell r="A37" t="str">
            <v>Czech Republic</v>
          </cell>
          <cell r="B37">
            <v>2.2845500000000003</v>
          </cell>
          <cell r="C37">
            <v>2.3691000000000004</v>
          </cell>
          <cell r="D37">
            <v>2.3786500000000004</v>
          </cell>
          <cell r="E37">
            <v>2.36355</v>
          </cell>
          <cell r="F37">
            <v>2.2268500000000007</v>
          </cell>
          <cell r="G37">
            <v>2.2178000000000004</v>
          </cell>
          <cell r="H37">
            <v>2.2109000000000001</v>
          </cell>
          <cell r="I37">
            <v>2.1014999999999997</v>
          </cell>
          <cell r="J37">
            <v>2.1331000000000002</v>
          </cell>
          <cell r="K37">
            <v>2.2117499999999999</v>
          </cell>
          <cell r="L37">
            <v>2.1727000000000003</v>
          </cell>
          <cell r="M37">
            <v>2.0077999999999996</v>
          </cell>
          <cell r="N37">
            <v>2.0197500000000002</v>
          </cell>
          <cell r="O37">
            <v>2.0197500000000002</v>
          </cell>
        </row>
        <row r="38">
          <cell r="A38" t="str">
            <v>Cote d'Ivoire</v>
          </cell>
          <cell r="B38">
            <v>7.1917499999999999</v>
          </cell>
          <cell r="C38">
            <v>7.5149500000000007</v>
          </cell>
          <cell r="D38">
            <v>7.3215999999999992</v>
          </cell>
          <cell r="E38">
            <v>6.4152000000000005</v>
          </cell>
          <cell r="F38">
            <v>6.1407500000000006</v>
          </cell>
          <cell r="G38">
            <v>6.1589499999999999</v>
          </cell>
          <cell r="H38">
            <v>5.892850000000001</v>
          </cell>
          <cell r="I38">
            <v>5.7832000000000008</v>
          </cell>
          <cell r="J38">
            <v>5.5558500000000004</v>
          </cell>
          <cell r="K38">
            <v>5.9625500000000011</v>
          </cell>
          <cell r="L38">
            <v>5.5699000000000005</v>
          </cell>
          <cell r="M38">
            <v>5.6685499999999998</v>
          </cell>
          <cell r="N38">
            <v>5.5679999999999996</v>
          </cell>
          <cell r="O38">
            <v>5.5679999999999996</v>
          </cell>
        </row>
        <row r="39">
          <cell r="A39" t="str">
            <v>Denmark</v>
          </cell>
          <cell r="B39">
            <v>2.0964499999999999</v>
          </cell>
          <cell r="C39">
            <v>2.0292500000000002</v>
          </cell>
          <cell r="D39">
            <v>2.0402</v>
          </cell>
          <cell r="E39">
            <v>2.1154000000000002</v>
          </cell>
          <cell r="F39">
            <v>2.0763000000000003</v>
          </cell>
          <cell r="G39">
            <v>2.1445499999999997</v>
          </cell>
          <cell r="H39">
            <v>2.3283999999999994</v>
          </cell>
          <cell r="I39">
            <v>2.0480999999999998</v>
          </cell>
          <cell r="J39">
            <v>2.0773000000000001</v>
          </cell>
          <cell r="K39">
            <v>2.0065000000000004</v>
          </cell>
          <cell r="L39">
            <v>2.0001000000000002</v>
          </cell>
          <cell r="M39">
            <v>1.8250000000000002</v>
          </cell>
          <cell r="N39">
            <v>1.8670500000000001</v>
          </cell>
          <cell r="O39">
            <v>1.8670500000000001</v>
          </cell>
        </row>
        <row r="40">
          <cell r="A40" t="str">
            <v>Djibouti</v>
          </cell>
          <cell r="B40">
            <v>6.5465999999999998</v>
          </cell>
          <cell r="C40">
            <v>6.4439000000000002</v>
          </cell>
          <cell r="D40">
            <v>6.5319000000000003</v>
          </cell>
          <cell r="E40">
            <v>6.7295499999999997</v>
          </cell>
          <cell r="F40">
            <v>6.86965</v>
          </cell>
          <cell r="G40">
            <v>6.9330499999999997</v>
          </cell>
          <cell r="H40">
            <v>6.7927999999999997</v>
          </cell>
          <cell r="I40">
            <v>6.9370000000000003</v>
          </cell>
          <cell r="J40">
            <v>7.6714000000000002</v>
          </cell>
          <cell r="K40">
            <v>7.0980999999999996</v>
          </cell>
          <cell r="L40">
            <v>7.3680000000000012</v>
          </cell>
          <cell r="M40">
            <v>7.5240000000000009</v>
          </cell>
          <cell r="N40">
            <v>7.4953500000000002</v>
          </cell>
          <cell r="O40">
            <v>7.4953500000000002</v>
          </cell>
        </row>
        <row r="41">
          <cell r="A41" t="str">
            <v>Dominican Republic</v>
          </cell>
          <cell r="B41">
            <v>5.289600000000001</v>
          </cell>
          <cell r="C41">
            <v>6.0325499999999996</v>
          </cell>
          <cell r="D41">
            <v>5.2030499999999993</v>
          </cell>
          <cell r="E41">
            <v>5.1702500000000011</v>
          </cell>
          <cell r="F41">
            <v>5.186300000000001</v>
          </cell>
          <cell r="G41">
            <v>5.2728000000000002</v>
          </cell>
          <cell r="H41">
            <v>5.0346000000000011</v>
          </cell>
          <cell r="I41">
            <v>4.9984500000000009</v>
          </cell>
          <cell r="J41">
            <v>4.9434000000000005</v>
          </cell>
          <cell r="K41">
            <v>4.5923000000000007</v>
          </cell>
          <cell r="L41">
            <v>4.5540000000000003</v>
          </cell>
          <cell r="M41">
            <v>4.5032500000000004</v>
          </cell>
          <cell r="N41">
            <v>4.366950000000001</v>
          </cell>
          <cell r="O41">
            <v>4.366950000000001</v>
          </cell>
        </row>
        <row r="42">
          <cell r="A42" t="str">
            <v>Ecuador</v>
          </cell>
          <cell r="B42">
            <v>7.0510000000000002</v>
          </cell>
          <cell r="C42">
            <v>7.2487000000000013</v>
          </cell>
          <cell r="D42">
            <v>7.1490500000000008</v>
          </cell>
          <cell r="E42">
            <v>7.29305</v>
          </cell>
          <cell r="F42">
            <v>7.3191000000000006</v>
          </cell>
          <cell r="G42">
            <v>7.2220000000000004</v>
          </cell>
          <cell r="H42">
            <v>6.9704500000000005</v>
          </cell>
          <cell r="I42">
            <v>6.9025000000000007</v>
          </cell>
          <cell r="J42">
            <v>6.6641000000000012</v>
          </cell>
          <cell r="K42">
            <v>6.5615000000000006</v>
          </cell>
          <cell r="L42">
            <v>6.7584999999999997</v>
          </cell>
          <cell r="M42">
            <v>6.56175</v>
          </cell>
          <cell r="N42">
            <v>6.7156000000000002</v>
          </cell>
          <cell r="O42">
            <v>6.7156000000000002</v>
          </cell>
        </row>
        <row r="43">
          <cell r="A43" t="str">
            <v>Egypt</v>
          </cell>
          <cell r="B43">
            <v>6.2888999999999999</v>
          </cell>
          <cell r="C43">
            <v>6.3738999999999999</v>
          </cell>
          <cell r="D43">
            <v>6.8891999999999998</v>
          </cell>
          <cell r="E43">
            <v>7.3552500000000007</v>
          </cell>
          <cell r="F43">
            <v>7.8973500000000003</v>
          </cell>
          <cell r="G43">
            <v>8.0219500000000004</v>
          </cell>
          <cell r="H43">
            <v>7.7653999999999996</v>
          </cell>
          <cell r="I43">
            <v>7.8303500000000001</v>
          </cell>
          <cell r="J43">
            <v>7.3267499999999997</v>
          </cell>
          <cell r="K43">
            <v>7.6140999999999996</v>
          </cell>
          <cell r="L43">
            <v>6.8735000000000008</v>
          </cell>
          <cell r="M43">
            <v>7.8974000000000002</v>
          </cell>
          <cell r="N43">
            <v>7.7228499999999993</v>
          </cell>
          <cell r="O43">
            <v>7.7228499999999993</v>
          </cell>
        </row>
        <row r="44">
          <cell r="A44" t="str">
            <v>El Salvador</v>
          </cell>
          <cell r="B44">
            <v>3.4826000000000006</v>
          </cell>
          <cell r="C44">
            <v>3.9925000000000006</v>
          </cell>
          <cell r="D44">
            <v>4.0393000000000008</v>
          </cell>
          <cell r="E44">
            <v>4.0631500000000011</v>
          </cell>
          <cell r="F44">
            <v>4.0325000000000006</v>
          </cell>
          <cell r="G44">
            <v>4.29155</v>
          </cell>
          <cell r="H44">
            <v>4.1413000000000011</v>
          </cell>
          <cell r="I44">
            <v>4.1209500000000006</v>
          </cell>
          <cell r="J44">
            <v>4.3147000000000002</v>
          </cell>
          <cell r="K44">
            <v>5.0069499999999998</v>
          </cell>
          <cell r="L44">
            <v>5.3432500000000003</v>
          </cell>
          <cell r="M44">
            <v>5.0102000000000002</v>
          </cell>
          <cell r="N44">
            <v>4.9134500000000001</v>
          </cell>
          <cell r="O44">
            <v>4.9134500000000001</v>
          </cell>
        </row>
        <row r="45">
          <cell r="A45" t="str">
            <v>Estonia</v>
          </cell>
          <cell r="B45">
            <v>2.1917499999999999</v>
          </cell>
          <cell r="C45">
            <v>2.1818</v>
          </cell>
          <cell r="D45">
            <v>2.0588000000000002</v>
          </cell>
          <cell r="E45">
            <v>1.9737000000000005</v>
          </cell>
          <cell r="F45">
            <v>1.8975000000000002</v>
          </cell>
          <cell r="G45">
            <v>1.8630500000000003</v>
          </cell>
          <cell r="H45">
            <v>1.99</v>
          </cell>
          <cell r="I45">
            <v>1.9747499999999998</v>
          </cell>
          <cell r="J45">
            <v>1.94225</v>
          </cell>
          <cell r="K45">
            <v>1.8704499999999999</v>
          </cell>
          <cell r="L45">
            <v>1.86985</v>
          </cell>
          <cell r="M45">
            <v>1.7464999999999997</v>
          </cell>
          <cell r="N45">
            <v>1.74255</v>
          </cell>
          <cell r="O45">
            <v>1.74255</v>
          </cell>
        </row>
        <row r="46">
          <cell r="A46" t="str">
            <v>Eswatini</v>
          </cell>
          <cell r="B46">
            <v>6.0619999999999994</v>
          </cell>
          <cell r="C46">
            <v>5.8327000000000009</v>
          </cell>
          <cell r="D46">
            <v>5.6718000000000002</v>
          </cell>
          <cell r="E46">
            <v>5.1812000000000005</v>
          </cell>
          <cell r="F46">
            <v>5.4364499999999998</v>
          </cell>
          <cell r="G46">
            <v>4.7230499999999997</v>
          </cell>
          <cell r="H46">
            <v>4.4906499999999996</v>
          </cell>
          <cell r="I46">
            <v>5.3687499999999995</v>
          </cell>
          <cell r="J46">
            <v>5.2251500000000002</v>
          </cell>
          <cell r="K46">
            <v>5.1008500000000003</v>
          </cell>
          <cell r="L46">
            <v>6.0969000000000007</v>
          </cell>
          <cell r="M46">
            <v>6.4006500000000006</v>
          </cell>
          <cell r="N46">
            <v>6.3179499999999997</v>
          </cell>
          <cell r="O46">
            <v>6.3179499999999997</v>
          </cell>
        </row>
        <row r="47">
          <cell r="A47" t="str">
            <v>Ethiopia</v>
          </cell>
          <cell r="B47">
            <v>7.6019500000000004</v>
          </cell>
          <cell r="C47">
            <v>7.8983500000000006</v>
          </cell>
          <cell r="D47">
            <v>7.9459500000000007</v>
          </cell>
          <cell r="E47">
            <v>7.899</v>
          </cell>
          <cell r="F47">
            <v>7.8739500000000007</v>
          </cell>
          <cell r="G47">
            <v>7.7779500000000015</v>
          </cell>
          <cell r="H47">
            <v>7.57965</v>
          </cell>
          <cell r="I47">
            <v>7.9813000000000001</v>
          </cell>
          <cell r="J47">
            <v>7.7885500000000016</v>
          </cell>
          <cell r="K47">
            <v>7.8333000000000004</v>
          </cell>
          <cell r="L47">
            <v>7.5302500000000006</v>
          </cell>
          <cell r="M47">
            <v>7.2966999999999995</v>
          </cell>
          <cell r="N47">
            <v>7.5164500000000007</v>
          </cell>
          <cell r="O47">
            <v>7.5164500000000007</v>
          </cell>
        </row>
        <row r="48">
          <cell r="A48" t="str">
            <v>Fiji</v>
          </cell>
          <cell r="B48">
            <v>5.5016500000000006</v>
          </cell>
          <cell r="C48">
            <v>5.7808000000000002</v>
          </cell>
          <cell r="D48">
            <v>5.905800000000001</v>
          </cell>
          <cell r="E48">
            <v>5.6488500000000004</v>
          </cell>
          <cell r="F48">
            <v>5.7174000000000005</v>
          </cell>
          <cell r="G48">
            <v>5.3704499999999999</v>
          </cell>
          <cell r="H48">
            <v>4.4484500000000002</v>
          </cell>
          <cell r="I48">
            <v>4.6475000000000009</v>
          </cell>
          <cell r="J48">
            <v>4.8194500000000007</v>
          </cell>
          <cell r="K48">
            <v>4.8472999999999997</v>
          </cell>
          <cell r="L48">
            <v>4.3341500000000002</v>
          </cell>
          <cell r="M48">
            <v>4.4450000000000003</v>
          </cell>
          <cell r="N48">
            <v>4.3580000000000005</v>
          </cell>
          <cell r="O48">
            <v>4.3580000000000005</v>
          </cell>
        </row>
        <row r="49">
          <cell r="A49" t="str">
            <v>Finland</v>
          </cell>
          <cell r="B49">
            <v>2.1032999999999999</v>
          </cell>
          <cell r="C49">
            <v>2.1063000000000001</v>
          </cell>
          <cell r="D49">
            <v>2.0899500000000004</v>
          </cell>
          <cell r="E49">
            <v>2.0537999999999998</v>
          </cell>
          <cell r="F49">
            <v>2.0926499999999999</v>
          </cell>
          <cell r="G49">
            <v>2.1478500000000005</v>
          </cell>
          <cell r="H49">
            <v>2.2093499999999997</v>
          </cell>
          <cell r="I49">
            <v>2.1907500000000004</v>
          </cell>
          <cell r="J49">
            <v>2.1358999999999999</v>
          </cell>
          <cell r="K49">
            <v>2.1318000000000001</v>
          </cell>
          <cell r="L49">
            <v>1.9796</v>
          </cell>
          <cell r="M49">
            <v>1.9624000000000001</v>
          </cell>
          <cell r="N49">
            <v>2.0074000000000001</v>
          </cell>
          <cell r="O49">
            <v>2.0074000000000001</v>
          </cell>
        </row>
        <row r="50">
          <cell r="A50" t="str">
            <v>France</v>
          </cell>
          <cell r="B50">
            <v>2.2739500000000001</v>
          </cell>
          <cell r="C50">
            <v>2.28485</v>
          </cell>
          <cell r="D50">
            <v>2.2947500000000001</v>
          </cell>
          <cell r="E50">
            <v>2.3529500000000003</v>
          </cell>
          <cell r="F50">
            <v>2.3250500000000005</v>
          </cell>
          <cell r="G50">
            <v>2.3789000000000002</v>
          </cell>
          <cell r="H50">
            <v>2.3418500000000004</v>
          </cell>
          <cell r="I50">
            <v>2.7528000000000001</v>
          </cell>
          <cell r="J50">
            <v>2.65645</v>
          </cell>
          <cell r="K50">
            <v>2.7256499999999999</v>
          </cell>
          <cell r="L50">
            <v>2.5568</v>
          </cell>
          <cell r="M50">
            <v>2.4201000000000001</v>
          </cell>
          <cell r="N50">
            <v>2.4989500000000002</v>
          </cell>
          <cell r="O50">
            <v>2.4989500000000002</v>
          </cell>
        </row>
        <row r="51">
          <cell r="A51" t="str">
            <v>Gabon</v>
          </cell>
          <cell r="B51">
            <v>7.1275500000000012</v>
          </cell>
          <cell r="C51">
            <v>7.1105499999999999</v>
          </cell>
          <cell r="D51">
            <v>7.2083000000000004</v>
          </cell>
          <cell r="E51">
            <v>7.237750000000001</v>
          </cell>
          <cell r="F51">
            <v>7.2973500000000007</v>
          </cell>
          <cell r="G51">
            <v>7.2726500000000005</v>
          </cell>
          <cell r="H51">
            <v>7.5436500000000013</v>
          </cell>
          <cell r="I51">
            <v>8.2560000000000002</v>
          </cell>
          <cell r="J51">
            <v>8.0864499999999992</v>
          </cell>
          <cell r="K51">
            <v>7.8301999999999996</v>
          </cell>
          <cell r="L51">
            <v>7.8890000000000011</v>
          </cell>
          <cell r="M51">
            <v>7.8466000000000005</v>
          </cell>
          <cell r="N51">
            <v>7.8668500000000003</v>
          </cell>
          <cell r="O51">
            <v>7.8668500000000003</v>
          </cell>
        </row>
        <row r="52">
          <cell r="A52" t="str">
            <v>Gambia</v>
          </cell>
          <cell r="B52">
            <v>6.8990499999999999</v>
          </cell>
          <cell r="C52">
            <v>7.1351500000000012</v>
          </cell>
          <cell r="D52">
            <v>7.353600000000001</v>
          </cell>
          <cell r="E52">
            <v>7.0873500000000007</v>
          </cell>
          <cell r="F52">
            <v>7.2492999999999999</v>
          </cell>
          <cell r="G52">
            <v>7.3077500000000004</v>
          </cell>
          <cell r="H52">
            <v>6.5122</v>
          </cell>
          <cell r="I52">
            <v>6.0723000000000003</v>
          </cell>
          <cell r="J52">
            <v>6.0671499999999998</v>
          </cell>
          <cell r="K52">
            <v>5.9541000000000004</v>
          </cell>
          <cell r="L52">
            <v>5.781950000000001</v>
          </cell>
          <cell r="M52">
            <v>5.6864500000000007</v>
          </cell>
          <cell r="N52">
            <v>5.5022500000000001</v>
          </cell>
          <cell r="O52">
            <v>5.5022500000000001</v>
          </cell>
        </row>
        <row r="53">
          <cell r="A53" t="str">
            <v>Georgia</v>
          </cell>
          <cell r="B53">
            <v>2.5040499999999999</v>
          </cell>
          <cell r="C53">
            <v>2.4422499999999996</v>
          </cell>
          <cell r="D53">
            <v>2.6459000000000001</v>
          </cell>
          <cell r="E53">
            <v>2.5602</v>
          </cell>
          <cell r="F53">
            <v>2.6674000000000007</v>
          </cell>
          <cell r="G53">
            <v>2.5023000000000004</v>
          </cell>
          <cell r="H53">
            <v>2.2837000000000001</v>
          </cell>
          <cell r="I53">
            <v>2.10595</v>
          </cell>
          <cell r="J53">
            <v>2.1901000000000002</v>
          </cell>
          <cell r="K53">
            <v>2.3896500000000001</v>
          </cell>
          <cell r="L53">
            <v>2.4090499999999997</v>
          </cell>
          <cell r="M53">
            <v>2.7497500000000001</v>
          </cell>
          <cell r="N53">
            <v>2.9165500000000004</v>
          </cell>
          <cell r="O53">
            <v>2.9165500000000004</v>
          </cell>
        </row>
        <row r="54">
          <cell r="A54" t="str">
            <v>Germany</v>
          </cell>
          <cell r="B54">
            <v>1.6002500000000002</v>
          </cell>
          <cell r="C54">
            <v>1.5510999999999999</v>
          </cell>
          <cell r="D54">
            <v>1.5035500000000002</v>
          </cell>
          <cell r="E54">
            <v>1.4531499999999999</v>
          </cell>
          <cell r="F54">
            <v>1.4515000000000002</v>
          </cell>
          <cell r="G54">
            <v>1.3667500000000001</v>
          </cell>
          <cell r="H54">
            <v>1.5571499999999998</v>
          </cell>
          <cell r="I54">
            <v>1.5904499999999999</v>
          </cell>
          <cell r="J54">
            <v>1.5659500000000002</v>
          </cell>
          <cell r="K54">
            <v>1.6836500000000001</v>
          </cell>
          <cell r="L54">
            <v>1.5665</v>
          </cell>
          <cell r="M54">
            <v>1.4570000000000001</v>
          </cell>
          <cell r="N54">
            <v>1.5540000000000003</v>
          </cell>
          <cell r="O54">
            <v>1.5540000000000003</v>
          </cell>
        </row>
        <row r="55">
          <cell r="A55" t="str">
            <v>Ghana</v>
          </cell>
          <cell r="B55">
            <v>4.6811500000000006</v>
          </cell>
          <cell r="C55">
            <v>4.7454499999999999</v>
          </cell>
          <cell r="D55">
            <v>5.0556500000000009</v>
          </cell>
          <cell r="E55">
            <v>5.2144499999999994</v>
          </cell>
          <cell r="F55">
            <v>5.3055000000000003</v>
          </cell>
          <cell r="G55">
            <v>5.1288</v>
          </cell>
          <cell r="H55">
            <v>4.9475499999999997</v>
          </cell>
          <cell r="I55">
            <v>5.3360000000000003</v>
          </cell>
          <cell r="J55">
            <v>5.2679500000000008</v>
          </cell>
          <cell r="K55">
            <v>5.0770000000000008</v>
          </cell>
          <cell r="L55">
            <v>5.1871499999999999</v>
          </cell>
          <cell r="M55">
            <v>4.9740000000000002</v>
          </cell>
          <cell r="N55">
            <v>4.998800000000001</v>
          </cell>
          <cell r="O55">
            <v>4.998800000000001</v>
          </cell>
        </row>
        <row r="56">
          <cell r="A56" t="str">
            <v>Greece</v>
          </cell>
          <cell r="B56">
            <v>3.8383500000000002</v>
          </cell>
          <cell r="C56">
            <v>3.9643000000000002</v>
          </cell>
          <cell r="D56">
            <v>4.1999000000000004</v>
          </cell>
          <cell r="E56">
            <v>4.3138000000000005</v>
          </cell>
          <cell r="F56">
            <v>4.2054000000000009</v>
          </cell>
          <cell r="G56">
            <v>4.4147500000000006</v>
          </cell>
          <cell r="H56">
            <v>4.0487000000000002</v>
          </cell>
          <cell r="I56">
            <v>3.9406000000000003</v>
          </cell>
          <cell r="J56">
            <v>3.8841999999999994</v>
          </cell>
          <cell r="K56">
            <v>3.7578999999999998</v>
          </cell>
          <cell r="L56">
            <v>3.69245</v>
          </cell>
          <cell r="M56">
            <v>3.4871499999999997</v>
          </cell>
          <cell r="N56">
            <v>3.5337999999999998</v>
          </cell>
          <cell r="O56">
            <v>3.5337999999999998</v>
          </cell>
        </row>
        <row r="57">
          <cell r="A57" t="str">
            <v>Guatemala</v>
          </cell>
          <cell r="B57">
            <v>4.7249000000000008</v>
          </cell>
          <cell r="C57">
            <v>5.0146000000000015</v>
          </cell>
          <cell r="D57">
            <v>4.4907500000000002</v>
          </cell>
          <cell r="E57">
            <v>4.5771500000000014</v>
          </cell>
          <cell r="F57">
            <v>4.7930500000000009</v>
          </cell>
          <cell r="G57">
            <v>4.8394000000000004</v>
          </cell>
          <cell r="H57">
            <v>4.63225</v>
          </cell>
          <cell r="I57">
            <v>4.3608500000000001</v>
          </cell>
          <cell r="J57">
            <v>4.7841500000000003</v>
          </cell>
          <cell r="K57">
            <v>4.8226500000000003</v>
          </cell>
          <cell r="L57">
            <v>5.1191500000000003</v>
          </cell>
          <cell r="M57">
            <v>5.1452500000000008</v>
          </cell>
          <cell r="N57">
            <v>5.1589499999999999</v>
          </cell>
          <cell r="O57">
            <v>5.1589499999999999</v>
          </cell>
        </row>
        <row r="58">
          <cell r="A58" t="str">
            <v>Guinea</v>
          </cell>
          <cell r="B58">
            <v>7.6567500000000006</v>
          </cell>
          <cell r="C58">
            <v>7.6946500000000011</v>
          </cell>
          <cell r="D58">
            <v>7.5116500000000004</v>
          </cell>
          <cell r="E58">
            <v>7.6848000000000001</v>
          </cell>
          <cell r="F58">
            <v>7.4687999999999999</v>
          </cell>
          <cell r="G58">
            <v>7.55145</v>
          </cell>
          <cell r="H58">
            <v>7.6348000000000003</v>
          </cell>
          <cell r="I58">
            <v>7.4019500000000003</v>
          </cell>
          <cell r="J58">
            <v>7.3721500000000013</v>
          </cell>
          <cell r="K58">
            <v>7.6785999999999994</v>
          </cell>
          <cell r="L58">
            <v>7.343</v>
          </cell>
          <cell r="M58">
            <v>6.9894499999999997</v>
          </cell>
          <cell r="N58">
            <v>7.3369999999999997</v>
          </cell>
          <cell r="O58">
            <v>7.3369999999999997</v>
          </cell>
        </row>
        <row r="59">
          <cell r="A59" t="str">
            <v>Guinea-Bissau</v>
          </cell>
          <cell r="B59">
            <v>7.2423000000000002</v>
          </cell>
          <cell r="C59">
            <v>7.3482500000000002</v>
          </cell>
          <cell r="D59">
            <v>7.9684500000000007</v>
          </cell>
          <cell r="E59">
            <v>7.8383999999999991</v>
          </cell>
          <cell r="F59">
            <v>7.8261000000000003</v>
          </cell>
          <cell r="G59">
            <v>8.2177500000000006</v>
          </cell>
          <cell r="H59">
            <v>7.7800499999999992</v>
          </cell>
          <cell r="I59">
            <v>7.7429499999999996</v>
          </cell>
          <cell r="J59">
            <v>7.5084</v>
          </cell>
          <cell r="K59">
            <v>7.4067499999999997</v>
          </cell>
          <cell r="L59">
            <v>6.6637500000000003</v>
          </cell>
          <cell r="M59">
            <v>7.2958500000000006</v>
          </cell>
          <cell r="N59">
            <v>7.6440999999999999</v>
          </cell>
          <cell r="O59">
            <v>7.6440999999999999</v>
          </cell>
        </row>
        <row r="60">
          <cell r="A60" t="str">
            <v>Guyana</v>
          </cell>
          <cell r="B60">
            <v>6.44895</v>
          </cell>
          <cell r="C60">
            <v>6.5229999999999997</v>
          </cell>
          <cell r="D60">
            <v>6.4699499999999999</v>
          </cell>
          <cell r="E60">
            <v>6.2811500000000011</v>
          </cell>
          <cell r="F60">
            <v>6.194</v>
          </cell>
          <cell r="G60">
            <v>6.2511000000000001</v>
          </cell>
          <cell r="H60">
            <v>6.29575</v>
          </cell>
          <cell r="I60">
            <v>5.8760500000000011</v>
          </cell>
          <cell r="J60">
            <v>5.9962</v>
          </cell>
          <cell r="K60">
            <v>5.60595</v>
          </cell>
          <cell r="L60">
            <v>5.7545500000000001</v>
          </cell>
          <cell r="M60">
            <v>5.6612000000000009</v>
          </cell>
          <cell r="N60">
            <v>6.1933000000000007</v>
          </cell>
          <cell r="O60">
            <v>6.1933000000000007</v>
          </cell>
        </row>
        <row r="61">
          <cell r="A61" t="str">
            <v>Haiti</v>
          </cell>
          <cell r="B61">
            <v>7.3302500000000004</v>
          </cell>
          <cell r="C61">
            <v>7.1976500000000012</v>
          </cell>
          <cell r="D61">
            <v>6.7832500000000007</v>
          </cell>
          <cell r="E61">
            <v>7.5259999999999998</v>
          </cell>
          <cell r="F61">
            <v>6.8513000000000011</v>
          </cell>
          <cell r="G61">
            <v>7.0958500000000004</v>
          </cell>
          <cell r="H61">
            <v>7.5832999999999995</v>
          </cell>
          <cell r="I61">
            <v>6.831500000000001</v>
          </cell>
          <cell r="J61">
            <v>7.2395000000000014</v>
          </cell>
          <cell r="K61">
            <v>7.46305</v>
          </cell>
          <cell r="L61">
            <v>7.5420000000000016</v>
          </cell>
          <cell r="M61">
            <v>7.4860000000000007</v>
          </cell>
          <cell r="N61">
            <v>7.3870499999999995</v>
          </cell>
          <cell r="O61">
            <v>7.3870499999999995</v>
          </cell>
        </row>
        <row r="62">
          <cell r="A62" t="str">
            <v>Honduras</v>
          </cell>
          <cell r="B62">
            <v>4.9717500000000001</v>
          </cell>
          <cell r="C62">
            <v>5.204600000000001</v>
          </cell>
          <cell r="D62">
            <v>5.1541499999999996</v>
          </cell>
          <cell r="E62">
            <v>5.22295</v>
          </cell>
          <cell r="F62">
            <v>5.0202499999999999</v>
          </cell>
          <cell r="G62">
            <v>5.261750000000001</v>
          </cell>
          <cell r="H62">
            <v>5.0482500000000003</v>
          </cell>
          <cell r="I62">
            <v>4.7376000000000014</v>
          </cell>
          <cell r="J62">
            <v>5.1516999999999999</v>
          </cell>
          <cell r="K62">
            <v>5.1717500000000003</v>
          </cell>
          <cell r="L62">
            <v>5.270999999999999</v>
          </cell>
          <cell r="M62">
            <v>5.2468000000000004</v>
          </cell>
          <cell r="N62">
            <v>5.2869000000000002</v>
          </cell>
          <cell r="O62">
            <v>5.2869000000000002</v>
          </cell>
        </row>
        <row r="63">
          <cell r="A63" t="str">
            <v>Hungary</v>
          </cell>
          <cell r="B63">
            <v>2.9240500000000003</v>
          </cell>
          <cell r="C63">
            <v>3.0775500000000005</v>
          </cell>
          <cell r="D63">
            <v>3.3509500000000001</v>
          </cell>
          <cell r="E63">
            <v>3.4636500000000003</v>
          </cell>
          <cell r="F63">
            <v>3.6012000000000004</v>
          </cell>
          <cell r="G63">
            <v>3.7544500000000003</v>
          </cell>
          <cell r="H63">
            <v>3.5757500000000002</v>
          </cell>
          <cell r="I63">
            <v>3.7430500000000002</v>
          </cell>
          <cell r="J63">
            <v>3.6957500000000003</v>
          </cell>
          <cell r="K63">
            <v>3.7896000000000001</v>
          </cell>
          <cell r="L63">
            <v>3.8194000000000004</v>
          </cell>
          <cell r="M63">
            <v>3.9104000000000001</v>
          </cell>
          <cell r="N63">
            <v>4.0637000000000008</v>
          </cell>
          <cell r="O63">
            <v>4.0637000000000008</v>
          </cell>
        </row>
        <row r="64">
          <cell r="A64" t="str">
            <v>Iceland</v>
          </cell>
          <cell r="B64">
            <v>2.0752000000000002</v>
          </cell>
          <cell r="C64">
            <v>2.0466000000000006</v>
          </cell>
          <cell r="D64">
            <v>1.9907500000000005</v>
          </cell>
          <cell r="E64">
            <v>1.9189000000000001</v>
          </cell>
          <cell r="F64">
            <v>2.2085499999999998</v>
          </cell>
          <cell r="G64">
            <v>2.2055500000000001</v>
          </cell>
          <cell r="H64">
            <v>1.95075</v>
          </cell>
          <cell r="I64">
            <v>1.83575</v>
          </cell>
          <cell r="J64">
            <v>1.8961000000000001</v>
          </cell>
          <cell r="K64">
            <v>1.9248000000000003</v>
          </cell>
          <cell r="L64">
            <v>1.8355500000000005</v>
          </cell>
          <cell r="M64">
            <v>1.8572000000000002</v>
          </cell>
          <cell r="N64">
            <v>3.1109499999999999</v>
          </cell>
          <cell r="O64">
            <v>3.1109499999999999</v>
          </cell>
        </row>
        <row r="65">
          <cell r="A65" t="str">
            <v>India</v>
          </cell>
          <cell r="B65">
            <v>6.2098000000000004</v>
          </cell>
          <cell r="C65">
            <v>6.3635000000000002</v>
          </cell>
          <cell r="D65">
            <v>6.37805</v>
          </cell>
          <cell r="E65">
            <v>6.2506000000000004</v>
          </cell>
          <cell r="F65">
            <v>5.7714500000000006</v>
          </cell>
          <cell r="G65">
            <v>5.4491999999999994</v>
          </cell>
          <cell r="H65">
            <v>5.1932500000000008</v>
          </cell>
          <cell r="I65">
            <v>5.2650999999999994</v>
          </cell>
          <cell r="J65">
            <v>4.6822500000000007</v>
          </cell>
          <cell r="K65">
            <v>4.5098000000000003</v>
          </cell>
          <cell r="L65">
            <v>4.4312499999999995</v>
          </cell>
          <cell r="M65">
            <v>4.5130999999999997</v>
          </cell>
          <cell r="N65">
            <v>5.0175500000000008</v>
          </cell>
          <cell r="O65">
            <v>5.0175500000000008</v>
          </cell>
        </row>
        <row r="66">
          <cell r="A66" t="str">
            <v>Indonesia</v>
          </cell>
          <cell r="B66">
            <v>5.8743499999999997</v>
          </cell>
          <cell r="C66">
            <v>5.8532000000000002</v>
          </cell>
          <cell r="D66">
            <v>5.6695000000000002</v>
          </cell>
          <cell r="E66">
            <v>5.5600000000000005</v>
          </cell>
          <cell r="F66">
            <v>5.2581500000000005</v>
          </cell>
          <cell r="G66">
            <v>5.6042500000000004</v>
          </cell>
          <cell r="H66">
            <v>5.1351500000000003</v>
          </cell>
          <cell r="I66">
            <v>5.2913000000000006</v>
          </cell>
          <cell r="J66">
            <v>4.7628500000000003</v>
          </cell>
          <cell r="K66">
            <v>5.7484500000000009</v>
          </cell>
          <cell r="L66">
            <v>4.2113500000000004</v>
          </cell>
          <cell r="M66">
            <v>4.6037999999999997</v>
          </cell>
          <cell r="N66">
            <v>4.3687500000000004</v>
          </cell>
          <cell r="O66">
            <v>4.3687500000000004</v>
          </cell>
        </row>
        <row r="67">
          <cell r="A67" t="str">
            <v>Iran</v>
          </cell>
          <cell r="B67">
            <v>8.14</v>
          </cell>
          <cell r="C67">
            <v>8.248050000000001</v>
          </cell>
          <cell r="D67">
            <v>8.2655999999999992</v>
          </cell>
          <cell r="E67">
            <v>8.2417500000000015</v>
          </cell>
          <cell r="F67">
            <v>8.0575500000000009</v>
          </cell>
          <cell r="G67">
            <v>7.91615</v>
          </cell>
          <cell r="H67">
            <v>7.5955500000000011</v>
          </cell>
          <cell r="I67">
            <v>7.8851499999999994</v>
          </cell>
          <cell r="J67">
            <v>8.0023</v>
          </cell>
          <cell r="K67">
            <v>8.03505</v>
          </cell>
          <cell r="L67">
            <v>8.1166</v>
          </cell>
          <cell r="M67">
            <v>8.0287000000000006</v>
          </cell>
          <cell r="N67">
            <v>8.1705000000000005</v>
          </cell>
          <cell r="O67">
            <v>8.1705000000000005</v>
          </cell>
        </row>
        <row r="68">
          <cell r="A68" t="str">
            <v>Iraq</v>
          </cell>
          <cell r="B68">
            <v>7.7745500000000014</v>
          </cell>
          <cell r="C68">
            <v>7.9751000000000003</v>
          </cell>
          <cell r="D68">
            <v>7.9733000000000001</v>
          </cell>
          <cell r="E68">
            <v>7.9722499999999989</v>
          </cell>
          <cell r="F68">
            <v>7.9419500000000003</v>
          </cell>
          <cell r="G68">
            <v>7.8857000000000008</v>
          </cell>
          <cell r="H68">
            <v>7.98245</v>
          </cell>
          <cell r="I68">
            <v>8.0272500000000004</v>
          </cell>
          <cell r="J68">
            <v>7.8375500000000002</v>
          </cell>
          <cell r="K68">
            <v>7.7322000000000006</v>
          </cell>
          <cell r="L68">
            <v>7.8383000000000003</v>
          </cell>
          <cell r="M68">
            <v>8.1480499999999996</v>
          </cell>
          <cell r="N68">
            <v>8.2859499999999997</v>
          </cell>
          <cell r="O68">
            <v>8.2859499999999997</v>
          </cell>
        </row>
        <row r="69">
          <cell r="A69" t="str">
            <v>Ireland</v>
          </cell>
          <cell r="B69">
            <v>2.0725499999999997</v>
          </cell>
          <cell r="C69">
            <v>2.1403500000000002</v>
          </cell>
          <cell r="D69">
            <v>2.1380500000000002</v>
          </cell>
          <cell r="E69">
            <v>2.1226000000000003</v>
          </cell>
          <cell r="F69">
            <v>2.2872000000000008</v>
          </cell>
          <cell r="G69">
            <v>2.3341000000000003</v>
          </cell>
          <cell r="H69">
            <v>2.3016999999999994</v>
          </cell>
          <cell r="I69">
            <v>2.4337499999999999</v>
          </cell>
          <cell r="J69">
            <v>2.4359000000000002</v>
          </cell>
          <cell r="K69">
            <v>2.4514</v>
          </cell>
          <cell r="L69">
            <v>2.0633000000000004</v>
          </cell>
          <cell r="M69">
            <v>2.3112000000000004</v>
          </cell>
          <cell r="N69">
            <v>2.2924000000000002</v>
          </cell>
          <cell r="O69">
            <v>2.2924000000000002</v>
          </cell>
        </row>
        <row r="70">
          <cell r="A70" t="str">
            <v>Israel</v>
          </cell>
          <cell r="B70">
            <v>2.2657000000000003</v>
          </cell>
          <cell r="C70">
            <v>2.6232999999999995</v>
          </cell>
          <cell r="D70">
            <v>2.58595</v>
          </cell>
          <cell r="E70">
            <v>2.4965999999999999</v>
          </cell>
          <cell r="F70">
            <v>2.1015000000000001</v>
          </cell>
          <cell r="G70">
            <v>2.07395</v>
          </cell>
          <cell r="H70">
            <v>2.0932500000000003</v>
          </cell>
          <cell r="I70">
            <v>2.4322999999999997</v>
          </cell>
          <cell r="J70">
            <v>2.3770500000000001</v>
          </cell>
          <cell r="K70">
            <v>2.4368999999999996</v>
          </cell>
          <cell r="L70">
            <v>2.1105499999999999</v>
          </cell>
          <cell r="M70">
            <v>2.3040000000000003</v>
          </cell>
          <cell r="N70">
            <v>2.0447500000000001</v>
          </cell>
          <cell r="O70">
            <v>2.0447500000000001</v>
          </cell>
        </row>
        <row r="71">
          <cell r="A71" t="str">
            <v>Italy</v>
          </cell>
          <cell r="B71">
            <v>2.9976000000000003</v>
          </cell>
          <cell r="C71">
            <v>3.0700500000000006</v>
          </cell>
          <cell r="D71">
            <v>3.0858000000000003</v>
          </cell>
          <cell r="E71">
            <v>3.2551500000000004</v>
          </cell>
          <cell r="F71">
            <v>3.0065500000000003</v>
          </cell>
          <cell r="G71">
            <v>3.0542000000000002</v>
          </cell>
          <cell r="H71">
            <v>2.7923499999999999</v>
          </cell>
          <cell r="I71">
            <v>2.9784500000000005</v>
          </cell>
          <cell r="J71">
            <v>3.1324500000000008</v>
          </cell>
          <cell r="K71">
            <v>3.3648500000000006</v>
          </cell>
          <cell r="L71">
            <v>3.3275000000000001</v>
          </cell>
          <cell r="M71">
            <v>3.1712500000000001</v>
          </cell>
          <cell r="N71">
            <v>3.2144000000000004</v>
          </cell>
          <cell r="O71">
            <v>3.2144000000000004</v>
          </cell>
        </row>
        <row r="72">
          <cell r="A72" t="str">
            <v>Jamaica</v>
          </cell>
          <cell r="B72">
            <v>4.5760500000000004</v>
          </cell>
          <cell r="C72">
            <v>4.6319999999999997</v>
          </cell>
          <cell r="D72">
            <v>4.3954000000000004</v>
          </cell>
          <cell r="E72">
            <v>4.5874000000000006</v>
          </cell>
          <cell r="F72">
            <v>4.5565500000000005</v>
          </cell>
          <cell r="G72">
            <v>4.4541000000000004</v>
          </cell>
          <cell r="H72">
            <v>4.1265499999999999</v>
          </cell>
          <cell r="I72">
            <v>4.6408500000000004</v>
          </cell>
          <cell r="J72">
            <v>4.0160999999999998</v>
          </cell>
          <cell r="K72">
            <v>4.0402000000000005</v>
          </cell>
          <cell r="L72">
            <v>3.7482500000000005</v>
          </cell>
          <cell r="M72">
            <v>3.6800500000000005</v>
          </cell>
          <cell r="N72">
            <v>4.4157500000000001</v>
          </cell>
          <cell r="O72">
            <v>4.4157500000000001</v>
          </cell>
        </row>
        <row r="73">
          <cell r="A73" t="str">
            <v>Japan</v>
          </cell>
          <cell r="B73">
            <v>2.0120500000000003</v>
          </cell>
          <cell r="C73">
            <v>1.9524000000000004</v>
          </cell>
          <cell r="D73">
            <v>1.9962</v>
          </cell>
          <cell r="E73">
            <v>1.9798499999999999</v>
          </cell>
          <cell r="F73">
            <v>1.9834500000000004</v>
          </cell>
          <cell r="G73">
            <v>1.9897</v>
          </cell>
          <cell r="H73">
            <v>1.9477000000000002</v>
          </cell>
          <cell r="I73">
            <v>1.9761000000000002</v>
          </cell>
          <cell r="J73">
            <v>2.8672</v>
          </cell>
          <cell r="K73">
            <v>2.8826000000000001</v>
          </cell>
          <cell r="L73">
            <v>2.8322500000000002</v>
          </cell>
          <cell r="M73">
            <v>1.8523000000000001</v>
          </cell>
          <cell r="N73">
            <v>1.8504</v>
          </cell>
          <cell r="O73">
            <v>1.8504</v>
          </cell>
        </row>
        <row r="74">
          <cell r="A74" t="str">
            <v>Jordan</v>
          </cell>
          <cell r="B74">
            <v>3.3852000000000002</v>
          </cell>
          <cell r="C74">
            <v>3.5381999999999998</v>
          </cell>
          <cell r="D74">
            <v>3.9671500000000006</v>
          </cell>
          <cell r="E74">
            <v>3.9470500000000004</v>
          </cell>
          <cell r="F74">
            <v>4.046450000000001</v>
          </cell>
          <cell r="G74">
            <v>3.8505000000000003</v>
          </cell>
          <cell r="H74">
            <v>3.5388500000000005</v>
          </cell>
          <cell r="I74">
            <v>3.3696999999999999</v>
          </cell>
          <cell r="J74">
            <v>3.4584000000000001</v>
          </cell>
          <cell r="K74">
            <v>3.4299499999999998</v>
          </cell>
          <cell r="L74">
            <v>3.63395</v>
          </cell>
          <cell r="M74">
            <v>3.6556000000000002</v>
          </cell>
          <cell r="N74">
            <v>3.6587000000000001</v>
          </cell>
          <cell r="O74">
            <v>3.6587000000000001</v>
          </cell>
        </row>
        <row r="75">
          <cell r="A75" t="str">
            <v>Kazakhstan</v>
          </cell>
          <cell r="B75">
            <v>6.6630499999999993</v>
          </cell>
          <cell r="C75">
            <v>6.0110000000000001</v>
          </cell>
          <cell r="D75">
            <v>6.2075500000000012</v>
          </cell>
          <cell r="E75">
            <v>6.0750999999999991</v>
          </cell>
          <cell r="F75">
            <v>5.9114500000000003</v>
          </cell>
          <cell r="G75">
            <v>6.1259499999999996</v>
          </cell>
          <cell r="H75">
            <v>5.31935</v>
          </cell>
          <cell r="I75">
            <v>5.3255999999999997</v>
          </cell>
          <cell r="J75">
            <v>5.71265</v>
          </cell>
          <cell r="K75">
            <v>5.5899000000000001</v>
          </cell>
          <cell r="L75">
            <v>4.9212500000000006</v>
          </cell>
          <cell r="M75">
            <v>4.9745000000000008</v>
          </cell>
          <cell r="N75">
            <v>4.9139999999999997</v>
          </cell>
          <cell r="O75">
            <v>4.9139999999999997</v>
          </cell>
        </row>
        <row r="76">
          <cell r="A76" t="str">
            <v>Kenya</v>
          </cell>
          <cell r="B76">
            <v>5.8299499999999993</v>
          </cell>
          <cell r="C76">
            <v>6.1519500000000003</v>
          </cell>
          <cell r="D76">
            <v>6.0738500000000002</v>
          </cell>
          <cell r="E76">
            <v>6.0216000000000003</v>
          </cell>
          <cell r="F76">
            <v>6.2444500000000005</v>
          </cell>
          <cell r="G76">
            <v>6.0954000000000006</v>
          </cell>
          <cell r="H76">
            <v>5.7136500000000003</v>
          </cell>
          <cell r="I76">
            <v>5.3159999999999998</v>
          </cell>
          <cell r="J76">
            <v>5.7096</v>
          </cell>
          <cell r="K76">
            <v>5.7000999999999999</v>
          </cell>
          <cell r="L76">
            <v>5.4762500000000003</v>
          </cell>
          <cell r="M76">
            <v>5.6294499999999994</v>
          </cell>
          <cell r="N76">
            <v>5.7355999999999998</v>
          </cell>
          <cell r="O76">
            <v>5.7355999999999998</v>
          </cell>
        </row>
        <row r="77">
          <cell r="A77" t="str">
            <v>Kuwait</v>
          </cell>
          <cell r="B77">
            <v>4.6273</v>
          </cell>
          <cell r="C77">
            <v>4.8712</v>
          </cell>
          <cell r="D77">
            <v>5.0043999999999995</v>
          </cell>
          <cell r="E77">
            <v>4.9608999999999996</v>
          </cell>
          <cell r="F77">
            <v>4.7670500000000002</v>
          </cell>
          <cell r="G77">
            <v>4.7273499999999995</v>
          </cell>
          <cell r="H77">
            <v>4.5941999999999998</v>
          </cell>
          <cell r="I77">
            <v>4.4750999999999994</v>
          </cell>
          <cell r="J77">
            <v>4.2477</v>
          </cell>
          <cell r="K77">
            <v>4.1597499999999998</v>
          </cell>
          <cell r="L77">
            <v>4.0282999999999998</v>
          </cell>
          <cell r="M77">
            <v>4.2225999999999999</v>
          </cell>
          <cell r="N77">
            <v>4.0535999999999994</v>
          </cell>
          <cell r="O77">
            <v>4.0535999999999994</v>
          </cell>
        </row>
        <row r="78">
          <cell r="A78" t="str">
            <v>Kyrgyz Republic</v>
          </cell>
          <cell r="B78">
            <v>6.2966500000000014</v>
          </cell>
          <cell r="C78">
            <v>6.2818000000000005</v>
          </cell>
          <cell r="D78">
            <v>5.9316999999999993</v>
          </cell>
          <cell r="E78">
            <v>5.9376000000000007</v>
          </cell>
          <cell r="F78">
            <v>6.60215</v>
          </cell>
          <cell r="G78">
            <v>5.8431500000000005</v>
          </cell>
          <cell r="H78">
            <v>5.3433500000000009</v>
          </cell>
          <cell r="I78">
            <v>5.4780500000000005</v>
          </cell>
          <cell r="J78">
            <v>5.5085499999999996</v>
          </cell>
          <cell r="K78">
            <v>5.3134999999999994</v>
          </cell>
          <cell r="L78">
            <v>5.8147000000000002</v>
          </cell>
          <cell r="M78">
            <v>6.4155500000000005</v>
          </cell>
          <cell r="N78">
            <v>6.4505499999999998</v>
          </cell>
          <cell r="O78">
            <v>6.4505499999999998</v>
          </cell>
        </row>
        <row r="79">
          <cell r="A79" t="str">
            <v>Laos</v>
          </cell>
          <cell r="B79">
            <v>7.9615500000000008</v>
          </cell>
          <cell r="C79">
            <v>8.0470500000000005</v>
          </cell>
          <cell r="D79">
            <v>7.6931500000000002</v>
          </cell>
          <cell r="E79">
            <v>7.8647500000000008</v>
          </cell>
          <cell r="F79">
            <v>7.8584999999999994</v>
          </cell>
          <cell r="G79">
            <v>7.798049999999999</v>
          </cell>
          <cell r="H79">
            <v>7.103250000000001</v>
          </cell>
          <cell r="I79">
            <v>7.6573000000000011</v>
          </cell>
          <cell r="J79">
            <v>6.8109000000000002</v>
          </cell>
          <cell r="K79">
            <v>6.7720500000000001</v>
          </cell>
          <cell r="L79">
            <v>7.2472500000000011</v>
          </cell>
          <cell r="M79">
            <v>7.1579500000000005</v>
          </cell>
          <cell r="N79">
            <v>7.1618500000000012</v>
          </cell>
          <cell r="O79">
            <v>7.1618500000000012</v>
          </cell>
        </row>
        <row r="80">
          <cell r="A80" t="str">
            <v>Latvia</v>
          </cell>
          <cell r="B80">
            <v>2.6318000000000001</v>
          </cell>
          <cell r="C80">
            <v>2.6309500000000003</v>
          </cell>
          <cell r="D80">
            <v>2.4078000000000004</v>
          </cell>
          <cell r="E80">
            <v>2.2521</v>
          </cell>
          <cell r="F80">
            <v>2.3556499999999998</v>
          </cell>
          <cell r="G80">
            <v>2.30525</v>
          </cell>
          <cell r="H80">
            <v>2.0621499999999999</v>
          </cell>
          <cell r="I80">
            <v>2.3630500000000003</v>
          </cell>
          <cell r="J80">
            <v>2.3341000000000003</v>
          </cell>
          <cell r="K80">
            <v>2.2161</v>
          </cell>
          <cell r="L80">
            <v>2.0731499999999996</v>
          </cell>
          <cell r="M80">
            <v>2.0843500000000001</v>
          </cell>
          <cell r="N80">
            <v>2.10425</v>
          </cell>
          <cell r="O80">
            <v>2.10425</v>
          </cell>
        </row>
        <row r="81">
          <cell r="A81" t="str">
            <v>Lebanon</v>
          </cell>
          <cell r="B81">
            <v>5.9374000000000002</v>
          </cell>
          <cell r="C81">
            <v>6.2106000000000003</v>
          </cell>
          <cell r="D81">
            <v>6.1913499999999999</v>
          </cell>
          <cell r="E81">
            <v>5.8260000000000005</v>
          </cell>
          <cell r="F81">
            <v>5.6165500000000002</v>
          </cell>
          <cell r="G81">
            <v>5.7728000000000002</v>
          </cell>
          <cell r="H81">
            <v>5.1421500000000009</v>
          </cell>
          <cell r="I81">
            <v>5.1509499999999999</v>
          </cell>
          <cell r="J81">
            <v>5.5351500000000007</v>
          </cell>
          <cell r="K81">
            <v>6.1201499999999998</v>
          </cell>
          <cell r="L81">
            <v>6.7170999999999994</v>
          </cell>
          <cell r="M81">
            <v>6.6136500000000007</v>
          </cell>
          <cell r="N81">
            <v>6.7293500000000011</v>
          </cell>
          <cell r="O81">
            <v>6.7293500000000011</v>
          </cell>
        </row>
        <row r="82">
          <cell r="A82" t="str">
            <v>Lesotho</v>
          </cell>
          <cell r="B82">
            <v>5.40015</v>
          </cell>
          <cell r="C82">
            <v>5.1238500000000009</v>
          </cell>
          <cell r="D82">
            <v>4.7691500000000007</v>
          </cell>
          <cell r="E82">
            <v>4.7803499999999994</v>
          </cell>
          <cell r="F82">
            <v>5.0198000000000009</v>
          </cell>
          <cell r="G82">
            <v>4.6330000000000009</v>
          </cell>
          <cell r="H82">
            <v>4.8971</v>
          </cell>
          <cell r="I82">
            <v>5.0334000000000003</v>
          </cell>
          <cell r="J82">
            <v>4.6283000000000003</v>
          </cell>
          <cell r="K82">
            <v>4.4964500000000003</v>
          </cell>
          <cell r="L82">
            <v>5.2017499999999997</v>
          </cell>
          <cell r="M82">
            <v>5.0137499999999999</v>
          </cell>
          <cell r="N82">
            <v>5.10785</v>
          </cell>
          <cell r="O82">
            <v>5.10785</v>
          </cell>
        </row>
        <row r="83">
          <cell r="A83" t="str">
            <v>Liberia</v>
          </cell>
          <cell r="B83">
            <v>6.2692500000000004</v>
          </cell>
          <cell r="C83">
            <v>6.1718500000000009</v>
          </cell>
          <cell r="D83">
            <v>5.94285</v>
          </cell>
          <cell r="E83">
            <v>5.9824000000000002</v>
          </cell>
          <cell r="F83">
            <v>5.65625</v>
          </cell>
          <cell r="G83">
            <v>5.8218500000000004</v>
          </cell>
          <cell r="H83">
            <v>6.5290499999999998</v>
          </cell>
          <cell r="I83">
            <v>6.42265</v>
          </cell>
          <cell r="J83">
            <v>7.1620000000000008</v>
          </cell>
          <cell r="K83">
            <v>6.86015</v>
          </cell>
          <cell r="L83">
            <v>7.0469500000000007</v>
          </cell>
          <cell r="M83">
            <v>6.7888000000000011</v>
          </cell>
          <cell r="N83">
            <v>6.254900000000001</v>
          </cell>
          <cell r="O83">
            <v>6.254900000000001</v>
          </cell>
        </row>
        <row r="84">
          <cell r="A84" t="str">
            <v>Libya</v>
          </cell>
          <cell r="B84">
            <v>6.9222999999999999</v>
          </cell>
          <cell r="C84">
            <v>6.8815000000000008</v>
          </cell>
          <cell r="D84">
            <v>6.874550000000001</v>
          </cell>
          <cell r="E84">
            <v>7.9944500000000005</v>
          </cell>
          <cell r="F84">
            <v>7.9539499999999999</v>
          </cell>
          <cell r="G84">
            <v>8.0229499999999998</v>
          </cell>
          <cell r="H84">
            <v>7.8766499999999997</v>
          </cell>
          <cell r="I84">
            <v>7.9616500000000006</v>
          </cell>
          <cell r="J84">
            <v>8.058250000000001</v>
          </cell>
          <cell r="K84">
            <v>7.80145</v>
          </cell>
          <cell r="L84">
            <v>7.9535499999999999</v>
          </cell>
          <cell r="M84">
            <v>8.0774000000000008</v>
          </cell>
          <cell r="N84">
            <v>8.0676500000000004</v>
          </cell>
          <cell r="O84">
            <v>8.0676500000000004</v>
          </cell>
        </row>
        <row r="85">
          <cell r="A85" t="str">
            <v>Lithuania</v>
          </cell>
          <cell r="B85">
            <v>2.4345500000000002</v>
          </cell>
          <cell r="C85">
            <v>2.3184500000000003</v>
          </cell>
          <cell r="D85">
            <v>2.2765</v>
          </cell>
          <cell r="E85">
            <v>2.2125999999999997</v>
          </cell>
          <cell r="F85">
            <v>2.1688000000000001</v>
          </cell>
          <cell r="G85">
            <v>2.1439500000000002</v>
          </cell>
          <cell r="H85">
            <v>2.1688499999999999</v>
          </cell>
          <cell r="I85">
            <v>2.2289000000000003</v>
          </cell>
          <cell r="J85">
            <v>2.0099499999999999</v>
          </cell>
          <cell r="K85">
            <v>2.1555500000000003</v>
          </cell>
          <cell r="L85">
            <v>2.0757000000000003</v>
          </cell>
          <cell r="M85">
            <v>2.0911500000000003</v>
          </cell>
          <cell r="N85">
            <v>2.0835000000000004</v>
          </cell>
          <cell r="O85">
            <v>2.0835000000000004</v>
          </cell>
        </row>
        <row r="86">
          <cell r="A86" t="str">
            <v>Luxembourg</v>
          </cell>
          <cell r="B86">
            <v>1.6655500000000003</v>
          </cell>
          <cell r="C86">
            <v>1.6894000000000007</v>
          </cell>
          <cell r="D86">
            <v>1.5666000000000007</v>
          </cell>
          <cell r="E86">
            <v>1.6138500000000005</v>
          </cell>
          <cell r="F86">
            <v>1.7389500000000002</v>
          </cell>
          <cell r="G86">
            <v>1.7299000000000002</v>
          </cell>
          <cell r="H86">
            <v>1.6518000000000004</v>
          </cell>
          <cell r="I86">
            <v>1.57805</v>
          </cell>
          <cell r="J86">
            <v>1.5819500000000004</v>
          </cell>
          <cell r="K86">
            <v>1.6557500000000001</v>
          </cell>
          <cell r="L86">
            <v>1.5738000000000001</v>
          </cell>
          <cell r="M86">
            <v>1.5002000000000004</v>
          </cell>
          <cell r="N86">
            <v>1.4497500000000003</v>
          </cell>
          <cell r="O86">
            <v>1.4497500000000003</v>
          </cell>
        </row>
        <row r="87">
          <cell r="A87" t="str">
            <v>Madagascar</v>
          </cell>
          <cell r="B87">
            <v>5.4229000000000003</v>
          </cell>
          <cell r="C87">
            <v>5.6641500000000011</v>
          </cell>
          <cell r="D87">
            <v>5.7645500000000007</v>
          </cell>
          <cell r="E87">
            <v>5.6717000000000004</v>
          </cell>
          <cell r="F87">
            <v>6.0602999999999998</v>
          </cell>
          <cell r="G87">
            <v>5.9664500000000009</v>
          </cell>
          <cell r="H87">
            <v>6.0260499999999997</v>
          </cell>
          <cell r="I87">
            <v>6.4675000000000011</v>
          </cell>
          <cell r="J87">
            <v>6.7856500000000004</v>
          </cell>
          <cell r="K87">
            <v>6.3317499999999995</v>
          </cell>
          <cell r="L87">
            <v>6.6077500000000011</v>
          </cell>
          <cell r="M87">
            <v>6.2561</v>
          </cell>
          <cell r="N87">
            <v>6.2081499999999998</v>
          </cell>
          <cell r="O87">
            <v>6.2081499999999998</v>
          </cell>
        </row>
        <row r="88">
          <cell r="A88" t="str">
            <v>Malaysia</v>
          </cell>
          <cell r="B88">
            <v>4.4010499999999997</v>
          </cell>
          <cell r="C88">
            <v>4.3174000000000001</v>
          </cell>
          <cell r="D88">
            <v>4.1646999999999998</v>
          </cell>
          <cell r="E88">
            <v>4.0432000000000006</v>
          </cell>
          <cell r="F88">
            <v>4.806</v>
          </cell>
          <cell r="G88">
            <v>3.9867500000000002</v>
          </cell>
          <cell r="H88">
            <v>3.7878000000000007</v>
          </cell>
          <cell r="I88">
            <v>3.3591499999999996</v>
          </cell>
          <cell r="J88">
            <v>3.7002000000000006</v>
          </cell>
          <cell r="K88">
            <v>3.6922999999999995</v>
          </cell>
          <cell r="L88">
            <v>3.6543000000000001</v>
          </cell>
          <cell r="M88">
            <v>3.4607000000000001</v>
          </cell>
          <cell r="N88">
            <v>3.4188000000000001</v>
          </cell>
          <cell r="O88">
            <v>3.4188000000000001</v>
          </cell>
        </row>
        <row r="89">
          <cell r="A89" t="str">
            <v>Malawi</v>
          </cell>
          <cell r="B89">
            <v>5.5122499999999999</v>
          </cell>
          <cell r="C89">
            <v>6.1113000000000008</v>
          </cell>
          <cell r="D89">
            <v>5.8216500000000009</v>
          </cell>
          <cell r="E89">
            <v>5.9936500000000006</v>
          </cell>
          <cell r="F89">
            <v>5.9695</v>
          </cell>
          <cell r="G89">
            <v>5.9086000000000007</v>
          </cell>
          <cell r="H89">
            <v>6.2920000000000007</v>
          </cell>
          <cell r="I89">
            <v>5.8809500000000012</v>
          </cell>
          <cell r="J89">
            <v>5.6636500000000005</v>
          </cell>
          <cell r="K89">
            <v>5.3900500000000005</v>
          </cell>
          <cell r="L89">
            <v>5.2672000000000008</v>
          </cell>
          <cell r="M89">
            <v>5.4213000000000005</v>
          </cell>
          <cell r="N89">
            <v>5.5164000000000009</v>
          </cell>
          <cell r="O89">
            <v>5.5164000000000009</v>
          </cell>
        </row>
        <row r="90">
          <cell r="A90" t="str">
            <v>Mali</v>
          </cell>
          <cell r="B90">
            <v>5.4713000000000003</v>
          </cell>
          <cell r="C90">
            <v>5.8335499999999998</v>
          </cell>
          <cell r="D90">
            <v>6.0554500000000004</v>
          </cell>
          <cell r="E90">
            <v>6.1137500000000005</v>
          </cell>
          <cell r="F90">
            <v>6.0125999999999999</v>
          </cell>
          <cell r="G90">
            <v>6.6302500000000002</v>
          </cell>
          <cell r="H90">
            <v>6.4212500000000015</v>
          </cell>
          <cell r="I90">
            <v>6.2531500000000007</v>
          </cell>
          <cell r="J90">
            <v>6.1142000000000003</v>
          </cell>
          <cell r="K90">
            <v>6.3142500000000013</v>
          </cell>
          <cell r="L90">
            <v>6.313600000000001</v>
          </cell>
          <cell r="M90">
            <v>6.2181500000000014</v>
          </cell>
          <cell r="N90">
            <v>6.2593000000000014</v>
          </cell>
          <cell r="O90">
            <v>6.2593000000000014</v>
          </cell>
        </row>
        <row r="91">
          <cell r="A91" t="str">
            <v>Malta</v>
          </cell>
          <cell r="B91">
            <v>2.7510999999999997</v>
          </cell>
          <cell r="C91">
            <v>2.7105999999999999</v>
          </cell>
          <cell r="D91">
            <v>2.7349500000000004</v>
          </cell>
          <cell r="E91">
            <v>2.8391500000000005</v>
          </cell>
          <cell r="F91">
            <v>2.8260000000000001</v>
          </cell>
          <cell r="G91">
            <v>2.9617499999999999</v>
          </cell>
          <cell r="H91">
            <v>2.9936499999999997</v>
          </cell>
          <cell r="I91">
            <v>3.0972999999999997</v>
          </cell>
          <cell r="J91">
            <v>3.3003499999999999</v>
          </cell>
          <cell r="K91">
            <v>3.0199000000000007</v>
          </cell>
          <cell r="L91">
            <v>3.2819500000000001</v>
          </cell>
          <cell r="M91">
            <v>3.2290000000000001</v>
          </cell>
          <cell r="N91">
            <v>3.3325499999999999</v>
          </cell>
          <cell r="O91">
            <v>3.3325499999999999</v>
          </cell>
        </row>
        <row r="92">
          <cell r="A92" t="str">
            <v>Mauritania</v>
          </cell>
          <cell r="B92">
            <v>7.1417500000000009</v>
          </cell>
          <cell r="C92">
            <v>6.9882000000000009</v>
          </cell>
          <cell r="D92">
            <v>7.3902000000000001</v>
          </cell>
          <cell r="E92">
            <v>7.386849999999999</v>
          </cell>
          <cell r="F92">
            <v>7.4178000000000006</v>
          </cell>
          <cell r="G92">
            <v>7.243100000000001</v>
          </cell>
          <cell r="H92">
            <v>7.432900000000001</v>
          </cell>
          <cell r="I92">
            <v>7.6752000000000002</v>
          </cell>
          <cell r="J92">
            <v>7.6154500000000009</v>
          </cell>
          <cell r="K92">
            <v>7.4665499999999998</v>
          </cell>
          <cell r="L92">
            <v>7.5300500000000019</v>
          </cell>
          <cell r="M92">
            <v>7.6172999999999993</v>
          </cell>
          <cell r="N92">
            <v>7.2205000000000004</v>
          </cell>
          <cell r="O92">
            <v>7.2205000000000004</v>
          </cell>
        </row>
        <row r="93">
          <cell r="A93" t="str">
            <v>Mauritius</v>
          </cell>
          <cell r="B93">
            <v>2.1793000000000005</v>
          </cell>
          <cell r="C93">
            <v>2.1688500000000004</v>
          </cell>
          <cell r="D93">
            <v>2.4739000000000004</v>
          </cell>
          <cell r="E93">
            <v>2.3705500000000006</v>
          </cell>
          <cell r="F93">
            <v>2.2461500000000005</v>
          </cell>
          <cell r="G93">
            <v>2.2722000000000002</v>
          </cell>
          <cell r="H93">
            <v>2.2816500000000004</v>
          </cell>
          <cell r="I93">
            <v>2.21225</v>
          </cell>
          <cell r="J93">
            <v>2.2552500000000006</v>
          </cell>
          <cell r="K93">
            <v>2.0467500000000003</v>
          </cell>
          <cell r="L93">
            <v>2.206</v>
          </cell>
          <cell r="M93">
            <v>1.9930499999999998</v>
          </cell>
          <cell r="N93">
            <v>2.0898500000000002</v>
          </cell>
          <cell r="O93">
            <v>2.0898500000000002</v>
          </cell>
        </row>
        <row r="94">
          <cell r="A94" t="str">
            <v>Mexico</v>
          </cell>
          <cell r="B94">
            <v>5.0646000000000004</v>
          </cell>
          <cell r="C94">
            <v>5.1931500000000019</v>
          </cell>
          <cell r="D94">
            <v>5.5217500000000008</v>
          </cell>
          <cell r="E94">
            <v>4.1779000000000002</v>
          </cell>
          <cell r="F94">
            <v>4.3899000000000008</v>
          </cell>
          <cell r="G94">
            <v>4.7096999999999998</v>
          </cell>
          <cell r="H94">
            <v>5.6711499999999999</v>
          </cell>
          <cell r="I94">
            <v>4.5940000000000003</v>
          </cell>
          <cell r="J94">
            <v>5.0876999999999999</v>
          </cell>
          <cell r="K94">
            <v>4.7246500000000005</v>
          </cell>
          <cell r="L94">
            <v>5.3411499999999998</v>
          </cell>
          <cell r="M94">
            <v>5.4902499999999996</v>
          </cell>
          <cell r="N94">
            <v>5.4986000000000006</v>
          </cell>
          <cell r="O94">
            <v>5.4986000000000006</v>
          </cell>
        </row>
        <row r="95">
          <cell r="A95" t="str">
            <v>Mongolia</v>
          </cell>
          <cell r="B95">
            <v>5.5238000000000005</v>
          </cell>
          <cell r="C95">
            <v>5.2413000000000007</v>
          </cell>
          <cell r="D95">
            <v>5.1667000000000005</v>
          </cell>
          <cell r="E95">
            <v>5.4099000000000004</v>
          </cell>
          <cell r="F95">
            <v>5.2108500000000006</v>
          </cell>
          <cell r="G95">
            <v>5.5649499999999996</v>
          </cell>
          <cell r="H95">
            <v>4.7272500000000006</v>
          </cell>
          <cell r="I95">
            <v>4.5719500000000002</v>
          </cell>
          <cell r="J95">
            <v>4.876100000000001</v>
          </cell>
          <cell r="K95">
            <v>4.8914499999999999</v>
          </cell>
          <cell r="L95">
            <v>4.935150000000001</v>
          </cell>
          <cell r="M95">
            <v>4.9794</v>
          </cell>
          <cell r="N95">
            <v>4.9544000000000006</v>
          </cell>
          <cell r="O95">
            <v>4.9544000000000006</v>
          </cell>
        </row>
        <row r="96">
          <cell r="A96" t="str">
            <v>Morocco</v>
          </cell>
          <cell r="B96">
            <v>5.4007500000000004</v>
          </cell>
          <cell r="C96">
            <v>5.4609500000000013</v>
          </cell>
          <cell r="D96">
            <v>6.1551500000000008</v>
          </cell>
          <cell r="E96">
            <v>5.7460500000000003</v>
          </cell>
          <cell r="F96">
            <v>5.3153000000000006</v>
          </cell>
          <cell r="G96">
            <v>5.1215500000000009</v>
          </cell>
          <cell r="H96">
            <v>4.7605500000000003</v>
          </cell>
          <cell r="I96">
            <v>5.0296500000000002</v>
          </cell>
          <cell r="J96">
            <v>5.1140999999999996</v>
          </cell>
          <cell r="K96">
            <v>5.0047000000000006</v>
          </cell>
          <cell r="L96">
            <v>5.8695000000000004</v>
          </cell>
          <cell r="M96">
            <v>5.2219000000000007</v>
          </cell>
          <cell r="N96">
            <v>5.4579500000000003</v>
          </cell>
          <cell r="O96">
            <v>5.4579500000000003</v>
          </cell>
        </row>
        <row r="97">
          <cell r="A97" t="str">
            <v>Mozambique</v>
          </cell>
          <cell r="B97">
            <v>5.8887000000000009</v>
          </cell>
          <cell r="C97">
            <v>5.8971499999999999</v>
          </cell>
          <cell r="D97">
            <v>5.9029999999999996</v>
          </cell>
          <cell r="E97">
            <v>5.9685500000000014</v>
          </cell>
          <cell r="F97">
            <v>6.0805499999999988</v>
          </cell>
          <cell r="G97">
            <v>7.25265</v>
          </cell>
          <cell r="H97">
            <v>6.4139999999999997</v>
          </cell>
          <cell r="I97">
            <v>6.5976499999999998</v>
          </cell>
          <cell r="J97">
            <v>6.5484000000000009</v>
          </cell>
          <cell r="K97">
            <v>6.5861499999999999</v>
          </cell>
          <cell r="L97">
            <v>7.5735500000000009</v>
          </cell>
          <cell r="M97">
            <v>7.4711499999999997</v>
          </cell>
          <cell r="N97">
            <v>7.396300000000001</v>
          </cell>
          <cell r="O97">
            <v>7.396300000000001</v>
          </cell>
        </row>
        <row r="98">
          <cell r="A98" t="str">
            <v>Namibia</v>
          </cell>
          <cell r="B98">
            <v>4.4618500000000001</v>
          </cell>
          <cell r="C98">
            <v>4.3790500000000003</v>
          </cell>
          <cell r="D98">
            <v>4.4747500000000002</v>
          </cell>
          <cell r="E98">
            <v>4.4793500000000002</v>
          </cell>
          <cell r="F98">
            <v>5.0820000000000007</v>
          </cell>
          <cell r="G98">
            <v>4.569</v>
          </cell>
          <cell r="H98">
            <v>4.3131500000000003</v>
          </cell>
          <cell r="I98">
            <v>4.1032500000000001</v>
          </cell>
          <cell r="J98">
            <v>3.9811500000000004</v>
          </cell>
          <cell r="K98">
            <v>4.00725</v>
          </cell>
          <cell r="L98">
            <v>4.4015000000000004</v>
          </cell>
          <cell r="M98">
            <v>4.3502500000000008</v>
          </cell>
          <cell r="N98">
            <v>4.3960999999999997</v>
          </cell>
          <cell r="O98">
            <v>4.3960999999999997</v>
          </cell>
        </row>
        <row r="99">
          <cell r="A99" t="str">
            <v>Nepal</v>
          </cell>
          <cell r="B99">
            <v>7.1691500000000001</v>
          </cell>
          <cell r="C99">
            <v>7.1996000000000002</v>
          </cell>
          <cell r="D99">
            <v>6.9589000000000008</v>
          </cell>
          <cell r="E99">
            <v>6.8038499999999988</v>
          </cell>
          <cell r="F99">
            <v>6.8125</v>
          </cell>
          <cell r="G99">
            <v>6.9752500000000008</v>
          </cell>
          <cell r="H99">
            <v>6.1962500000000009</v>
          </cell>
          <cell r="I99">
            <v>6.4944499999999996</v>
          </cell>
          <cell r="J99">
            <v>6.7692000000000005</v>
          </cell>
          <cell r="K99">
            <v>6.6801000000000004</v>
          </cell>
          <cell r="L99">
            <v>6.2843500000000008</v>
          </cell>
          <cell r="M99">
            <v>6.5716999999999999</v>
          </cell>
          <cell r="N99">
            <v>6.5827000000000009</v>
          </cell>
          <cell r="O99">
            <v>6.5827000000000009</v>
          </cell>
        </row>
        <row r="100">
          <cell r="A100" t="str">
            <v>Netherlands</v>
          </cell>
          <cell r="B100">
            <v>1.7515000000000003</v>
          </cell>
          <cell r="C100">
            <v>1.7889000000000004</v>
          </cell>
          <cell r="D100">
            <v>1.7808000000000004</v>
          </cell>
          <cell r="E100">
            <v>1.7833500000000004</v>
          </cell>
          <cell r="F100">
            <v>1.8006000000000002</v>
          </cell>
          <cell r="G100">
            <v>1.7316000000000003</v>
          </cell>
          <cell r="H100">
            <v>1.8868</v>
          </cell>
          <cell r="I100">
            <v>1.8506500000000004</v>
          </cell>
          <cell r="J100">
            <v>1.8533500000000003</v>
          </cell>
          <cell r="K100">
            <v>1.8719999999999999</v>
          </cell>
          <cell r="L100">
            <v>1.8314500000000002</v>
          </cell>
          <cell r="M100">
            <v>1.7706499999999998</v>
          </cell>
          <cell r="N100">
            <v>1.8175000000000003</v>
          </cell>
          <cell r="O100">
            <v>1.8175000000000003</v>
          </cell>
        </row>
        <row r="101">
          <cell r="A101" t="str">
            <v>New Zealand</v>
          </cell>
          <cell r="B101">
            <v>1.1523500000000002</v>
          </cell>
          <cell r="C101">
            <v>1.1481000000000003</v>
          </cell>
          <cell r="D101">
            <v>1.1746500000000004</v>
          </cell>
          <cell r="E101">
            <v>1.19475</v>
          </cell>
          <cell r="F101">
            <v>1.25345</v>
          </cell>
          <cell r="G101">
            <v>1.2354500000000002</v>
          </cell>
          <cell r="H101">
            <v>1.0396500000000004</v>
          </cell>
          <cell r="I101">
            <v>1.1037000000000001</v>
          </cell>
          <cell r="J101">
            <v>0.95255000000000023</v>
          </cell>
          <cell r="K101">
            <v>1.1255000000000002</v>
          </cell>
          <cell r="L101">
            <v>2.5529500000000005</v>
          </cell>
          <cell r="M101">
            <v>2.4998500000000003</v>
          </cell>
          <cell r="N101">
            <v>2.54325</v>
          </cell>
          <cell r="O101">
            <v>2.54325</v>
          </cell>
        </row>
        <row r="102">
          <cell r="A102" t="str">
            <v>Nicaragua</v>
          </cell>
          <cell r="B102">
            <v>5.6680000000000001</v>
          </cell>
          <cell r="C102">
            <v>5.63415</v>
          </cell>
          <cell r="D102">
            <v>5.5256999999999996</v>
          </cell>
          <cell r="E102">
            <v>5.7945000000000002</v>
          </cell>
          <cell r="F102">
            <v>6.4001500000000009</v>
          </cell>
          <cell r="G102">
            <v>6.5410000000000013</v>
          </cell>
          <cell r="H102">
            <v>6.6670499999999997</v>
          </cell>
          <cell r="I102">
            <v>6.9940500000000005</v>
          </cell>
          <cell r="J102">
            <v>7.0430499999999991</v>
          </cell>
          <cell r="K102">
            <v>7.073900000000001</v>
          </cell>
          <cell r="L102">
            <v>7.5383500000000003</v>
          </cell>
          <cell r="M102">
            <v>7.5532000000000004</v>
          </cell>
          <cell r="N102">
            <v>7.79155</v>
          </cell>
          <cell r="O102">
            <v>7.79155</v>
          </cell>
        </row>
        <row r="103">
          <cell r="A103" t="str">
            <v>Niger</v>
          </cell>
          <cell r="B103">
            <v>6.3207000000000013</v>
          </cell>
          <cell r="C103">
            <v>6.6571000000000007</v>
          </cell>
          <cell r="D103">
            <v>6.4525000000000006</v>
          </cell>
          <cell r="E103">
            <v>6.4843500000000001</v>
          </cell>
          <cell r="F103">
            <v>6.5756499999999996</v>
          </cell>
          <cell r="G103">
            <v>6.4827000000000004</v>
          </cell>
          <cell r="H103">
            <v>6.0314500000000004</v>
          </cell>
          <cell r="I103">
            <v>6.6938000000000013</v>
          </cell>
          <cell r="J103">
            <v>6.2882000000000007</v>
          </cell>
          <cell r="K103">
            <v>6.0071500000000002</v>
          </cell>
          <cell r="L103">
            <v>6.492</v>
          </cell>
          <cell r="M103">
            <v>6.6248999999999993</v>
          </cell>
          <cell r="N103">
            <v>6.650850000000001</v>
          </cell>
          <cell r="O103">
            <v>6.650850000000001</v>
          </cell>
        </row>
        <row r="104">
          <cell r="A104" t="str">
            <v>Nigeria</v>
          </cell>
          <cell r="B104">
            <v>6.7004999999999999</v>
          </cell>
          <cell r="C104">
            <v>6.7904999999999998</v>
          </cell>
          <cell r="D104">
            <v>6.5820999999999996</v>
          </cell>
          <cell r="E104">
            <v>6.6649000000000003</v>
          </cell>
          <cell r="F104">
            <v>6.7318500000000006</v>
          </cell>
          <cell r="G104">
            <v>6.7203499999999998</v>
          </cell>
          <cell r="H104">
            <v>6.5900500000000015</v>
          </cell>
          <cell r="I104">
            <v>6.4677500000000006</v>
          </cell>
          <cell r="J104">
            <v>6.6525499999999997</v>
          </cell>
          <cell r="K104">
            <v>6.6008500000000003</v>
          </cell>
          <cell r="L104">
            <v>6.3863000000000012</v>
          </cell>
          <cell r="M104">
            <v>6.6912500000000001</v>
          </cell>
          <cell r="N104">
            <v>6.482050000000001</v>
          </cell>
          <cell r="O104">
            <v>6.482050000000001</v>
          </cell>
        </row>
        <row r="105">
          <cell r="A105" t="str">
            <v>North Macedonia</v>
          </cell>
          <cell r="B105">
            <v>3.3692500000000005</v>
          </cell>
          <cell r="C105">
            <v>3.2598500000000006</v>
          </cell>
          <cell r="D105">
            <v>3.37</v>
          </cell>
          <cell r="E105">
            <v>3.1989999999999998</v>
          </cell>
          <cell r="F105">
            <v>3.4404000000000003</v>
          </cell>
          <cell r="G105">
            <v>3.6869000000000005</v>
          </cell>
          <cell r="H105">
            <v>3.4660000000000002</v>
          </cell>
          <cell r="I105">
            <v>3.1168</v>
          </cell>
          <cell r="J105">
            <v>3.7871500000000005</v>
          </cell>
          <cell r="K105">
            <v>3.6446000000000001</v>
          </cell>
          <cell r="L105">
            <v>3.525100000000001</v>
          </cell>
          <cell r="M105">
            <v>3.4066000000000001</v>
          </cell>
          <cell r="N105">
            <v>3.4048000000000003</v>
          </cell>
          <cell r="O105">
            <v>3.4048000000000003</v>
          </cell>
        </row>
        <row r="106">
          <cell r="A106" t="str">
            <v>Norway</v>
          </cell>
          <cell r="B106">
            <v>1.9996500000000004</v>
          </cell>
          <cell r="C106">
            <v>1.9954499999999999</v>
          </cell>
          <cell r="D106">
            <v>1.8984000000000001</v>
          </cell>
          <cell r="E106">
            <v>1.8544499999999999</v>
          </cell>
          <cell r="F106">
            <v>1.9218</v>
          </cell>
          <cell r="G106">
            <v>2.20635</v>
          </cell>
          <cell r="H106">
            <v>1.6511500000000003</v>
          </cell>
          <cell r="I106">
            <v>1.6187000000000005</v>
          </cell>
          <cell r="J106">
            <v>2.2327000000000004</v>
          </cell>
          <cell r="K106">
            <v>2.1925500000000002</v>
          </cell>
          <cell r="L106">
            <v>2.2321</v>
          </cell>
          <cell r="M106">
            <v>1.8709000000000002</v>
          </cell>
          <cell r="N106">
            <v>1.6813000000000002</v>
          </cell>
          <cell r="O106">
            <v>1.6813000000000002</v>
          </cell>
        </row>
        <row r="107">
          <cell r="A107" t="str">
            <v>Oman</v>
          </cell>
          <cell r="B107">
            <v>3.9695499999999999</v>
          </cell>
          <cell r="C107">
            <v>3.7818499999999995</v>
          </cell>
          <cell r="D107">
            <v>3.8748500000000003</v>
          </cell>
          <cell r="E107">
            <v>3.6722000000000001</v>
          </cell>
          <cell r="F107">
            <v>3.6757999999999997</v>
          </cell>
          <cell r="G107">
            <v>3.3662000000000001</v>
          </cell>
          <cell r="H107">
            <v>3.39595</v>
          </cell>
          <cell r="I107">
            <v>3.5447499999999996</v>
          </cell>
          <cell r="J107">
            <v>3.1389000000000005</v>
          </cell>
          <cell r="K107">
            <v>3.4274000000000004</v>
          </cell>
          <cell r="L107">
            <v>3.7806500000000001</v>
          </cell>
          <cell r="M107">
            <v>3.87175</v>
          </cell>
          <cell r="N107">
            <v>3.6669500000000004</v>
          </cell>
          <cell r="O107">
            <v>3.6669500000000004</v>
          </cell>
        </row>
        <row r="108">
          <cell r="A108" t="str">
            <v>Papua New Guinea</v>
          </cell>
          <cell r="B108">
            <v>6.0885000000000007</v>
          </cell>
          <cell r="C108">
            <v>6.0310500000000005</v>
          </cell>
          <cell r="D108">
            <v>6.24</v>
          </cell>
          <cell r="E108">
            <v>6.1213500000000005</v>
          </cell>
          <cell r="F108">
            <v>6.346750000000001</v>
          </cell>
          <cell r="G108">
            <v>6.3290000000000006</v>
          </cell>
          <cell r="H108">
            <v>5.9403500000000005</v>
          </cell>
          <cell r="I108">
            <v>6.0046499999999998</v>
          </cell>
          <cell r="J108">
            <v>6.9948000000000006</v>
          </cell>
          <cell r="K108">
            <v>5.8642000000000003</v>
          </cell>
          <cell r="L108">
            <v>6.8817500000000011</v>
          </cell>
          <cell r="M108">
            <v>6.8640000000000017</v>
          </cell>
          <cell r="N108">
            <v>5.9145000000000012</v>
          </cell>
          <cell r="O108">
            <v>5.9145000000000012</v>
          </cell>
        </row>
        <row r="109">
          <cell r="A109" t="str">
            <v>Pakistan</v>
          </cell>
          <cell r="B109">
            <v>6.8914999999999997</v>
          </cell>
          <cell r="C109">
            <v>7.1409000000000011</v>
          </cell>
          <cell r="D109">
            <v>7.149350000000001</v>
          </cell>
          <cell r="E109">
            <v>7.2196000000000007</v>
          </cell>
          <cell r="F109">
            <v>7.0104000000000006</v>
          </cell>
          <cell r="G109">
            <v>7.0267499999999998</v>
          </cell>
          <cell r="H109">
            <v>6.6268499999999992</v>
          </cell>
          <cell r="I109">
            <v>6.6470499999999992</v>
          </cell>
          <cell r="J109">
            <v>6.8803999999999998</v>
          </cell>
          <cell r="K109">
            <v>6.8860000000000001</v>
          </cell>
          <cell r="L109">
            <v>6.9219500000000007</v>
          </cell>
          <cell r="M109">
            <v>7.1728500000000004</v>
          </cell>
          <cell r="N109">
            <v>7.1770500000000004</v>
          </cell>
          <cell r="O109">
            <v>7.1770500000000004</v>
          </cell>
        </row>
        <row r="110">
          <cell r="A110" t="str">
            <v>Panama</v>
          </cell>
          <cell r="B110">
            <v>4.4282500000000002</v>
          </cell>
          <cell r="C110">
            <v>4.5166000000000013</v>
          </cell>
          <cell r="D110">
            <v>4.6229000000000005</v>
          </cell>
          <cell r="E110">
            <v>4.6026499999999997</v>
          </cell>
          <cell r="F110">
            <v>4.3126499999999997</v>
          </cell>
          <cell r="G110">
            <v>4.4774000000000003</v>
          </cell>
          <cell r="H110">
            <v>4.4093499999999999</v>
          </cell>
          <cell r="I110">
            <v>4.6043500000000011</v>
          </cell>
          <cell r="J110">
            <v>4.5377500000000008</v>
          </cell>
          <cell r="K110">
            <v>4.5703000000000005</v>
          </cell>
          <cell r="L110">
            <v>4.5501499999999995</v>
          </cell>
          <cell r="M110">
            <v>4.5679500000000006</v>
          </cell>
          <cell r="N110">
            <v>4.5897500000000004</v>
          </cell>
          <cell r="O110">
            <v>4.5897500000000004</v>
          </cell>
        </row>
        <row r="111">
          <cell r="A111" t="str">
            <v>Paraguay</v>
          </cell>
          <cell r="B111">
            <v>5.2416500000000017</v>
          </cell>
          <cell r="C111">
            <v>5.1795</v>
          </cell>
          <cell r="D111">
            <v>5.56135</v>
          </cell>
          <cell r="E111">
            <v>5.5964499999999999</v>
          </cell>
          <cell r="F111">
            <v>5.2464000000000004</v>
          </cell>
          <cell r="G111">
            <v>5.3112000000000004</v>
          </cell>
          <cell r="H111">
            <v>5.1705500000000013</v>
          </cell>
          <cell r="I111">
            <v>5.0373000000000001</v>
          </cell>
          <cell r="J111">
            <v>5.0987</v>
          </cell>
          <cell r="K111">
            <v>5.0997000000000003</v>
          </cell>
          <cell r="L111">
            <v>4.9460999999999995</v>
          </cell>
          <cell r="M111">
            <v>4.87195</v>
          </cell>
          <cell r="N111">
            <v>4.7814999999999994</v>
          </cell>
          <cell r="O111">
            <v>4.7814999999999994</v>
          </cell>
        </row>
        <row r="112">
          <cell r="A112" t="str">
            <v>Peru</v>
          </cell>
          <cell r="B112">
            <v>3.8439500000000004</v>
          </cell>
          <cell r="C112">
            <v>3.9604000000000008</v>
          </cell>
          <cell r="D112">
            <v>4.0269500000000011</v>
          </cell>
          <cell r="E112">
            <v>3.9126000000000003</v>
          </cell>
          <cell r="F112">
            <v>4.0349500000000011</v>
          </cell>
          <cell r="G112">
            <v>3.9324000000000008</v>
          </cell>
          <cell r="H112">
            <v>3.4899000000000004</v>
          </cell>
          <cell r="I112">
            <v>3.5748000000000006</v>
          </cell>
          <cell r="J112">
            <v>3.5007500000000009</v>
          </cell>
          <cell r="K112">
            <v>3.4159500000000005</v>
          </cell>
          <cell r="L112">
            <v>3.8856500000000009</v>
          </cell>
          <cell r="M112">
            <v>4.0239500000000001</v>
          </cell>
          <cell r="N112">
            <v>3.9266000000000001</v>
          </cell>
          <cell r="O112">
            <v>3.9266000000000001</v>
          </cell>
        </row>
        <row r="113">
          <cell r="A113" t="str">
            <v>Philippines</v>
          </cell>
          <cell r="B113">
            <v>5.2988</v>
          </cell>
          <cell r="C113">
            <v>5.0480500000000008</v>
          </cell>
          <cell r="D113">
            <v>4.9227500000000006</v>
          </cell>
          <cell r="E113">
            <v>4.8959500000000009</v>
          </cell>
          <cell r="F113">
            <v>4.983200000000001</v>
          </cell>
          <cell r="G113">
            <v>5.1075499999999998</v>
          </cell>
          <cell r="H113">
            <v>4.7529000000000003</v>
          </cell>
          <cell r="I113">
            <v>5.3729000000000005</v>
          </cell>
          <cell r="J113">
            <v>4.6596500000000001</v>
          </cell>
          <cell r="K113">
            <v>4.3192500000000003</v>
          </cell>
          <cell r="L113">
            <v>4.4566500000000007</v>
          </cell>
          <cell r="M113">
            <v>4.7344000000000008</v>
          </cell>
          <cell r="N113">
            <v>4.6015000000000006</v>
          </cell>
          <cell r="O113">
            <v>4.6015000000000006</v>
          </cell>
        </row>
        <row r="114">
          <cell r="A114" t="str">
            <v>Poland</v>
          </cell>
          <cell r="B114">
            <v>2.6597500000000003</v>
          </cell>
          <cell r="C114">
            <v>2.5747</v>
          </cell>
          <cell r="D114">
            <v>2.5523500000000001</v>
          </cell>
          <cell r="E114">
            <v>2.5137999999999998</v>
          </cell>
          <cell r="F114">
            <v>2.5956000000000001</v>
          </cell>
          <cell r="G114">
            <v>2.6496500000000003</v>
          </cell>
          <cell r="H114">
            <v>3.0772499999999998</v>
          </cell>
          <cell r="I114">
            <v>3.1157000000000004</v>
          </cell>
          <cell r="J114">
            <v>2.9308500000000004</v>
          </cell>
          <cell r="K114">
            <v>3.0390000000000001</v>
          </cell>
          <cell r="L114">
            <v>3.2306999999999997</v>
          </cell>
          <cell r="M114">
            <v>3.1848000000000001</v>
          </cell>
          <cell r="N114">
            <v>3.1518000000000006</v>
          </cell>
          <cell r="O114">
            <v>3.1518000000000006</v>
          </cell>
        </row>
        <row r="115">
          <cell r="A115" t="str">
            <v>Portugal</v>
          </cell>
          <cell r="B115">
            <v>2.8777500000000003</v>
          </cell>
          <cell r="C115">
            <v>2.8630000000000009</v>
          </cell>
          <cell r="D115">
            <v>2.5804500000000008</v>
          </cell>
          <cell r="E115">
            <v>2.6380500000000002</v>
          </cell>
          <cell r="F115">
            <v>2.5375500000000009</v>
          </cell>
          <cell r="G115">
            <v>2.6901000000000006</v>
          </cell>
          <cell r="H115">
            <v>2.48075</v>
          </cell>
          <cell r="I115">
            <v>2.5987500000000003</v>
          </cell>
          <cell r="J115">
            <v>2.5971500000000005</v>
          </cell>
          <cell r="K115">
            <v>2.6507000000000001</v>
          </cell>
          <cell r="L115">
            <v>2.6315999999999997</v>
          </cell>
          <cell r="M115">
            <v>2.6158000000000001</v>
          </cell>
          <cell r="N115">
            <v>2.6967500000000002</v>
          </cell>
          <cell r="O115">
            <v>2.6967500000000002</v>
          </cell>
        </row>
        <row r="116">
          <cell r="A116" t="str">
            <v>Qatar</v>
          </cell>
          <cell r="B116">
            <v>3.6643000000000008</v>
          </cell>
          <cell r="C116">
            <v>3.3802499999999998</v>
          </cell>
          <cell r="D116">
            <v>3.2505000000000002</v>
          </cell>
          <cell r="E116">
            <v>3.4186500000000004</v>
          </cell>
          <cell r="F116">
            <v>3.0926</v>
          </cell>
          <cell r="G116">
            <v>3.2404999999999999</v>
          </cell>
          <cell r="H116">
            <v>3.4064000000000005</v>
          </cell>
          <cell r="I116">
            <v>3.3082000000000003</v>
          </cell>
          <cell r="J116">
            <v>3.1739000000000006</v>
          </cell>
          <cell r="K116">
            <v>3.0787999999999998</v>
          </cell>
          <cell r="L116">
            <v>3.1965500000000002</v>
          </cell>
          <cell r="M116">
            <v>3.1595000000000004</v>
          </cell>
          <cell r="N116">
            <v>3.0857999999999999</v>
          </cell>
          <cell r="O116">
            <v>3.0857999999999999</v>
          </cell>
        </row>
        <row r="117">
          <cell r="A117" t="str">
            <v>South Korea</v>
          </cell>
          <cell r="B117">
            <v>3.9389000000000003</v>
          </cell>
          <cell r="C117">
            <v>3.3960499999999998</v>
          </cell>
          <cell r="D117">
            <v>3.5204000000000004</v>
          </cell>
          <cell r="E117">
            <v>3.5463000000000005</v>
          </cell>
          <cell r="F117">
            <v>3.5469500000000003</v>
          </cell>
          <cell r="G117">
            <v>3.4591500000000002</v>
          </cell>
          <cell r="H117">
            <v>3.2026000000000003</v>
          </cell>
          <cell r="I117">
            <v>3.8837000000000006</v>
          </cell>
          <cell r="J117">
            <v>3.8214500000000005</v>
          </cell>
          <cell r="K117">
            <v>3.8459000000000003</v>
          </cell>
          <cell r="L117">
            <v>2.7939500000000002</v>
          </cell>
          <cell r="M117">
            <v>2.8198500000000002</v>
          </cell>
          <cell r="N117">
            <v>2.8557500000000005</v>
          </cell>
          <cell r="O117">
            <v>2.8557500000000005</v>
          </cell>
        </row>
        <row r="118">
          <cell r="A118" t="str">
            <v>Moldova</v>
          </cell>
          <cell r="B118">
            <v>5.7876000000000003</v>
          </cell>
          <cell r="C118">
            <v>4.9919500000000001</v>
          </cell>
          <cell r="D118">
            <v>6.0221000000000009</v>
          </cell>
          <cell r="E118">
            <v>6.0936500000000002</v>
          </cell>
          <cell r="F118">
            <v>5.4719500000000005</v>
          </cell>
          <cell r="G118">
            <v>5.9253500000000008</v>
          </cell>
          <cell r="H118">
            <v>6.1099500000000004</v>
          </cell>
          <cell r="I118">
            <v>5.2025000000000006</v>
          </cell>
          <cell r="J118">
            <v>4.7785000000000011</v>
          </cell>
          <cell r="K118">
            <v>4.6252500000000003</v>
          </cell>
          <cell r="L118">
            <v>4.2626500000000007</v>
          </cell>
          <cell r="M118">
            <v>3.8479500000000004</v>
          </cell>
          <cell r="N118">
            <v>4.0051500000000004</v>
          </cell>
          <cell r="O118">
            <v>4.0051500000000004</v>
          </cell>
        </row>
        <row r="119">
          <cell r="A119" t="str">
            <v>Romania</v>
          </cell>
          <cell r="B119">
            <v>3.8315500000000005</v>
          </cell>
          <cell r="C119">
            <v>3.8828000000000005</v>
          </cell>
          <cell r="D119">
            <v>3.8039000000000005</v>
          </cell>
          <cell r="E119">
            <v>3.8337500000000002</v>
          </cell>
          <cell r="F119">
            <v>3.8519999999999999</v>
          </cell>
          <cell r="G119">
            <v>3.7536500000000004</v>
          </cell>
          <cell r="H119">
            <v>3.4536500000000001</v>
          </cell>
          <cell r="I119">
            <v>3.4752000000000001</v>
          </cell>
          <cell r="J119">
            <v>3.5079000000000002</v>
          </cell>
          <cell r="K119">
            <v>3.4632000000000005</v>
          </cell>
          <cell r="L119">
            <v>3.52685</v>
          </cell>
          <cell r="M119">
            <v>3.3568000000000002</v>
          </cell>
          <cell r="N119">
            <v>3.4020999999999999</v>
          </cell>
          <cell r="O119">
            <v>3.4020999999999999</v>
          </cell>
        </row>
        <row r="120">
          <cell r="A120" t="str">
            <v>Russia</v>
          </cell>
          <cell r="B120">
            <v>6.6628500000000006</v>
          </cell>
          <cell r="C120">
            <v>6.8081000000000005</v>
          </cell>
          <cell r="D120">
            <v>6.3588500000000003</v>
          </cell>
          <cell r="E120">
            <v>6.6624000000000008</v>
          </cell>
          <cell r="F120">
            <v>6.735850000000001</v>
          </cell>
          <cell r="G120">
            <v>6.556</v>
          </cell>
          <cell r="H120">
            <v>6.3592000000000013</v>
          </cell>
          <cell r="I120">
            <v>6.2291000000000007</v>
          </cell>
          <cell r="J120">
            <v>6.0037500000000001</v>
          </cell>
          <cell r="K120">
            <v>5.8608999999999991</v>
          </cell>
          <cell r="L120">
            <v>5.9602500000000003</v>
          </cell>
          <cell r="M120">
            <v>6.9243500000000004</v>
          </cell>
          <cell r="N120">
            <v>6.8967500000000008</v>
          </cell>
          <cell r="O120">
            <v>6.8967500000000008</v>
          </cell>
        </row>
        <row r="121">
          <cell r="A121" t="str">
            <v>Rwanda</v>
          </cell>
          <cell r="B121">
            <v>5.1678499999999996</v>
          </cell>
          <cell r="C121">
            <v>5.0939000000000005</v>
          </cell>
          <cell r="D121">
            <v>5.1867000000000001</v>
          </cell>
          <cell r="E121">
            <v>5.0054499999999997</v>
          </cell>
          <cell r="F121">
            <v>5.7055499999999997</v>
          </cell>
          <cell r="G121">
            <v>5.5282499999999999</v>
          </cell>
          <cell r="H121">
            <v>5.2710499999999998</v>
          </cell>
          <cell r="I121">
            <v>5.2997499999999995</v>
          </cell>
          <cell r="J121">
            <v>5.3321500000000004</v>
          </cell>
          <cell r="K121">
            <v>5.37845</v>
          </cell>
          <cell r="L121">
            <v>5.0714500000000005</v>
          </cell>
          <cell r="M121">
            <v>4.9819000000000004</v>
          </cell>
          <cell r="N121">
            <v>5.318950000000001</v>
          </cell>
          <cell r="O121">
            <v>5.318950000000001</v>
          </cell>
        </row>
        <row r="122">
          <cell r="A122" t="str">
            <v>Saudi Arabia</v>
          </cell>
          <cell r="B122">
            <v>4.4564000000000004</v>
          </cell>
          <cell r="C122">
            <v>4.3443500000000004</v>
          </cell>
          <cell r="D122">
            <v>4.4966999999999997</v>
          </cell>
          <cell r="E122">
            <v>4.6345499999999999</v>
          </cell>
          <cell r="F122">
            <v>4.4463500000000007</v>
          </cell>
          <cell r="G122">
            <v>4.3162500000000001</v>
          </cell>
          <cell r="H122">
            <v>4.1722000000000001</v>
          </cell>
          <cell r="I122">
            <v>4.2759</v>
          </cell>
          <cell r="J122">
            <v>4.3241499999999995</v>
          </cell>
          <cell r="K122">
            <v>4.0203000000000007</v>
          </cell>
          <cell r="L122">
            <v>3.74335</v>
          </cell>
          <cell r="M122">
            <v>3.9788500000000004</v>
          </cell>
          <cell r="N122">
            <v>3.8713000000000006</v>
          </cell>
          <cell r="O122">
            <v>3.8713000000000006</v>
          </cell>
        </row>
        <row r="123">
          <cell r="A123" t="str">
            <v>Senegal</v>
          </cell>
          <cell r="B123">
            <v>5.972900000000001</v>
          </cell>
          <cell r="C123">
            <v>5.7661999999999995</v>
          </cell>
          <cell r="D123">
            <v>5.4145500000000011</v>
          </cell>
          <cell r="E123">
            <v>5.4039999999999999</v>
          </cell>
          <cell r="F123">
            <v>5.2940500000000004</v>
          </cell>
          <cell r="G123">
            <v>5.144400000000001</v>
          </cell>
          <cell r="H123">
            <v>4.9691999999999998</v>
          </cell>
          <cell r="I123">
            <v>5.0720500000000008</v>
          </cell>
          <cell r="J123">
            <v>5.2231500000000013</v>
          </cell>
          <cell r="K123">
            <v>5.3227000000000002</v>
          </cell>
          <cell r="L123">
            <v>5.1958500000000001</v>
          </cell>
          <cell r="M123">
            <v>5.1874000000000002</v>
          </cell>
          <cell r="N123">
            <v>5.2336500000000008</v>
          </cell>
          <cell r="O123">
            <v>5.2336500000000008</v>
          </cell>
        </row>
        <row r="124">
          <cell r="A124" t="str">
            <v>Serbia</v>
          </cell>
          <cell r="B124">
            <v>4.3381500000000006</v>
          </cell>
          <cell r="C124">
            <v>4.2921000000000005</v>
          </cell>
          <cell r="D124">
            <v>4.2839</v>
          </cell>
          <cell r="E124">
            <v>4.1757</v>
          </cell>
          <cell r="F124">
            <v>4.23325</v>
          </cell>
          <cell r="G124">
            <v>4.3722500000000002</v>
          </cell>
          <cell r="H124">
            <v>4.3675500000000005</v>
          </cell>
          <cell r="I124">
            <v>3.7735500000000006</v>
          </cell>
          <cell r="J124">
            <v>4.2616499999999995</v>
          </cell>
          <cell r="K124">
            <v>4.3424999999999994</v>
          </cell>
          <cell r="L124">
            <v>4.0962500000000004</v>
          </cell>
          <cell r="M124">
            <v>3.9653</v>
          </cell>
          <cell r="N124">
            <v>4.0232500000000009</v>
          </cell>
          <cell r="O124">
            <v>4.0232500000000009</v>
          </cell>
        </row>
        <row r="125">
          <cell r="A125" t="str">
            <v>Sierra Leone</v>
          </cell>
          <cell r="B125">
            <v>6.9208500000000006</v>
          </cell>
          <cell r="C125">
            <v>7.1904000000000012</v>
          </cell>
          <cell r="D125">
            <v>7.6604000000000001</v>
          </cell>
          <cell r="E125">
            <v>7.6936499999999999</v>
          </cell>
          <cell r="F125">
            <v>7.8722000000000003</v>
          </cell>
          <cell r="G125">
            <v>7.4913499999999997</v>
          </cell>
          <cell r="H125">
            <v>6.7996500000000006</v>
          </cell>
          <cell r="I125">
            <v>6.3648500000000006</v>
          </cell>
          <cell r="J125">
            <v>6.3941999999999997</v>
          </cell>
          <cell r="K125">
            <v>6.5925500000000001</v>
          </cell>
          <cell r="L125">
            <v>6.756450000000001</v>
          </cell>
          <cell r="M125">
            <v>6.4222000000000001</v>
          </cell>
          <cell r="N125">
            <v>6.5779499999999995</v>
          </cell>
          <cell r="O125">
            <v>6.5779499999999995</v>
          </cell>
        </row>
        <row r="126">
          <cell r="A126" t="str">
            <v>Singapore</v>
          </cell>
          <cell r="B126">
            <v>3.7822500000000003</v>
          </cell>
          <cell r="C126">
            <v>3.7291500000000006</v>
          </cell>
          <cell r="D126">
            <v>3.6469500000000004</v>
          </cell>
          <cell r="E126">
            <v>3.6757499999999999</v>
          </cell>
          <cell r="F126">
            <v>3.6563999999999997</v>
          </cell>
          <cell r="G126">
            <v>3.6115500000000003</v>
          </cell>
          <cell r="H126">
            <v>3.4304499999999996</v>
          </cell>
          <cell r="I126">
            <v>3.4924499999999998</v>
          </cell>
          <cell r="J126">
            <v>2.1246499999999999</v>
          </cell>
          <cell r="K126">
            <v>2.1628500000000002</v>
          </cell>
          <cell r="L126">
            <v>2.1747500000000004</v>
          </cell>
          <cell r="M126">
            <v>2.1969500000000002</v>
          </cell>
          <cell r="N126">
            <v>2.1790000000000003</v>
          </cell>
          <cell r="O126">
            <v>2.1790000000000003</v>
          </cell>
        </row>
        <row r="127">
          <cell r="A127" t="str">
            <v>Slovakia</v>
          </cell>
          <cell r="B127">
            <v>2.6324500000000004</v>
          </cell>
          <cell r="C127">
            <v>2.6685500000000002</v>
          </cell>
          <cell r="D127">
            <v>2.8394000000000004</v>
          </cell>
          <cell r="E127">
            <v>2.8546000000000005</v>
          </cell>
          <cell r="F127">
            <v>2.9601500000000005</v>
          </cell>
          <cell r="G127">
            <v>2.7886000000000002</v>
          </cell>
          <cell r="H127">
            <v>2.7307000000000001</v>
          </cell>
          <cell r="I127">
            <v>2.7722000000000002</v>
          </cell>
          <cell r="J127">
            <v>2.7071000000000005</v>
          </cell>
          <cell r="K127">
            <v>2.7687499999999998</v>
          </cell>
          <cell r="L127">
            <v>2.5885500000000001</v>
          </cell>
          <cell r="M127">
            <v>2.4180999999999999</v>
          </cell>
          <cell r="N127">
            <v>2.5732500000000007</v>
          </cell>
          <cell r="O127">
            <v>2.5732500000000007</v>
          </cell>
        </row>
        <row r="128">
          <cell r="A128" t="str">
            <v>Slovenia</v>
          </cell>
          <cell r="B128">
            <v>3.1414999999999997</v>
          </cell>
          <cell r="C128">
            <v>3.2314000000000003</v>
          </cell>
          <cell r="D128">
            <v>3.3116500000000002</v>
          </cell>
          <cell r="E128">
            <v>3.3104500000000003</v>
          </cell>
          <cell r="F128">
            <v>3.3146500000000003</v>
          </cell>
          <cell r="G128">
            <v>3.2143499999999996</v>
          </cell>
          <cell r="H128">
            <v>3.1594500000000001</v>
          </cell>
          <cell r="I128">
            <v>3.1680000000000001</v>
          </cell>
          <cell r="J128">
            <v>2.9889500000000004</v>
          </cell>
          <cell r="K128">
            <v>3.1939500000000001</v>
          </cell>
          <cell r="L128">
            <v>3.30185</v>
          </cell>
          <cell r="M128">
            <v>3.2139999999999995</v>
          </cell>
          <cell r="N128">
            <v>3.2536000000000005</v>
          </cell>
          <cell r="O128">
            <v>3.2536000000000005</v>
          </cell>
        </row>
        <row r="129">
          <cell r="A129" t="str">
            <v>South Africa</v>
          </cell>
          <cell r="B129">
            <v>3.7237500000000003</v>
          </cell>
          <cell r="C129">
            <v>3.8330500000000001</v>
          </cell>
          <cell r="D129">
            <v>3.8714500000000007</v>
          </cell>
          <cell r="E129">
            <v>3.8859000000000008</v>
          </cell>
          <cell r="F129">
            <v>4.05375</v>
          </cell>
          <cell r="G129">
            <v>4.03085</v>
          </cell>
          <cell r="H129">
            <v>3.8619500000000002</v>
          </cell>
          <cell r="I129">
            <v>4.2741500000000006</v>
          </cell>
          <cell r="J129">
            <v>4.0870500000000005</v>
          </cell>
          <cell r="K129">
            <v>4.2257499999999997</v>
          </cell>
          <cell r="L129">
            <v>4.2110500000000002</v>
          </cell>
          <cell r="M129">
            <v>4.5416000000000007</v>
          </cell>
          <cell r="N129">
            <v>4.5202499999999999</v>
          </cell>
          <cell r="O129">
            <v>4.5202499999999999</v>
          </cell>
        </row>
        <row r="130">
          <cell r="A130" t="str">
            <v>Spain</v>
          </cell>
          <cell r="B130">
            <v>2.0489000000000002</v>
          </cell>
          <cell r="C130">
            <v>2.2653000000000008</v>
          </cell>
          <cell r="D130">
            <v>2.4439000000000002</v>
          </cell>
          <cell r="E130">
            <v>2.5489999999999999</v>
          </cell>
          <cell r="F130">
            <v>2.5949</v>
          </cell>
          <cell r="G130">
            <v>2.5155500000000002</v>
          </cell>
          <cell r="H130">
            <v>2.7340500000000003</v>
          </cell>
          <cell r="I130">
            <v>2.6218500000000002</v>
          </cell>
          <cell r="J130">
            <v>2.5831000000000004</v>
          </cell>
          <cell r="K130">
            <v>2.5258000000000003</v>
          </cell>
          <cell r="L130">
            <v>2.5399500000000002</v>
          </cell>
          <cell r="M130">
            <v>2.2181500000000005</v>
          </cell>
          <cell r="N130">
            <v>2.2796000000000007</v>
          </cell>
          <cell r="O130">
            <v>2.2796000000000007</v>
          </cell>
        </row>
        <row r="131">
          <cell r="A131" t="str">
            <v>Sri Lanka</v>
          </cell>
          <cell r="B131">
            <v>5.6316999999999995</v>
          </cell>
          <cell r="C131">
            <v>5.3710500000000003</v>
          </cell>
          <cell r="D131">
            <v>5.4358000000000004</v>
          </cell>
          <cell r="E131">
            <v>5.5588000000000006</v>
          </cell>
          <cell r="F131">
            <v>5.6404499999999995</v>
          </cell>
          <cell r="G131">
            <v>5.5225999999999997</v>
          </cell>
          <cell r="H131">
            <v>5.4406500000000007</v>
          </cell>
          <cell r="I131">
            <v>4.9541000000000004</v>
          </cell>
          <cell r="J131">
            <v>4.99505</v>
          </cell>
          <cell r="K131">
            <v>5.1655000000000006</v>
          </cell>
          <cell r="L131">
            <v>5.9273500000000006</v>
          </cell>
          <cell r="M131">
            <v>5.7698</v>
          </cell>
          <cell r="N131">
            <v>5.1903499999999996</v>
          </cell>
          <cell r="O131">
            <v>5.1903499999999996</v>
          </cell>
        </row>
        <row r="132">
          <cell r="A132" t="str">
            <v>Sudan</v>
          </cell>
          <cell r="B132">
            <v>8.3993500000000001</v>
          </cell>
          <cell r="C132">
            <v>8.5869999999999997</v>
          </cell>
          <cell r="D132">
            <v>8.4959500000000006</v>
          </cell>
          <cell r="E132">
            <v>8.2619500000000006</v>
          </cell>
          <cell r="F132">
            <v>8.3111499999999996</v>
          </cell>
          <cell r="G132">
            <v>8.5279000000000007</v>
          </cell>
          <cell r="H132">
            <v>8.5859499999999986</v>
          </cell>
          <cell r="I132">
            <v>8.329699999999999</v>
          </cell>
          <cell r="J132">
            <v>8.4347999999999992</v>
          </cell>
          <cell r="K132">
            <v>7.7123000000000008</v>
          </cell>
          <cell r="L132">
            <v>8.1985500000000009</v>
          </cell>
          <cell r="M132">
            <v>7.6926000000000005</v>
          </cell>
          <cell r="N132">
            <v>7.7813000000000008</v>
          </cell>
          <cell r="O132">
            <v>7.7813000000000008</v>
          </cell>
        </row>
        <row r="133">
          <cell r="A133" t="str">
            <v>Sweden</v>
          </cell>
          <cell r="B133">
            <v>1.6136999999999999</v>
          </cell>
          <cell r="C133">
            <v>1.5724500000000003</v>
          </cell>
          <cell r="D133">
            <v>1.6423500000000004</v>
          </cell>
          <cell r="E133">
            <v>1.6993500000000004</v>
          </cell>
          <cell r="F133">
            <v>1.7097000000000004</v>
          </cell>
          <cell r="G133">
            <v>1.7032500000000006</v>
          </cell>
          <cell r="H133">
            <v>1.8597000000000001</v>
          </cell>
          <cell r="I133">
            <v>1.7796000000000003</v>
          </cell>
          <cell r="J133">
            <v>1.8714500000000003</v>
          </cell>
          <cell r="K133">
            <v>1.9264499999999998</v>
          </cell>
          <cell r="L133">
            <v>1.82565</v>
          </cell>
          <cell r="M133">
            <v>1.7370500000000002</v>
          </cell>
          <cell r="N133">
            <v>1.8316500000000004</v>
          </cell>
          <cell r="O133">
            <v>1.8316500000000004</v>
          </cell>
        </row>
        <row r="134">
          <cell r="A134" t="str">
            <v>Switzerland</v>
          </cell>
          <cell r="B134">
            <v>2.738500000000001</v>
          </cell>
          <cell r="C134">
            <v>2.6598000000000006</v>
          </cell>
          <cell r="D134">
            <v>2.6745000000000005</v>
          </cell>
          <cell r="E134">
            <v>2.6283000000000007</v>
          </cell>
          <cell r="F134">
            <v>2.6554500000000005</v>
          </cell>
          <cell r="G134">
            <v>2.5389000000000004</v>
          </cell>
          <cell r="H134">
            <v>2.4420500000000001</v>
          </cell>
          <cell r="I134">
            <v>2.5422500000000001</v>
          </cell>
          <cell r="J134">
            <v>1.3618000000000003</v>
          </cell>
          <cell r="K134">
            <v>1.4474500000000003</v>
          </cell>
          <cell r="L134">
            <v>1.2867500000000005</v>
          </cell>
          <cell r="M134">
            <v>1.2358000000000005</v>
          </cell>
          <cell r="N134">
            <v>1.1813</v>
          </cell>
          <cell r="O134">
            <v>1.1813</v>
          </cell>
        </row>
        <row r="135">
          <cell r="A135" t="str">
            <v>Syrian Arab Republic</v>
          </cell>
          <cell r="B135">
            <v>7.5977500000000004</v>
          </cell>
          <cell r="C135">
            <v>7.7910000000000004</v>
          </cell>
          <cell r="D135">
            <v>7.8331500000000007</v>
          </cell>
          <cell r="E135">
            <v>8.4779499999999999</v>
          </cell>
          <cell r="F135">
            <v>8.6901500000000009</v>
          </cell>
          <cell r="G135">
            <v>8.4955999999999996</v>
          </cell>
          <cell r="H135">
            <v>8.1267500000000013</v>
          </cell>
          <cell r="I135">
            <v>8.2617000000000012</v>
          </cell>
          <cell r="J135">
            <v>8.4002999999999997</v>
          </cell>
          <cell r="K135">
            <v>8.4437999999999995</v>
          </cell>
          <cell r="L135">
            <v>8.64025</v>
          </cell>
          <cell r="M135">
            <v>9.1287500000000001</v>
          </cell>
          <cell r="N135">
            <v>9.2207500000000007</v>
          </cell>
          <cell r="O135">
            <v>9.2207500000000007</v>
          </cell>
        </row>
        <row r="136">
          <cell r="A136" t="str">
            <v>Tajikistan</v>
          </cell>
          <cell r="B136">
            <v>6.7688000000000006</v>
          </cell>
          <cell r="C136">
            <v>7.0817000000000005</v>
          </cell>
          <cell r="D136">
            <v>7.074650000000001</v>
          </cell>
          <cell r="E136">
            <v>7.2489999999999997</v>
          </cell>
          <cell r="F136">
            <v>7.3285500000000008</v>
          </cell>
          <cell r="G136">
            <v>7.5758999999999999</v>
          </cell>
          <cell r="H136">
            <v>7.2865000000000002</v>
          </cell>
          <cell r="I136">
            <v>7.8835000000000006</v>
          </cell>
          <cell r="J136">
            <v>7.253400000000001</v>
          </cell>
          <cell r="K136">
            <v>7.2251000000000003</v>
          </cell>
          <cell r="L136">
            <v>7.1673500000000008</v>
          </cell>
          <cell r="M136">
            <v>7.4453000000000005</v>
          </cell>
          <cell r="N136">
            <v>7.4118000000000004</v>
          </cell>
          <cell r="O136">
            <v>7.4118000000000004</v>
          </cell>
        </row>
        <row r="137">
          <cell r="A137" t="str">
            <v>Thailand</v>
          </cell>
          <cell r="B137">
            <v>4.8681999999999999</v>
          </cell>
          <cell r="C137">
            <v>4.8954000000000004</v>
          </cell>
          <cell r="D137">
            <v>5.1100000000000003</v>
          </cell>
          <cell r="E137">
            <v>5.1351000000000004</v>
          </cell>
          <cell r="F137">
            <v>5.2988</v>
          </cell>
          <cell r="G137">
            <v>5.3236500000000007</v>
          </cell>
          <cell r="H137">
            <v>4.73475</v>
          </cell>
          <cell r="I137">
            <v>4.9417500000000008</v>
          </cell>
          <cell r="J137">
            <v>4.8231999999999999</v>
          </cell>
          <cell r="K137">
            <v>4.6260500000000002</v>
          </cell>
          <cell r="L137">
            <v>5.6781500000000005</v>
          </cell>
          <cell r="M137">
            <v>5.034650000000001</v>
          </cell>
          <cell r="N137">
            <v>5.7544500000000003</v>
          </cell>
          <cell r="O137">
            <v>5.7544500000000003</v>
          </cell>
        </row>
        <row r="138">
          <cell r="A138" t="str">
            <v>Timor-Leste</v>
          </cell>
          <cell r="B138">
            <v>6.2218999999999998</v>
          </cell>
          <cell r="C138">
            <v>5.9818000000000007</v>
          </cell>
          <cell r="D138">
            <v>6.06365</v>
          </cell>
          <cell r="E138">
            <v>6.4068500000000004</v>
          </cell>
          <cell r="F138">
            <v>5.8701500000000006</v>
          </cell>
          <cell r="G138">
            <v>6.5164500000000007</v>
          </cell>
          <cell r="H138">
            <v>6.3614499999999996</v>
          </cell>
          <cell r="I138">
            <v>6.5542499999999997</v>
          </cell>
          <cell r="J138">
            <v>5.7246500000000005</v>
          </cell>
          <cell r="K138">
            <v>5.1112500000000001</v>
          </cell>
          <cell r="L138">
            <v>4.923</v>
          </cell>
          <cell r="M138">
            <v>4.665</v>
          </cell>
          <cell r="N138">
            <v>4.0479500000000002</v>
          </cell>
          <cell r="O138">
            <v>4.0479500000000002</v>
          </cell>
        </row>
        <row r="139">
          <cell r="A139" t="str">
            <v>Trinidad and Tobago</v>
          </cell>
          <cell r="B139">
            <v>4.4256000000000002</v>
          </cell>
          <cell r="C139">
            <v>4.7477</v>
          </cell>
          <cell r="D139">
            <v>4.6866000000000003</v>
          </cell>
          <cell r="E139">
            <v>4.5637000000000008</v>
          </cell>
          <cell r="F139">
            <v>4.4571500000000004</v>
          </cell>
          <cell r="G139">
            <v>4.6235500000000007</v>
          </cell>
          <cell r="H139">
            <v>4.2901500000000006</v>
          </cell>
          <cell r="I139">
            <v>4.4988999999999999</v>
          </cell>
          <cell r="J139">
            <v>4.6116999999999999</v>
          </cell>
          <cell r="K139">
            <v>4.4683999999999999</v>
          </cell>
          <cell r="L139">
            <v>4.5379000000000005</v>
          </cell>
          <cell r="M139">
            <v>4.4993999999999996</v>
          </cell>
          <cell r="N139">
            <v>4.7005999999999997</v>
          </cell>
          <cell r="O139">
            <v>4.7005999999999997</v>
          </cell>
        </row>
        <row r="140">
          <cell r="A140" t="str">
            <v>Togo</v>
          </cell>
          <cell r="B140">
            <v>7.5196500000000004</v>
          </cell>
          <cell r="C140">
            <v>7.5692500000000011</v>
          </cell>
          <cell r="D140">
            <v>7.2536499999999995</v>
          </cell>
          <cell r="E140">
            <v>6.8566000000000011</v>
          </cell>
          <cell r="F140">
            <v>6.4193000000000007</v>
          </cell>
          <cell r="G140">
            <v>6.1186000000000007</v>
          </cell>
          <cell r="H140">
            <v>6.0465500000000008</v>
          </cell>
          <cell r="I140">
            <v>6.1211500000000001</v>
          </cell>
          <cell r="J140">
            <v>6.0397500000000006</v>
          </cell>
          <cell r="K140">
            <v>5.8189000000000002</v>
          </cell>
          <cell r="L140">
            <v>5.6330499999999999</v>
          </cell>
          <cell r="M140">
            <v>5.8763499999999995</v>
          </cell>
          <cell r="N140">
            <v>5.7280500000000005</v>
          </cell>
          <cell r="O140">
            <v>5.7280500000000005</v>
          </cell>
        </row>
        <row r="141">
          <cell r="A141" t="str">
            <v>Tunisia</v>
          </cell>
          <cell r="B141">
            <v>5.4899500000000003</v>
          </cell>
          <cell r="C141">
            <v>4.9605500000000005</v>
          </cell>
          <cell r="D141">
            <v>5.1577999999999999</v>
          </cell>
          <cell r="E141">
            <v>5.3604500000000002</v>
          </cell>
          <cell r="F141">
            <v>5.4543000000000008</v>
          </cell>
          <cell r="G141">
            <v>5.4431000000000012</v>
          </cell>
          <cell r="H141">
            <v>5.1941500000000005</v>
          </cell>
          <cell r="I141">
            <v>4.8260000000000005</v>
          </cell>
          <cell r="J141">
            <v>5.1896000000000004</v>
          </cell>
          <cell r="K141">
            <v>5.0345500000000003</v>
          </cell>
          <cell r="L141">
            <v>5.0880999999999998</v>
          </cell>
          <cell r="M141">
            <v>5.1907000000000005</v>
          </cell>
          <cell r="N141">
            <v>5.3508500000000003</v>
          </cell>
          <cell r="O141">
            <v>5.3508500000000003</v>
          </cell>
        </row>
        <row r="142">
          <cell r="A142" t="str">
            <v>Turkey</v>
          </cell>
          <cell r="B142">
            <v>4.2586500000000003</v>
          </cell>
          <cell r="C142">
            <v>4.1567499999999997</v>
          </cell>
          <cell r="D142">
            <v>4.4347000000000003</v>
          </cell>
          <cell r="E142">
            <v>4.7097500000000005</v>
          </cell>
          <cell r="F142">
            <v>4.8858500000000005</v>
          </cell>
          <cell r="G142">
            <v>5.0922000000000009</v>
          </cell>
          <cell r="H142">
            <v>5.07925</v>
          </cell>
          <cell r="I142">
            <v>5.3904000000000005</v>
          </cell>
          <cell r="J142">
            <v>5.550650000000001</v>
          </cell>
          <cell r="K142">
            <v>5.6688500000000008</v>
          </cell>
          <cell r="L142">
            <v>5.7342000000000004</v>
          </cell>
          <cell r="M142">
            <v>6.1969500000000002</v>
          </cell>
          <cell r="N142">
            <v>6.2243999999999993</v>
          </cell>
          <cell r="O142">
            <v>6.2243999999999993</v>
          </cell>
        </row>
        <row r="143">
          <cell r="A143" t="str">
            <v>Uganda</v>
          </cell>
          <cell r="B143">
            <v>6.1436000000000002</v>
          </cell>
          <cell r="C143">
            <v>6.54725</v>
          </cell>
          <cell r="D143">
            <v>6.8149500000000014</v>
          </cell>
          <cell r="E143">
            <v>6.7495499999999993</v>
          </cell>
          <cell r="F143">
            <v>6.7565500000000007</v>
          </cell>
          <cell r="G143">
            <v>6.9009</v>
          </cell>
          <cell r="H143">
            <v>6.4306500000000009</v>
          </cell>
          <cell r="I143">
            <v>6.2415500000000002</v>
          </cell>
          <cell r="J143">
            <v>6.3638500000000011</v>
          </cell>
          <cell r="K143">
            <v>6.2322500000000005</v>
          </cell>
          <cell r="L143">
            <v>6.4470000000000001</v>
          </cell>
          <cell r="M143">
            <v>6.6659500000000014</v>
          </cell>
          <cell r="N143">
            <v>6.6687500000000011</v>
          </cell>
          <cell r="O143">
            <v>6.6687500000000011</v>
          </cell>
        </row>
        <row r="144">
          <cell r="A144" t="str">
            <v>Ukraine</v>
          </cell>
          <cell r="B144">
            <v>5.1596500000000001</v>
          </cell>
          <cell r="C144">
            <v>5.0546999999999995</v>
          </cell>
          <cell r="D144">
            <v>4.9571999999999994</v>
          </cell>
          <cell r="E144">
            <v>4.7317500000000008</v>
          </cell>
          <cell r="F144">
            <v>4.8562500000000011</v>
          </cell>
          <cell r="G144">
            <v>4.8959500000000009</v>
          </cell>
          <cell r="H144">
            <v>4.3801500000000004</v>
          </cell>
          <cell r="I144">
            <v>4.5971000000000002</v>
          </cell>
          <cell r="J144">
            <v>5.1050500000000012</v>
          </cell>
          <cell r="K144">
            <v>4.4933500000000013</v>
          </cell>
          <cell r="L144">
            <v>4.0825000000000005</v>
          </cell>
          <cell r="M144">
            <v>4.19895</v>
          </cell>
          <cell r="N144">
            <v>5.2676999999999996</v>
          </cell>
          <cell r="O144">
            <v>5.2676999999999996</v>
          </cell>
        </row>
        <row r="145">
          <cell r="A145" t="str">
            <v>United Arab Emirates</v>
          </cell>
          <cell r="B145">
            <v>3.8300000000000005</v>
          </cell>
          <cell r="C145">
            <v>3.5845000000000002</v>
          </cell>
          <cell r="D145">
            <v>3.4138000000000002</v>
          </cell>
          <cell r="E145">
            <v>3.3930999999999996</v>
          </cell>
          <cell r="F145">
            <v>3.3031000000000001</v>
          </cell>
          <cell r="G145">
            <v>3.3407499999999999</v>
          </cell>
          <cell r="H145">
            <v>3.1017999999999999</v>
          </cell>
          <cell r="I145">
            <v>3.05905</v>
          </cell>
          <cell r="J145">
            <v>3.00535</v>
          </cell>
          <cell r="K145">
            <v>3.9210000000000003</v>
          </cell>
          <cell r="L145">
            <v>3.0450500000000007</v>
          </cell>
          <cell r="M145">
            <v>3.1443500000000002</v>
          </cell>
          <cell r="N145">
            <v>3.1871</v>
          </cell>
          <cell r="O145">
            <v>3.1871</v>
          </cell>
        </row>
        <row r="146">
          <cell r="A146" t="str">
            <v>United Kingdom</v>
          </cell>
          <cell r="B146">
            <v>1.8272500000000003</v>
          </cell>
          <cell r="C146">
            <v>1.8340000000000001</v>
          </cell>
          <cell r="D146">
            <v>1.7495500000000004</v>
          </cell>
          <cell r="E146">
            <v>1.7170000000000001</v>
          </cell>
          <cell r="F146">
            <v>1.7648500000000003</v>
          </cell>
          <cell r="G146">
            <v>1.7524000000000002</v>
          </cell>
          <cell r="H146">
            <v>1.7485000000000004</v>
          </cell>
          <cell r="I146">
            <v>1.7331000000000003</v>
          </cell>
          <cell r="J146">
            <v>1.8272500000000003</v>
          </cell>
          <cell r="K146">
            <v>1.8118500000000002</v>
          </cell>
          <cell r="L146">
            <v>1.8434000000000001</v>
          </cell>
          <cell r="M146">
            <v>1.6305000000000001</v>
          </cell>
          <cell r="N146">
            <v>1.7625500000000003</v>
          </cell>
          <cell r="O146">
            <v>1.7625500000000003</v>
          </cell>
        </row>
        <row r="147">
          <cell r="A147" t="str">
            <v>United States</v>
          </cell>
          <cell r="B147">
            <v>1.5935999999999999</v>
          </cell>
          <cell r="C147">
            <v>1.6126</v>
          </cell>
          <cell r="D147">
            <v>1.9794999999999998</v>
          </cell>
          <cell r="E147">
            <v>1.96645</v>
          </cell>
          <cell r="F147">
            <v>2.0483500000000001</v>
          </cell>
          <cell r="G147">
            <v>2.0023</v>
          </cell>
          <cell r="H147">
            <v>1.6840499999999998</v>
          </cell>
          <cell r="I147">
            <v>1.99505</v>
          </cell>
          <cell r="J147">
            <v>1.8525000000000003</v>
          </cell>
          <cell r="K147">
            <v>2.3339000000000003</v>
          </cell>
          <cell r="L147">
            <v>3.1702000000000004</v>
          </cell>
          <cell r="M147">
            <v>2.1539000000000006</v>
          </cell>
          <cell r="N147">
            <v>2.1670500000000006</v>
          </cell>
          <cell r="O147">
            <v>2.1670500000000006</v>
          </cell>
        </row>
        <row r="148">
          <cell r="A148" t="str">
            <v>Uruguay</v>
          </cell>
          <cell r="B148">
            <v>3.8915000000000002</v>
          </cell>
          <cell r="C148">
            <v>3.8094500000000009</v>
          </cell>
          <cell r="D148">
            <v>3.7796000000000003</v>
          </cell>
          <cell r="E148">
            <v>3.8098999999999998</v>
          </cell>
          <cell r="F148">
            <v>3.8718499999999998</v>
          </cell>
          <cell r="G148">
            <v>4.5891500000000001</v>
          </cell>
          <cell r="H148">
            <v>4.4222999999999999</v>
          </cell>
          <cell r="I148">
            <v>4.6081500000000002</v>
          </cell>
          <cell r="J148">
            <v>3.8327500000000003</v>
          </cell>
          <cell r="K148">
            <v>3.8667499999999997</v>
          </cell>
          <cell r="L148">
            <v>4.0270999999999999</v>
          </cell>
          <cell r="M148">
            <v>3.7391000000000001</v>
          </cell>
          <cell r="N148">
            <v>3.7699000000000003</v>
          </cell>
          <cell r="O148">
            <v>3.7699000000000003</v>
          </cell>
        </row>
        <row r="149">
          <cell r="A149" t="str">
            <v>Venezuela</v>
          </cell>
          <cell r="B149">
            <v>8.0746500000000001</v>
          </cell>
          <cell r="C149">
            <v>8.129150000000001</v>
          </cell>
          <cell r="D149">
            <v>8.266</v>
          </cell>
          <cell r="E149">
            <v>7.997749999999999</v>
          </cell>
          <cell r="F149">
            <v>7.9502000000000006</v>
          </cell>
          <cell r="G149">
            <v>8.0874500000000005</v>
          </cell>
          <cell r="H149">
            <v>8.2483499999999985</v>
          </cell>
          <cell r="I149">
            <v>8.1738999999999997</v>
          </cell>
          <cell r="J149">
            <v>8.4220000000000006</v>
          </cell>
          <cell r="K149">
            <v>8.0953999999999997</v>
          </cell>
          <cell r="L149">
            <v>8.2550500000000007</v>
          </cell>
          <cell r="M149">
            <v>8.1814</v>
          </cell>
          <cell r="N149">
            <v>8.2764999999999986</v>
          </cell>
          <cell r="O149">
            <v>8.2764999999999986</v>
          </cell>
        </row>
        <row r="150">
          <cell r="A150" t="str">
            <v>Vietnam</v>
          </cell>
          <cell r="B150">
            <v>6.5595999999999997</v>
          </cell>
          <cell r="C150">
            <v>6.2107500000000009</v>
          </cell>
          <cell r="D150">
            <v>6.0694999999999997</v>
          </cell>
          <cell r="E150">
            <v>6.0340500000000006</v>
          </cell>
          <cell r="F150">
            <v>5.8905000000000003</v>
          </cell>
          <cell r="G150">
            <v>5.6877500000000012</v>
          </cell>
          <cell r="H150">
            <v>5.2826500000000003</v>
          </cell>
          <cell r="I150">
            <v>5.3809500000000003</v>
          </cell>
          <cell r="J150">
            <v>5.1162999999999998</v>
          </cell>
          <cell r="K150">
            <v>4.9090500000000006</v>
          </cell>
          <cell r="L150">
            <v>4.6996000000000002</v>
          </cell>
          <cell r="M150">
            <v>4.8091999999999997</v>
          </cell>
          <cell r="N150">
            <v>4.6765000000000008</v>
          </cell>
          <cell r="O150">
            <v>4.6765000000000008</v>
          </cell>
        </row>
        <row r="151">
          <cell r="A151" t="str">
            <v>Yemen</v>
          </cell>
          <cell r="B151">
            <v>6.0617500000000009</v>
          </cell>
          <cell r="C151">
            <v>5.6589500000000008</v>
          </cell>
          <cell r="D151">
            <v>5.9347500000000002</v>
          </cell>
          <cell r="E151">
            <v>6.4320000000000004</v>
          </cell>
          <cell r="F151">
            <v>6.5185500000000003</v>
          </cell>
          <cell r="G151">
            <v>7.8781499999999998</v>
          </cell>
          <cell r="H151">
            <v>7.5496999999999996</v>
          </cell>
          <cell r="I151">
            <v>7.71645</v>
          </cell>
          <cell r="J151">
            <v>7.4238500000000007</v>
          </cell>
          <cell r="K151">
            <v>7.9406000000000017</v>
          </cell>
          <cell r="L151">
            <v>7.3936000000000011</v>
          </cell>
          <cell r="M151">
            <v>7.9274000000000013</v>
          </cell>
          <cell r="N151">
            <v>7.7813000000000008</v>
          </cell>
          <cell r="O151">
            <v>7.7813000000000008</v>
          </cell>
        </row>
        <row r="152">
          <cell r="A152" t="str">
            <v>Zambia</v>
          </cell>
          <cell r="B152">
            <v>5.0948500000000001</v>
          </cell>
          <cell r="C152">
            <v>4.9984500000000001</v>
          </cell>
          <cell r="D152">
            <v>5.4267000000000003</v>
          </cell>
          <cell r="E152">
            <v>5.1219000000000001</v>
          </cell>
          <cell r="F152">
            <v>5.0271999999999997</v>
          </cell>
          <cell r="G152">
            <v>5.2028499999999998</v>
          </cell>
          <cell r="H152">
            <v>4.9466999999999999</v>
          </cell>
          <cell r="I152">
            <v>4.8329000000000004</v>
          </cell>
          <cell r="J152">
            <v>4.8573000000000013</v>
          </cell>
          <cell r="K152">
            <v>5.000350000000001</v>
          </cell>
          <cell r="L152">
            <v>5.0397000000000007</v>
          </cell>
          <cell r="M152">
            <v>5.0127500000000005</v>
          </cell>
          <cell r="N152">
            <v>4.7025000000000006</v>
          </cell>
          <cell r="O152">
            <v>4.7025000000000006</v>
          </cell>
        </row>
        <row r="153">
          <cell r="A153" t="str">
            <v>Zimbabwe</v>
          </cell>
          <cell r="B153">
            <v>7.3054500000000013</v>
          </cell>
          <cell r="C153">
            <v>7.5630500000000005</v>
          </cell>
          <cell r="D153">
            <v>7.6029999999999998</v>
          </cell>
          <cell r="E153">
            <v>7.1767000000000003</v>
          </cell>
          <cell r="F153">
            <v>7.0417000000000005</v>
          </cell>
          <cell r="G153">
            <v>7.2729999999999997</v>
          </cell>
          <cell r="H153">
            <v>7.3491499999999998</v>
          </cell>
          <cell r="I153">
            <v>6.9237000000000002</v>
          </cell>
          <cell r="J153">
            <v>7.3572000000000006</v>
          </cell>
          <cell r="K153">
            <v>7.062850000000001</v>
          </cell>
          <cell r="L153">
            <v>6.7101500000000005</v>
          </cell>
          <cell r="M153">
            <v>7.1107000000000005</v>
          </cell>
          <cell r="N153">
            <v>6.6895500000000014</v>
          </cell>
          <cell r="O153">
            <v>6.6895500000000014</v>
          </cell>
        </row>
      </sheetData>
      <sheetData sheetId="8">
        <row r="1">
          <cell r="B1">
            <v>2009</v>
          </cell>
          <cell r="C1">
            <v>2010</v>
          </cell>
          <cell r="D1">
            <v>2011</v>
          </cell>
          <cell r="E1">
            <v>2012</v>
          </cell>
          <cell r="F1">
            <v>2013</v>
          </cell>
          <cell r="G1">
            <v>2014</v>
          </cell>
          <cell r="H1">
            <v>2015</v>
          </cell>
          <cell r="I1">
            <v>2016</v>
          </cell>
          <cell r="J1">
            <v>2017</v>
          </cell>
          <cell r="K1">
            <v>2018</v>
          </cell>
          <cell r="L1">
            <v>2019</v>
          </cell>
          <cell r="M1">
            <v>2020</v>
          </cell>
          <cell r="N1">
            <v>2021</v>
          </cell>
          <cell r="O1">
            <v>2022</v>
          </cell>
          <cell r="P1">
            <v>2023</v>
          </cell>
          <cell r="Q1">
            <v>2024</v>
          </cell>
        </row>
        <row r="2">
          <cell r="A2" t="str">
            <v>Afghanistan</v>
          </cell>
          <cell r="B2">
            <v>7.8610429752335325</v>
          </cell>
          <cell r="C2">
            <v>7.5378534413809124</v>
          </cell>
          <cell r="D2">
            <v>7.8177137744335248</v>
          </cell>
          <cell r="E2">
            <v>7.4895368893009895</v>
          </cell>
          <cell r="F2">
            <v>7.6768447705285414</v>
          </cell>
          <cell r="G2">
            <v>7.9400064656294651</v>
          </cell>
          <cell r="H2">
            <v>7.5587030390398171</v>
          </cell>
          <cell r="I2">
            <v>7.5931768332223957</v>
          </cell>
          <cell r="J2">
            <v>7.7537544084251664</v>
          </cell>
          <cell r="K2">
            <v>7.4626400498673533</v>
          </cell>
          <cell r="L2">
            <v>7.875815770941383</v>
          </cell>
          <cell r="M2">
            <v>8.4021487567599529</v>
          </cell>
          <cell r="N2">
            <v>8.8915915303508566</v>
          </cell>
          <cell r="O2">
            <v>8.9608270680452318</v>
          </cell>
          <cell r="P2">
            <v>8.3493556085185823</v>
          </cell>
          <cell r="Q2">
            <v>9.2090562732587014</v>
          </cell>
        </row>
        <row r="3">
          <cell r="A3" t="str">
            <v>Albania</v>
          </cell>
          <cell r="B3">
            <v>6.6137328492029717</v>
          </cell>
          <cell r="C3">
            <v>6.1558888269127152</v>
          </cell>
          <cell r="D3">
            <v>6.5917522190114042</v>
          </cell>
          <cell r="E3">
            <v>6.3405786186111932</v>
          </cell>
          <cell r="F3">
            <v>6.1648888097865786</v>
          </cell>
          <cell r="G3">
            <v>6.2002635801865971</v>
          </cell>
          <cell r="H3">
            <v>5.9686351345242077</v>
          </cell>
          <cell r="I3">
            <v>6.1487973967621272</v>
          </cell>
          <cell r="J3">
            <v>6.0078171015990485</v>
          </cell>
          <cell r="K3">
            <v>6.2594462875676093</v>
          </cell>
          <cell r="L3">
            <v>6.0401172234108707</v>
          </cell>
          <cell r="M3">
            <v>5.8289855043606371</v>
          </cell>
          <cell r="N3">
            <v>5.7323005677268233</v>
          </cell>
          <cell r="O3">
            <v>5.819747678099497</v>
          </cell>
          <cell r="P3">
            <v>5.5915000565912862</v>
          </cell>
          <cell r="Q3">
            <v>5.7888466685457418</v>
          </cell>
        </row>
        <row r="4">
          <cell r="A4" t="str">
            <v>Algeria</v>
          </cell>
          <cell r="B4">
            <v>7.2819461628003888</v>
          </cell>
          <cell r="C4">
            <v>7.7829632936627693</v>
          </cell>
          <cell r="D4">
            <v>7.379907083867451</v>
          </cell>
          <cell r="E4">
            <v>7.1136475927452967</v>
          </cell>
          <cell r="F4">
            <v>7.3224902624526855</v>
          </cell>
          <cell r="G4">
            <v>7.152830306017286</v>
          </cell>
          <cell r="H4">
            <v>7.2638500178099275</v>
          </cell>
          <cell r="I4">
            <v>7.1252301844792001</v>
          </cell>
          <cell r="J4">
            <v>7.2306555526971756</v>
          </cell>
          <cell r="K4">
            <v>7.5637361314126696</v>
          </cell>
          <cell r="L4">
            <v>7.8383685477381029</v>
          </cell>
          <cell r="M4">
            <v>7.4619728460272867</v>
          </cell>
          <cell r="N4">
            <v>7.6741575393523345</v>
          </cell>
          <cell r="O4">
            <v>7.5920001883655148</v>
          </cell>
          <cell r="P4">
            <v>7.0379011286335924</v>
          </cell>
          <cell r="Q4">
            <v>7.2061037278062718</v>
          </cell>
        </row>
        <row r="5">
          <cell r="A5" t="str">
            <v>American Samoa</v>
          </cell>
          <cell r="B5">
            <v>8.5158734170454338</v>
          </cell>
          <cell r="C5">
            <v>7.9788474156003844</v>
          </cell>
          <cell r="D5">
            <v>8.1074516449168996</v>
          </cell>
          <cell r="E5">
            <v>7.3167398316549344</v>
          </cell>
          <cell r="F5">
            <v>7.5376714071279682</v>
          </cell>
          <cell r="G5">
            <v>7.4590281575909358</v>
          </cell>
          <cell r="H5">
            <v>7.3014898963924351</v>
          </cell>
          <cell r="I5">
            <v>7.4778319605408186</v>
          </cell>
          <cell r="J5">
            <v>7.4566129974862996</v>
          </cell>
          <cell r="K5">
            <v>7.0494256845824541</v>
          </cell>
          <cell r="L5">
            <v>7.1383063027345539</v>
          </cell>
          <cell r="M5">
            <v>7.9859454198660211</v>
          </cell>
          <cell r="N5">
            <v>8.2443868899699826</v>
          </cell>
          <cell r="O5">
            <v>8.3129985813455587</v>
          </cell>
          <cell r="P5">
            <v>9.4</v>
          </cell>
          <cell r="Q5">
            <v>9.6999999999999993</v>
          </cell>
        </row>
        <row r="6">
          <cell r="A6" t="str">
            <v>Andorra</v>
          </cell>
          <cell r="B6">
            <v>3.1501458022850368</v>
          </cell>
          <cell r="C6">
            <v>3.9921476632987654</v>
          </cell>
          <cell r="D6">
            <v>4.8881882666526746</v>
          </cell>
          <cell r="E6">
            <v>3.3778784936814183</v>
          </cell>
          <cell r="F6">
            <v>4.075698365585902</v>
          </cell>
          <cell r="G6">
            <v>4.6939986398584059</v>
          </cell>
          <cell r="H6">
            <v>2.5025084412757534</v>
          </cell>
          <cell r="I6">
            <v>2.4895314929688999</v>
          </cell>
          <cell r="J6">
            <v>2.5622559892798389</v>
          </cell>
          <cell r="K6">
            <v>2.7441793165514419</v>
          </cell>
          <cell r="L6">
            <v>3.3975933765311952</v>
          </cell>
          <cell r="M6">
            <v>2.7227631953764657</v>
          </cell>
          <cell r="N6">
            <v>2.4352225889128567</v>
          </cell>
          <cell r="O6">
            <v>2.3946619621303666</v>
          </cell>
          <cell r="P6">
            <v>2.7094588436238238</v>
          </cell>
          <cell r="Q6">
            <v>3.4309926718754085</v>
          </cell>
        </row>
        <row r="7">
          <cell r="A7" t="str">
            <v>Angola</v>
          </cell>
          <cell r="B7">
            <v>7.8150478138811499</v>
          </cell>
          <cell r="C7">
            <v>8.1096340052490472</v>
          </cell>
          <cell r="D7">
            <v>8.1824827272494431</v>
          </cell>
          <cell r="E7">
            <v>7.7706971195890224</v>
          </cell>
          <cell r="F7">
            <v>7.5951445240872211</v>
          </cell>
          <cell r="G7">
            <v>7.5095710361054699</v>
          </cell>
          <cell r="H7">
            <v>7.3325098503284627</v>
          </cell>
          <cell r="I7">
            <v>8.0328812807533865</v>
          </cell>
          <cell r="J7">
            <v>7.6444640184628572</v>
          </cell>
          <cell r="K7">
            <v>7.606601403698626</v>
          </cell>
          <cell r="L7">
            <v>7.3980989756788409</v>
          </cell>
          <cell r="M7">
            <v>7.2386436987682989</v>
          </cell>
          <cell r="N7">
            <v>7.5249720375000138</v>
          </cell>
          <cell r="O7">
            <v>8.1975876330153739</v>
          </cell>
          <cell r="P7">
            <v>7.0781857902537677</v>
          </cell>
          <cell r="Q7">
            <v>8.2724737008686233</v>
          </cell>
        </row>
        <row r="8">
          <cell r="A8" t="str">
            <v>Antigua and Barbuda</v>
          </cell>
          <cell r="B8">
            <v>5.6104729589070566</v>
          </cell>
          <cell r="C8">
            <v>5.596716615462654</v>
          </cell>
          <cell r="D8">
            <v>5.9705620238641766</v>
          </cell>
          <cell r="E8">
            <v>5.3619680020382079</v>
          </cell>
          <cell r="F8">
            <v>4.9434074580149128</v>
          </cell>
          <cell r="G8">
            <v>5.6846578994741774</v>
          </cell>
          <cell r="H8">
            <v>5.1088447344428571</v>
          </cell>
          <cell r="I8">
            <v>5.1648444073643578</v>
          </cell>
          <cell r="J8">
            <v>5.2091067224419865</v>
          </cell>
          <cell r="K8">
            <v>5.1207464430713046</v>
          </cell>
          <cell r="L8">
            <v>4.4552999164214837</v>
          </cell>
          <cell r="M8">
            <v>4.7564726367284047</v>
          </cell>
          <cell r="N8">
            <v>4.4606745047234595</v>
          </cell>
          <cell r="O8">
            <v>4.7911715215530037</v>
          </cell>
          <cell r="P8">
            <v>3.9110167081733334</v>
          </cell>
          <cell r="Q8">
            <v>4.3777863705601803</v>
          </cell>
        </row>
        <row r="9">
          <cell r="A9" t="str">
            <v>Argentina</v>
          </cell>
          <cell r="B9">
            <v>7.0037814632171411</v>
          </cell>
          <cell r="C9">
            <v>6.5650273723262096</v>
          </cell>
          <cell r="D9">
            <v>6.521804510439221</v>
          </cell>
          <cell r="E9">
            <v>6.4635190714746358</v>
          </cell>
          <cell r="F9">
            <v>6.3573241361255786</v>
          </cell>
          <cell r="G9">
            <v>6.2051319782090308</v>
          </cell>
          <cell r="H9">
            <v>6.3194422891637085</v>
          </cell>
          <cell r="I9">
            <v>6.0603522030169907</v>
          </cell>
          <cell r="J9">
            <v>5.8019230513400695</v>
          </cell>
          <cell r="K9">
            <v>5.5097163543737162</v>
          </cell>
          <cell r="L9">
            <v>5.9966522311935897</v>
          </cell>
          <cell r="M9">
            <v>5.9325935916880592</v>
          </cell>
          <cell r="N9">
            <v>6.2459030878756376</v>
          </cell>
          <cell r="O9">
            <v>5.477513604570504</v>
          </cell>
          <cell r="P9">
            <v>5.5291544222172444</v>
          </cell>
          <cell r="Q9">
            <v>5.5163154650766151</v>
          </cell>
        </row>
        <row r="10">
          <cell r="A10" t="str">
            <v>Armenia</v>
          </cell>
          <cell r="B10">
            <v>6.8850852605881325</v>
          </cell>
          <cell r="C10">
            <v>6.7752717783739858</v>
          </cell>
          <cell r="D10">
            <v>6.7168162914231591</v>
          </cell>
          <cell r="E10">
            <v>6.5165323085843276</v>
          </cell>
          <cell r="F10">
            <v>6.3471896527380967</v>
          </cell>
          <cell r="G10">
            <v>6.2747846940380674</v>
          </cell>
          <cell r="H10">
            <v>5.7100430210313355</v>
          </cell>
          <cell r="I10">
            <v>5.7265509623816842</v>
          </cell>
          <cell r="J10">
            <v>5.679646938141155</v>
          </cell>
          <cell r="K10">
            <v>5.5209926978088184</v>
          </cell>
          <cell r="L10">
            <v>5.9480029011876994</v>
          </cell>
          <cell r="M10">
            <v>5.7792911901679309</v>
          </cell>
          <cell r="N10">
            <v>5.4769105676293499</v>
          </cell>
          <cell r="O10">
            <v>5.1471753015703285</v>
          </cell>
          <cell r="P10">
            <v>4.9340177647762102</v>
          </cell>
          <cell r="Q10">
            <v>4.9864056904927132</v>
          </cell>
        </row>
        <row r="11">
          <cell r="A11" t="str">
            <v>Aruba</v>
          </cell>
          <cell r="B11">
            <v>5.3408746437689398</v>
          </cell>
          <cell r="C11">
            <v>5.0474376362932416</v>
          </cell>
          <cell r="D11">
            <v>5.1725979161872804</v>
          </cell>
          <cell r="E11">
            <v>4.2924618355231257</v>
          </cell>
          <cell r="F11">
            <v>4.1221529866071318</v>
          </cell>
          <cell r="G11">
            <v>4.0163725870983891</v>
          </cell>
          <cell r="H11">
            <v>3.8248027571715317</v>
          </cell>
          <cell r="I11">
            <v>4.1481170100432543</v>
          </cell>
          <cell r="J11">
            <v>3.6862342612438974</v>
          </cell>
          <cell r="K11">
            <v>4.5658865448741199</v>
          </cell>
          <cell r="L11">
            <v>4.5586943499061556</v>
          </cell>
          <cell r="M11">
            <v>4.7428880052950868</v>
          </cell>
          <cell r="N11">
            <v>4.6792340441028166</v>
          </cell>
          <cell r="O11">
            <v>3.8968974772797251</v>
          </cell>
          <cell r="P11">
            <v>3.9989131634338246</v>
          </cell>
          <cell r="Q11">
            <v>4.6917647759500252</v>
          </cell>
        </row>
        <row r="12">
          <cell r="A12" t="str">
            <v>Australia</v>
          </cell>
          <cell r="B12">
            <v>4.8082106509226517</v>
          </cell>
          <cell r="C12">
            <v>4.8176937705437757</v>
          </cell>
          <cell r="D12">
            <v>4.9223571101844952</v>
          </cell>
          <cell r="E12">
            <v>4.9955282369115448</v>
          </cell>
          <cell r="F12">
            <v>4.8682164323771664</v>
          </cell>
          <cell r="G12">
            <v>4.8925606713846657</v>
          </cell>
          <cell r="H12">
            <v>4.8332724841879831</v>
          </cell>
          <cell r="I12">
            <v>4.8490845542187317</v>
          </cell>
          <cell r="J12">
            <v>4.7670548667141706</v>
          </cell>
          <cell r="K12">
            <v>4.8678340811060909</v>
          </cell>
          <cell r="L12">
            <v>4.7096448849991646</v>
          </cell>
          <cell r="M12">
            <v>4.8235849100062138</v>
          </cell>
          <cell r="N12">
            <v>4.9774172512319561</v>
          </cell>
          <cell r="O12">
            <v>4.634710739074495</v>
          </cell>
          <cell r="P12">
            <v>4.1370821845239769</v>
          </cell>
          <cell r="Q12">
            <v>4.4653027102389915</v>
          </cell>
        </row>
        <row r="13">
          <cell r="A13" t="str">
            <v>Austria</v>
          </cell>
          <cell r="B13">
            <v>4.570637349295831</v>
          </cell>
          <cell r="C13">
            <v>4.5400607226286951</v>
          </cell>
          <cell r="D13">
            <v>4.4481270294237287</v>
          </cell>
          <cell r="E13">
            <v>4.5883189271414935</v>
          </cell>
          <cell r="F13">
            <v>4.6139555249715771</v>
          </cell>
          <cell r="G13">
            <v>4.6067115721943539</v>
          </cell>
          <cell r="H13">
            <v>4.4541132696231527</v>
          </cell>
          <cell r="I13">
            <v>4.3687782860099293</v>
          </cell>
          <cell r="J13">
            <v>4.2206767800355962</v>
          </cell>
          <cell r="K13">
            <v>4.2987334675118296</v>
          </cell>
          <cell r="L13">
            <v>4.3735593149678333</v>
          </cell>
          <cell r="M13">
            <v>4.2729387842770867</v>
          </cell>
          <cell r="N13">
            <v>4.2994952409424227</v>
          </cell>
          <cell r="O13">
            <v>4.2742195253678412</v>
          </cell>
          <cell r="P13">
            <v>4.1227246779286517</v>
          </cell>
          <cell r="Q13">
            <v>4.2602137732970284</v>
          </cell>
        </row>
        <row r="14">
          <cell r="A14" t="str">
            <v>Azerbaijan</v>
          </cell>
          <cell r="B14">
            <v>6.4146387179502948</v>
          </cell>
          <cell r="C14">
            <v>6.1434116659476681</v>
          </cell>
          <cell r="D14">
            <v>6.0916180242877296</v>
          </cell>
          <cell r="E14">
            <v>5.9463073670966651</v>
          </cell>
          <cell r="F14">
            <v>5.7978417432038372</v>
          </cell>
          <cell r="G14">
            <v>6.1124096485713189</v>
          </cell>
          <cell r="H14">
            <v>6.0823236530080784</v>
          </cell>
          <cell r="I14">
            <v>5.8284013962239278</v>
          </cell>
          <cell r="J14">
            <v>5.9065145128953578</v>
          </cell>
          <cell r="K14">
            <v>5.9678004974633625</v>
          </cell>
          <cell r="L14">
            <v>5.9637882837250151</v>
          </cell>
          <cell r="M14">
            <v>5.8133329226798995</v>
          </cell>
          <cell r="N14">
            <v>6.3136739456280679</v>
          </cell>
          <cell r="O14">
            <v>6.0079363369890135</v>
          </cell>
          <cell r="P14">
            <v>6.0224783222087908</v>
          </cell>
          <cell r="Q14">
            <v>6.1260333271578062</v>
          </cell>
        </row>
        <row r="15">
          <cell r="A15" t="str">
            <v>Bahamas, The</v>
          </cell>
          <cell r="B15">
            <v>5.7520115556635423</v>
          </cell>
          <cell r="C15">
            <v>5.6052129813199461</v>
          </cell>
          <cell r="D15">
            <v>5.3939740411132782</v>
          </cell>
          <cell r="E15">
            <v>5.3492782140151816</v>
          </cell>
          <cell r="F15">
            <v>5.2436411254264534</v>
          </cell>
          <cell r="G15">
            <v>5.3555829634428225</v>
          </cell>
          <cell r="H15">
            <v>5.2162124458485852</v>
          </cell>
          <cell r="I15">
            <v>5.3227058562603693</v>
          </cell>
          <cell r="J15">
            <v>5.3634916426151342</v>
          </cell>
          <cell r="K15">
            <v>5.1933954493428267</v>
          </cell>
          <cell r="L15">
            <v>4.8803055913162936</v>
          </cell>
          <cell r="M15">
            <v>4.6475257706406126</v>
          </cell>
          <cell r="N15">
            <v>4.5934512647423071</v>
          </cell>
          <cell r="O15">
            <v>5.0741259676543695</v>
          </cell>
          <cell r="P15">
            <v>4.7134790817421264</v>
          </cell>
          <cell r="Q15">
            <v>4.798319590658223</v>
          </cell>
        </row>
        <row r="16">
          <cell r="A16" t="str">
            <v>Bahrain</v>
          </cell>
          <cell r="B16">
            <v>5.3395135904392577</v>
          </cell>
          <cell r="C16">
            <v>5.237775773248285</v>
          </cell>
          <cell r="D16">
            <v>4.9109518570309421</v>
          </cell>
          <cell r="E16">
            <v>4.3245326628139091</v>
          </cell>
          <cell r="F16">
            <v>3.8980663650505694</v>
          </cell>
          <cell r="G16">
            <v>4.2312565840754193</v>
          </cell>
          <cell r="H16">
            <v>4.4033402112467934</v>
          </cell>
          <cell r="I16">
            <v>4.6203238489881437</v>
          </cell>
          <cell r="J16">
            <v>4.4721668079600425</v>
          </cell>
          <cell r="K16">
            <v>4.0511563494948559</v>
          </cell>
          <cell r="L16">
            <v>4.3089120319060497</v>
          </cell>
          <cell r="M16">
            <v>4.0951473877225224</v>
          </cell>
          <cell r="N16">
            <v>4.1204277208644102</v>
          </cell>
          <cell r="O16">
            <v>4.0705805898936225</v>
          </cell>
          <cell r="P16">
            <v>3.7418255869913457</v>
          </cell>
          <cell r="Q16">
            <v>4.1126885344778064</v>
          </cell>
        </row>
        <row r="17">
          <cell r="A17" t="str">
            <v>Bangladesh</v>
          </cell>
          <cell r="B17">
            <v>8.6250639707090215</v>
          </cell>
          <cell r="C17">
            <v>8.792095892614741</v>
          </cell>
          <cell r="D17">
            <v>8.8039930177117682</v>
          </cell>
          <cell r="E17">
            <v>8.839020793146652</v>
          </cell>
          <cell r="F17">
            <v>8.7096534552938962</v>
          </cell>
          <cell r="G17">
            <v>8.5568393583664459</v>
          </cell>
          <cell r="H17">
            <v>8.575202333744949</v>
          </cell>
          <cell r="I17">
            <v>8.8945721348885733</v>
          </cell>
          <cell r="J17">
            <v>8.7937808935190898</v>
          </cell>
          <cell r="K17">
            <v>8.6990883081228016</v>
          </cell>
          <cell r="L17">
            <v>8.5622126912216672</v>
          </cell>
          <cell r="M17">
            <v>8.3428215993527477</v>
          </cell>
          <cell r="N17">
            <v>8.2172574041637017</v>
          </cell>
          <cell r="O17">
            <v>9.4940555280240257</v>
          </cell>
          <cell r="P17">
            <v>8.2389369337117113</v>
          </cell>
          <cell r="Q17">
            <v>8.9658556026942779</v>
          </cell>
        </row>
        <row r="18">
          <cell r="A18" t="str">
            <v>Barbados</v>
          </cell>
          <cell r="B18">
            <v>5.0328275348616813</v>
          </cell>
          <cell r="C18">
            <v>4.7534883636083718</v>
          </cell>
          <cell r="D18">
            <v>5.0760683356307563</v>
          </cell>
          <cell r="E18">
            <v>4.6275870994411781</v>
          </cell>
          <cell r="F18">
            <v>4.8486645561103554</v>
          </cell>
          <cell r="G18">
            <v>4.5760036863363531</v>
          </cell>
          <cell r="H18">
            <v>4.3813908484313586</v>
          </cell>
          <cell r="I18">
            <v>4.5873338395241907</v>
          </cell>
          <cell r="J18">
            <v>4.532571647932973</v>
          </cell>
          <cell r="K18">
            <v>4.4501309258841033</v>
          </cell>
          <cell r="L18">
            <v>4.4073058574498178</v>
          </cell>
          <cell r="M18">
            <v>4.3398299906797986</v>
          </cell>
          <cell r="N18">
            <v>4.4544796287191568</v>
          </cell>
          <cell r="O18">
            <v>5.0182729024977206</v>
          </cell>
          <cell r="P18">
            <v>4.3980819522817001</v>
          </cell>
          <cell r="Q18">
            <v>5.1386098178576658</v>
          </cell>
        </row>
        <row r="19">
          <cell r="A19" t="str">
            <v>Belarus</v>
          </cell>
          <cell r="B19">
            <v>6.4287796958230068</v>
          </cell>
          <cell r="C19">
            <v>6.4088902045989506</v>
          </cell>
          <cell r="D19">
            <v>6.0042294903772824</v>
          </cell>
          <cell r="E19">
            <v>6.0397789468277132</v>
          </cell>
          <cell r="F19">
            <v>6.1728083137746017</v>
          </cell>
          <cell r="G19">
            <v>6.2890410653446027</v>
          </cell>
          <cell r="H19">
            <v>5.8708016614024006</v>
          </cell>
          <cell r="I19">
            <v>5.7853164950480549</v>
          </cell>
          <cell r="J19">
            <v>5.4956110894555463</v>
          </cell>
          <cell r="K19">
            <v>5.113271123894517</v>
          </cell>
          <cell r="L19">
            <v>5.3654657254623075</v>
          </cell>
          <cell r="M19">
            <v>5.0857715899531453</v>
          </cell>
          <cell r="N19">
            <v>5.4670238504929092</v>
          </cell>
          <cell r="O19">
            <v>5.7117752759278053</v>
          </cell>
          <cell r="P19">
            <v>5.6645373930733731</v>
          </cell>
          <cell r="Q19">
            <v>5.8485440095360532</v>
          </cell>
        </row>
        <row r="20">
          <cell r="A20" t="str">
            <v>Belgium</v>
          </cell>
          <cell r="B20">
            <v>4.3255166606477431</v>
          </cell>
          <cell r="C20">
            <v>4.2548127802596563</v>
          </cell>
          <cell r="D20">
            <v>4.1657024379152308</v>
          </cell>
          <cell r="E20">
            <v>4.1259042660988285</v>
          </cell>
          <cell r="F20">
            <v>4.1566337079132269</v>
          </cell>
          <cell r="G20">
            <v>4.2398985341615107</v>
          </cell>
          <cell r="H20">
            <v>4.1151365287318438</v>
          </cell>
          <cell r="I20">
            <v>3.9652441598517285</v>
          </cell>
          <cell r="J20">
            <v>4.0599952456735489</v>
          </cell>
          <cell r="K20">
            <v>4.0970189608785583</v>
          </cell>
          <cell r="L20">
            <v>4.0877700670999051</v>
          </cell>
          <cell r="M20">
            <v>3.973303114191272</v>
          </cell>
          <cell r="N20">
            <v>4.0098823266301622</v>
          </cell>
          <cell r="O20">
            <v>3.8726412874078067</v>
          </cell>
          <cell r="P20">
            <v>3.8673878520537848</v>
          </cell>
          <cell r="Q20">
            <v>3.9428836657357236</v>
          </cell>
        </row>
        <row r="21">
          <cell r="A21" t="str">
            <v>Belize</v>
          </cell>
          <cell r="B21">
            <v>7.3324016991521592</v>
          </cell>
          <cell r="C21">
            <v>6.8302163726098772</v>
          </cell>
          <cell r="D21">
            <v>6.7587927316706065</v>
          </cell>
          <cell r="E21">
            <v>6.7979996045227429</v>
          </cell>
          <cell r="F21">
            <v>6.5829195212599192</v>
          </cell>
          <cell r="G21">
            <v>6.7895239713316053</v>
          </cell>
          <cell r="H21">
            <v>6.78127639692873</v>
          </cell>
          <cell r="I21">
            <v>6.5859367282312018</v>
          </cell>
          <cell r="J21">
            <v>6.8325062442041968</v>
          </cell>
          <cell r="K21">
            <v>6.7014334488413283</v>
          </cell>
          <cell r="L21">
            <v>6.1424375547290726</v>
          </cell>
          <cell r="M21">
            <v>6.0180542162087507</v>
          </cell>
          <cell r="N21">
            <v>5.6026764332805117</v>
          </cell>
          <cell r="O21">
            <v>6.4739655849037518</v>
          </cell>
          <cell r="P21">
            <v>5.5238693399353753</v>
          </cell>
          <cell r="Q21">
            <v>7.7180062920953851</v>
          </cell>
        </row>
        <row r="22">
          <cell r="A22" t="str">
            <v>Benin</v>
          </cell>
          <cell r="B22">
            <v>8.6362408393282308</v>
          </cell>
          <cell r="C22">
            <v>7.7411437986350293</v>
          </cell>
          <cell r="D22">
            <v>8.1018631904575411</v>
          </cell>
          <cell r="E22">
            <v>7.471216101198018</v>
          </cell>
          <cell r="F22">
            <v>7.4926317080955194</v>
          </cell>
          <cell r="G22">
            <v>7.1872790453882374</v>
          </cell>
          <cell r="H22">
            <v>7.2945443364165703</v>
          </cell>
          <cell r="I22">
            <v>7.736046987102549</v>
          </cell>
          <cell r="J22">
            <v>7.16691947592264</v>
          </cell>
          <cell r="K22">
            <v>7.4031133299180372</v>
          </cell>
          <cell r="L22">
            <v>7.4687776704668885</v>
          </cell>
          <cell r="M22">
            <v>7.4899408288783773</v>
          </cell>
          <cell r="N22">
            <v>7.7470964372358484</v>
          </cell>
          <cell r="O22">
            <v>8.7298701302998065</v>
          </cell>
          <cell r="P22">
            <v>7.736079778821896</v>
          </cell>
          <cell r="Q22">
            <v>8.6052534026519734</v>
          </cell>
        </row>
        <row r="23">
          <cell r="A23" t="str">
            <v>Bermuda</v>
          </cell>
          <cell r="B23">
            <v>4.8030735067343935</v>
          </cell>
          <cell r="C23">
            <v>5.693752208545189</v>
          </cell>
          <cell r="D23">
            <v>5.5478670669319339</v>
          </cell>
          <cell r="E23">
            <v>5.5797502000606194</v>
          </cell>
          <cell r="F23">
            <v>5.3934505339535788</v>
          </cell>
          <cell r="G23">
            <v>5.5859497499716184</v>
          </cell>
          <cell r="H23">
            <v>5.245325827924308</v>
          </cell>
          <cell r="I23">
            <v>5.6845775156662981</v>
          </cell>
          <cell r="J23">
            <v>5.4292355299216286</v>
          </cell>
          <cell r="K23">
            <v>5.8358175547470754</v>
          </cell>
          <cell r="L23">
            <v>6.1392193277849332</v>
          </cell>
          <cell r="M23">
            <v>6.2350848465125237</v>
          </cell>
          <cell r="N23">
            <v>6.214352170750125</v>
          </cell>
          <cell r="O23">
            <v>5.8483546439528515</v>
          </cell>
          <cell r="P23">
            <v>5.5460620248458907</v>
          </cell>
          <cell r="Q23">
            <v>5.9598854535281003</v>
          </cell>
        </row>
        <row r="24">
          <cell r="A24" t="str">
            <v>Bhutan</v>
          </cell>
          <cell r="B24">
            <v>7.8045878152778574</v>
          </cell>
          <cell r="C24">
            <v>7.6475492176638413</v>
          </cell>
          <cell r="D24">
            <v>7.8773527559050009</v>
          </cell>
          <cell r="E24">
            <v>7.6221819043280057</v>
          </cell>
          <cell r="F24">
            <v>7.3681383785667256</v>
          </cell>
          <cell r="G24">
            <v>6.8652865314116038</v>
          </cell>
          <cell r="H24">
            <v>6.7793952805944215</v>
          </cell>
          <cell r="I24">
            <v>6.8828644692405438</v>
          </cell>
          <cell r="J24">
            <v>6.6018711723327765</v>
          </cell>
          <cell r="K24">
            <v>6.1239334365203559</v>
          </cell>
          <cell r="L24">
            <v>5.9774444349031866</v>
          </cell>
          <cell r="M24">
            <v>5.8959799193071536</v>
          </cell>
          <cell r="N24">
            <v>5.4576800940263253</v>
          </cell>
          <cell r="O24">
            <v>7.9550257677917262</v>
          </cell>
          <cell r="P24">
            <v>6.3575705740339803</v>
          </cell>
          <cell r="Q24">
            <v>8.9143499085568649</v>
          </cell>
        </row>
        <row r="25">
          <cell r="A25" t="str">
            <v>Bolivia</v>
          </cell>
          <cell r="B25">
            <v>7.6270095110084295</v>
          </cell>
          <cell r="C25">
            <v>7.615580875186466</v>
          </cell>
          <cell r="D25">
            <v>7.3011159060317929</v>
          </cell>
          <cell r="E25">
            <v>6.6350489234570675</v>
          </cell>
          <cell r="F25">
            <v>6.5379355279958951</v>
          </cell>
          <cell r="G25">
            <v>6.9010968321728932</v>
          </cell>
          <cell r="H25">
            <v>7.0280289795080426</v>
          </cell>
          <cell r="I25">
            <v>6.8776157281826134</v>
          </cell>
          <cell r="J25">
            <v>6.6034494889659996</v>
          </cell>
          <cell r="K25">
            <v>6.8322089754216382</v>
          </cell>
          <cell r="L25">
            <v>6.8417918863587266</v>
          </cell>
          <cell r="M25">
            <v>6.3111757751526927</v>
          </cell>
          <cell r="N25">
            <v>6.3545942341278536</v>
          </cell>
          <cell r="O25">
            <v>8.4747696898631517</v>
          </cell>
          <cell r="P25">
            <v>6.0284969840036302</v>
          </cell>
          <cell r="Q25">
            <v>7.9403867261610808</v>
          </cell>
        </row>
        <row r="26">
          <cell r="A26" t="str">
            <v>Bosnia and Herzegovina</v>
          </cell>
          <cell r="B26">
            <v>6.9342529897320624</v>
          </cell>
          <cell r="C26">
            <v>6.7373413998095373</v>
          </cell>
          <cell r="D26">
            <v>6.4086209485175996</v>
          </cell>
          <cell r="E26">
            <v>6.1978820092560509</v>
          </cell>
          <cell r="F26">
            <v>6.2066752368313862</v>
          </cell>
          <cell r="G26">
            <v>6.0736273067169115</v>
          </cell>
          <cell r="H26">
            <v>6.0555611783538223</v>
          </cell>
          <cell r="I26">
            <v>5.8626408069962954</v>
          </cell>
          <cell r="J26">
            <v>5.697666265259123</v>
          </cell>
          <cell r="K26">
            <v>5.5846117235332189</v>
          </cell>
          <cell r="L26">
            <v>5.6710363995856969</v>
          </cell>
          <cell r="M26">
            <v>5.636248591662298</v>
          </cell>
          <cell r="N26">
            <v>5.5036124441082981</v>
          </cell>
          <cell r="O26">
            <v>5.5649212402414499</v>
          </cell>
          <cell r="P26">
            <v>5.2952713070521069</v>
          </cell>
          <cell r="Q26">
            <v>4.5795843661050455</v>
          </cell>
        </row>
        <row r="27">
          <cell r="A27" t="str">
            <v>Botswana</v>
          </cell>
          <cell r="B27">
            <v>7.2395704515829546</v>
          </cell>
          <cell r="C27">
            <v>7.5061941749073178</v>
          </cell>
          <cell r="D27">
            <v>7.7267675747346125</v>
          </cell>
          <cell r="E27">
            <v>7.5223766561745276</v>
          </cell>
          <cell r="F27">
            <v>6.8520889543232482</v>
          </cell>
          <cell r="G27">
            <v>6.3085774970133563</v>
          </cell>
          <cell r="H27">
            <v>6.1268894788699058</v>
          </cell>
          <cell r="I27">
            <v>6.3803997216199031</v>
          </cell>
          <cell r="J27">
            <v>6.2760404734430795</v>
          </cell>
          <cell r="K27">
            <v>5.8180180162008952</v>
          </cell>
          <cell r="L27">
            <v>6.2759030348289695</v>
          </cell>
          <cell r="M27">
            <v>6.2845861807074108</v>
          </cell>
          <cell r="N27">
            <v>6.1701451041353383</v>
          </cell>
          <cell r="O27">
            <v>7.9298048116869149</v>
          </cell>
          <cell r="P27">
            <v>5.3218334502962223</v>
          </cell>
          <cell r="Q27">
            <v>7.8368192936349734</v>
          </cell>
        </row>
        <row r="28">
          <cell r="A28" t="str">
            <v>Brazil</v>
          </cell>
          <cell r="B28">
            <v>7.0354867076447158</v>
          </cell>
          <cell r="C28">
            <v>7.1663163929091231</v>
          </cell>
          <cell r="D28">
            <v>6.9398250546544986</v>
          </cell>
          <cell r="E28">
            <v>7.0467785734374937</v>
          </cell>
          <cell r="F28">
            <v>6.6690846651433366</v>
          </cell>
          <cell r="G28">
            <v>6.9410834689085927</v>
          </cell>
          <cell r="H28">
            <v>6.9307333153999968</v>
          </cell>
          <cell r="I28">
            <v>6.8926292841644656</v>
          </cell>
          <cell r="J28">
            <v>6.8815918951164692</v>
          </cell>
          <cell r="K28">
            <v>6.7884005538394234</v>
          </cell>
          <cell r="L28">
            <v>6.797695463370454</v>
          </cell>
          <cell r="M28">
            <v>6.6389856141055574</v>
          </cell>
          <cell r="N28">
            <v>6.709994687662542</v>
          </cell>
          <cell r="O28">
            <v>6.5948156473263584</v>
          </cell>
          <cell r="P28">
            <v>6.0927784306762049</v>
          </cell>
          <cell r="Q28">
            <v>6.0655846543202561</v>
          </cell>
        </row>
        <row r="29">
          <cell r="A29" t="str">
            <v>British Virgin Islands</v>
          </cell>
          <cell r="B29">
            <v>8.1506278508299204</v>
          </cell>
          <cell r="C29">
            <v>8.4793131691156169</v>
          </cell>
          <cell r="D29">
            <v>8.6411216523950962</v>
          </cell>
          <cell r="E29">
            <v>8.3612206631663781</v>
          </cell>
          <cell r="F29">
            <v>8.1340000000000003</v>
          </cell>
          <cell r="G29">
            <v>8.1280000000000001</v>
          </cell>
          <cell r="H29">
            <v>7.9329999999999998</v>
          </cell>
          <cell r="I29">
            <v>7.5767209908840449</v>
          </cell>
          <cell r="J29">
            <v>7.5170251644625701</v>
          </cell>
          <cell r="K29">
            <v>9.6999999999999993</v>
          </cell>
          <cell r="L29">
            <v>8.1219999999999999</v>
          </cell>
          <cell r="M29">
            <v>7.1710000000000003</v>
          </cell>
          <cell r="N29">
            <v>9.4</v>
          </cell>
          <cell r="O29" t="str">
            <v>NA</v>
          </cell>
          <cell r="P29">
            <v>9.5500000000000007</v>
          </cell>
          <cell r="Q29">
            <v>9.85</v>
          </cell>
        </row>
        <row r="30">
          <cell r="A30" t="str">
            <v>Brunei Darussalam</v>
          </cell>
          <cell r="B30">
            <v>5.7234357131126874</v>
          </cell>
          <cell r="C30">
            <v>5.5570223535214813</v>
          </cell>
          <cell r="D30">
            <v>5.7486164733718672</v>
          </cell>
          <cell r="E30">
            <v>5.3582859175993924</v>
          </cell>
          <cell r="F30">
            <v>5.2190936198849851</v>
          </cell>
          <cell r="G30">
            <v>5.5107575020832114</v>
          </cell>
          <cell r="H30">
            <v>5.1459384279278133</v>
          </cell>
          <cell r="I30">
            <v>5.3194717187025207</v>
          </cell>
          <cell r="J30">
            <v>5.1765751204228527</v>
          </cell>
          <cell r="K30">
            <v>4.8302095992833269</v>
          </cell>
          <cell r="L30">
            <v>5.2171337011668584</v>
          </cell>
          <cell r="M30">
            <v>5.0993627315879175</v>
          </cell>
          <cell r="N30">
            <v>5.3724266490341739</v>
          </cell>
          <cell r="O30">
            <v>7.444177735249129</v>
          </cell>
          <cell r="P30">
            <v>4.7163047547848862</v>
          </cell>
          <cell r="Q30">
            <v>7.7300091678383707</v>
          </cell>
        </row>
        <row r="31">
          <cell r="A31" t="str">
            <v>Bulgaria</v>
          </cell>
          <cell r="B31">
            <v>5.916671868144376</v>
          </cell>
          <cell r="C31">
            <v>5.9690874485583416</v>
          </cell>
          <cell r="D31">
            <v>5.9639494721065756</v>
          </cell>
          <cell r="E31">
            <v>5.3508730812548864</v>
          </cell>
          <cell r="F31">
            <v>5.5584873112557425</v>
          </cell>
          <cell r="G31">
            <v>5.4118932910059456</v>
          </cell>
          <cell r="H31">
            <v>5.3857425902384204</v>
          </cell>
          <cell r="I31">
            <v>5.3891961380220295</v>
          </cell>
          <cell r="J31">
            <v>5.0751907242951875</v>
          </cell>
          <cell r="K31">
            <v>5.1139681709158626</v>
          </cell>
          <cell r="L31">
            <v>5.0913411351985438</v>
          </cell>
          <cell r="M31">
            <v>5.1224965471289217</v>
          </cell>
          <cell r="N31">
            <v>5.0038945741594674</v>
          </cell>
          <cell r="O31">
            <v>4.9060046963643886</v>
          </cell>
          <cell r="P31">
            <v>4.8629222752071435</v>
          </cell>
          <cell r="Q31">
            <v>4.9769923179323472</v>
          </cell>
        </row>
        <row r="32">
          <cell r="A32" t="str">
            <v>Burkina Faso</v>
          </cell>
          <cell r="B32">
            <v>8.2438167532503535</v>
          </cell>
          <cell r="C32">
            <v>8.1600887959812987</v>
          </cell>
          <cell r="D32">
            <v>7.529312443869518</v>
          </cell>
          <cell r="E32">
            <v>7.5288740983661713</v>
          </cell>
          <cell r="F32">
            <v>7.8497170052939405</v>
          </cell>
          <cell r="G32">
            <v>7.7912692995383361</v>
          </cell>
          <cell r="H32">
            <v>7.8807456824645392</v>
          </cell>
          <cell r="I32">
            <v>7.9061445034968072</v>
          </cell>
          <cell r="J32">
            <v>7.762879676261452</v>
          </cell>
          <cell r="K32">
            <v>7.2004293368770691</v>
          </cell>
          <cell r="L32">
            <v>7.7067861859420166</v>
          </cell>
          <cell r="M32">
            <v>7.9075787882246118</v>
          </cell>
          <cell r="N32">
            <v>7.9446310082498153</v>
          </cell>
          <cell r="O32">
            <v>7.1935807368244387</v>
          </cell>
          <cell r="P32">
            <v>7.1953330826915805</v>
          </cell>
          <cell r="Q32">
            <v>6.4812813205188951</v>
          </cell>
        </row>
        <row r="33">
          <cell r="A33" t="str">
            <v>Burundi</v>
          </cell>
          <cell r="B33">
            <v>8.8040126811822326</v>
          </cell>
          <cell r="C33">
            <v>7.9350066514675657</v>
          </cell>
          <cell r="D33">
            <v>8.635412279116931</v>
          </cell>
          <cell r="E33">
            <v>8.8610219100072207</v>
          </cell>
          <cell r="F33">
            <v>7.701630851860088</v>
          </cell>
          <cell r="G33">
            <v>8.9019301666710433</v>
          </cell>
          <cell r="H33">
            <v>8.3873347335657904</v>
          </cell>
          <cell r="I33">
            <v>8.7185670422182255</v>
          </cell>
          <cell r="J33">
            <v>7.865117527023239</v>
          </cell>
          <cell r="K33">
            <v>8.0830356632530922</v>
          </cell>
          <cell r="L33">
            <v>8.8270968040692015</v>
          </cell>
          <cell r="M33">
            <v>8.5641843899929864</v>
          </cell>
          <cell r="N33">
            <v>8.9451715851338687</v>
          </cell>
          <cell r="O33">
            <v>8.9310713738120189</v>
          </cell>
          <cell r="P33">
            <v>8.5491071626435904</v>
          </cell>
          <cell r="Q33">
            <v>7.7348205765560056</v>
          </cell>
        </row>
        <row r="34">
          <cell r="A34" t="str">
            <v>Cabo Verde</v>
          </cell>
          <cell r="B34">
            <v>7.0777101448841284</v>
          </cell>
          <cell r="C34">
            <v>6.9560856842960028</v>
          </cell>
          <cell r="D34">
            <v>6.9899066814127631</v>
          </cell>
          <cell r="E34">
            <v>6.6463225853138699</v>
          </cell>
          <cell r="F34">
            <v>6.6117395282561091</v>
          </cell>
          <cell r="G34">
            <v>6.2060356934909544</v>
          </cell>
          <cell r="H34">
            <v>6.449763830865785</v>
          </cell>
          <cell r="I34">
            <v>6.6774221293866347</v>
          </cell>
          <cell r="J34">
            <v>6.4088693187869437</v>
          </cell>
          <cell r="K34">
            <v>6.0478543822680102</v>
          </cell>
          <cell r="L34">
            <v>6.2301646956961063</v>
          </cell>
          <cell r="M34">
            <v>6.187093933763447</v>
          </cell>
          <cell r="N34">
            <v>5.933347712447711</v>
          </cell>
          <cell r="O34">
            <v>7.9406456470020697</v>
          </cell>
          <cell r="P34">
            <v>5.6973563406678291</v>
          </cell>
          <cell r="Q34">
            <v>7.6020102922859429</v>
          </cell>
        </row>
        <row r="35">
          <cell r="A35" t="str">
            <v>Cambodia</v>
          </cell>
          <cell r="B35">
            <v>8.0111818915797013</v>
          </cell>
          <cell r="C35">
            <v>7.7728518062447414</v>
          </cell>
          <cell r="D35">
            <v>8.0605656656349129</v>
          </cell>
          <cell r="E35">
            <v>7.5538132929026585</v>
          </cell>
          <cell r="F35">
            <v>7.5098693796624971</v>
          </cell>
          <cell r="G35">
            <v>7.4765029094116775</v>
          </cell>
          <cell r="H35">
            <v>7.3199810034230604</v>
          </cell>
          <cell r="I35">
            <v>6.909295525255736</v>
          </cell>
          <cell r="J35">
            <v>6.8756816000111556</v>
          </cell>
          <cell r="K35">
            <v>7.7365706154777261</v>
          </cell>
          <cell r="L35">
            <v>6.6244590650025899</v>
          </cell>
          <cell r="M35">
            <v>6.1172129272837896</v>
          </cell>
          <cell r="N35">
            <v>6.5387053569492366</v>
          </cell>
          <cell r="O35">
            <v>7.9588976648858702</v>
          </cell>
          <cell r="P35">
            <v>6.3451464605443553</v>
          </cell>
          <cell r="Q35">
            <v>7.6675241648213532</v>
          </cell>
        </row>
        <row r="36">
          <cell r="A36" t="str">
            <v>Cameroon</v>
          </cell>
          <cell r="B36">
            <v>7.4354438692784903</v>
          </cell>
          <cell r="C36">
            <v>7.5247977593118369</v>
          </cell>
          <cell r="D36">
            <v>7.4309237464157274</v>
          </cell>
          <cell r="E36">
            <v>7.3454051962829805</v>
          </cell>
          <cell r="F36">
            <v>7.474719747516759</v>
          </cell>
          <cell r="G36">
            <v>7.4201259832415056</v>
          </cell>
          <cell r="H36">
            <v>7.4322565072021565</v>
          </cell>
          <cell r="I36">
            <v>7.3944920714135787</v>
          </cell>
          <cell r="J36">
            <v>7.48603456724293</v>
          </cell>
          <cell r="K36">
            <v>7.1994596754299227</v>
          </cell>
          <cell r="L36">
            <v>7.1026752379748839</v>
          </cell>
          <cell r="M36">
            <v>6.9856971333390554</v>
          </cell>
          <cell r="N36">
            <v>6.9170452184247573</v>
          </cell>
          <cell r="O36">
            <v>7.0713332707321079</v>
          </cell>
          <cell r="P36">
            <v>7.6819499382651655</v>
          </cell>
          <cell r="Q36">
            <v>7.5668874403629713</v>
          </cell>
        </row>
        <row r="37">
          <cell r="A37" t="str">
            <v>Canada</v>
          </cell>
          <cell r="B37">
            <v>4.8079594771904457</v>
          </cell>
          <cell r="C37">
            <v>4.8324866058868032</v>
          </cell>
          <cell r="D37">
            <v>4.7554184085831253</v>
          </cell>
          <cell r="E37">
            <v>4.9030094854318067</v>
          </cell>
          <cell r="F37">
            <v>4.8284804820543901</v>
          </cell>
          <cell r="G37">
            <v>4.8097377992345125</v>
          </cell>
          <cell r="H37">
            <v>4.7732351984365762</v>
          </cell>
          <cell r="I37">
            <v>4.7344274943080729</v>
          </cell>
          <cell r="J37">
            <v>4.6561398585714482</v>
          </cell>
          <cell r="K37">
            <v>4.7869004052365973</v>
          </cell>
          <cell r="L37">
            <v>4.829903179785898</v>
          </cell>
          <cell r="M37">
            <v>4.6926692413465476</v>
          </cell>
          <cell r="N37">
            <v>4.8096203729204845</v>
          </cell>
          <cell r="O37">
            <v>4.5469830110283151</v>
          </cell>
          <cell r="P37">
            <v>4.680733606574778</v>
          </cell>
          <cell r="Q37">
            <v>4.8579128275992458</v>
          </cell>
        </row>
        <row r="38">
          <cell r="A38" t="str">
            <v>Cayman Islands</v>
          </cell>
          <cell r="B38">
            <v>3.3947404338245653</v>
          </cell>
          <cell r="C38">
            <v>3.4571320710326656</v>
          </cell>
          <cell r="D38">
            <v>3.678585686926894</v>
          </cell>
          <cell r="E38">
            <v>3.5628472108671216</v>
          </cell>
          <cell r="F38">
            <v>3.8541937518739076</v>
          </cell>
          <cell r="G38">
            <v>3.6478111686555827</v>
          </cell>
          <cell r="H38">
            <v>3.4514591535407382</v>
          </cell>
          <cell r="I38">
            <v>4.0360767565096882</v>
          </cell>
          <cell r="J38">
            <v>5.246588501931261</v>
          </cell>
          <cell r="K38">
            <v>5.6064316753749077</v>
          </cell>
          <cell r="L38">
            <v>5.4504122544554221</v>
          </cell>
          <cell r="M38">
            <v>5.2983807037125006</v>
          </cell>
          <cell r="N38">
            <v>6.7725103307179548</v>
          </cell>
          <cell r="O38">
            <v>4.1335744473332596</v>
          </cell>
          <cell r="P38">
            <v>5.5429373251398948</v>
          </cell>
          <cell r="Q38">
            <v>9.0639161660813325</v>
          </cell>
        </row>
        <row r="39">
          <cell r="A39" t="str">
            <v>Central African Republic</v>
          </cell>
          <cell r="B39">
            <v>8.3229839151357847</v>
          </cell>
          <cell r="C39">
            <v>8.2952688834832085</v>
          </cell>
          <cell r="D39">
            <v>8.6837643976928494</v>
          </cell>
          <cell r="E39">
            <v>7.5893283705879746</v>
          </cell>
          <cell r="F39">
            <v>8.9188716390552791</v>
          </cell>
          <cell r="G39">
            <v>8.6725453599831948</v>
          </cell>
          <cell r="H39">
            <v>8.3181968998003093</v>
          </cell>
          <cell r="I39">
            <v>8.2803430562266698</v>
          </cell>
          <cell r="J39">
            <v>8.5075285342257168</v>
          </cell>
          <cell r="K39">
            <v>8.3192135769738531</v>
          </cell>
          <cell r="L39">
            <v>8.2066464187047021</v>
          </cell>
          <cell r="M39">
            <v>8.5169719728143978</v>
          </cell>
          <cell r="N39">
            <v>8.4978728965635497</v>
          </cell>
          <cell r="O39">
            <v>8.6260973298786681</v>
          </cell>
          <cell r="P39">
            <v>8.3550371307193601</v>
          </cell>
          <cell r="Q39">
            <v>8.4234323212968469</v>
          </cell>
        </row>
        <row r="40">
          <cell r="A40" t="str">
            <v>Chad</v>
          </cell>
          <cell r="B40">
            <v>8.7579061380937659</v>
          </cell>
          <cell r="C40">
            <v>8.8784196790721115</v>
          </cell>
          <cell r="D40">
            <v>8.197845724998384</v>
          </cell>
          <cell r="E40">
            <v>8.6598473053574239</v>
          </cell>
          <cell r="F40">
            <v>8.890723485890808</v>
          </cell>
          <cell r="G40">
            <v>8.7583783534380828</v>
          </cell>
          <cell r="H40">
            <v>8.8440494952902586</v>
          </cell>
          <cell r="I40">
            <v>8.9625279762458412</v>
          </cell>
          <cell r="J40">
            <v>8.6449337347601851</v>
          </cell>
          <cell r="K40">
            <v>8.7280154843329925</v>
          </cell>
          <cell r="L40">
            <v>8.5316239797649711</v>
          </cell>
          <cell r="M40">
            <v>8.2266509258933844</v>
          </cell>
          <cell r="N40">
            <v>8.0896061026906487</v>
          </cell>
          <cell r="O40">
            <v>8.5405509333838925</v>
          </cell>
          <cell r="P40">
            <v>8.2333308646118475</v>
          </cell>
          <cell r="Q40">
            <v>8.557919867008188</v>
          </cell>
        </row>
        <row r="41">
          <cell r="A41" t="str">
            <v>Chile</v>
          </cell>
          <cell r="B41">
            <v>6.0672071525491535</v>
          </cell>
          <cell r="C41">
            <v>6.0467152233401906</v>
          </cell>
          <cell r="D41">
            <v>6.022798784364328</v>
          </cell>
          <cell r="E41">
            <v>6.0922108749082682</v>
          </cell>
          <cell r="F41">
            <v>6.2081765173717596</v>
          </cell>
          <cell r="G41">
            <v>6.222688045828658</v>
          </cell>
          <cell r="H41">
            <v>6.1769711000771759</v>
          </cell>
          <cell r="I41">
            <v>6.014364728656437</v>
          </cell>
          <cell r="J41">
            <v>5.9175262438241392</v>
          </cell>
          <cell r="K41">
            <v>5.8093501514783066</v>
          </cell>
          <cell r="L41">
            <v>5.8614057267718964</v>
          </cell>
          <cell r="M41">
            <v>5.811218214660804</v>
          </cell>
          <cell r="N41">
            <v>5.7667796871605139</v>
          </cell>
          <cell r="O41">
            <v>5.7404699768932863</v>
          </cell>
          <cell r="P41">
            <v>5.3916879456635201</v>
          </cell>
          <cell r="Q41">
            <v>5.9251100944343351</v>
          </cell>
        </row>
        <row r="42">
          <cell r="A42" t="str">
            <v>China</v>
          </cell>
          <cell r="B42">
            <v>6.4485393887065321</v>
          </cell>
          <cell r="C42">
            <v>6.3815888810623846</v>
          </cell>
          <cell r="D42">
            <v>6.169026559325383</v>
          </cell>
          <cell r="E42">
            <v>6.0589979124648874</v>
          </cell>
          <cell r="F42">
            <v>6.1549371807657298</v>
          </cell>
          <cell r="G42">
            <v>6.104936506335731</v>
          </cell>
          <cell r="H42">
            <v>6.0786927252113774</v>
          </cell>
          <cell r="I42">
            <v>6.0376454415232086</v>
          </cell>
          <cell r="J42">
            <v>5.9941496740268407</v>
          </cell>
          <cell r="K42">
            <v>5.8291569151879843</v>
          </cell>
          <cell r="L42">
            <v>6.0539414076968221</v>
          </cell>
          <cell r="M42">
            <v>5.8662541093081266</v>
          </cell>
          <cell r="N42">
            <v>5.9549298733866216</v>
          </cell>
          <cell r="O42">
            <v>5.7924045627260536</v>
          </cell>
          <cell r="P42">
            <v>5.7625169048391101</v>
          </cell>
          <cell r="Q42">
            <v>5.7868942454284822</v>
          </cell>
        </row>
        <row r="43">
          <cell r="A43" t="str">
            <v>Colombia</v>
          </cell>
          <cell r="B43">
            <v>6.535696439214659</v>
          </cell>
          <cell r="C43">
            <v>6.7693906394603323</v>
          </cell>
          <cell r="D43">
            <v>6.4515158902028489</v>
          </cell>
          <cell r="E43">
            <v>6.3496930874370321</v>
          </cell>
          <cell r="F43">
            <v>6.4376340828770608</v>
          </cell>
          <cell r="G43">
            <v>6.7578821617516827</v>
          </cell>
          <cell r="H43">
            <v>6.7480559897509362</v>
          </cell>
          <cell r="I43">
            <v>6.6895627158313236</v>
          </cell>
          <cell r="J43">
            <v>6.6909603394782895</v>
          </cell>
          <cell r="K43">
            <v>6.6633428880849372</v>
          </cell>
          <cell r="L43">
            <v>6.9135164498557078</v>
          </cell>
          <cell r="M43">
            <v>6.7086610917463503</v>
          </cell>
          <cell r="N43">
            <v>6.6042552092279134</v>
          </cell>
          <cell r="O43">
            <v>6.2142212603181175</v>
          </cell>
          <cell r="P43">
            <v>5.9241220140253796</v>
          </cell>
          <cell r="Q43">
            <v>6.2039583918370784</v>
          </cell>
        </row>
        <row r="44">
          <cell r="A44" t="str">
            <v>Comoros</v>
          </cell>
          <cell r="B44">
            <v>7.9733988263801301</v>
          </cell>
          <cell r="C44">
            <v>8.2670253749176617</v>
          </cell>
          <cell r="D44">
            <v>8.2537670312791622</v>
          </cell>
          <cell r="E44">
            <v>7.785011175707016</v>
          </cell>
          <cell r="F44">
            <v>8.1776887289348466</v>
          </cell>
          <cell r="G44">
            <v>8.0989920326855618</v>
          </cell>
          <cell r="H44">
            <v>8.175772556038849</v>
          </cell>
          <cell r="I44">
            <v>8.2888508667611944</v>
          </cell>
          <cell r="J44">
            <v>8.3540787844343427</v>
          </cell>
          <cell r="K44">
            <v>8.5107331783440276</v>
          </cell>
          <cell r="L44">
            <v>8.0942218274785525</v>
          </cell>
          <cell r="M44">
            <v>7.7065509609701159</v>
          </cell>
          <cell r="N44">
            <v>7.5739634642425253</v>
          </cell>
          <cell r="O44">
            <v>8.5914765966948803</v>
          </cell>
          <cell r="P44">
            <v>7.8635565850004028</v>
          </cell>
          <cell r="Q44">
            <v>8.322340978669601</v>
          </cell>
        </row>
        <row r="45">
          <cell r="A45" t="str">
            <v>Congo, Dem. Rep.</v>
          </cell>
          <cell r="B45">
            <v>8.2169209026770993</v>
          </cell>
          <cell r="C45">
            <v>8.2810512021263545</v>
          </cell>
          <cell r="D45">
            <v>8.008930438648223</v>
          </cell>
          <cell r="E45">
            <v>8.7972336398628173</v>
          </cell>
          <cell r="F45">
            <v>8.7416464287588003</v>
          </cell>
          <cell r="G45">
            <v>8.9035591194256529</v>
          </cell>
          <cell r="H45">
            <v>8.5590190189258752</v>
          </cell>
          <cell r="I45">
            <v>8.4910678075624446</v>
          </cell>
          <cell r="J45">
            <v>8.7021476262504347</v>
          </cell>
          <cell r="K45">
            <v>8.571291353467446</v>
          </cell>
          <cell r="L45">
            <v>8.2551723312643066</v>
          </cell>
          <cell r="M45">
            <v>8.2418439253116595</v>
          </cell>
          <cell r="N45">
            <v>8.2491125880738672</v>
          </cell>
          <cell r="O45">
            <v>8.8678097769675048</v>
          </cell>
          <cell r="P45">
            <v>8.1097187486643225</v>
          </cell>
          <cell r="Q45">
            <v>7.9795210865857644</v>
          </cell>
        </row>
        <row r="46">
          <cell r="A46" t="str">
            <v>Congo, Rep.</v>
          </cell>
          <cell r="B46">
            <v>7.6402862580577278</v>
          </cell>
          <cell r="C46">
            <v>7.5441281671369591</v>
          </cell>
          <cell r="D46">
            <v>7.6600150111410858</v>
          </cell>
          <cell r="E46">
            <v>7.7863540798744264</v>
          </cell>
          <cell r="F46">
            <v>7.2630333179414341</v>
          </cell>
          <cell r="G46">
            <v>7.3802861544067628</v>
          </cell>
          <cell r="H46">
            <v>7.0099449632752986</v>
          </cell>
          <cell r="I46">
            <v>7.6743121694828318</v>
          </cell>
          <cell r="J46">
            <v>7.610229719644547</v>
          </cell>
          <cell r="K46">
            <v>7.0843501575013734</v>
          </cell>
          <cell r="L46">
            <v>8.181952900372913</v>
          </cell>
          <cell r="M46">
            <v>8.0215266890270875</v>
          </cell>
          <cell r="N46">
            <v>8.2283826559959774</v>
          </cell>
          <cell r="O46">
            <v>7.9513050970881798</v>
          </cell>
          <cell r="P46">
            <v>7.0586483292676174</v>
          </cell>
          <cell r="Q46">
            <v>7.5357936699587356</v>
          </cell>
        </row>
        <row r="47">
          <cell r="A47" t="str">
            <v>Costa Rica</v>
          </cell>
          <cell r="B47">
            <v>6.294191570785614</v>
          </cell>
          <cell r="C47">
            <v>6.2626941898542245</v>
          </cell>
          <cell r="D47">
            <v>6.2231702621327383</v>
          </cell>
          <cell r="E47">
            <v>6.0851201938150066</v>
          </cell>
          <cell r="F47">
            <v>5.9852397010206273</v>
          </cell>
          <cell r="G47">
            <v>5.7394156208205018</v>
          </cell>
          <cell r="H47">
            <v>5.7084717198440638</v>
          </cell>
          <cell r="I47">
            <v>5.7729171826562515</v>
          </cell>
          <cell r="J47">
            <v>6.0026143360952329</v>
          </cell>
          <cell r="K47">
            <v>5.7401075562039461</v>
          </cell>
          <cell r="L47">
            <v>5.9029380831972196</v>
          </cell>
          <cell r="M47">
            <v>5.6376473142463981</v>
          </cell>
          <cell r="N47">
            <v>5.4983703512496902</v>
          </cell>
          <cell r="O47">
            <v>5.7324416819168222</v>
          </cell>
          <cell r="P47">
            <v>5.9588338934698628</v>
          </cell>
          <cell r="Q47">
            <v>6.0651786838170159</v>
          </cell>
        </row>
        <row r="48">
          <cell r="A48" t="str">
            <v>Cote d'Ivoire</v>
          </cell>
          <cell r="B48">
            <v>7.9446553316001118</v>
          </cell>
          <cell r="C48">
            <v>7.7006375992747031</v>
          </cell>
          <cell r="D48">
            <v>7.7456464947450296</v>
          </cell>
          <cell r="E48">
            <v>7.7655197867685057</v>
          </cell>
          <cell r="F48">
            <v>7.6671039174982774</v>
          </cell>
          <cell r="G48">
            <v>7.5474957256199158</v>
          </cell>
          <cell r="H48">
            <v>7.3225649024356816</v>
          </cell>
          <cell r="I48">
            <v>7.0811732312557494</v>
          </cell>
          <cell r="J48">
            <v>6.7311544145624271</v>
          </cell>
          <cell r="K48">
            <v>6.8682755543712357</v>
          </cell>
          <cell r="L48">
            <v>7.1100758345608952</v>
          </cell>
          <cell r="M48">
            <v>7.2111089774491441</v>
          </cell>
          <cell r="N48">
            <v>7.1827595044175547</v>
          </cell>
          <cell r="O48">
            <v>7.4804644795388846</v>
          </cell>
          <cell r="P48">
            <v>6.8832384422970945</v>
          </cell>
          <cell r="Q48">
            <v>5.8153678210968884</v>
          </cell>
        </row>
        <row r="49">
          <cell r="A49" t="str">
            <v>Croatia</v>
          </cell>
          <cell r="B49">
            <v>5.833246866188146</v>
          </cell>
          <cell r="C49">
            <v>5.9137280994278809</v>
          </cell>
          <cell r="D49">
            <v>5.8126376157414068</v>
          </cell>
          <cell r="E49">
            <v>5.5846904310350132</v>
          </cell>
          <cell r="F49">
            <v>5.8836616325171782</v>
          </cell>
          <cell r="G49">
            <v>5.5376772368370135</v>
          </cell>
          <cell r="H49">
            <v>5.5919929511932107</v>
          </cell>
          <cell r="I49">
            <v>5.3039716474723964</v>
          </cell>
          <cell r="J49">
            <v>5.1771084652534114</v>
          </cell>
          <cell r="K49">
            <v>4.9791896354730785</v>
          </cell>
          <cell r="L49">
            <v>4.8432895435049623</v>
          </cell>
          <cell r="M49">
            <v>5.1726378763699792</v>
          </cell>
          <cell r="N49">
            <v>4.9719765952868036</v>
          </cell>
          <cell r="O49">
            <v>4.4998623466592864</v>
          </cell>
          <cell r="P49">
            <v>4.5950602373240184</v>
          </cell>
          <cell r="Q49">
            <v>4.7572714701266303</v>
          </cell>
        </row>
        <row r="50">
          <cell r="A50" t="str">
            <v>Cuba</v>
          </cell>
          <cell r="B50">
            <v>7.3879089724333946</v>
          </cell>
          <cell r="C50">
            <v>7.6922242133440388</v>
          </cell>
          <cell r="D50">
            <v>7.8943930671880782</v>
          </cell>
          <cell r="E50">
            <v>7.6191207377014729</v>
          </cell>
          <cell r="F50">
            <v>7.7542566422666663</v>
          </cell>
          <cell r="G50">
            <v>7.3552571309498749</v>
          </cell>
          <cell r="H50">
            <v>7.6706121884897751</v>
          </cell>
          <cell r="I50">
            <v>6.7547621948544414</v>
          </cell>
          <cell r="J50">
            <v>6.6315483991201063</v>
          </cell>
          <cell r="K50">
            <v>6.5051029062492924</v>
          </cell>
          <cell r="L50">
            <v>6.5408602934964826</v>
          </cell>
          <cell r="M50">
            <v>6.4524454249840373</v>
          </cell>
          <cell r="N50">
            <v>6.2971454960479107</v>
          </cell>
          <cell r="O50">
            <v>6.141970956995296</v>
          </cell>
          <cell r="P50">
            <v>4.8716308621708171</v>
          </cell>
          <cell r="Q50">
            <v>5.6107860187688292</v>
          </cell>
        </row>
        <row r="51">
          <cell r="A51" t="str">
            <v>Curacao</v>
          </cell>
          <cell r="B51">
            <v>7.4707257568174175</v>
          </cell>
          <cell r="C51">
            <v>7.62385398229162</v>
          </cell>
          <cell r="D51">
            <v>7.1419755276036474</v>
          </cell>
          <cell r="E51">
            <v>6.7448105798007507</v>
          </cell>
          <cell r="F51">
            <v>7.0980220799141476</v>
          </cell>
          <cell r="G51">
            <v>6.7754849841464981</v>
          </cell>
          <cell r="H51">
            <v>6.7726619544119844</v>
          </cell>
          <cell r="I51">
            <v>6.6818639358247607</v>
          </cell>
          <cell r="J51">
            <v>6.3230476924700323</v>
          </cell>
          <cell r="K51">
            <v>6.4968231691084197</v>
          </cell>
          <cell r="L51">
            <v>5.9602607218172903</v>
          </cell>
          <cell r="M51">
            <v>5.8348408699382377</v>
          </cell>
          <cell r="N51">
            <v>6.7565000000000008</v>
          </cell>
          <cell r="O51">
            <v>6.3525</v>
          </cell>
          <cell r="P51">
            <v>6.5739999999999998</v>
          </cell>
          <cell r="Q51">
            <v>5.8840000000000003</v>
          </cell>
        </row>
        <row r="52">
          <cell r="A52" t="str">
            <v>Cyprus</v>
          </cell>
          <cell r="B52">
            <v>4.6178049242061476</v>
          </cell>
          <cell r="C52">
            <v>4.7163107552120627</v>
          </cell>
          <cell r="D52">
            <v>4.6806194925604538</v>
          </cell>
          <cell r="E52">
            <v>4.6607667199935578</v>
          </cell>
          <cell r="F52">
            <v>4.5556876026121538</v>
          </cell>
          <cell r="G52">
            <v>4.4975920935080564</v>
          </cell>
          <cell r="H52">
            <v>4.4186995308928925</v>
          </cell>
          <cell r="I52">
            <v>4.4952073816795002</v>
          </cell>
          <cell r="J52">
            <v>4.2790793269491623</v>
          </cell>
          <cell r="K52">
            <v>4.0895193938341849</v>
          </cell>
          <cell r="L52">
            <v>3.907342722253965</v>
          </cell>
          <cell r="M52">
            <v>3.5622002219346829</v>
          </cell>
          <cell r="N52">
            <v>3.9216812503361433</v>
          </cell>
          <cell r="O52">
            <v>3.7149678536405739</v>
          </cell>
          <cell r="P52">
            <v>3.7350979320020414</v>
          </cell>
          <cell r="Q52">
            <v>6.4208398670954372</v>
          </cell>
        </row>
        <row r="53">
          <cell r="A53" t="str">
            <v>Czech Republic</v>
          </cell>
          <cell r="B53">
            <v>4.957748414474155</v>
          </cell>
          <cell r="C53">
            <v>4.8493224494955669</v>
          </cell>
          <cell r="D53">
            <v>5.0265669409294675</v>
          </cell>
          <cell r="E53">
            <v>4.6961240499084873</v>
          </cell>
          <cell r="F53">
            <v>4.5362111847322701</v>
          </cell>
          <cell r="G53">
            <v>4.6027669954437158</v>
          </cell>
          <cell r="H53">
            <v>4.6830447783733664</v>
          </cell>
          <cell r="I53">
            <v>4.4992798171904216</v>
          </cell>
          <cell r="J53">
            <v>4.2459781654807003</v>
          </cell>
          <cell r="K53">
            <v>4.4980852112114764</v>
          </cell>
          <cell r="L53">
            <v>4.4262354723463746</v>
          </cell>
          <cell r="M53">
            <v>4.4541332316746223</v>
          </cell>
          <cell r="N53">
            <v>4.6056007342014613</v>
          </cell>
          <cell r="O53">
            <v>4.5219618768170751</v>
          </cell>
          <cell r="P53">
            <v>4.4767512756871861</v>
          </cell>
          <cell r="Q53">
            <v>5.7263653119419295</v>
          </cell>
        </row>
        <row r="54">
          <cell r="A54" t="str">
            <v>Denmark</v>
          </cell>
          <cell r="B54">
            <v>4.6665677771317844</v>
          </cell>
          <cell r="C54">
            <v>4.5321532717703166</v>
          </cell>
          <cell r="D54">
            <v>4.5358710132102367</v>
          </cell>
          <cell r="E54">
            <v>4.4092996629760819</v>
          </cell>
          <cell r="F54">
            <v>4.5074914951068505</v>
          </cell>
          <cell r="G54">
            <v>4.4130716721415819</v>
          </cell>
          <cell r="H54">
            <v>4.4170925697526311</v>
          </cell>
          <cell r="I54">
            <v>4.3946613960214913</v>
          </cell>
          <cell r="J54">
            <v>4.4053711300509546</v>
          </cell>
          <cell r="K54">
            <v>4.209807772514611</v>
          </cell>
          <cell r="L54">
            <v>4.4081496951591959</v>
          </cell>
          <cell r="M54">
            <v>4.3993709167356592</v>
          </cell>
          <cell r="N54">
            <v>4.3890526747161864</v>
          </cell>
          <cell r="O54">
            <v>4.0299126559349192</v>
          </cell>
          <cell r="P54">
            <v>4.2725685068166515</v>
          </cell>
          <cell r="Q54">
            <v>4.2708904717052247</v>
          </cell>
        </row>
        <row r="55">
          <cell r="A55" t="str">
            <v>Djibouti</v>
          </cell>
          <cell r="B55">
            <v>6.6431820978138774</v>
          </cell>
          <cell r="C55">
            <v>7.1327347929868532</v>
          </cell>
          <cell r="D55">
            <v>7.0489581726176969</v>
          </cell>
          <cell r="E55">
            <v>6.8023546483088282</v>
          </cell>
          <cell r="F55">
            <v>6.5368839172020072</v>
          </cell>
          <cell r="G55">
            <v>6.6445283491380378</v>
          </cell>
          <cell r="H55">
            <v>6.4145561798707584</v>
          </cell>
          <cell r="I55">
            <v>6.8615589380030011</v>
          </cell>
          <cell r="J55">
            <v>5.4717086710282929</v>
          </cell>
          <cell r="K55">
            <v>5.3935763700261612</v>
          </cell>
          <cell r="L55">
            <v>4.9908053441077458</v>
          </cell>
          <cell r="M55">
            <v>5.2355414434109395</v>
          </cell>
          <cell r="N55">
            <v>5.0086730007728795</v>
          </cell>
          <cell r="O55">
            <v>6.7970129025269381</v>
          </cell>
          <cell r="P55">
            <v>4.9713406077598687</v>
          </cell>
          <cell r="Q55">
            <v>7.3818508064666695</v>
          </cell>
        </row>
        <row r="56">
          <cell r="A56" t="str">
            <v>Dominica</v>
          </cell>
          <cell r="B56">
            <v>5.8782659522778742</v>
          </cell>
          <cell r="C56">
            <v>5.7566972458188355</v>
          </cell>
          <cell r="D56">
            <v>6.7547652123602839</v>
          </cell>
          <cell r="E56">
            <v>6.1416761504785846</v>
          </cell>
          <cell r="F56">
            <v>6.3142958961633786</v>
          </cell>
          <cell r="G56">
            <v>6.0190213999755322</v>
          </cell>
          <cell r="H56">
            <v>5.8496661557648659</v>
          </cell>
          <cell r="I56">
            <v>5.6187033009510241</v>
          </cell>
          <cell r="J56">
            <v>5.7000396794868085</v>
          </cell>
          <cell r="K56">
            <v>5.8696997397768618</v>
          </cell>
          <cell r="L56">
            <v>4.7810790577339359</v>
          </cell>
          <cell r="M56">
            <v>4.4857565717392758</v>
          </cell>
          <cell r="N56">
            <v>4.4664921319657669</v>
          </cell>
          <cell r="O56">
            <v>4.8761796447508967</v>
          </cell>
          <cell r="P56">
            <v>4.2073981625070553</v>
          </cell>
          <cell r="Q56">
            <v>4.8427815680737432</v>
          </cell>
        </row>
        <row r="57">
          <cell r="A57" t="str">
            <v>Dominican Republic</v>
          </cell>
          <cell r="B57">
            <v>6.6808741917141914</v>
          </cell>
          <cell r="C57">
            <v>6.3843466124184918</v>
          </cell>
          <cell r="D57">
            <v>6.2048258121759172</v>
          </cell>
          <cell r="E57">
            <v>5.906392745212063</v>
          </cell>
          <cell r="F57">
            <v>5.8960132455469827</v>
          </cell>
          <cell r="G57">
            <v>5.7984142923735984</v>
          </cell>
          <cell r="H57">
            <v>6.055562336020528</v>
          </cell>
          <cell r="I57">
            <v>5.840872174459677</v>
          </cell>
          <cell r="J57">
            <v>5.5021146173128148</v>
          </cell>
          <cell r="K57">
            <v>5.1955030116680776</v>
          </cell>
          <cell r="L57">
            <v>5.0952561411131354</v>
          </cell>
          <cell r="M57">
            <v>5.2270013150120569</v>
          </cell>
          <cell r="N57">
            <v>5.551042386708545</v>
          </cell>
          <cell r="O57">
            <v>4.7826239890000606</v>
          </cell>
          <cell r="P57">
            <v>4.9063811029549012</v>
          </cell>
          <cell r="Q57">
            <v>5.1061871353742836</v>
          </cell>
        </row>
        <row r="58">
          <cell r="A58" t="str">
            <v>Ecuador</v>
          </cell>
          <cell r="B58">
            <v>6.3930997315756724</v>
          </cell>
          <cell r="C58">
            <v>6.5350412032876894</v>
          </cell>
          <cell r="D58">
            <v>6.9100965458340529</v>
          </cell>
          <cell r="E58">
            <v>6.8364229610063578</v>
          </cell>
          <cell r="F58">
            <v>6.3941617134170592</v>
          </cell>
          <cell r="G58">
            <v>6.3190714286068008</v>
          </cell>
          <cell r="H58">
            <v>6.4546733173418076</v>
          </cell>
          <cell r="I58">
            <v>6.437051013273388</v>
          </cell>
          <cell r="J58">
            <v>6.1951933903626166</v>
          </cell>
          <cell r="K58">
            <v>6.3863918619173701</v>
          </cell>
          <cell r="L58">
            <v>6.3512212312906247</v>
          </cell>
          <cell r="M58">
            <v>6.5928640988328775</v>
          </cell>
          <cell r="N58">
            <v>6.1983350106822481</v>
          </cell>
          <cell r="O58">
            <v>6.3687528104781972</v>
          </cell>
          <cell r="P58">
            <v>6.3196039402359414</v>
          </cell>
          <cell r="Q58">
            <v>6.1568499758626709</v>
          </cell>
        </row>
        <row r="59">
          <cell r="A59" t="str">
            <v>Egypt</v>
          </cell>
          <cell r="B59">
            <v>6.9056731545371379</v>
          </cell>
          <cell r="C59">
            <v>6.7591710724081508</v>
          </cell>
          <cell r="D59">
            <v>6.8864086912935623</v>
          </cell>
          <cell r="E59">
            <v>6.9965926691204121</v>
          </cell>
          <cell r="F59">
            <v>6.5699882063014341</v>
          </cell>
          <cell r="G59">
            <v>6.5550471699978203</v>
          </cell>
          <cell r="H59">
            <v>6.5009276291729972</v>
          </cell>
          <cell r="I59">
            <v>6.6139558945148273</v>
          </cell>
          <cell r="J59">
            <v>6.0376799943330051</v>
          </cell>
          <cell r="K59">
            <v>6.156687389238332</v>
          </cell>
          <cell r="L59">
            <v>5.834119415496632</v>
          </cell>
          <cell r="M59">
            <v>6.1716370035662145</v>
          </cell>
          <cell r="N59">
            <v>5.7584848799851667</v>
          </cell>
          <cell r="O59">
            <v>5.9609491332292137</v>
          </cell>
          <cell r="P59">
            <v>5.766061509103932</v>
          </cell>
          <cell r="Q59">
            <v>4.0574013966711471</v>
          </cell>
        </row>
        <row r="60">
          <cell r="A60" t="str">
            <v>El Salvador</v>
          </cell>
          <cell r="B60">
            <v>6.7177676477106694</v>
          </cell>
          <cell r="C60">
            <v>6.7942017772814687</v>
          </cell>
          <cell r="D60">
            <v>6.5715031853231061</v>
          </cell>
          <cell r="E60">
            <v>6.3295566860230572</v>
          </cell>
          <cell r="F60">
            <v>6.9340780444972516</v>
          </cell>
          <cell r="G60">
            <v>6.5783152124499313</v>
          </cell>
          <cell r="H60">
            <v>6.9046643663246066</v>
          </cell>
          <cell r="I60">
            <v>6.7129337605141002</v>
          </cell>
          <cell r="J60">
            <v>6.6864262469303952</v>
          </cell>
          <cell r="K60">
            <v>6.7363988459358897</v>
          </cell>
          <cell r="L60">
            <v>6.7085239231047762</v>
          </cell>
          <cell r="M60">
            <v>6.3407148938918532</v>
          </cell>
          <cell r="N60">
            <v>5.9461034605636822</v>
          </cell>
          <cell r="O60">
            <v>5.9387226815842649</v>
          </cell>
          <cell r="P60">
            <v>6.0734115979592467</v>
          </cell>
          <cell r="Q60">
            <v>5.8999294765271122</v>
          </cell>
        </row>
        <row r="61">
          <cell r="A61" t="str">
            <v>Equatorial Guinea</v>
          </cell>
          <cell r="B61">
            <v>8.3408818595758429</v>
          </cell>
          <cell r="C61">
            <v>8.4465813292936378</v>
          </cell>
          <cell r="D61">
            <v>8.703529792445142</v>
          </cell>
          <cell r="E61">
            <v>8.3000400833356291</v>
          </cell>
          <cell r="F61">
            <v>8.3665086254555661</v>
          </cell>
          <cell r="G61">
            <v>8.5616151994150229</v>
          </cell>
          <cell r="H61">
            <v>7.8088295945958777</v>
          </cell>
          <cell r="I61">
            <v>8.120948999922275</v>
          </cell>
          <cell r="J61">
            <v>8.1146599088203217</v>
          </cell>
          <cell r="K61">
            <v>9.1873229943480137</v>
          </cell>
          <cell r="L61">
            <v>7.4706343486371694</v>
          </cell>
          <cell r="M61">
            <v>7.4811704057282338</v>
          </cell>
          <cell r="N61">
            <v>7.2339401443734141</v>
          </cell>
          <cell r="O61">
            <v>8.8945804758573654</v>
          </cell>
          <cell r="P61">
            <v>7.0847495360889878</v>
          </cell>
          <cell r="Q61">
            <v>9.0726072180784971</v>
          </cell>
        </row>
        <row r="62">
          <cell r="A62" t="str">
            <v>Eritrea</v>
          </cell>
          <cell r="B62">
            <v>8.310952652437706</v>
          </cell>
          <cell r="C62">
            <v>8.2501007871687388</v>
          </cell>
          <cell r="D62">
            <v>8.4822133794239498</v>
          </cell>
          <cell r="E62">
            <v>8.5692804271697582</v>
          </cell>
          <cell r="F62">
            <v>8.8646313268245933</v>
          </cell>
          <cell r="G62">
            <v>8.7344783261138836</v>
          </cell>
          <cell r="H62">
            <v>8.7397278525265278</v>
          </cell>
          <cell r="I62">
            <v>8.8693315847268455</v>
          </cell>
          <cell r="J62">
            <v>9.5035643343562484</v>
          </cell>
          <cell r="K62">
            <v>9.3532312085442353</v>
          </cell>
          <cell r="L62">
            <v>9.1648810031386372</v>
          </cell>
          <cell r="M62">
            <v>8.8801114565483577</v>
          </cell>
          <cell r="N62">
            <v>8.6987084238295793</v>
          </cell>
          <cell r="O62">
            <v>9.2061730106001178</v>
          </cell>
          <cell r="P62">
            <v>8.9220297583849408</v>
          </cell>
          <cell r="Q62">
            <v>9.2638473840177706</v>
          </cell>
        </row>
        <row r="63">
          <cell r="A63" t="str">
            <v>Estonia</v>
          </cell>
          <cell r="B63">
            <v>5.2712231490010515</v>
          </cell>
          <cell r="C63">
            <v>5.3030584989368688</v>
          </cell>
          <cell r="D63">
            <v>5.2326993892051146</v>
          </cell>
          <cell r="E63">
            <v>4.9976919802116138</v>
          </cell>
          <cell r="F63">
            <v>5.0967093929466172</v>
          </cell>
          <cell r="G63">
            <v>4.9749832546534067</v>
          </cell>
          <cell r="H63">
            <v>4.9495995617181272</v>
          </cell>
          <cell r="I63">
            <v>4.8076177617368314</v>
          </cell>
          <cell r="J63">
            <v>4.6912485462857862</v>
          </cell>
          <cell r="K63">
            <v>4.807680993049714</v>
          </cell>
          <cell r="L63">
            <v>4.8193544303090636</v>
          </cell>
          <cell r="M63">
            <v>4.6535786321298032</v>
          </cell>
          <cell r="N63">
            <v>4.6690248976852144</v>
          </cell>
          <cell r="O63">
            <v>4.3065711320421487</v>
          </cell>
          <cell r="P63">
            <v>4.1290444867031821</v>
          </cell>
          <cell r="Q63">
            <v>4.1753369328364247</v>
          </cell>
        </row>
        <row r="64">
          <cell r="A64" t="str">
            <v>Eswatini</v>
          </cell>
          <cell r="B64">
            <v>5.7481578289733823</v>
          </cell>
          <cell r="C64">
            <v>6.0836446942540405</v>
          </cell>
          <cell r="D64">
            <v>6.0931170807987893</v>
          </cell>
          <cell r="E64">
            <v>6.6955316294638285</v>
          </cell>
          <cell r="F64">
            <v>6.3691218150366282</v>
          </cell>
          <cell r="G64">
            <v>6.6401819879136363</v>
          </cell>
          <cell r="H64">
            <v>6.7661424801616326</v>
          </cell>
          <cell r="I64">
            <v>6.8546542181895465</v>
          </cell>
          <cell r="J64">
            <v>6.3644707445242519</v>
          </cell>
          <cell r="K64">
            <v>6.1073678052436797</v>
          </cell>
          <cell r="L64">
            <v>5.9104441602153868</v>
          </cell>
          <cell r="M64">
            <v>5.9422999655195028</v>
          </cell>
          <cell r="N64">
            <v>5.5435601916601431</v>
          </cell>
          <cell r="O64">
            <v>6.2957897315651579</v>
          </cell>
          <cell r="P64">
            <v>5.7899240214582486</v>
          </cell>
          <cell r="Q64">
            <v>5.9097375165933288</v>
          </cell>
        </row>
        <row r="65">
          <cell r="A65" t="str">
            <v>Ethiopia</v>
          </cell>
          <cell r="B65">
            <v>7.6058596143175006</v>
          </cell>
          <cell r="C65">
            <v>7.4981326598830602</v>
          </cell>
          <cell r="D65">
            <v>8.6534460295380136</v>
          </cell>
          <cell r="E65">
            <v>8.3270803197984549</v>
          </cell>
          <cell r="F65">
            <v>8.4912453312748184</v>
          </cell>
          <cell r="G65">
            <v>8.5484867217345712</v>
          </cell>
          <cell r="H65">
            <v>8.4572101551873136</v>
          </cell>
          <cell r="I65">
            <v>8.1426899253519398</v>
          </cell>
          <cell r="J65">
            <v>8.1540511313095454</v>
          </cell>
          <cell r="K65">
            <v>8.2472736127915187</v>
          </cell>
          <cell r="L65">
            <v>8.4395467247955622</v>
          </cell>
          <cell r="M65">
            <v>8.1008156342097983</v>
          </cell>
          <cell r="N65">
            <v>8.6447579031979149</v>
          </cell>
          <cell r="O65">
            <v>8.707869920616778</v>
          </cell>
          <cell r="P65">
            <v>8.6539031640183453</v>
          </cell>
          <cell r="Q65">
            <v>8.7396149745242973</v>
          </cell>
        </row>
        <row r="66">
          <cell r="A66" t="str">
            <v>Faroe Islands</v>
          </cell>
          <cell r="B66">
            <v>6.1521666243642414</v>
          </cell>
          <cell r="C66">
            <v>6.6938908375217752</v>
          </cell>
          <cell r="D66">
            <v>6.9247364028472624</v>
          </cell>
          <cell r="E66">
            <v>6.0411810219882431</v>
          </cell>
          <cell r="F66">
            <v>6.0091750881409647</v>
          </cell>
          <cell r="G66">
            <v>5.9986438537852909</v>
          </cell>
          <cell r="H66">
            <v>6.2016261835210651</v>
          </cell>
          <cell r="I66">
            <v>6.304675848055699</v>
          </cell>
          <cell r="J66">
            <v>5.9632536244003154</v>
          </cell>
          <cell r="K66">
            <v>7.5244494612793478</v>
          </cell>
          <cell r="L66">
            <v>7.6520206841948522</v>
          </cell>
          <cell r="M66">
            <v>7.7106128207158644</v>
          </cell>
          <cell r="N66">
            <v>7.5408088350140403</v>
          </cell>
          <cell r="O66">
            <v>7.7836529536684163</v>
          </cell>
          <cell r="P66">
            <v>7.4967011000239161</v>
          </cell>
          <cell r="Q66">
            <v>7.4667304367299474</v>
          </cell>
        </row>
        <row r="67">
          <cell r="A67" t="str">
            <v>Fiji</v>
          </cell>
          <cell r="B67">
            <v>6.416174385893898</v>
          </cell>
          <cell r="C67">
            <v>6.2520858982782013</v>
          </cell>
          <cell r="D67">
            <v>6.0166515095104547</v>
          </cell>
          <cell r="E67">
            <v>5.8777666840857234</v>
          </cell>
          <cell r="F67">
            <v>5.9024272124787878</v>
          </cell>
          <cell r="G67">
            <v>5.9169775543603373</v>
          </cell>
          <cell r="H67">
            <v>5.8556493522838631</v>
          </cell>
          <cell r="I67">
            <v>5.8982136416584749</v>
          </cell>
          <cell r="J67">
            <v>5.5073591770598762</v>
          </cell>
          <cell r="K67">
            <v>5.5282180602588911</v>
          </cell>
          <cell r="L67">
            <v>5.1350422475856865</v>
          </cell>
          <cell r="M67">
            <v>4.9291614078358448</v>
          </cell>
          <cell r="N67">
            <v>5.2061388761830605</v>
          </cell>
          <cell r="O67">
            <v>5.5805331677976815</v>
          </cell>
          <cell r="P67">
            <v>4.8373182743404133</v>
          </cell>
          <cell r="Q67">
            <v>5.0609418407596554</v>
          </cell>
        </row>
        <row r="68">
          <cell r="A68" t="str">
            <v>Finland</v>
          </cell>
          <cell r="B68">
            <v>4.8888542281519998</v>
          </cell>
          <cell r="C68">
            <v>4.8448507270218313</v>
          </cell>
          <cell r="D68">
            <v>4.8857373137159046</v>
          </cell>
          <cell r="E68">
            <v>4.6985363211791018</v>
          </cell>
          <cell r="F68">
            <v>4.7014365941704392</v>
          </cell>
          <cell r="G68">
            <v>4.789280676606043</v>
          </cell>
          <cell r="H68">
            <v>4.8823698530063373</v>
          </cell>
          <cell r="I68">
            <v>4.8105910938191307</v>
          </cell>
          <cell r="J68">
            <v>4.6951260343754093</v>
          </cell>
          <cell r="K68">
            <v>4.6136263116900169</v>
          </cell>
          <cell r="L68">
            <v>4.6594256219139556</v>
          </cell>
          <cell r="M68">
            <v>5.0287553098612312</v>
          </cell>
          <cell r="N68">
            <v>4.6471745079816902</v>
          </cell>
          <cell r="O68">
            <v>4.5373881399972982</v>
          </cell>
          <cell r="P68">
            <v>4.9237607662987459</v>
          </cell>
          <cell r="Q68">
            <v>5.2518805490021547</v>
          </cell>
        </row>
        <row r="69">
          <cell r="A69" t="str">
            <v>France</v>
          </cell>
          <cell r="B69">
            <v>4.6848965642708276</v>
          </cell>
          <cell r="C69">
            <v>4.6273855011734586</v>
          </cell>
          <cell r="D69">
            <v>4.5604454511542452</v>
          </cell>
          <cell r="E69">
            <v>4.5928295709602134</v>
          </cell>
          <cell r="F69">
            <v>4.5731017897872102</v>
          </cell>
          <cell r="G69">
            <v>4.7371300605235582</v>
          </cell>
          <cell r="H69">
            <v>4.5704433215518439</v>
          </cell>
          <cell r="I69">
            <v>4.5349757592788356</v>
          </cell>
          <cell r="J69">
            <v>4.5505564391072886</v>
          </cell>
          <cell r="K69">
            <v>4.559068582609247</v>
          </cell>
          <cell r="L69">
            <v>4.4569914839552762</v>
          </cell>
          <cell r="M69">
            <v>4.5348297253101286</v>
          </cell>
          <cell r="N69">
            <v>4.5209133660534793</v>
          </cell>
          <cell r="O69">
            <v>4.615895272885103</v>
          </cell>
          <cell r="P69">
            <v>4.6515439649665584</v>
          </cell>
          <cell r="Q69">
            <v>4.8277834710771117</v>
          </cell>
        </row>
        <row r="70">
          <cell r="A70" t="str">
            <v>French Polynesia</v>
          </cell>
          <cell r="B70">
            <v>5.7450326020176643</v>
          </cell>
          <cell r="C70">
            <v>5.7483641903509159</v>
          </cell>
          <cell r="D70">
            <v>6.4283189418468627</v>
          </cell>
          <cell r="E70">
            <v>6.0380497707730543</v>
          </cell>
          <cell r="F70">
            <v>6.0776330024755163</v>
          </cell>
          <cell r="G70">
            <v>5.9421384858517197</v>
          </cell>
          <cell r="H70">
            <v>5.9532960426362003</v>
          </cell>
          <cell r="I70">
            <v>6.3663577945551673</v>
          </cell>
          <cell r="J70">
            <v>6.1116267873288797</v>
          </cell>
          <cell r="K70">
            <v>6.2306775981377944</v>
          </cell>
          <cell r="L70">
            <v>6.1551444583367365</v>
          </cell>
          <cell r="M70">
            <v>6.1441042424561703</v>
          </cell>
          <cell r="N70">
            <v>6.5743630718909998</v>
          </cell>
          <cell r="O70">
            <v>5.8576621238094928</v>
          </cell>
          <cell r="P70">
            <v>3.3170359837429828</v>
          </cell>
          <cell r="Q70">
            <v>5.6154522848904236</v>
          </cell>
        </row>
        <row r="71">
          <cell r="A71" t="str">
            <v>Gabon</v>
          </cell>
          <cell r="B71">
            <v>7.60670431244254</v>
          </cell>
          <cell r="C71">
            <v>7.3008705107442271</v>
          </cell>
          <cell r="D71">
            <v>7.5051950333937105</v>
          </cell>
          <cell r="E71">
            <v>7.1078998691877509</v>
          </cell>
          <cell r="F71">
            <v>6.7706739043293434</v>
          </cell>
          <cell r="G71">
            <v>6.5966831879492211</v>
          </cell>
          <cell r="H71">
            <v>6.0351718926347804</v>
          </cell>
          <cell r="I71">
            <v>6.2782419445574664</v>
          </cell>
          <cell r="J71">
            <v>6.2074075837289175</v>
          </cell>
          <cell r="K71">
            <v>6.1663225079396824</v>
          </cell>
          <cell r="L71">
            <v>5.7752628777873554</v>
          </cell>
          <cell r="M71">
            <v>5.6447919271307114</v>
          </cell>
          <cell r="N71">
            <v>5.6113271874223338</v>
          </cell>
          <cell r="O71">
            <v>7.8269130766389701</v>
          </cell>
          <cell r="P71">
            <v>5.7233776162093681</v>
          </cell>
          <cell r="Q71">
            <v>7.7900300217517717</v>
          </cell>
        </row>
        <row r="72">
          <cell r="A72" t="str">
            <v>Gambia</v>
          </cell>
          <cell r="B72">
            <v>8.0530428233034748</v>
          </cell>
          <cell r="C72">
            <v>8.0105995156648504</v>
          </cell>
          <cell r="D72">
            <v>8.2532945037985641</v>
          </cell>
          <cell r="E72">
            <v>8.0589170514822062</v>
          </cell>
          <cell r="F72">
            <v>8.0564469551413911</v>
          </cell>
          <cell r="G72">
            <v>7.5650261415174285</v>
          </cell>
          <cell r="H72">
            <v>7.8108864266286693</v>
          </cell>
          <cell r="I72">
            <v>8.2492326160858642</v>
          </cell>
          <cell r="J72">
            <v>7.6340079425311353</v>
          </cell>
          <cell r="K72">
            <v>7.2782395994992193</v>
          </cell>
          <cell r="L72">
            <v>7.3569350278080474</v>
          </cell>
          <cell r="M72">
            <v>7.2326224251124289</v>
          </cell>
          <cell r="N72">
            <v>7.1867390547026693</v>
          </cell>
          <cell r="O72">
            <v>8.3067564733504415</v>
          </cell>
          <cell r="P72">
            <v>6.6673180977371622</v>
          </cell>
          <cell r="Q72">
            <v>5.9994727097257332</v>
          </cell>
        </row>
        <row r="73">
          <cell r="A73" t="str">
            <v>Georgia</v>
          </cell>
          <cell r="B73">
            <v>6.8129415301952267</v>
          </cell>
          <cell r="C73">
            <v>6.5285859587932098</v>
          </cell>
          <cell r="D73">
            <v>6.1492205979309595</v>
          </cell>
          <cell r="E73">
            <v>5.8531523423412404</v>
          </cell>
          <cell r="F73">
            <v>5.8240960353824196</v>
          </cell>
          <cell r="G73">
            <v>5.927605945730738</v>
          </cell>
          <cell r="H73">
            <v>5.8808517923997901</v>
          </cell>
          <cell r="I73">
            <v>5.7305140234851448</v>
          </cell>
          <cell r="J73">
            <v>5.4395483850828024</v>
          </cell>
          <cell r="K73">
            <v>5.4262756100526044</v>
          </cell>
          <cell r="L73">
            <v>5.0502067115910041</v>
          </cell>
          <cell r="M73">
            <v>5.2607849346508333</v>
          </cell>
          <cell r="N73">
            <v>5.2341854670186656</v>
          </cell>
          <cell r="O73">
            <v>5.2041923254144296</v>
          </cell>
          <cell r="P73">
            <v>5.1302304419332518</v>
          </cell>
          <cell r="Q73">
            <v>5.1529909830449023</v>
          </cell>
        </row>
        <row r="74">
          <cell r="A74" t="str">
            <v>Germany</v>
          </cell>
          <cell r="B74">
            <v>4.5225320818091639</v>
          </cell>
          <cell r="C74">
            <v>4.3856151279879638</v>
          </cell>
          <cell r="D74">
            <v>4.5484295927827212</v>
          </cell>
          <cell r="E74">
            <v>4.4838364221917111</v>
          </cell>
          <cell r="F74">
            <v>4.6077974165090509</v>
          </cell>
          <cell r="G74">
            <v>4.7671697955054322</v>
          </cell>
          <cell r="H74">
            <v>4.6173122906563204</v>
          </cell>
          <cell r="I74">
            <v>4.6366131575782168</v>
          </cell>
          <cell r="J74">
            <v>4.5128293952474587</v>
          </cell>
          <cell r="K74">
            <v>4.4665649581236204</v>
          </cell>
          <cell r="L74">
            <v>4.5649386739084168</v>
          </cell>
          <cell r="M74">
            <v>4.4690468138045585</v>
          </cell>
          <cell r="N74">
            <v>4.4543828242806258</v>
          </cell>
          <cell r="O74">
            <v>4.3668714680237128</v>
          </cell>
          <cell r="P74">
            <v>4.5596759138186505</v>
          </cell>
          <cell r="Q74">
            <v>4.6169540014350936</v>
          </cell>
        </row>
        <row r="75">
          <cell r="A75" t="str">
            <v>Ghana</v>
          </cell>
          <cell r="B75">
            <v>7.9608934507305502</v>
          </cell>
          <cell r="C75">
            <v>8.2079413428989287</v>
          </cell>
          <cell r="D75">
            <v>7.4690447298973739</v>
          </cell>
          <cell r="E75">
            <v>7.0558734248242185</v>
          </cell>
          <cell r="F75">
            <v>7.4078094558667882</v>
          </cell>
          <cell r="G75">
            <v>7.2391402418105795</v>
          </cell>
          <cell r="H75">
            <v>7.3574747770766997</v>
          </cell>
          <cell r="I75">
            <v>7.1791155491774017</v>
          </cell>
          <cell r="J75">
            <v>6.9046659614294548</v>
          </cell>
          <cell r="K75">
            <v>7.1084417433728682</v>
          </cell>
          <cell r="L75">
            <v>7.0496114479200678</v>
          </cell>
          <cell r="M75">
            <v>7.02644954692349</v>
          </cell>
          <cell r="N75">
            <v>6.6143320908191177</v>
          </cell>
          <cell r="O75">
            <v>7.1832163460916263</v>
          </cell>
          <cell r="P75">
            <v>6.5145362659270685</v>
          </cell>
          <cell r="Q75">
            <v>6.4617854600852329</v>
          </cell>
        </row>
        <row r="76">
          <cell r="A76" t="str">
            <v>Gibraltar</v>
          </cell>
          <cell r="B76">
            <v>8.8017737812952301</v>
          </cell>
          <cell r="C76">
            <v>8.8082456517071073</v>
          </cell>
          <cell r="D76">
            <v>8.828846849914493</v>
          </cell>
          <cell r="E76">
            <v>8.8461742324762689</v>
          </cell>
          <cell r="F76">
            <v>10</v>
          </cell>
          <cell r="G76">
            <v>10</v>
          </cell>
          <cell r="H76">
            <v>10</v>
          </cell>
          <cell r="I76">
            <v>8.3527497552481833</v>
          </cell>
          <cell r="J76">
            <v>10</v>
          </cell>
          <cell r="K76">
            <v>10</v>
          </cell>
          <cell r="L76">
            <v>10</v>
          </cell>
          <cell r="M76">
            <v>10</v>
          </cell>
          <cell r="N76">
            <v>10</v>
          </cell>
          <cell r="O76">
            <v>10</v>
          </cell>
          <cell r="P76">
            <v>10</v>
          </cell>
          <cell r="Q76">
            <v>9.5500000000000007</v>
          </cell>
        </row>
        <row r="77">
          <cell r="A77" t="str">
            <v>Greece</v>
          </cell>
          <cell r="B77">
            <v>6.001470867297197</v>
          </cell>
          <cell r="C77">
            <v>5.9897094231062011</v>
          </cell>
          <cell r="D77">
            <v>5.651374874608182</v>
          </cell>
          <cell r="E77">
            <v>5.4956266086227377</v>
          </cell>
          <cell r="F77">
            <v>5.3990662741855902</v>
          </cell>
          <cell r="G77">
            <v>5.1997707804504012</v>
          </cell>
          <cell r="H77">
            <v>5.2510143025279605</v>
          </cell>
          <cell r="I77">
            <v>5.2197424390310747</v>
          </cell>
          <cell r="J77">
            <v>5.0680555498358757</v>
          </cell>
          <cell r="K77">
            <v>5.2714983376982021</v>
          </cell>
          <cell r="L77">
            <v>4.9842978810261034</v>
          </cell>
          <cell r="M77">
            <v>5.0060663957507874</v>
          </cell>
          <cell r="N77">
            <v>5.0750705357489148</v>
          </cell>
          <cell r="O77">
            <v>4.5597143622232652</v>
          </cell>
          <cell r="P77">
            <v>4.7892806572758273</v>
          </cell>
          <cell r="Q77">
            <v>4.8256517292157399</v>
          </cell>
        </row>
        <row r="78">
          <cell r="A78" t="str">
            <v>Greenland</v>
          </cell>
          <cell r="B78">
            <v>6.7671685639135761</v>
          </cell>
          <cell r="C78">
            <v>6.6947327092574511</v>
          </cell>
          <cell r="D78">
            <v>7.0394523432994642</v>
          </cell>
          <cell r="E78">
            <v>6.4854985042762934</v>
          </cell>
          <cell r="F78">
            <v>6.6931313909743926</v>
          </cell>
          <cell r="G78">
            <v>6.7439175911390468</v>
          </cell>
          <cell r="H78">
            <v>7.0399217623504553</v>
          </cell>
          <cell r="I78">
            <v>7.1898779004118296</v>
          </cell>
          <cell r="J78">
            <v>6.8257741233065445</v>
          </cell>
          <cell r="K78">
            <v>7.8222215455282269</v>
          </cell>
          <cell r="L78">
            <v>8.1195785065204245</v>
          </cell>
          <cell r="M78">
            <v>8.3034302839367307</v>
          </cell>
          <cell r="N78">
            <v>8.1682733912388112</v>
          </cell>
          <cell r="O78">
            <v>9.0213345169137931</v>
          </cell>
          <cell r="P78">
            <v>9.3789454572928381</v>
          </cell>
          <cell r="Q78">
            <v>8.892373484758858</v>
          </cell>
        </row>
        <row r="79">
          <cell r="A79" t="str">
            <v>Grenada</v>
          </cell>
          <cell r="B79">
            <v>4.871843034367985</v>
          </cell>
          <cell r="C79">
            <v>5.4988760183426217</v>
          </cell>
          <cell r="D79">
            <v>5.4870491898390554</v>
          </cell>
          <cell r="E79">
            <v>5.5512118265620609</v>
          </cell>
          <cell r="F79">
            <v>4.9818764194716803</v>
          </cell>
          <cell r="G79">
            <v>5.1606105063926044</v>
          </cell>
          <cell r="H79">
            <v>4.5935737560298913</v>
          </cell>
          <cell r="I79">
            <v>4.994223037178636</v>
          </cell>
          <cell r="J79">
            <v>4.6594487586971614</v>
          </cell>
          <cell r="K79">
            <v>4.4203407205960925</v>
          </cell>
          <cell r="L79">
            <v>4.4717956361731348</v>
          </cell>
          <cell r="M79">
            <v>4.9176175528848445</v>
          </cell>
          <cell r="N79">
            <v>5.0828979780663994</v>
          </cell>
          <cell r="O79">
            <v>4.8056940325629594</v>
          </cell>
          <cell r="P79">
            <v>4.5844501850360437</v>
          </cell>
          <cell r="Q79">
            <v>4.9023892450113093</v>
          </cell>
        </row>
        <row r="80">
          <cell r="A80" t="str">
            <v>Guam</v>
          </cell>
          <cell r="B80">
            <v>7.8162042687407371</v>
          </cell>
          <cell r="C80">
            <v>7.6297102269047308</v>
          </cell>
          <cell r="D80">
            <v>7.5682743142704689</v>
          </cell>
          <cell r="E80">
            <v>7.0020105064428417</v>
          </cell>
          <cell r="F80">
            <v>7.0253420765942733</v>
          </cell>
          <cell r="G80">
            <v>6.7665007109142365</v>
          </cell>
          <cell r="H80">
            <v>6.6411242588203176</v>
          </cell>
          <cell r="I80">
            <v>6.4959658183369662</v>
          </cell>
          <cell r="J80">
            <v>6.5862923707297867</v>
          </cell>
          <cell r="K80">
            <v>8.8440278486065207</v>
          </cell>
          <cell r="L80">
            <v>8.9234241013730387</v>
          </cell>
          <cell r="M80">
            <v>8.8423775461391223</v>
          </cell>
          <cell r="N80">
            <v>9.4867279254409524</v>
          </cell>
          <cell r="O80">
            <v>9.3661482409773917</v>
          </cell>
          <cell r="P80">
            <v>9.4</v>
          </cell>
          <cell r="Q80">
            <v>9.6999999999999993</v>
          </cell>
        </row>
        <row r="81">
          <cell r="A81" t="str">
            <v>Guatemala</v>
          </cell>
          <cell r="B81">
            <v>7.4098295142286732</v>
          </cell>
          <cell r="C81">
            <v>6.8753545561917253</v>
          </cell>
          <cell r="D81">
            <v>7.2693949444926185</v>
          </cell>
          <cell r="E81">
            <v>6.622089286247915</v>
          </cell>
          <cell r="F81">
            <v>6.5347289274290841</v>
          </cell>
          <cell r="G81">
            <v>6.7679315702850333</v>
          </cell>
          <cell r="H81">
            <v>6.9082006054471474</v>
          </cell>
          <cell r="I81">
            <v>6.851804182853777</v>
          </cell>
          <cell r="J81">
            <v>6.3384211642487527</v>
          </cell>
          <cell r="K81">
            <v>6.5935289747237338</v>
          </cell>
          <cell r="L81">
            <v>6.72802520706602</v>
          </cell>
          <cell r="M81">
            <v>6.230239812452055</v>
          </cell>
          <cell r="N81">
            <v>6.4936901776161404</v>
          </cell>
          <cell r="O81">
            <v>6.1447076167057988</v>
          </cell>
          <cell r="P81">
            <v>6.3979666467690617</v>
          </cell>
          <cell r="Q81">
            <v>6.1245050323087158</v>
          </cell>
        </row>
        <row r="82">
          <cell r="A82" t="str">
            <v>Guinea</v>
          </cell>
          <cell r="B82">
            <v>8.5250934454904161</v>
          </cell>
          <cell r="C82">
            <v>8.8453479336330734</v>
          </cell>
          <cell r="D82">
            <v>7.8816109354919828</v>
          </cell>
          <cell r="E82">
            <v>7.7996279427975912</v>
          </cell>
          <cell r="F82">
            <v>8.1907417986114446</v>
          </cell>
          <cell r="G82">
            <v>8.1467541383460045</v>
          </cell>
          <cell r="H82">
            <v>8.0126591849120121</v>
          </cell>
          <cell r="I82">
            <v>8.112972690310329</v>
          </cell>
          <cell r="J82">
            <v>8.155980002144199</v>
          </cell>
          <cell r="K82">
            <v>7.9653126066579167</v>
          </cell>
          <cell r="L82">
            <v>8.1256097331297337</v>
          </cell>
          <cell r="M82">
            <v>7.8113746654564036</v>
          </cell>
          <cell r="N82">
            <v>7.8069583259798456</v>
          </cell>
          <cell r="O82">
            <v>8.667433869031159</v>
          </cell>
          <cell r="P82">
            <v>7.7632809342770406</v>
          </cell>
          <cell r="Q82">
            <v>8.3523512396001021</v>
          </cell>
        </row>
        <row r="83">
          <cell r="A83" t="str">
            <v>Guinea-Bissau</v>
          </cell>
          <cell r="B83">
            <v>7.9057126580849673</v>
          </cell>
          <cell r="C83">
            <v>8.1907978446867524</v>
          </cell>
          <cell r="D83">
            <v>8.4228388378488024</v>
          </cell>
          <cell r="E83">
            <v>8.3740533880315713</v>
          </cell>
          <cell r="F83">
            <v>8.0369281001867154</v>
          </cell>
          <cell r="G83">
            <v>7.9929462374145688</v>
          </cell>
          <cell r="H83">
            <v>7.8612365302423157</v>
          </cell>
          <cell r="I83">
            <v>7.6365850862449944</v>
          </cell>
          <cell r="J83">
            <v>7.9393052170136675</v>
          </cell>
          <cell r="K83">
            <v>7.8861883351517488</v>
          </cell>
          <cell r="L83">
            <v>7.5998535180636502</v>
          </cell>
          <cell r="M83">
            <v>7.1955887618601189</v>
          </cell>
          <cell r="N83">
            <v>7.2689644115365057</v>
          </cell>
          <cell r="O83">
            <v>7.8448551695978264</v>
          </cell>
          <cell r="P83">
            <v>8.1246560620506401</v>
          </cell>
          <cell r="Q83">
            <v>8.3895865594074532</v>
          </cell>
        </row>
        <row r="84">
          <cell r="A84" t="str">
            <v>Guyana</v>
          </cell>
          <cell r="B84">
            <v>6.0047330629749167</v>
          </cell>
          <cell r="C84">
            <v>5.9532985692796183</v>
          </cell>
          <cell r="D84">
            <v>5.8836289437463636</v>
          </cell>
          <cell r="E84">
            <v>5.8374352149911504</v>
          </cell>
          <cell r="F84">
            <v>6.3077825941032835</v>
          </cell>
          <cell r="G84">
            <v>6.0373453209283952</v>
          </cell>
          <cell r="H84">
            <v>6.3792843286260377</v>
          </cell>
          <cell r="I84">
            <v>6.503814330144392</v>
          </cell>
          <cell r="J84">
            <v>5.9895276262338752</v>
          </cell>
          <cell r="K84">
            <v>6.9793216999287129</v>
          </cell>
          <cell r="L84">
            <v>4.4691820755465157</v>
          </cell>
          <cell r="M84">
            <v>4.4376889886872037</v>
          </cell>
          <cell r="N84">
            <v>4.8224010196177645</v>
          </cell>
          <cell r="O84">
            <v>7.6406507525086917</v>
          </cell>
          <cell r="P84">
            <v>4.7938475516115826</v>
          </cell>
          <cell r="Q84">
            <v>6.1920119871139248</v>
          </cell>
        </row>
        <row r="85">
          <cell r="A85" t="str">
            <v>Haiti</v>
          </cell>
          <cell r="B85">
            <v>8.0192542596405882</v>
          </cell>
          <cell r="C85">
            <v>7.8186811712218081</v>
          </cell>
          <cell r="D85">
            <v>8.3022464919021743</v>
          </cell>
          <cell r="E85">
            <v>8.0398529240283967</v>
          </cell>
          <cell r="F85">
            <v>8.0002835382584792</v>
          </cell>
          <cell r="G85">
            <v>7.9639976114040048</v>
          </cell>
          <cell r="H85">
            <v>7.8036087938185386</v>
          </cell>
          <cell r="I85">
            <v>7.7467396610549208</v>
          </cell>
          <cell r="J85">
            <v>7.6141266263546363</v>
          </cell>
          <cell r="K85">
            <v>7.4036560822108841</v>
          </cell>
          <cell r="L85">
            <v>7.7992184658947226</v>
          </cell>
          <cell r="M85">
            <v>7.5901014029006255</v>
          </cell>
          <cell r="N85">
            <v>7.6584072544475772</v>
          </cell>
          <cell r="O85">
            <v>8.9058398037976669</v>
          </cell>
          <cell r="P85">
            <v>8.8174584521766715</v>
          </cell>
          <cell r="Q85">
            <v>9.0970856193389125</v>
          </cell>
        </row>
        <row r="86">
          <cell r="A86" t="str">
            <v>Honduras</v>
          </cell>
          <cell r="B86">
            <v>6.8896944078687259</v>
          </cell>
          <cell r="C86">
            <v>7.2332799275922524</v>
          </cell>
          <cell r="D86">
            <v>6.9391301979327142</v>
          </cell>
          <cell r="E86">
            <v>6.678963520641517</v>
          </cell>
          <cell r="F86">
            <v>6.5985309211313634</v>
          </cell>
          <cell r="G86">
            <v>6.5933712122912809</v>
          </cell>
          <cell r="H86">
            <v>6.769195371464205</v>
          </cell>
          <cell r="I86">
            <v>6.6530856209974649</v>
          </cell>
          <cell r="J86">
            <v>6.5130266122834541</v>
          </cell>
          <cell r="K86">
            <v>6.7447763295186842</v>
          </cell>
          <cell r="L86">
            <v>6.5127932584997499</v>
          </cell>
          <cell r="M86">
            <v>6.3447168174563178</v>
          </cell>
          <cell r="N86">
            <v>6.306245302638013</v>
          </cell>
          <cell r="O86">
            <v>6.1533653568917321</v>
          </cell>
          <cell r="P86">
            <v>6.4337374012224053</v>
          </cell>
          <cell r="Q86">
            <v>6.1135037731423072</v>
          </cell>
        </row>
        <row r="87">
          <cell r="A87" t="str">
            <v>Hong Kong SAR, China</v>
          </cell>
          <cell r="B87">
            <v>3.5283705677131643</v>
          </cell>
          <cell r="C87">
            <v>3.467920270225413</v>
          </cell>
          <cell r="D87">
            <v>3.668183235080388</v>
          </cell>
          <cell r="E87">
            <v>2.9543914187733806</v>
          </cell>
          <cell r="F87">
            <v>2.8199775566863741</v>
          </cell>
          <cell r="G87">
            <v>2.8625406663014674</v>
          </cell>
          <cell r="H87">
            <v>2.6817559417155499</v>
          </cell>
          <cell r="I87">
            <v>3.0401169558774264</v>
          </cell>
          <cell r="J87">
            <v>2.9890698177710329</v>
          </cell>
          <cell r="K87">
            <v>2.6867872168497371</v>
          </cell>
          <cell r="L87">
            <v>2.8193803497424126</v>
          </cell>
          <cell r="M87">
            <v>2.8037905348155148</v>
          </cell>
          <cell r="N87">
            <v>3.0709940387158605</v>
          </cell>
          <cell r="O87">
            <v>2.9146195791304095</v>
          </cell>
          <cell r="P87">
            <v>2.7528081590126501</v>
          </cell>
          <cell r="Q87">
            <v>2.8721006581369268</v>
          </cell>
        </row>
        <row r="88">
          <cell r="A88" t="str">
            <v>Hungary</v>
          </cell>
          <cell r="B88">
            <v>4.8423915863482927</v>
          </cell>
          <cell r="C88">
            <v>4.9731078513676055</v>
          </cell>
          <cell r="D88">
            <v>4.7188080057136679</v>
          </cell>
          <cell r="E88">
            <v>4.6517993268042543</v>
          </cell>
          <cell r="F88">
            <v>4.6770234276272813</v>
          </cell>
          <cell r="G88">
            <v>4.5693608751735795</v>
          </cell>
          <cell r="H88">
            <v>4.5066702844194761</v>
          </cell>
          <cell r="I88">
            <v>4.2736138793896057</v>
          </cell>
          <cell r="J88">
            <v>4.2539097614964261</v>
          </cell>
          <cell r="K88">
            <v>4.3906709328824665</v>
          </cell>
          <cell r="L88">
            <v>4.2262616968689901</v>
          </cell>
          <cell r="M88">
            <v>4.0140154458857422</v>
          </cell>
          <cell r="N88">
            <v>4.2560718699700999</v>
          </cell>
          <cell r="O88">
            <v>4.1153470128644951</v>
          </cell>
          <cell r="P88">
            <v>3.8750858154161518</v>
          </cell>
          <cell r="Q88">
            <v>4.2086597723448715</v>
          </cell>
        </row>
        <row r="89">
          <cell r="A89" t="str">
            <v>Iceland</v>
          </cell>
          <cell r="B89">
            <v>4.852446507387624</v>
          </cell>
          <cell r="C89">
            <v>4.9602493957311191</v>
          </cell>
          <cell r="D89">
            <v>4.9304567381885134</v>
          </cell>
          <cell r="E89">
            <v>4.6727320949225382</v>
          </cell>
          <cell r="F89">
            <v>4.7430442512637532</v>
          </cell>
          <cell r="G89">
            <v>4.7367002723114204</v>
          </cell>
          <cell r="H89">
            <v>4.4037002015655462</v>
          </cell>
          <cell r="I89">
            <v>4.7327305821413717</v>
          </cell>
          <cell r="J89">
            <v>4.5098378889181658</v>
          </cell>
          <cell r="K89">
            <v>4.779063544479639</v>
          </cell>
          <cell r="L89">
            <v>4.865743271797065</v>
          </cell>
          <cell r="M89">
            <v>4.8517561243201968</v>
          </cell>
          <cell r="N89">
            <v>5.1806694496010541</v>
          </cell>
          <cell r="O89">
            <v>7.0519203059184186</v>
          </cell>
          <cell r="P89">
            <v>4.1390325080536385</v>
          </cell>
          <cell r="Q89">
            <v>7.4086264497293346</v>
          </cell>
        </row>
        <row r="90">
          <cell r="A90" t="str">
            <v>India</v>
          </cell>
          <cell r="B90">
            <v>7.188900553843558</v>
          </cell>
          <cell r="C90">
            <v>7.1554101262955658</v>
          </cell>
          <cell r="D90">
            <v>7.7458315212444662</v>
          </cell>
          <cell r="E90">
            <v>7.7388869522825026</v>
          </cell>
          <cell r="F90">
            <v>8.0143357801959176</v>
          </cell>
          <cell r="G90">
            <v>7.8445560173566413</v>
          </cell>
          <cell r="H90">
            <v>7.9537930146050329</v>
          </cell>
          <cell r="I90">
            <v>7.978782838263923</v>
          </cell>
          <cell r="J90">
            <v>7.1568918034182651</v>
          </cell>
          <cell r="K90">
            <v>6.9527275280119536</v>
          </cell>
          <cell r="L90">
            <v>6.8896611200192641</v>
          </cell>
          <cell r="M90">
            <v>6.755457874301988</v>
          </cell>
          <cell r="N90">
            <v>6.7814098593009842</v>
          </cell>
          <cell r="O90">
            <v>6.4322593975755469</v>
          </cell>
          <cell r="P90">
            <v>5.9476922894159046</v>
          </cell>
          <cell r="Q90">
            <v>6.0071843105716205</v>
          </cell>
        </row>
        <row r="91">
          <cell r="A91" t="str">
            <v>Indonesia</v>
          </cell>
          <cell r="B91">
            <v>7.3889111952287028</v>
          </cell>
          <cell r="C91">
            <v>7.3718972433607739</v>
          </cell>
          <cell r="D91">
            <v>6.9800926212553831</v>
          </cell>
          <cell r="E91">
            <v>7.0587250058369229</v>
          </cell>
          <cell r="F91">
            <v>7.0314046215985915</v>
          </cell>
          <cell r="G91">
            <v>6.5355674431279596</v>
          </cell>
          <cell r="H91">
            <v>6.9877648622454327</v>
          </cell>
          <cell r="I91">
            <v>6.9430038504649243</v>
          </cell>
          <cell r="J91">
            <v>6.7282824954850646</v>
          </cell>
          <cell r="K91">
            <v>6.6535033950985838</v>
          </cell>
          <cell r="L91">
            <v>6.1189588385768277</v>
          </cell>
          <cell r="M91">
            <v>6.1664118369449792</v>
          </cell>
          <cell r="N91">
            <v>6.0473505175380673</v>
          </cell>
          <cell r="O91">
            <v>6.1090007762709506</v>
          </cell>
          <cell r="P91">
            <v>5.9440998296515701</v>
          </cell>
          <cell r="Q91">
            <v>5.8054945067083317</v>
          </cell>
        </row>
        <row r="92">
          <cell r="A92" t="str">
            <v>Iran</v>
          </cell>
          <cell r="B92">
            <v>8.1831367727976865</v>
          </cell>
          <cell r="C92">
            <v>7.7289282076480124</v>
          </cell>
          <cell r="D92">
            <v>7.3139002719306667</v>
          </cell>
          <cell r="E92">
            <v>8.0213045093637891</v>
          </cell>
          <cell r="F92">
            <v>7.5643727275156287</v>
          </cell>
          <cell r="G92">
            <v>7.3414331023505426</v>
          </cell>
          <cell r="H92">
            <v>7.6176606944123453</v>
          </cell>
          <cell r="I92">
            <v>7.3737588014458293</v>
          </cell>
          <cell r="J92">
            <v>7.2153051737433538</v>
          </cell>
          <cell r="K92">
            <v>6.9245626374516398</v>
          </cell>
          <cell r="L92">
            <v>6.9907117430053027</v>
          </cell>
          <cell r="M92">
            <v>6.9332530365242739</v>
          </cell>
          <cell r="N92">
            <v>6.4510627797301821</v>
          </cell>
          <cell r="O92">
            <v>6.2423764164728386</v>
          </cell>
          <cell r="P92">
            <v>6.5701842183352612</v>
          </cell>
          <cell r="Q92">
            <v>4.7720321984286178</v>
          </cell>
        </row>
        <row r="93">
          <cell r="A93" t="str">
            <v>Iraq</v>
          </cell>
          <cell r="B93">
            <v>7.8405913790911494</v>
          </cell>
          <cell r="C93">
            <v>8.0015802141721686</v>
          </cell>
          <cell r="D93">
            <v>8.0552927842297386</v>
          </cell>
          <cell r="E93">
            <v>7.6652448442832073</v>
          </cell>
          <cell r="F93">
            <v>7.768650072832866</v>
          </cell>
          <cell r="G93">
            <v>7.8454543668797392</v>
          </cell>
          <cell r="H93">
            <v>8.2381332831321039</v>
          </cell>
          <cell r="I93">
            <v>8.2403175402880819</v>
          </cell>
          <cell r="J93">
            <v>7.8606916402142453</v>
          </cell>
          <cell r="K93">
            <v>7.7810438018219195</v>
          </cell>
          <cell r="L93">
            <v>7.4584677311063849</v>
          </cell>
          <cell r="M93">
            <v>7.6177842907549671</v>
          </cell>
          <cell r="N93">
            <v>7.694349652852436</v>
          </cell>
          <cell r="O93">
            <v>7.0753512387562152</v>
          </cell>
          <cell r="P93">
            <v>5.8567905404305902</v>
          </cell>
          <cell r="Q93">
            <v>8.5514167556849969</v>
          </cell>
        </row>
        <row r="94">
          <cell r="A94" t="str">
            <v>Ireland</v>
          </cell>
          <cell r="B94">
            <v>4.2690458009335623</v>
          </cell>
          <cell r="C94">
            <v>4.3450491379132243</v>
          </cell>
          <cell r="D94">
            <v>4.3342295035105121</v>
          </cell>
          <cell r="E94">
            <v>4.1744864625580416</v>
          </cell>
          <cell r="F94">
            <v>4.1006894802320133</v>
          </cell>
          <cell r="G94">
            <v>3.9559678807761243</v>
          </cell>
          <cell r="H94">
            <v>3.766982028424251</v>
          </cell>
          <cell r="I94">
            <v>3.806061933395072</v>
          </cell>
          <cell r="J94">
            <v>3.7876268508404873</v>
          </cell>
          <cell r="K94">
            <v>3.7222700692602988</v>
          </cell>
          <cell r="L94">
            <v>3.7464512569051696</v>
          </cell>
          <cell r="M94">
            <v>3.5794718437176423</v>
          </cell>
          <cell r="N94">
            <v>3.854486588489479</v>
          </cell>
          <cell r="O94">
            <v>6.1516811309115642</v>
          </cell>
          <cell r="P94">
            <v>3.2173456425911189</v>
          </cell>
          <cell r="Q94">
            <v>6.5647080689021386</v>
          </cell>
        </row>
        <row r="95">
          <cell r="A95" t="str">
            <v>Isle of Man</v>
          </cell>
          <cell r="B95">
            <v>10</v>
          </cell>
          <cell r="C95">
            <v>10</v>
          </cell>
          <cell r="D95">
            <v>10</v>
          </cell>
          <cell r="E95">
            <v>10</v>
          </cell>
          <cell r="F95">
            <v>10</v>
          </cell>
          <cell r="G95">
            <v>10</v>
          </cell>
          <cell r="H95">
            <v>10</v>
          </cell>
          <cell r="I95">
            <v>10</v>
          </cell>
          <cell r="J95">
            <v>10</v>
          </cell>
          <cell r="K95">
            <v>10</v>
          </cell>
          <cell r="L95">
            <v>10</v>
          </cell>
          <cell r="M95">
            <v>10</v>
          </cell>
          <cell r="N95">
            <v>10</v>
          </cell>
          <cell r="O95">
            <v>10</v>
          </cell>
          <cell r="P95">
            <v>10</v>
          </cell>
          <cell r="Q95">
            <v>9.5500000000000007</v>
          </cell>
        </row>
        <row r="96">
          <cell r="A96" t="str">
            <v>Israel</v>
          </cell>
          <cell r="B96">
            <v>5.3448427595736767</v>
          </cell>
          <cell r="C96">
            <v>5.4320060372509671</v>
          </cell>
          <cell r="D96">
            <v>5.247480515781497</v>
          </cell>
          <cell r="E96">
            <v>5.1649620161784284</v>
          </cell>
          <cell r="F96">
            <v>5.0948936340141913</v>
          </cell>
          <cell r="G96">
            <v>5.2476415772424412</v>
          </cell>
          <cell r="H96">
            <v>5.0600775133499347</v>
          </cell>
          <cell r="I96">
            <v>4.8442350319957175</v>
          </cell>
          <cell r="J96">
            <v>4.7910315510145907</v>
          </cell>
          <cell r="K96">
            <v>4.5407512377174433</v>
          </cell>
          <cell r="L96">
            <v>4.5781872273477129</v>
          </cell>
          <cell r="M96">
            <v>5.0580721979097003</v>
          </cell>
          <cell r="N96">
            <v>4.9160549036616787</v>
          </cell>
          <cell r="O96">
            <v>4.7158366477423668</v>
          </cell>
          <cell r="P96">
            <v>4.4544036634407247</v>
          </cell>
          <cell r="Q96">
            <v>4.8233489381482073</v>
          </cell>
        </row>
        <row r="97">
          <cell r="A97" t="str">
            <v>Italy</v>
          </cell>
          <cell r="B97">
            <v>5.4072501299337903</v>
          </cell>
          <cell r="C97">
            <v>5.3789841965211256</v>
          </cell>
          <cell r="D97">
            <v>5.2835532220671633</v>
          </cell>
          <cell r="E97">
            <v>5.6102554038921797</v>
          </cell>
          <cell r="F97">
            <v>5.371456408410495</v>
          </cell>
          <cell r="G97">
            <v>5.467622970773232</v>
          </cell>
          <cell r="H97">
            <v>5.2710757573494327</v>
          </cell>
          <cell r="I97">
            <v>5.131161284747412</v>
          </cell>
          <cell r="J97">
            <v>5.0450249757591967</v>
          </cell>
          <cell r="K97">
            <v>4.879027064165335</v>
          </cell>
          <cell r="L97">
            <v>5.1701006262646825</v>
          </cell>
          <cell r="M97">
            <v>5.0979318170904602</v>
          </cell>
          <cell r="N97">
            <v>5.0525476007090564</v>
          </cell>
          <cell r="O97">
            <v>4.3849316496849351</v>
          </cell>
          <cell r="P97">
            <v>4.5041643076107514</v>
          </cell>
          <cell r="Q97">
            <v>4.6308617723270107</v>
          </cell>
        </row>
        <row r="98">
          <cell r="A98" t="str">
            <v>Jamaica</v>
          </cell>
          <cell r="B98">
            <v>6.229068869438751</v>
          </cell>
          <cell r="C98">
            <v>6.2842955607451136</v>
          </cell>
          <cell r="D98">
            <v>6.4102214292754072</v>
          </cell>
          <cell r="E98">
            <v>6.1131350588741924</v>
          </cell>
          <cell r="F98">
            <v>6.1711463669509712</v>
          </cell>
          <cell r="G98">
            <v>5.9023269528083162</v>
          </cell>
          <cell r="H98">
            <v>5.7522420661549614</v>
          </cell>
          <cell r="I98">
            <v>5.9906120749036562</v>
          </cell>
          <cell r="J98">
            <v>5.356619143678226</v>
          </cell>
          <cell r="K98">
            <v>5.375597595935993</v>
          </cell>
          <cell r="L98">
            <v>5.1774483303808321</v>
          </cell>
          <cell r="M98">
            <v>4.5769500937781382</v>
          </cell>
          <cell r="N98">
            <v>5.2623153450584619</v>
          </cell>
          <cell r="O98">
            <v>4.8574664694535317</v>
          </cell>
          <cell r="P98">
            <v>4.5153432694039815</v>
          </cell>
          <cell r="Q98">
            <v>5.1966356651799268</v>
          </cell>
        </row>
        <row r="99">
          <cell r="A99" t="str">
            <v>Japan</v>
          </cell>
          <cell r="B99">
            <v>5.250843593546298</v>
          </cell>
          <cell r="C99">
            <v>5.2106223380528478</v>
          </cell>
          <cell r="D99">
            <v>5.4486044677570042</v>
          </cell>
          <cell r="E99">
            <v>5.4298360731462072</v>
          </cell>
          <cell r="F99">
            <v>5.2002638900515894</v>
          </cell>
          <cell r="G99">
            <v>5.2540541627726274</v>
          </cell>
          <cell r="H99">
            <v>5.2607758811823171</v>
          </cell>
          <cell r="I99">
            <v>5.0521306159231223</v>
          </cell>
          <cell r="J99">
            <v>5.1880700421340409</v>
          </cell>
          <cell r="K99">
            <v>5.2158417654968607</v>
          </cell>
          <cell r="L99">
            <v>4.9805891571837977</v>
          </cell>
          <cell r="M99">
            <v>5.0822944093861802</v>
          </cell>
          <cell r="N99">
            <v>5.4747391025142784</v>
          </cell>
          <cell r="O99">
            <v>5.0403034996981262</v>
          </cell>
          <cell r="P99">
            <v>5.0183769642361948</v>
          </cell>
          <cell r="Q99">
            <v>5.3939796858205309</v>
          </cell>
        </row>
        <row r="100">
          <cell r="A100" t="str">
            <v>Jordan</v>
          </cell>
          <cell r="B100">
            <v>5.615760312279269</v>
          </cell>
          <cell r="C100">
            <v>5.7513557491188552</v>
          </cell>
          <cell r="D100">
            <v>5.472302983323786</v>
          </cell>
          <cell r="E100">
            <v>5.455767500948248</v>
          </cell>
          <cell r="F100">
            <v>5.6223067872445478</v>
          </cell>
          <cell r="G100">
            <v>5.5709229419721256</v>
          </cell>
          <cell r="H100">
            <v>5.1911402764784791</v>
          </cell>
          <cell r="I100">
            <v>5.1288876913394255</v>
          </cell>
          <cell r="J100">
            <v>5.0409902278267484</v>
          </cell>
          <cell r="K100">
            <v>5.259954657024613</v>
          </cell>
          <cell r="L100">
            <v>5.0970628865736893</v>
          </cell>
          <cell r="M100">
            <v>5.0934659283009616</v>
          </cell>
          <cell r="N100">
            <v>5.3302855984142434</v>
          </cell>
          <cell r="O100">
            <v>4.9604259201508816</v>
          </cell>
          <cell r="P100">
            <v>4.7657649419993842</v>
          </cell>
          <cell r="Q100">
            <v>5.2978222495663685</v>
          </cell>
        </row>
        <row r="101">
          <cell r="A101" t="str">
            <v>Kazakhstan</v>
          </cell>
          <cell r="B101">
            <v>6.8872882633664272</v>
          </cell>
          <cell r="C101">
            <v>6.746992389678157</v>
          </cell>
          <cell r="D101">
            <v>6.1946734065247586</v>
          </cell>
          <cell r="E101">
            <v>6.2130779918149139</v>
          </cell>
          <cell r="F101">
            <v>6.4800243529301618</v>
          </cell>
          <cell r="G101">
            <v>6.3463585040449466</v>
          </cell>
          <cell r="H101">
            <v>6.3031884650333847</v>
          </cell>
          <cell r="I101">
            <v>5.5323543848400538</v>
          </cell>
          <cell r="J101">
            <v>5.4316148223679068</v>
          </cell>
          <cell r="K101">
            <v>5.6520419240289383</v>
          </cell>
          <cell r="L101">
            <v>5.570032056601522</v>
          </cell>
          <cell r="M101">
            <v>5.3985814061015347</v>
          </cell>
          <cell r="N101">
            <v>5.2753787417823039</v>
          </cell>
          <cell r="O101">
            <v>4.9867248991112536</v>
          </cell>
          <cell r="P101">
            <v>5.1470803360879271</v>
          </cell>
          <cell r="Q101">
            <v>5.4432461087073705</v>
          </cell>
        </row>
        <row r="102">
          <cell r="A102" t="str">
            <v>Kenya</v>
          </cell>
          <cell r="B102">
            <v>7.9526986327417761</v>
          </cell>
          <cell r="C102">
            <v>7.9338019605120067</v>
          </cell>
          <cell r="D102">
            <v>8.1340731032021854</v>
          </cell>
          <cell r="E102">
            <v>7.7382610646414705</v>
          </cell>
          <cell r="F102">
            <v>7.4427240096912382</v>
          </cell>
          <cell r="G102">
            <v>7.8270775870063432</v>
          </cell>
          <cell r="H102">
            <v>7.6669269242742439</v>
          </cell>
          <cell r="I102">
            <v>7.5843462244372439</v>
          </cell>
          <cell r="J102">
            <v>7.5451670930723553</v>
          </cell>
          <cell r="K102">
            <v>7.4816368769266157</v>
          </cell>
          <cell r="L102">
            <v>7.6173346776731723</v>
          </cell>
          <cell r="M102">
            <v>7.8060239233172268</v>
          </cell>
          <cell r="N102">
            <v>7.7008856693807513</v>
          </cell>
          <cell r="O102">
            <v>6.6998000646071185</v>
          </cell>
          <cell r="P102">
            <v>7.3778554840749351</v>
          </cell>
          <cell r="Q102">
            <v>7.3665469699921537</v>
          </cell>
        </row>
        <row r="103">
          <cell r="A103" t="str">
            <v>Kiribati</v>
          </cell>
          <cell r="B103">
            <v>7.1258142700204257</v>
          </cell>
          <cell r="C103">
            <v>7.4542666803207087</v>
          </cell>
          <cell r="D103">
            <v>7.7155152988845135</v>
          </cell>
          <cell r="E103">
            <v>7.4085796143401632</v>
          </cell>
          <cell r="F103">
            <v>7.4373157566423176</v>
          </cell>
          <cell r="G103">
            <v>7.2227846686880213</v>
          </cell>
          <cell r="H103">
            <v>7.2753705180348822</v>
          </cell>
          <cell r="I103">
            <v>7.2103516215811361</v>
          </cell>
          <cell r="J103">
            <v>7.4727241659008534</v>
          </cell>
          <cell r="K103">
            <v>7.065341013432402</v>
          </cell>
          <cell r="L103">
            <v>6.7699404138041928</v>
          </cell>
          <cell r="M103">
            <v>6.2146537664514128</v>
          </cell>
          <cell r="N103">
            <v>6.2210592551947457</v>
          </cell>
          <cell r="O103">
            <v>7.3672180679810602</v>
          </cell>
          <cell r="P103">
            <v>4.9060935788195383</v>
          </cell>
          <cell r="Q103">
            <v>7.3198216927422841</v>
          </cell>
        </row>
        <row r="104">
          <cell r="A104" t="str">
            <v>Korea, Dem. People's Rep.</v>
          </cell>
          <cell r="B104">
            <v>9.9489999999999998</v>
          </cell>
          <cell r="C104">
            <v>10.3</v>
          </cell>
          <cell r="D104">
            <v>10.45</v>
          </cell>
          <cell r="E104">
            <v>10.3</v>
          </cell>
          <cell r="F104">
            <v>10.3</v>
          </cell>
          <cell r="G104">
            <v>10.3</v>
          </cell>
          <cell r="H104">
            <v>9.85</v>
          </cell>
          <cell r="I104">
            <v>10.3</v>
          </cell>
          <cell r="J104">
            <v>10.3</v>
          </cell>
          <cell r="K104">
            <v>10.3</v>
          </cell>
          <cell r="L104">
            <v>10.15</v>
          </cell>
          <cell r="M104">
            <v>10</v>
          </cell>
          <cell r="N104">
            <v>9.85</v>
          </cell>
          <cell r="O104">
            <v>10</v>
          </cell>
          <cell r="P104">
            <v>9.5500000000000007</v>
          </cell>
          <cell r="Q104">
            <v>9.5500000000000007</v>
          </cell>
        </row>
        <row r="105">
          <cell r="A105" t="str">
            <v>South Korea</v>
          </cell>
          <cell r="B105">
            <v>5.0546210628404182</v>
          </cell>
          <cell r="C105">
            <v>5.0518557602395475</v>
          </cell>
          <cell r="D105">
            <v>5.154404561606861</v>
          </cell>
          <cell r="E105">
            <v>5.1174393946093435</v>
          </cell>
          <cell r="F105">
            <v>5.0966335668363678</v>
          </cell>
          <cell r="G105">
            <v>5.1013579867693837</v>
          </cell>
          <cell r="H105">
            <v>4.7534259136774395</v>
          </cell>
          <cell r="I105">
            <v>4.5041735458737069</v>
          </cell>
          <cell r="J105">
            <v>4.5081912506256758</v>
          </cell>
          <cell r="K105">
            <v>4.4920726095654437</v>
          </cell>
          <cell r="L105">
            <v>4.4721151906888057</v>
          </cell>
          <cell r="M105">
            <v>4.7159605710223103</v>
          </cell>
          <cell r="N105">
            <v>4.7122885347416616</v>
          </cell>
          <cell r="O105">
            <v>4.4567906003521482</v>
          </cell>
          <cell r="P105">
            <v>5.3606658575978727</v>
          </cell>
          <cell r="Q105">
            <v>4.5510095395734451</v>
          </cell>
        </row>
        <row r="106">
          <cell r="A106" t="str">
            <v>Kosovo</v>
          </cell>
          <cell r="B106">
            <v>8.1302955602690403</v>
          </cell>
          <cell r="C106">
            <v>8.2684543151106862</v>
          </cell>
          <cell r="D106">
            <v>8.1276710004880179</v>
          </cell>
          <cell r="E106">
            <v>8.0647584712737075</v>
          </cell>
          <cell r="F106">
            <v>8.2586807231617456</v>
          </cell>
          <cell r="G106">
            <v>8.4539474069862823</v>
          </cell>
          <cell r="H106">
            <v>8.4146114851838565</v>
          </cell>
          <cell r="I106">
            <v>8.1795474242985335</v>
          </cell>
          <cell r="J106">
            <v>7.5078292375171651</v>
          </cell>
          <cell r="K106">
            <v>7.2799367363998657</v>
          </cell>
          <cell r="L106">
            <v>8.1538727212525277</v>
          </cell>
          <cell r="M106">
            <v>8.0576605654802265</v>
          </cell>
          <cell r="N106">
            <v>7.9429300454248981</v>
          </cell>
          <cell r="O106">
            <v>7.747413179156819</v>
          </cell>
          <cell r="P106">
            <v>7.3302984830515214</v>
          </cell>
          <cell r="Q106">
            <v>6.8955793721844696</v>
          </cell>
        </row>
        <row r="107">
          <cell r="A107" t="str">
            <v>Kuwait</v>
          </cell>
          <cell r="B107">
            <v>5.5855118894953648</v>
          </cell>
          <cell r="C107">
            <v>4.7294530419359724</v>
          </cell>
          <cell r="D107">
            <v>4.5814706466151147</v>
          </cell>
          <cell r="E107">
            <v>4.8958488255091979</v>
          </cell>
          <cell r="F107">
            <v>4.538929827566192</v>
          </cell>
          <cell r="G107">
            <v>4.3450363787976842</v>
          </cell>
          <cell r="H107">
            <v>4.1808968306399095</v>
          </cell>
          <cell r="I107">
            <v>4.416162185817651</v>
          </cell>
          <cell r="J107">
            <v>4.3981767358454356</v>
          </cell>
          <cell r="K107">
            <v>4.3327701984630522</v>
          </cell>
          <cell r="L107">
            <v>3.9913463476545905</v>
          </cell>
          <cell r="M107">
            <v>4.3502466801092021</v>
          </cell>
          <cell r="N107">
            <v>4.5089522551067738</v>
          </cell>
          <cell r="O107">
            <v>6.8211285182891146</v>
          </cell>
          <cell r="P107">
            <v>3.0559487276793345</v>
          </cell>
          <cell r="Q107">
            <v>6.7746426628333136</v>
          </cell>
        </row>
        <row r="108">
          <cell r="A108" t="str">
            <v>Kyrgyz Republic</v>
          </cell>
          <cell r="B108">
            <v>6.3355975569758236</v>
          </cell>
          <cell r="C108">
            <v>6.6960038103873369</v>
          </cell>
          <cell r="D108">
            <v>6.7135724876239848</v>
          </cell>
          <cell r="E108">
            <v>6.3995603137911132</v>
          </cell>
          <cell r="F108">
            <v>6.3743016194907138</v>
          </cell>
          <cell r="G108">
            <v>6.4523143521298234</v>
          </cell>
          <cell r="H108">
            <v>6.0243706117500029</v>
          </cell>
          <cell r="I108">
            <v>5.8043245944853732</v>
          </cell>
          <cell r="J108">
            <v>5.749783413498796</v>
          </cell>
          <cell r="K108">
            <v>5.703283717632063</v>
          </cell>
          <cell r="L108">
            <v>5.5839618169406311</v>
          </cell>
          <cell r="M108">
            <v>5.3632080835054872</v>
          </cell>
          <cell r="N108">
            <v>5.3837549645778138</v>
          </cell>
          <cell r="O108">
            <v>5.1370575340145814</v>
          </cell>
          <cell r="P108">
            <v>4.6277370866381382</v>
          </cell>
          <cell r="Q108">
            <v>4.7166634258673374</v>
          </cell>
        </row>
        <row r="109">
          <cell r="A109" t="str">
            <v>Laos</v>
          </cell>
          <cell r="B109">
            <v>7.4209519845404976</v>
          </cell>
          <cell r="C109">
            <v>7.3940278065816312</v>
          </cell>
          <cell r="D109">
            <v>7.6430476581313993</v>
          </cell>
          <cell r="E109">
            <v>7.2876967209844894</v>
          </cell>
          <cell r="F109">
            <v>7.376479568662532</v>
          </cell>
          <cell r="G109">
            <v>7.3082619726745861</v>
          </cell>
          <cell r="H109">
            <v>7.3050707794273197</v>
          </cell>
          <cell r="I109">
            <v>7.5798875419079508</v>
          </cell>
          <cell r="J109">
            <v>6.6834642818896981</v>
          </cell>
          <cell r="K109">
            <v>6.5936482824833824</v>
          </cell>
          <cell r="L109">
            <v>6.8266312016745294</v>
          </cell>
          <cell r="M109">
            <v>6.1208235002292497</v>
          </cell>
          <cell r="N109">
            <v>6.1341444297903349</v>
          </cell>
          <cell r="O109">
            <v>8.0603134040565099</v>
          </cell>
          <cell r="P109">
            <v>5.9730224730755772</v>
          </cell>
          <cell r="Q109">
            <v>8.8968443225106117</v>
          </cell>
        </row>
        <row r="110">
          <cell r="A110" t="str">
            <v>Latvia</v>
          </cell>
          <cell r="B110">
            <v>5.9416371914375885</v>
          </cell>
          <cell r="C110">
            <v>5.7882438937652596</v>
          </cell>
          <cell r="D110">
            <v>5.5208485676567891</v>
          </cell>
          <cell r="E110">
            <v>5.2161422405816351</v>
          </cell>
          <cell r="F110">
            <v>5.351194464452826</v>
          </cell>
          <cell r="G110">
            <v>5.4943676551221001</v>
          </cell>
          <cell r="H110">
            <v>5.2448764866381143</v>
          </cell>
          <cell r="I110">
            <v>5.1979051096940641</v>
          </cell>
          <cell r="J110">
            <v>5.0281600407205689</v>
          </cell>
          <cell r="K110">
            <v>4.7054522497731339</v>
          </cell>
          <cell r="L110">
            <v>4.6626753384924413</v>
          </cell>
          <cell r="M110">
            <v>4.445598105918684</v>
          </cell>
          <cell r="N110">
            <v>4.5962568871107337</v>
          </cell>
          <cell r="O110">
            <v>4.3342288726652924</v>
          </cell>
          <cell r="P110">
            <v>4.2423252473585</v>
          </cell>
          <cell r="Q110">
            <v>4.6209822388827737</v>
          </cell>
        </row>
        <row r="111">
          <cell r="A111" t="str">
            <v>Lebanon</v>
          </cell>
          <cell r="B111">
            <v>6.7824561027268535</v>
          </cell>
          <cell r="C111">
            <v>5.4362722913633554</v>
          </cell>
          <cell r="D111">
            <v>5.5110127039130452</v>
          </cell>
          <cell r="E111">
            <v>5.3537784404130475</v>
          </cell>
          <cell r="F111">
            <v>5.2551981384669695</v>
          </cell>
          <cell r="G111">
            <v>5.2869314138922645</v>
          </cell>
          <cell r="H111">
            <v>5.1050961480362709</v>
          </cell>
          <cell r="I111">
            <v>5.2242345502603866</v>
          </cell>
          <cell r="J111">
            <v>5.1606363635089263</v>
          </cell>
          <cell r="K111">
            <v>5.1443606706983482</v>
          </cell>
          <cell r="L111">
            <v>5.3189452161892952</v>
          </cell>
          <cell r="M111">
            <v>5.2858976783745275</v>
          </cell>
          <cell r="N111">
            <v>5.0535823861119518</v>
          </cell>
          <cell r="O111">
            <v>5.0257647219309183</v>
          </cell>
          <cell r="P111">
            <v>3.8949814951714163</v>
          </cell>
          <cell r="Q111">
            <v>4.1234714223179303</v>
          </cell>
        </row>
        <row r="112">
          <cell r="A112" t="str">
            <v>Lesotho</v>
          </cell>
          <cell r="B112">
            <v>7.0839775939806966</v>
          </cell>
          <cell r="C112">
            <v>7.3414169122360242</v>
          </cell>
          <cell r="D112">
            <v>7.5080413555584187</v>
          </cell>
          <cell r="E112">
            <v>7.5277467698841534</v>
          </cell>
          <cell r="F112">
            <v>7.4854462468314313</v>
          </cell>
          <cell r="G112">
            <v>7.4422006189961447</v>
          </cell>
          <cell r="H112">
            <v>7.2852322913498408</v>
          </cell>
          <cell r="I112">
            <v>7.0613834576789483</v>
          </cell>
          <cell r="J112">
            <v>6.8841993970229129</v>
          </cell>
          <cell r="K112">
            <v>6.5840469209548598</v>
          </cell>
          <cell r="L112">
            <v>6.2691088613071138</v>
          </cell>
          <cell r="M112">
            <v>6.335361861338594</v>
          </cell>
          <cell r="N112">
            <v>6.3696279820642197</v>
          </cell>
          <cell r="O112">
            <v>8.0831586435439071</v>
          </cell>
          <cell r="P112">
            <v>6.3005545697775061</v>
          </cell>
          <cell r="Q112">
            <v>7.4953120703679534</v>
          </cell>
        </row>
        <row r="113">
          <cell r="A113" t="str">
            <v>Liberia</v>
          </cell>
          <cell r="B113">
            <v>6.9412937607873477</v>
          </cell>
          <cell r="C113">
            <v>7.3230275619047038</v>
          </cell>
          <cell r="D113">
            <v>7.6013140923262741</v>
          </cell>
          <cell r="E113">
            <v>7.180605428815821</v>
          </cell>
          <cell r="F113">
            <v>7.7480625765838713</v>
          </cell>
          <cell r="G113">
            <v>7.3646010651458296</v>
          </cell>
          <cell r="H113">
            <v>7.1898930581730305</v>
          </cell>
          <cell r="I113">
            <v>6.9918087889588225</v>
          </cell>
          <cell r="J113">
            <v>6.4792595880699491</v>
          </cell>
          <cell r="K113">
            <v>6.3780308874184364</v>
          </cell>
          <cell r="L113">
            <v>6.3032908770805465</v>
          </cell>
          <cell r="M113">
            <v>5.5461051912757462</v>
          </cell>
          <cell r="N113">
            <v>5.5440618534098256</v>
          </cell>
          <cell r="O113">
            <v>6.4351377437363713</v>
          </cell>
          <cell r="P113">
            <v>6.0996255448118903</v>
          </cell>
          <cell r="Q113">
            <v>6.8261106453022045</v>
          </cell>
        </row>
        <row r="114">
          <cell r="A114" t="str">
            <v>Libya</v>
          </cell>
          <cell r="B114">
            <v>7.7493142039406404</v>
          </cell>
          <cell r="C114">
            <v>7.6646855845385407</v>
          </cell>
          <cell r="D114">
            <v>8.6886158681720023</v>
          </cell>
          <cell r="E114">
            <v>8.0362359445327876</v>
          </cell>
          <cell r="F114">
            <v>7.8805274947274686</v>
          </cell>
          <cell r="G114">
            <v>7.996226215312447</v>
          </cell>
          <cell r="H114">
            <v>8.327219881306192</v>
          </cell>
          <cell r="I114">
            <v>8.2066333502427575</v>
          </cell>
          <cell r="J114">
            <v>8.1969597972310932</v>
          </cell>
          <cell r="K114">
            <v>8.2594923288728861</v>
          </cell>
          <cell r="L114">
            <v>7.7835506175327582</v>
          </cell>
          <cell r="M114">
            <v>8.4631724227510183</v>
          </cell>
          <cell r="N114">
            <v>7.6431636428434402</v>
          </cell>
          <cell r="O114">
            <v>7.9117961733455493</v>
          </cell>
          <cell r="P114">
            <v>5.1849430429619519</v>
          </cell>
          <cell r="Q114">
            <v>8.0934387180795966</v>
          </cell>
        </row>
        <row r="115">
          <cell r="A115" t="str">
            <v>Liechtenstein</v>
          </cell>
          <cell r="B115">
            <v>3.8325839928556027</v>
          </cell>
          <cell r="C115">
            <v>3.1464492775852015</v>
          </cell>
          <cell r="D115">
            <v>3.686354757019644</v>
          </cell>
          <cell r="E115">
            <v>3.4722174541519086</v>
          </cell>
          <cell r="F115">
            <v>4.6296544766787804</v>
          </cell>
          <cell r="G115">
            <v>4.0180442817448059</v>
          </cell>
          <cell r="H115">
            <v>3.1636599658242206</v>
          </cell>
          <cell r="I115">
            <v>3.202580712362713</v>
          </cell>
          <cell r="J115">
            <v>3.05</v>
          </cell>
          <cell r="K115">
            <v>3.5120000000000005</v>
          </cell>
          <cell r="L115">
            <v>7.1197469965084164</v>
          </cell>
          <cell r="M115">
            <v>7.1032428143561148</v>
          </cell>
          <cell r="N115">
            <v>7.0806342404794069</v>
          </cell>
          <cell r="O115">
            <v>10</v>
          </cell>
          <cell r="P115">
            <v>6.4911136107986502</v>
          </cell>
          <cell r="Q115">
            <v>9.307858901329892</v>
          </cell>
        </row>
        <row r="116">
          <cell r="A116" t="str">
            <v>Lithuania</v>
          </cell>
          <cell r="B116">
            <v>5.8668721017238603</v>
          </cell>
          <cell r="C116">
            <v>5.7168190090706368</v>
          </cell>
          <cell r="D116">
            <v>5.6592948769187474</v>
          </cell>
          <cell r="E116">
            <v>5.3312936470174694</v>
          </cell>
          <cell r="F116">
            <v>5.072341205676314</v>
          </cell>
          <cell r="G116">
            <v>4.9609314655618535</v>
          </cell>
          <cell r="H116">
            <v>5.1847625255757617</v>
          </cell>
          <cell r="I116">
            <v>4.9613253117183094</v>
          </cell>
          <cell r="J116">
            <v>4.8467713686708462</v>
          </cell>
          <cell r="K116">
            <v>4.7360230841125883</v>
          </cell>
          <cell r="L116">
            <v>4.7182239218026849</v>
          </cell>
          <cell r="M116">
            <v>4.6942411961269759</v>
          </cell>
          <cell r="N116">
            <v>4.6103188463736391</v>
          </cell>
          <cell r="O116">
            <v>4.4626088298908622</v>
          </cell>
          <cell r="P116">
            <v>4.5392257921117558</v>
          </cell>
          <cell r="Q116">
            <v>4.897339702558682</v>
          </cell>
        </row>
        <row r="117">
          <cell r="A117" t="str">
            <v>Luxembourg</v>
          </cell>
          <cell r="B117">
            <v>3.5172499601174394</v>
          </cell>
          <cell r="C117">
            <v>3.5059579612984697</v>
          </cell>
          <cell r="D117">
            <v>3.7582393574926964</v>
          </cell>
          <cell r="E117">
            <v>3.2916255220599311</v>
          </cell>
          <cell r="F117">
            <v>3.0910014527958491</v>
          </cell>
          <cell r="G117">
            <v>2.9417046521349297</v>
          </cell>
          <cell r="H117">
            <v>2.8304086619709334</v>
          </cell>
          <cell r="I117">
            <v>2.8639769547476801</v>
          </cell>
          <cell r="J117">
            <v>2.7652915899029136</v>
          </cell>
          <cell r="K117">
            <v>2.7134028846071425</v>
          </cell>
          <cell r="L117">
            <v>2.5124263816760077</v>
          </cell>
          <cell r="M117">
            <v>2.8355224771737966</v>
          </cell>
          <cell r="N117">
            <v>2.6746999623039978</v>
          </cell>
          <cell r="O117">
            <v>2.4691957037723382</v>
          </cell>
          <cell r="P117">
            <v>2.6475910181155227</v>
          </cell>
          <cell r="Q117">
            <v>2.8823330621465235</v>
          </cell>
        </row>
        <row r="118">
          <cell r="A118" t="str">
            <v>Macao SAR, China</v>
          </cell>
          <cell r="B118">
            <v>6.3887110936080882</v>
          </cell>
          <cell r="C118">
            <v>6.5157188855898074</v>
          </cell>
          <cell r="D118">
            <v>6.5762101109608002</v>
          </cell>
          <cell r="E118">
            <v>6.284364446054731</v>
          </cell>
          <cell r="F118">
            <v>6.1535009447664564</v>
          </cell>
          <cell r="G118">
            <v>6.2837815410579232</v>
          </cell>
          <cell r="H118">
            <v>5.789400636442001</v>
          </cell>
          <cell r="I118">
            <v>6.2085127771929773</v>
          </cell>
          <cell r="J118">
            <v>5.918150139856702</v>
          </cell>
          <cell r="K118">
            <v>6.0268784208999495</v>
          </cell>
          <cell r="L118">
            <v>5.8444648265514543</v>
          </cell>
          <cell r="M118">
            <v>5.5801831184694848</v>
          </cell>
          <cell r="N118">
            <v>5.6449461291123875</v>
          </cell>
          <cell r="O118">
            <v>5.6056741048521266</v>
          </cell>
          <cell r="P118">
            <v>5.5760467379204339</v>
          </cell>
          <cell r="Q118">
            <v>5.46552361545056</v>
          </cell>
        </row>
        <row r="119">
          <cell r="A119" t="str">
            <v>Madagascar</v>
          </cell>
          <cell r="B119">
            <v>7.7276654813861789</v>
          </cell>
          <cell r="C119">
            <v>7.8471569058001034</v>
          </cell>
          <cell r="D119">
            <v>7.9643589863168565</v>
          </cell>
          <cell r="E119">
            <v>7.505071730367427</v>
          </cell>
          <cell r="F119">
            <v>7.6980867787723231</v>
          </cell>
          <cell r="G119">
            <v>7.8153919299564301</v>
          </cell>
          <cell r="H119">
            <v>7.5374803357210656</v>
          </cell>
          <cell r="I119">
            <v>7.6979740247736466</v>
          </cell>
          <cell r="J119">
            <v>7.7389896108263692</v>
          </cell>
          <cell r="K119">
            <v>7.6496114985088646</v>
          </cell>
          <cell r="L119">
            <v>7.782384760877096</v>
          </cell>
          <cell r="M119">
            <v>7.7481460688524155</v>
          </cell>
          <cell r="N119">
            <v>8.0753771740283948</v>
          </cell>
          <cell r="O119">
            <v>7.6654552936913571</v>
          </cell>
          <cell r="P119">
            <v>8.030361007536527</v>
          </cell>
          <cell r="Q119">
            <v>8.3339544727788386</v>
          </cell>
        </row>
        <row r="120">
          <cell r="A120" t="str">
            <v>Malawi</v>
          </cell>
          <cell r="B120">
            <v>7.893023574546751</v>
          </cell>
          <cell r="C120">
            <v>7.2191218052969717</v>
          </cell>
          <cell r="D120">
            <v>7.5424311491760321</v>
          </cell>
          <cell r="E120">
            <v>7.7628449033622875</v>
          </cell>
          <cell r="F120">
            <v>7.323867247454789</v>
          </cell>
          <cell r="G120">
            <v>7.3297080720072216</v>
          </cell>
          <cell r="H120">
            <v>7.4338748384216204</v>
          </cell>
          <cell r="I120">
            <v>7.823565169820931</v>
          </cell>
          <cell r="J120">
            <v>7.1497120126925395</v>
          </cell>
          <cell r="K120">
            <v>7.12224321814079</v>
          </cell>
          <cell r="L120">
            <v>6.8640345218490832</v>
          </cell>
          <cell r="M120">
            <v>6.8104309013857502</v>
          </cell>
          <cell r="N120">
            <v>7.1281519882990736</v>
          </cell>
          <cell r="O120">
            <v>7.7215171275755008</v>
          </cell>
          <cell r="P120">
            <v>7.8023887895713768</v>
          </cell>
          <cell r="Q120">
            <v>7.7327049421663023</v>
          </cell>
        </row>
        <row r="121">
          <cell r="A121" t="str">
            <v>Malaysia</v>
          </cell>
          <cell r="B121">
            <v>5.2363585571502309</v>
          </cell>
          <cell r="C121">
            <v>5.1132832541230098</v>
          </cell>
          <cell r="D121">
            <v>4.8757576206482609</v>
          </cell>
          <cell r="E121">
            <v>4.3603051385579938</v>
          </cell>
          <cell r="F121">
            <v>5.0019159382100549</v>
          </cell>
          <cell r="G121">
            <v>4.8673731995379867</v>
          </cell>
          <cell r="H121">
            <v>4.7070420584127133</v>
          </cell>
          <cell r="I121">
            <v>4.5510396827927391</v>
          </cell>
          <cell r="J121">
            <v>4.4248622377059137</v>
          </cell>
          <cell r="K121">
            <v>4.2917297230989515</v>
          </cell>
          <cell r="L121">
            <v>4.3744221356999464</v>
          </cell>
          <cell r="M121">
            <v>4.5082874264706865</v>
          </cell>
          <cell r="N121">
            <v>4.46754666103035</v>
          </cell>
          <cell r="O121">
            <v>4.0639975660288687</v>
          </cell>
          <cell r="P121">
            <v>4.0966071652383231</v>
          </cell>
          <cell r="Q121">
            <v>4.3089428048776197</v>
          </cell>
        </row>
        <row r="122">
          <cell r="A122" t="str">
            <v>Maldives</v>
          </cell>
          <cell r="B122">
            <v>6.256843292980407</v>
          </cell>
          <cell r="C122">
            <v>6.1635680471945804</v>
          </cell>
          <cell r="D122">
            <v>6.200245717522467</v>
          </cell>
          <cell r="E122">
            <v>5.6258325408543017</v>
          </cell>
          <cell r="F122">
            <v>5.3686136141933982</v>
          </cell>
          <cell r="G122">
            <v>5.8033598130046853</v>
          </cell>
          <cell r="H122">
            <v>5.7064753017293608</v>
          </cell>
          <cell r="I122">
            <v>5.3814236499658383</v>
          </cell>
          <cell r="J122">
            <v>5.4385776315150345</v>
          </cell>
          <cell r="K122">
            <v>5.0702280861106193</v>
          </cell>
          <cell r="L122">
            <v>4.7955179105534524</v>
          </cell>
          <cell r="M122">
            <v>4.8656273939941581</v>
          </cell>
          <cell r="N122">
            <v>4.5392672508709468</v>
          </cell>
          <cell r="O122">
            <v>7.4013849447275613</v>
          </cell>
          <cell r="P122">
            <v>5.100714165656032</v>
          </cell>
          <cell r="Q122">
            <v>7.2619053749869771</v>
          </cell>
        </row>
        <row r="123">
          <cell r="A123" t="str">
            <v>Mali</v>
          </cell>
          <cell r="B123">
            <v>8.3686255946430084</v>
          </cell>
          <cell r="C123">
            <v>8.0072252038154232</v>
          </cell>
          <cell r="D123">
            <v>7.7736288643012763</v>
          </cell>
          <cell r="E123">
            <v>7.7230884231369288</v>
          </cell>
          <cell r="F123">
            <v>8.092943395063136</v>
          </cell>
          <cell r="G123">
            <v>8.154165578741372</v>
          </cell>
          <cell r="H123">
            <v>8.0543891974876658</v>
          </cell>
          <cell r="I123">
            <v>8.3281352740552244</v>
          </cell>
          <cell r="J123">
            <v>7.7142836040565399</v>
          </cell>
          <cell r="K123">
            <v>7.6926084509148449</v>
          </cell>
          <cell r="L123">
            <v>7.8637396622972346</v>
          </cell>
          <cell r="M123">
            <v>7.8822469301433387</v>
          </cell>
          <cell r="N123">
            <v>7.6638672389546025</v>
          </cell>
          <cell r="O123">
            <v>8.6754559814091987</v>
          </cell>
          <cell r="P123">
            <v>7.5788124889530231</v>
          </cell>
          <cell r="Q123">
            <v>8.5073568770937147</v>
          </cell>
        </row>
        <row r="124">
          <cell r="A124" t="str">
            <v>Malta</v>
          </cell>
          <cell r="B124">
            <v>4.9426297662610619</v>
          </cell>
          <cell r="C124">
            <v>4.7989099530889749</v>
          </cell>
          <cell r="D124">
            <v>4.7667761989040915</v>
          </cell>
          <cell r="E124">
            <v>4.4869855656674176</v>
          </cell>
          <cell r="F124">
            <v>4.7522629766908278</v>
          </cell>
          <cell r="G124">
            <v>4.7503439902263231</v>
          </cell>
          <cell r="H124">
            <v>4.4373160721566069</v>
          </cell>
          <cell r="I124">
            <v>4.5023802160987794</v>
          </cell>
          <cell r="J124">
            <v>4.1763144739000992</v>
          </cell>
          <cell r="K124">
            <v>4.0177332307136675</v>
          </cell>
          <cell r="L124">
            <v>3.9610658404996739</v>
          </cell>
          <cell r="M124">
            <v>3.877625107013821</v>
          </cell>
          <cell r="N124">
            <v>3.9976842646541746</v>
          </cell>
          <cell r="O124">
            <v>3.8661143057039338</v>
          </cell>
          <cell r="P124">
            <v>3.816691328068023</v>
          </cell>
          <cell r="Q124">
            <v>4.1326099411608581</v>
          </cell>
        </row>
        <row r="125">
          <cell r="A125" t="str">
            <v>Marshall Islands</v>
          </cell>
          <cell r="B125">
            <v>7.9654327177822664</v>
          </cell>
          <cell r="C125">
            <v>8.1599998969687846</v>
          </cell>
          <cell r="D125">
            <v>8.4950572038128662</v>
          </cell>
          <cell r="E125">
            <v>7.5048050982338452</v>
          </cell>
          <cell r="F125">
            <v>7.8689734518490217</v>
          </cell>
          <cell r="G125">
            <v>7.8962205226873552</v>
          </cell>
          <cell r="H125">
            <v>7.5827844523188519</v>
          </cell>
          <cell r="I125">
            <v>7.913014515963626</v>
          </cell>
          <cell r="J125">
            <v>7.6139253082014893</v>
          </cell>
          <cell r="K125">
            <v>8.6088850480847281</v>
          </cell>
          <cell r="L125">
            <v>6.421899914325377</v>
          </cell>
          <cell r="M125">
            <v>8.0288170032630308</v>
          </cell>
          <cell r="N125">
            <v>8.5596560721461632</v>
          </cell>
          <cell r="O125">
            <v>6.9622469492873531</v>
          </cell>
          <cell r="P125">
            <v>6.9074759011985272</v>
          </cell>
          <cell r="Q125">
            <v>8.355926240558194</v>
          </cell>
        </row>
        <row r="126">
          <cell r="A126" t="str">
            <v>Mauritania</v>
          </cell>
          <cell r="B126">
            <v>8.8335954926605673</v>
          </cell>
          <cell r="C126">
            <v>8.3016188523462517</v>
          </cell>
          <cell r="D126">
            <v>8.359077012022917</v>
          </cell>
          <cell r="E126">
            <v>8.1226784246727952</v>
          </cell>
          <cell r="F126">
            <v>7.9817712163133123</v>
          </cell>
          <cell r="G126">
            <v>7.856775652264286</v>
          </cell>
          <cell r="H126">
            <v>7.6303605130579975</v>
          </cell>
          <cell r="I126">
            <v>7.6542132250737858</v>
          </cell>
          <cell r="J126">
            <v>7.2289085283163708</v>
          </cell>
          <cell r="K126">
            <v>7.0328894249804677</v>
          </cell>
          <cell r="L126">
            <v>6.9268580098705579</v>
          </cell>
          <cell r="M126">
            <v>6.7516385097447849</v>
          </cell>
          <cell r="N126">
            <v>6.4813171491841324</v>
          </cell>
          <cell r="O126">
            <v>8.0991449482191609</v>
          </cell>
          <cell r="P126">
            <v>7.1706399427905598</v>
          </cell>
          <cell r="Q126">
            <v>7.7036352752739496</v>
          </cell>
        </row>
        <row r="127">
          <cell r="A127" t="str">
            <v>Mauritius</v>
          </cell>
          <cell r="B127">
            <v>5.9289855885266158</v>
          </cell>
          <cell r="C127">
            <v>5.7840946266828315</v>
          </cell>
          <cell r="D127">
            <v>5.6223869686211732</v>
          </cell>
          <cell r="E127">
            <v>5.4000092687976622</v>
          </cell>
          <cell r="F127">
            <v>5.6749725127479511</v>
          </cell>
          <cell r="G127">
            <v>5.3931913606962159</v>
          </cell>
          <cell r="H127">
            <v>5.4628548093953926</v>
          </cell>
          <cell r="I127">
            <v>5.4038360053687269</v>
          </cell>
          <cell r="J127">
            <v>5.2561165796430576</v>
          </cell>
          <cell r="K127">
            <v>5.1951232901501143</v>
          </cell>
          <cell r="L127">
            <v>5.0277903860172426</v>
          </cell>
          <cell r="M127">
            <v>5.0517827209271084</v>
          </cell>
          <cell r="N127">
            <v>5.2337627307208923</v>
          </cell>
          <cell r="O127">
            <v>4.889860421656695</v>
          </cell>
          <cell r="P127">
            <v>4.5866945962095631</v>
          </cell>
          <cell r="Q127">
            <v>4.6379636529513784</v>
          </cell>
        </row>
        <row r="128">
          <cell r="A128" t="str">
            <v>Mexico</v>
          </cell>
          <cell r="B128">
            <v>6.4755669526610067</v>
          </cell>
          <cell r="C128">
            <v>6.3405192968951951</v>
          </cell>
          <cell r="D128">
            <v>6.3401869712351546</v>
          </cell>
          <cell r="E128">
            <v>6.2667610463825705</v>
          </cell>
          <cell r="F128">
            <v>6.4684059884643634</v>
          </cell>
          <cell r="G128">
            <v>6.1675018621172004</v>
          </cell>
          <cell r="H128">
            <v>6.5582644674987858</v>
          </cell>
          <cell r="I128">
            <v>6.3900137844225302</v>
          </cell>
          <cell r="J128">
            <v>6.1801620264855783</v>
          </cell>
          <cell r="K128">
            <v>6.4011221668844183</v>
          </cell>
          <cell r="L128">
            <v>6.2383460747678434</v>
          </cell>
          <cell r="M128">
            <v>6.0394162704228993</v>
          </cell>
          <cell r="N128">
            <v>5.5545109006926499</v>
          </cell>
          <cell r="O128">
            <v>5.6296403029333097</v>
          </cell>
          <cell r="P128">
            <v>5.3132939571651203</v>
          </cell>
          <cell r="Q128">
            <v>5.4046758951331704</v>
          </cell>
        </row>
        <row r="129">
          <cell r="A129" t="str">
            <v>Micronesia, Fed. Sts.</v>
          </cell>
          <cell r="B129">
            <v>6.7827427296708098</v>
          </cell>
          <cell r="C129">
            <v>6.8417692800966314</v>
          </cell>
          <cell r="D129">
            <v>6.9385935026485903</v>
          </cell>
          <cell r="E129">
            <v>6.7191826058207393</v>
          </cell>
          <cell r="F129">
            <v>6.4040344784314343</v>
          </cell>
          <cell r="G129">
            <v>6.4140411947695366</v>
          </cell>
          <cell r="H129">
            <v>6.7343041938075281</v>
          </cell>
          <cell r="I129">
            <v>6.6578156168628784</v>
          </cell>
          <cell r="J129">
            <v>6.4695188075039667</v>
          </cell>
          <cell r="K129">
            <v>7.6854849357807078</v>
          </cell>
          <cell r="L129">
            <v>6.5759688016618796</v>
          </cell>
          <cell r="M129">
            <v>6.6333726943580746</v>
          </cell>
          <cell r="N129">
            <v>6.7075498221828864</v>
          </cell>
          <cell r="O129">
            <v>7.951509685847169</v>
          </cell>
          <cell r="P129">
            <v>8.3559165208435182</v>
          </cell>
          <cell r="Q129">
            <v>7.6954374523903937</v>
          </cell>
        </row>
        <row r="130">
          <cell r="A130" t="str">
            <v>Moldova</v>
          </cell>
          <cell r="B130">
            <v>6.7220813268162782</v>
          </cell>
          <cell r="C130">
            <v>6.7844593112800142</v>
          </cell>
          <cell r="D130">
            <v>6.7423075880542207</v>
          </cell>
          <cell r="E130">
            <v>6.2906028004859849</v>
          </cell>
          <cell r="F130">
            <v>6.2556815760509306</v>
          </cell>
          <cell r="G130">
            <v>6.4793515018047323</v>
          </cell>
          <cell r="H130">
            <v>6.373013449504346</v>
          </cell>
          <cell r="I130">
            <v>6.2955353596282873</v>
          </cell>
          <cell r="J130">
            <v>6.0701606377124291</v>
          </cell>
          <cell r="K130">
            <v>5.8359990463027049</v>
          </cell>
          <cell r="L130">
            <v>5.8692503685992472</v>
          </cell>
          <cell r="M130">
            <v>5.7214816032252349</v>
          </cell>
          <cell r="N130">
            <v>5.6972695610469657</v>
          </cell>
          <cell r="O130">
            <v>5.3632664146369535</v>
          </cell>
          <cell r="P130">
            <v>5.480036539930639</v>
          </cell>
          <cell r="Q130">
            <v>4.8351585112275712</v>
          </cell>
        </row>
        <row r="131">
          <cell r="A131" t="str">
            <v>Monaco</v>
          </cell>
          <cell r="B131">
            <v>7.2904613063160166</v>
          </cell>
          <cell r="C131">
            <v>7.5923341206785491</v>
          </cell>
          <cell r="D131">
            <v>7.3128050729873841</v>
          </cell>
          <cell r="E131">
            <v>6.6895866043110876</v>
          </cell>
          <cell r="F131">
            <v>6.5833872121179171</v>
          </cell>
          <cell r="G131">
            <v>7.1778326644025938</v>
          </cell>
          <cell r="H131">
            <v>6.5530332046800108</v>
          </cell>
          <cell r="I131">
            <v>6.3437074815021246</v>
          </cell>
          <cell r="J131">
            <v>7.4913719457807648</v>
          </cell>
          <cell r="K131">
            <v>10</v>
          </cell>
          <cell r="L131">
            <v>7.5061900706111775</v>
          </cell>
          <cell r="M131">
            <v>7.5257836388921913</v>
          </cell>
          <cell r="N131">
            <v>7.4729096734484219</v>
          </cell>
          <cell r="O131">
            <v>7.0120000000000005</v>
          </cell>
          <cell r="P131">
            <v>7.0173549734854568</v>
          </cell>
          <cell r="Q131">
            <v>6.307858901329892</v>
          </cell>
        </row>
        <row r="132">
          <cell r="A132" t="str">
            <v>Mongolia</v>
          </cell>
          <cell r="B132">
            <v>7.0153651838714435</v>
          </cell>
          <cell r="C132">
            <v>7.0027827665266855</v>
          </cell>
          <cell r="D132">
            <v>7.3431588128484915</v>
          </cell>
          <cell r="E132">
            <v>6.9933867000817695</v>
          </cell>
          <cell r="F132">
            <v>7.1112664868834372</v>
          </cell>
          <cell r="G132">
            <v>7.3890682479288934</v>
          </cell>
          <cell r="H132">
            <v>7.3313734686068628</v>
          </cell>
          <cell r="I132">
            <v>7.1782906208848711</v>
          </cell>
          <cell r="J132">
            <v>7.1938636302971837</v>
          </cell>
          <cell r="K132">
            <v>6.8067700736009984</v>
          </cell>
          <cell r="L132">
            <v>6.6250429637666457</v>
          </cell>
          <cell r="M132">
            <v>6.3959191224215743</v>
          </cell>
          <cell r="N132">
            <v>6.3000225777625367</v>
          </cell>
          <cell r="O132">
            <v>6.6364048346586664</v>
          </cell>
          <cell r="P132">
            <v>5.7279614130452119</v>
          </cell>
          <cell r="Q132">
            <v>6.2021768473165402</v>
          </cell>
        </row>
        <row r="133">
          <cell r="A133" t="str">
            <v>Montenegro</v>
          </cell>
          <cell r="B133">
            <v>6.2609948957220478</v>
          </cell>
          <cell r="C133">
            <v>6.0525916120788548</v>
          </cell>
          <cell r="D133">
            <v>6.3424736975824665</v>
          </cell>
          <cell r="E133">
            <v>5.4535151012467633</v>
          </cell>
          <cell r="F133">
            <v>5.5538558603696169</v>
          </cell>
          <cell r="G133">
            <v>5.4788425169590509</v>
          </cell>
          <cell r="H133">
            <v>5.148359592554753</v>
          </cell>
          <cell r="I133">
            <v>5.4650120472847101</v>
          </cell>
          <cell r="J133">
            <v>5.162363964728808</v>
          </cell>
          <cell r="K133">
            <v>5.0098560388232078</v>
          </cell>
          <cell r="L133">
            <v>4.8543347227207434</v>
          </cell>
          <cell r="M133">
            <v>4.7381477286630442</v>
          </cell>
          <cell r="N133">
            <v>4.4150742194705934</v>
          </cell>
          <cell r="O133">
            <v>5.0047157486362028</v>
          </cell>
          <cell r="P133">
            <v>4.873114578899215</v>
          </cell>
          <cell r="Q133">
            <v>5.062207393278058</v>
          </cell>
        </row>
        <row r="134">
          <cell r="A134" t="str">
            <v>Morocco</v>
          </cell>
          <cell r="B134">
            <v>6.4470369863181602</v>
          </cell>
          <cell r="C134">
            <v>6.219873743839667</v>
          </cell>
          <cell r="D134">
            <v>6.3526165726767099</v>
          </cell>
          <cell r="E134">
            <v>6.2219910311586766</v>
          </cell>
          <cell r="F134">
            <v>6.1795891750246419</v>
          </cell>
          <cell r="G134">
            <v>6.1116250479074399</v>
          </cell>
          <cell r="H134">
            <v>6.3092035981071657</v>
          </cell>
          <cell r="I134">
            <v>5.9785914677626355</v>
          </cell>
          <cell r="J134">
            <v>5.9711279157846864</v>
          </cell>
          <cell r="K134">
            <v>5.7283378577205646</v>
          </cell>
          <cell r="L134">
            <v>5.6589942810576597</v>
          </cell>
          <cell r="M134">
            <v>5.6660518304114351</v>
          </cell>
          <cell r="N134">
            <v>5.6868777237111745</v>
          </cell>
          <cell r="O134">
            <v>5.5306634003422914</v>
          </cell>
          <cell r="P134">
            <v>5.1182334282774109</v>
          </cell>
          <cell r="Q134">
            <v>5.5639709280774809</v>
          </cell>
        </row>
        <row r="135">
          <cell r="A135" t="str">
            <v>Mozambique</v>
          </cell>
          <cell r="B135">
            <v>7.4122837801216557</v>
          </cell>
          <cell r="C135">
            <v>7.604307292668544</v>
          </cell>
          <cell r="D135">
            <v>7.4686081859251576</v>
          </cell>
          <cell r="E135">
            <v>7.4978602413879756</v>
          </cell>
          <cell r="F135">
            <v>7.188355842289015</v>
          </cell>
          <cell r="G135">
            <v>7.392260336228329</v>
          </cell>
          <cell r="H135">
            <v>7.411764186554441</v>
          </cell>
          <cell r="I135">
            <v>7.19739078870772</v>
          </cell>
          <cell r="J135">
            <v>7.4874640744587619</v>
          </cell>
          <cell r="K135">
            <v>7.5468482953957263</v>
          </cell>
          <cell r="L135">
            <v>7.1755939554684867</v>
          </cell>
          <cell r="M135">
            <v>6.9305190881266032</v>
          </cell>
          <cell r="N135">
            <v>7.285645400446608</v>
          </cell>
          <cell r="O135">
            <v>6.4766579652677603</v>
          </cell>
          <cell r="P135">
            <v>7.6251882878054058</v>
          </cell>
          <cell r="Q135">
            <v>6.4362035705889049</v>
          </cell>
        </row>
        <row r="136">
          <cell r="A136" t="str">
            <v>Myanmar</v>
          </cell>
          <cell r="B136">
            <v>7.8933311064997191</v>
          </cell>
          <cell r="C136">
            <v>7.6138600116827471</v>
          </cell>
          <cell r="D136">
            <v>7.6765283442450345</v>
          </cell>
          <cell r="E136">
            <v>7.6201703293304899</v>
          </cell>
          <cell r="F136">
            <v>7.4409571813770476</v>
          </cell>
          <cell r="G136">
            <v>8.1576956063464792</v>
          </cell>
          <cell r="H136">
            <v>7.8030521531933061</v>
          </cell>
          <cell r="I136">
            <v>7.5539384354489751</v>
          </cell>
          <cell r="J136">
            <v>6.8009248386378456</v>
          </cell>
          <cell r="K136">
            <v>7.2972384737742928</v>
          </cell>
          <cell r="L136">
            <v>6.7812485576978005</v>
          </cell>
          <cell r="M136">
            <v>6.2071788719480532</v>
          </cell>
          <cell r="N136">
            <v>6.2299785256211919</v>
          </cell>
          <cell r="O136">
            <v>7.7305701620114622</v>
          </cell>
          <cell r="P136">
            <v>6.2172739697198312</v>
          </cell>
          <cell r="Q136">
            <v>8.0199007483384737</v>
          </cell>
        </row>
        <row r="137">
          <cell r="A137" t="str">
            <v>Namibia</v>
          </cell>
          <cell r="B137">
            <v>6.4338840719467107</v>
          </cell>
          <cell r="C137">
            <v>6.5284608985653696</v>
          </cell>
          <cell r="D137">
            <v>6.9683175098348871</v>
          </cell>
          <cell r="E137">
            <v>6.7707433617335084</v>
          </cell>
          <cell r="F137">
            <v>6.8999182662084202</v>
          </cell>
          <cell r="G137">
            <v>6.5931460024448336</v>
          </cell>
          <cell r="H137">
            <v>6.5661885117952465</v>
          </cell>
          <cell r="I137">
            <v>6.4423924967416282</v>
          </cell>
          <cell r="J137">
            <v>6.2518271223631068</v>
          </cell>
          <cell r="K137">
            <v>6.1621361168581501</v>
          </cell>
          <cell r="L137">
            <v>6.5401026726519813</v>
          </cell>
          <cell r="M137">
            <v>6.3653291573655579</v>
          </cell>
          <cell r="N137">
            <v>6.1926795060972228</v>
          </cell>
          <cell r="O137">
            <v>6.1580611019673892</v>
          </cell>
          <cell r="P137">
            <v>5.8001652003289523</v>
          </cell>
          <cell r="Q137">
            <v>5.887649242035657</v>
          </cell>
        </row>
        <row r="138">
          <cell r="A138" t="str">
            <v>Nauru</v>
          </cell>
          <cell r="B138">
            <v>8.39557808022521</v>
          </cell>
          <cell r="C138">
            <v>8.701746222632762</v>
          </cell>
          <cell r="D138">
            <v>7.1253289229554007</v>
          </cell>
          <cell r="E138">
            <v>8.3927700173518414</v>
          </cell>
          <cell r="F138">
            <v>7.8478908383042647</v>
          </cell>
          <cell r="G138">
            <v>7.7299618354232713</v>
          </cell>
          <cell r="H138">
            <v>7.4204037293757716</v>
          </cell>
          <cell r="I138">
            <v>7.6230084759189127</v>
          </cell>
          <cell r="J138">
            <v>5.9438380841459812</v>
          </cell>
          <cell r="K138">
            <v>7.8804588414926577</v>
          </cell>
          <cell r="L138">
            <v>5.4596184783039048</v>
          </cell>
          <cell r="M138">
            <v>5.6609555426009583</v>
          </cell>
          <cell r="N138">
            <v>5.6772559363026192</v>
          </cell>
          <cell r="O138">
            <v>8.0955680151095137</v>
          </cell>
          <cell r="P138">
            <v>8.0287471053051185</v>
          </cell>
          <cell r="Q138">
            <v>7.9843558451766867</v>
          </cell>
        </row>
        <row r="139">
          <cell r="A139" t="str">
            <v>Nepal</v>
          </cell>
          <cell r="B139">
            <v>8.542838877677962</v>
          </cell>
          <cell r="C139">
            <v>8.6228125512943734</v>
          </cell>
          <cell r="D139">
            <v>8.549654051541097</v>
          </cell>
          <cell r="E139">
            <v>8.1870122549387538</v>
          </cell>
          <cell r="F139">
            <v>8.2557585436821217</v>
          </cell>
          <cell r="G139">
            <v>8.2244696294453465</v>
          </cell>
          <cell r="H139">
            <v>8.1888399651786195</v>
          </cell>
          <cell r="I139">
            <v>8.3211569133957024</v>
          </cell>
          <cell r="J139">
            <v>8.0327702194685244</v>
          </cell>
          <cell r="K139">
            <v>7.7879671092097826</v>
          </cell>
          <cell r="L139">
            <v>7.8291113080873487</v>
          </cell>
          <cell r="M139">
            <v>7.4074750063741881</v>
          </cell>
          <cell r="N139">
            <v>7.4409345140093617</v>
          </cell>
          <cell r="O139">
            <v>8.6210208746539294</v>
          </cell>
          <cell r="P139">
            <v>7.1624051308766203</v>
          </cell>
          <cell r="Q139">
            <v>8.6813996794020252</v>
          </cell>
        </row>
        <row r="140">
          <cell r="A140" t="str">
            <v>Netherlands</v>
          </cell>
          <cell r="B140">
            <v>4.1398186937680759</v>
          </cell>
          <cell r="C140">
            <v>4.294962439496719</v>
          </cell>
          <cell r="D140">
            <v>4.1817558467229192</v>
          </cell>
          <cell r="E140">
            <v>3.9995271837172659</v>
          </cell>
          <cell r="F140">
            <v>3.5529930700816825</v>
          </cell>
          <cell r="G140">
            <v>3.6282124320197742</v>
          </cell>
          <cell r="H140">
            <v>3.8676045564703063</v>
          </cell>
          <cell r="I140">
            <v>3.9734147928482271</v>
          </cell>
          <cell r="J140">
            <v>3.7617892101136157</v>
          </cell>
          <cell r="K140">
            <v>3.9055414927353755</v>
          </cell>
          <cell r="L140">
            <v>3.5355012859235906</v>
          </cell>
          <cell r="M140">
            <v>3.6967804201074701</v>
          </cell>
          <cell r="N140">
            <v>3.8297236913082067</v>
          </cell>
          <cell r="O140">
            <v>3.7096090441333205</v>
          </cell>
          <cell r="P140">
            <v>3.4974256745809296</v>
          </cell>
          <cell r="Q140">
            <v>6.8919956994610398</v>
          </cell>
        </row>
        <row r="141">
          <cell r="A141" t="str">
            <v>New Caledonia</v>
          </cell>
          <cell r="B141">
            <v>5.4733992170730374</v>
          </cell>
          <cell r="C141">
            <v>5.3218024492670564</v>
          </cell>
          <cell r="D141">
            <v>5.8439300297237029</v>
          </cell>
          <cell r="E141">
            <v>5.366169042431931</v>
          </cell>
          <cell r="F141">
            <v>5.0797349837878967</v>
          </cell>
          <cell r="G141">
            <v>5.0998301335962788</v>
          </cell>
          <cell r="H141">
            <v>4.8957556425564581</v>
          </cell>
          <cell r="I141">
            <v>5.9897008573874757</v>
          </cell>
          <cell r="J141">
            <v>5.406077421022812</v>
          </cell>
          <cell r="K141">
            <v>5.0523473540848487</v>
          </cell>
          <cell r="L141">
            <v>4.657016841715075</v>
          </cell>
          <cell r="M141">
            <v>4.7360482083091409</v>
          </cell>
          <cell r="N141">
            <v>6.142803208637174</v>
          </cell>
          <cell r="O141">
            <v>4.738689971850774</v>
          </cell>
          <cell r="P141">
            <v>8.1937609684811559</v>
          </cell>
          <cell r="Q141">
            <v>7.825385120078721</v>
          </cell>
        </row>
        <row r="142">
          <cell r="A142" t="str">
            <v>New Zealand</v>
          </cell>
          <cell r="B142">
            <v>5.254199083076049</v>
          </cell>
          <cell r="C142">
            <v>5.2107183385101372</v>
          </cell>
          <cell r="D142">
            <v>5.0362714243142843</v>
          </cell>
          <cell r="E142">
            <v>5.1511202439581583</v>
          </cell>
          <cell r="F142">
            <v>5.1987309900395529</v>
          </cell>
          <cell r="G142">
            <v>4.948905317797216</v>
          </cell>
          <cell r="H142">
            <v>5.3501780841381876</v>
          </cell>
          <cell r="I142">
            <v>5.2595821795521625</v>
          </cell>
          <cell r="J142">
            <v>5.176658459150774</v>
          </cell>
          <cell r="K142">
            <v>5.1717482001735542</v>
          </cell>
          <cell r="L142">
            <v>4.910863170280944</v>
          </cell>
          <cell r="M142">
            <v>4.6966964979167667</v>
          </cell>
          <cell r="N142">
            <v>4.8832280175464442</v>
          </cell>
          <cell r="O142">
            <v>5.1485525731573878</v>
          </cell>
          <cell r="P142">
            <v>4.6239343098853194</v>
          </cell>
          <cell r="Q142">
            <v>5.4148346178249236</v>
          </cell>
        </row>
        <row r="143">
          <cell r="A143" t="str">
            <v>Nicaragua</v>
          </cell>
          <cell r="B143">
            <v>7.2014200994380033</v>
          </cell>
          <cell r="C143">
            <v>6.9515391565640527</v>
          </cell>
          <cell r="D143">
            <v>6.7781540809072656</v>
          </cell>
          <cell r="E143">
            <v>6.6533012428205804</v>
          </cell>
          <cell r="F143">
            <v>6.5044925374043654</v>
          </cell>
          <cell r="G143">
            <v>6.6253558150376568</v>
          </cell>
          <cell r="H143">
            <v>7.0208391837741733</v>
          </cell>
          <cell r="I143">
            <v>6.5604015566334795</v>
          </cell>
          <cell r="J143">
            <v>6.6234379301168396</v>
          </cell>
          <cell r="K143">
            <v>6.4612804435046938</v>
          </cell>
          <cell r="L143">
            <v>6.3894618997923054</v>
          </cell>
          <cell r="M143">
            <v>5.9668737584050158</v>
          </cell>
          <cell r="N143">
            <v>6.157655881112543</v>
          </cell>
          <cell r="O143">
            <v>5.8710919369063008</v>
          </cell>
          <cell r="P143">
            <v>5.8499033042843536</v>
          </cell>
          <cell r="Q143">
            <v>5.949650700842148</v>
          </cell>
        </row>
        <row r="144">
          <cell r="A144" t="str">
            <v>Niger</v>
          </cell>
          <cell r="B144">
            <v>7.4351241228440541</v>
          </cell>
          <cell r="C144">
            <v>7.6749546198632475</v>
          </cell>
          <cell r="D144">
            <v>7.6634965682313929</v>
          </cell>
          <cell r="E144">
            <v>7.4478389737954611</v>
          </cell>
          <cell r="F144">
            <v>8.4644728813754551</v>
          </cell>
          <cell r="G144">
            <v>8.4820942363780372</v>
          </cell>
          <cell r="H144">
            <v>7.7864117721928805</v>
          </cell>
          <cell r="I144">
            <v>7.963177079113259</v>
          </cell>
          <cell r="J144">
            <v>7.6006602496159523</v>
          </cell>
          <cell r="K144">
            <v>6.4256218476989364</v>
          </cell>
          <cell r="L144">
            <v>7.357177025527645</v>
          </cell>
          <cell r="M144">
            <v>8.032222369511306</v>
          </cell>
          <cell r="N144">
            <v>7.8396590718789048</v>
          </cell>
          <cell r="O144">
            <v>8.4717301953324995</v>
          </cell>
          <cell r="P144">
            <v>7.8481997581016678</v>
          </cell>
          <cell r="Q144">
            <v>8.3628983919289173</v>
          </cell>
        </row>
        <row r="145">
          <cell r="A145" t="str">
            <v>Nigeria</v>
          </cell>
          <cell r="B145">
            <v>6.9361370337804278</v>
          </cell>
          <cell r="C145">
            <v>6.6480376601998969</v>
          </cell>
          <cell r="D145">
            <v>6.5744867620626302</v>
          </cell>
          <cell r="E145">
            <v>6.3487895618903334</v>
          </cell>
          <cell r="F145">
            <v>6.4078728347209308</v>
          </cell>
          <cell r="G145">
            <v>6.9425841043030161</v>
          </cell>
          <cell r="H145">
            <v>6.7377638264374875</v>
          </cell>
          <cell r="I145">
            <v>6.7790788225490433</v>
          </cell>
          <cell r="J145">
            <v>6.3779296229679989</v>
          </cell>
          <cell r="K145">
            <v>7.2135978906910641</v>
          </cell>
          <cell r="L145">
            <v>6.4857988018494659</v>
          </cell>
          <cell r="M145">
            <v>6.2110754869589364</v>
          </cell>
          <cell r="N145">
            <v>6.3027436831496892</v>
          </cell>
          <cell r="O145">
            <v>6.5029676942164736</v>
          </cell>
          <cell r="P145">
            <v>6.5165743730083303</v>
          </cell>
          <cell r="Q145">
            <v>6.1360699934184177</v>
          </cell>
        </row>
        <row r="146">
          <cell r="A146" t="str">
            <v>North Macedonia</v>
          </cell>
          <cell r="B146">
            <v>5.6813009768761278</v>
          </cell>
          <cell r="C146">
            <v>5.6894452946552967</v>
          </cell>
          <cell r="D146">
            <v>5.6918532208665482</v>
          </cell>
          <cell r="E146">
            <v>5.6222354763203066</v>
          </cell>
          <cell r="F146">
            <v>5.9357400965728333</v>
          </cell>
          <cell r="G146">
            <v>5.7780600527654027</v>
          </cell>
          <cell r="H146">
            <v>5.864822643439136</v>
          </cell>
          <cell r="I146">
            <v>5.3351971675223933</v>
          </cell>
          <cell r="J146">
            <v>5.6897865786881212</v>
          </cell>
          <cell r="K146">
            <v>5.4085394603491652</v>
          </cell>
          <cell r="L146">
            <v>5.3644609890588653</v>
          </cell>
          <cell r="M146">
            <v>5.4562208078308645</v>
          </cell>
          <cell r="N146">
            <v>5.2289864471439067</v>
          </cell>
          <cell r="O146">
            <v>5.5799122397621135</v>
          </cell>
          <cell r="P146">
            <v>5.237894942297034</v>
          </cell>
          <cell r="Q146">
            <v>4.4370227235349216</v>
          </cell>
        </row>
        <row r="147">
          <cell r="A147" t="str">
            <v>Northern Mariana Islands</v>
          </cell>
          <cell r="B147">
            <v>7.6605129584712071</v>
          </cell>
          <cell r="C147">
            <v>8.1249883593181558</v>
          </cell>
          <cell r="D147">
            <v>7.7088131129504145</v>
          </cell>
          <cell r="E147">
            <v>7.1714406737874992</v>
          </cell>
          <cell r="F147">
            <v>7.1361356501374349</v>
          </cell>
          <cell r="G147">
            <v>7.083602345908286</v>
          </cell>
          <cell r="H147">
            <v>6.9395044882769596</v>
          </cell>
          <cell r="I147">
            <v>6.580831973256366</v>
          </cell>
          <cell r="J147">
            <v>6.910547848444164</v>
          </cell>
          <cell r="K147">
            <v>7.0719378867141049</v>
          </cell>
          <cell r="L147">
            <v>7.1072627945849085</v>
          </cell>
          <cell r="M147">
            <v>7.4759964166832606</v>
          </cell>
          <cell r="N147">
            <v>8.0197495282806237</v>
          </cell>
          <cell r="O147">
            <v>7.9792513822334818</v>
          </cell>
          <cell r="P147">
            <v>8.7370000000000001</v>
          </cell>
          <cell r="Q147">
            <v>8.41</v>
          </cell>
        </row>
        <row r="148">
          <cell r="A148" t="str">
            <v>Norway</v>
          </cell>
          <cell r="B148">
            <v>4.6721918056545757</v>
          </cell>
          <cell r="C148">
            <v>4.3367426424735109</v>
          </cell>
          <cell r="D148">
            <v>4.484581552708919</v>
          </cell>
          <cell r="E148">
            <v>4.2241493507075312</v>
          </cell>
          <cell r="F148">
            <v>4.5243156314129269</v>
          </cell>
          <cell r="G148">
            <v>4.4297052653446007</v>
          </cell>
          <cell r="H148">
            <v>4.6207190718822693</v>
          </cell>
          <cell r="I148">
            <v>4.6482099222304898</v>
          </cell>
          <cell r="J148">
            <v>4.6400277987825804</v>
          </cell>
          <cell r="K148">
            <v>4.5061768261450679</v>
          </cell>
          <cell r="L148">
            <v>4.6228493210667549</v>
          </cell>
          <cell r="M148">
            <v>4.7575326653344723</v>
          </cell>
          <cell r="N148">
            <v>4.4170266007826573</v>
          </cell>
          <cell r="O148">
            <v>4.0011834220342388</v>
          </cell>
          <cell r="P148">
            <v>3.9915795086258488</v>
          </cell>
          <cell r="Q148">
            <v>7.3444136535539171</v>
          </cell>
        </row>
        <row r="149">
          <cell r="A149" t="str">
            <v>Oman</v>
          </cell>
          <cell r="B149">
            <v>6.4846158632845725</v>
          </cell>
          <cell r="C149">
            <v>6.5661245976021982</v>
          </cell>
          <cell r="D149">
            <v>6.1728890159191092</v>
          </cell>
          <cell r="E149">
            <v>5.711111287705922</v>
          </cell>
          <cell r="F149">
            <v>5.566821498742085</v>
          </cell>
          <cell r="G149">
            <v>5.7100856660816861</v>
          </cell>
          <cell r="H149">
            <v>5.4157491793555055</v>
          </cell>
          <cell r="I149">
            <v>5.6860330411936379</v>
          </cell>
          <cell r="J149">
            <v>5.496976053801272</v>
          </cell>
          <cell r="K149">
            <v>5.4540193329347098</v>
          </cell>
          <cell r="L149">
            <v>5.5775839811399033</v>
          </cell>
          <cell r="M149">
            <v>5.2088551609774143</v>
          </cell>
          <cell r="N149">
            <v>5.1166767507748965</v>
          </cell>
          <cell r="O149">
            <v>4.9811020256694478</v>
          </cell>
          <cell r="P149">
            <v>3.2860599135187316</v>
          </cell>
          <cell r="Q149">
            <v>4.1854207012735101</v>
          </cell>
        </row>
        <row r="150">
          <cell r="A150" t="str">
            <v>Pakistan</v>
          </cell>
          <cell r="B150">
            <v>8.51185154973588</v>
          </cell>
          <cell r="C150">
            <v>8.3574317347123781</v>
          </cell>
          <cell r="D150">
            <v>8.660271249706982</v>
          </cell>
          <cell r="E150">
            <v>8.4933984937195905</v>
          </cell>
          <cell r="F150">
            <v>8.6485534039284531</v>
          </cell>
          <cell r="G150">
            <v>8.3853238624886917</v>
          </cell>
          <cell r="H150">
            <v>8.6667398272843741</v>
          </cell>
          <cell r="I150">
            <v>8.4989418016411733</v>
          </cell>
          <cell r="J150">
            <v>8.2952786101739502</v>
          </cell>
          <cell r="K150">
            <v>8.489771848744132</v>
          </cell>
          <cell r="L150">
            <v>8.4055367168310031</v>
          </cell>
          <cell r="M150">
            <v>8.1669507859538726</v>
          </cell>
          <cell r="N150">
            <v>8.1488580404209081</v>
          </cell>
          <cell r="O150">
            <v>8.7204331400993933</v>
          </cell>
          <cell r="P150">
            <v>8.3139599473962953</v>
          </cell>
          <cell r="Q150">
            <v>8.6417360665153691</v>
          </cell>
        </row>
        <row r="151">
          <cell r="A151" t="str">
            <v>Palau</v>
          </cell>
          <cell r="B151">
            <v>7.6418304023034196</v>
          </cell>
          <cell r="C151">
            <v>7.7398588817146532</v>
          </cell>
          <cell r="D151">
            <v>8.0259162724650182</v>
          </cell>
          <cell r="E151">
            <v>7.4408309369658054</v>
          </cell>
          <cell r="F151">
            <v>7.4465452343647911</v>
          </cell>
          <cell r="G151">
            <v>7.2317357533108204</v>
          </cell>
          <cell r="H151">
            <v>7.1426418575977504</v>
          </cell>
          <cell r="I151">
            <v>7.5126333255419278</v>
          </cell>
          <cell r="J151">
            <v>7.6959016598302608</v>
          </cell>
          <cell r="K151">
            <v>7.1821553443598614</v>
          </cell>
          <cell r="L151">
            <v>7.2885839135516095</v>
          </cell>
          <cell r="M151">
            <v>7.1270167678979224</v>
          </cell>
          <cell r="N151">
            <v>7.4818061691668802</v>
          </cell>
          <cell r="O151">
            <v>7.0959457110767001</v>
          </cell>
          <cell r="P151">
            <v>6.1752492938086423</v>
          </cell>
          <cell r="Q151">
            <v>8.5711718260635692</v>
          </cell>
        </row>
        <row r="152">
          <cell r="A152" t="str">
            <v>Panama</v>
          </cell>
          <cell r="B152">
            <v>5.9224067360148283</v>
          </cell>
          <cell r="C152">
            <v>5.5230407269080919</v>
          </cell>
          <cell r="D152">
            <v>5.491104768998162</v>
          </cell>
          <cell r="E152">
            <v>5.5162237856313929</v>
          </cell>
          <cell r="F152">
            <v>5.4528953052850646</v>
          </cell>
          <cell r="G152">
            <v>5.5297864193441146</v>
          </cell>
          <cell r="H152">
            <v>5.5527394370725496</v>
          </cell>
          <cell r="I152">
            <v>5.5695787538172628</v>
          </cell>
          <cell r="J152">
            <v>5.3844335475138232</v>
          </cell>
          <cell r="K152">
            <v>5.2424999100769405</v>
          </cell>
          <cell r="L152">
            <v>5.0505882240725155</v>
          </cell>
          <cell r="M152">
            <v>5.3228380473821533</v>
          </cell>
          <cell r="N152">
            <v>5.4955580122484582</v>
          </cell>
          <cell r="O152">
            <v>4.8660577421668725</v>
          </cell>
          <cell r="P152">
            <v>5.0536747098381269</v>
          </cell>
          <cell r="Q152">
            <v>5.5108919019223528</v>
          </cell>
        </row>
        <row r="153">
          <cell r="A153" t="str">
            <v>Papua New Guinea</v>
          </cell>
          <cell r="B153">
            <v>7.1686094879936633</v>
          </cell>
          <cell r="C153">
            <v>7.6862014181196887</v>
          </cell>
          <cell r="D153">
            <v>7.2922191455252658</v>
          </cell>
          <cell r="E153">
            <v>7.5351765098611292</v>
          </cell>
          <cell r="F153">
            <v>8.188121528194646</v>
          </cell>
          <cell r="G153">
            <v>7.8543908623060741</v>
          </cell>
          <cell r="H153">
            <v>8.0419306017589935</v>
          </cell>
          <cell r="I153">
            <v>7.9264948015036536</v>
          </cell>
          <cell r="J153">
            <v>7.4357508729517514</v>
          </cell>
          <cell r="K153">
            <v>7.0613582837696889</v>
          </cell>
          <cell r="L153">
            <v>7.2736655348678969</v>
          </cell>
          <cell r="M153">
            <v>6.9792713888653566</v>
          </cell>
          <cell r="N153">
            <v>7.4903544694593789</v>
          </cell>
          <cell r="O153">
            <v>7.1700916014638878</v>
          </cell>
          <cell r="P153">
            <v>7.8959487329871028</v>
          </cell>
          <cell r="Q153">
            <v>7.4981441640146489</v>
          </cell>
        </row>
        <row r="154">
          <cell r="A154" t="str">
            <v>Paraguay</v>
          </cell>
          <cell r="B154">
            <v>6.5543363677373945</v>
          </cell>
          <cell r="C154">
            <v>6.2885006227159526</v>
          </cell>
          <cell r="D154">
            <v>6.542711680617133</v>
          </cell>
          <cell r="E154">
            <v>6.2443693780799796</v>
          </cell>
          <cell r="F154">
            <v>6.1952580423464552</v>
          </cell>
          <cell r="G154">
            <v>5.9963498420241867</v>
          </cell>
          <cell r="H154">
            <v>5.9190402168155547</v>
          </cell>
          <cell r="I154">
            <v>5.9272412168355331</v>
          </cell>
          <cell r="J154">
            <v>5.5484236184543114</v>
          </cell>
          <cell r="K154">
            <v>5.7320325874445235</v>
          </cell>
          <cell r="L154">
            <v>5.7684117676697602</v>
          </cell>
          <cell r="M154">
            <v>5.2614836841639239</v>
          </cell>
          <cell r="N154">
            <v>5.5079372502114357</v>
          </cell>
          <cell r="O154">
            <v>5.9030142319711478</v>
          </cell>
          <cell r="P154">
            <v>5.3772137182311246</v>
          </cell>
          <cell r="Q154">
            <v>5.3256806739622062</v>
          </cell>
        </row>
        <row r="155">
          <cell r="A155" t="str">
            <v>Peru</v>
          </cell>
          <cell r="B155">
            <v>6.6712926471881424</v>
          </cell>
          <cell r="C155">
            <v>6.5931994430187792</v>
          </cell>
          <cell r="D155">
            <v>6.601123005699236</v>
          </cell>
          <cell r="E155">
            <v>6.4039187585053394</v>
          </cell>
          <cell r="F155">
            <v>6.4414096774773046</v>
          </cell>
          <cell r="G155">
            <v>6.4176354611941111</v>
          </cell>
          <cell r="H155">
            <v>6.4177453168948517</v>
          </cell>
          <cell r="I155">
            <v>6.3965052347200793</v>
          </cell>
          <cell r="J155">
            <v>6.0978381732062008</v>
          </cell>
          <cell r="K155">
            <v>6.1711135029395914</v>
          </cell>
          <cell r="L155">
            <v>6.1287672173213927</v>
          </cell>
          <cell r="M155">
            <v>6.2245887912818123</v>
          </cell>
          <cell r="N155">
            <v>6.0432686394173842</v>
          </cell>
          <cell r="O155">
            <v>6.0635295603772672</v>
          </cell>
          <cell r="P155">
            <v>5.6843004360303153</v>
          </cell>
          <cell r="Q155">
            <v>5.9920384004976768</v>
          </cell>
        </row>
        <row r="156">
          <cell r="A156" t="str">
            <v>Philippines</v>
          </cell>
          <cell r="B156">
            <v>7.5931192675001604</v>
          </cell>
          <cell r="C156">
            <v>7.1588077802704397</v>
          </cell>
          <cell r="D156">
            <v>7.289841627216342</v>
          </cell>
          <cell r="E156">
            <v>7.2367174671027215</v>
          </cell>
          <cell r="F156">
            <v>6.8871975018572691</v>
          </cell>
          <cell r="G156">
            <v>7.2190444499332553</v>
          </cell>
          <cell r="H156">
            <v>6.8902436112141476</v>
          </cell>
          <cell r="I156">
            <v>6.8261504338002217</v>
          </cell>
          <cell r="J156">
            <v>6.6288884902681255</v>
          </cell>
          <cell r="K156">
            <v>6.4773392576283335</v>
          </cell>
          <cell r="L156">
            <v>6.5718535536162186</v>
          </cell>
          <cell r="M156">
            <v>6.6370817777906588</v>
          </cell>
          <cell r="N156">
            <v>6.0761904435938057</v>
          </cell>
          <cell r="O156">
            <v>7.702967312359231</v>
          </cell>
          <cell r="P156">
            <v>5.1753297117313153</v>
          </cell>
          <cell r="Q156">
            <v>7.7539202864882544</v>
          </cell>
        </row>
        <row r="157">
          <cell r="A157" t="str">
            <v>Poland</v>
          </cell>
          <cell r="B157">
            <v>5.4520156211946071</v>
          </cell>
          <cell r="C157">
            <v>5.3340194977668149</v>
          </cell>
          <cell r="D157">
            <v>5.1846635001716104</v>
          </cell>
          <cell r="E157">
            <v>5.2080089510963647</v>
          </cell>
          <cell r="F157">
            <v>5.6348910048287495</v>
          </cell>
          <cell r="G157">
            <v>5.2435330227897374</v>
          </cell>
          <cell r="H157">
            <v>5.1191478465734894</v>
          </cell>
          <cell r="I157">
            <v>4.9427096202485048</v>
          </cell>
          <cell r="J157">
            <v>4.8116125317621483</v>
          </cell>
          <cell r="K157">
            <v>4.8181906965007197</v>
          </cell>
          <cell r="L157">
            <v>4.7838500430861899</v>
          </cell>
          <cell r="M157">
            <v>4.7234731749485857</v>
          </cell>
          <cell r="N157">
            <v>4.6653871925709103</v>
          </cell>
          <cell r="O157">
            <v>4.5535493566510441</v>
          </cell>
          <cell r="P157">
            <v>4.4726583129536825</v>
          </cell>
          <cell r="Q157">
            <v>4.7291465011059257</v>
          </cell>
        </row>
        <row r="158">
          <cell r="A158" t="str">
            <v>Portugal</v>
          </cell>
          <cell r="B158">
            <v>5.7007425726893848</v>
          </cell>
          <cell r="C158">
            <v>5.5323360936085857</v>
          </cell>
          <cell r="D158">
            <v>5.5598777160314734</v>
          </cell>
          <cell r="E158">
            <v>5.2535404189675052</v>
          </cell>
          <cell r="F158">
            <v>5.3624262642906437</v>
          </cell>
          <cell r="G158">
            <v>5.2699812049558172</v>
          </cell>
          <cell r="H158">
            <v>5.5954865651560626</v>
          </cell>
          <cell r="I158">
            <v>4.9678183890659628</v>
          </cell>
          <cell r="J158">
            <v>4.9726758341490394</v>
          </cell>
          <cell r="K158">
            <v>4.956851869949209</v>
          </cell>
          <cell r="L158">
            <v>4.9953335197829105</v>
          </cell>
          <cell r="M158">
            <v>4.9232131799653374</v>
          </cell>
          <cell r="N158">
            <v>4.8134821415714519</v>
          </cell>
          <cell r="O158">
            <v>4.7788307150928944</v>
          </cell>
          <cell r="P158">
            <v>4.6409971918108672</v>
          </cell>
          <cell r="Q158">
            <v>4.6809304457385998</v>
          </cell>
        </row>
        <row r="159">
          <cell r="A159" t="str">
            <v>Puerto Rico</v>
          </cell>
          <cell r="B159">
            <v>7.7304637213807066</v>
          </cell>
          <cell r="C159">
            <v>7.7721990863760269</v>
          </cell>
          <cell r="D159">
            <v>7.7974770611892348</v>
          </cell>
          <cell r="E159">
            <v>6.6023166642500044</v>
          </cell>
          <cell r="F159">
            <v>7.2166652633502402</v>
          </cell>
          <cell r="G159">
            <v>7.2144921280620995</v>
          </cell>
          <cell r="H159">
            <v>6.5507374174348527</v>
          </cell>
          <cell r="I159">
            <v>7.0073501395922015</v>
          </cell>
          <cell r="J159">
            <v>6.5570157273099658</v>
          </cell>
          <cell r="K159">
            <v>7.0966072628004131</v>
          </cell>
          <cell r="L159">
            <v>6.9421418564393633</v>
          </cell>
          <cell r="M159">
            <v>6.9585958459228721</v>
          </cell>
          <cell r="N159">
            <v>6.9006071663448818</v>
          </cell>
          <cell r="O159">
            <v>7.0241660643952564</v>
          </cell>
          <cell r="P159">
            <v>7.0241692030347931</v>
          </cell>
          <cell r="Q159">
            <v>7.6390000000000002</v>
          </cell>
        </row>
        <row r="160">
          <cell r="A160" t="str">
            <v>Qatar</v>
          </cell>
          <cell r="B160">
            <v>5.6138689997394735</v>
          </cell>
          <cell r="C160">
            <v>5.1092345018558971</v>
          </cell>
          <cell r="D160">
            <v>5.5172638576607271</v>
          </cell>
          <cell r="E160">
            <v>5.1281997002679498</v>
          </cell>
          <cell r="F160">
            <v>4.1735733776257469</v>
          </cell>
          <cell r="G160">
            <v>4.4972484057894482</v>
          </cell>
          <cell r="H160">
            <v>4.0155046728537016</v>
          </cell>
          <cell r="I160">
            <v>4.318465283850462</v>
          </cell>
          <cell r="J160">
            <v>4.41642323141728</v>
          </cell>
          <cell r="K160">
            <v>4.3135927789437991</v>
          </cell>
          <cell r="L160">
            <v>4.1229651327101369</v>
          </cell>
          <cell r="M160">
            <v>4.1040376236444347</v>
          </cell>
          <cell r="N160">
            <v>4.21575174712601</v>
          </cell>
          <cell r="O160">
            <v>4.5782210875661766</v>
          </cell>
          <cell r="P160">
            <v>3.6025847586911901</v>
          </cell>
          <cell r="Q160">
            <v>4.5057027064836035</v>
          </cell>
        </row>
        <row r="161">
          <cell r="A161" t="str">
            <v>Romania</v>
          </cell>
          <cell r="B161">
            <v>6.1144922764653797</v>
          </cell>
          <cell r="C161">
            <v>6.1309804696300656</v>
          </cell>
          <cell r="D161">
            <v>6.0004656192536743</v>
          </cell>
          <cell r="E161">
            <v>5.6513118877735256</v>
          </cell>
          <cell r="F161">
            <v>5.8740465098484798</v>
          </cell>
          <cell r="G161">
            <v>5.758231245741249</v>
          </cell>
          <cell r="H161">
            <v>5.9675580513495818</v>
          </cell>
          <cell r="I161">
            <v>5.6460159209604646</v>
          </cell>
          <cell r="J161">
            <v>5.555604071446921</v>
          </cell>
          <cell r="K161">
            <v>5.4907647888922844</v>
          </cell>
          <cell r="L161">
            <v>5.4517522535602838</v>
          </cell>
          <cell r="M161">
            <v>5.3606786728375422</v>
          </cell>
          <cell r="N161">
            <v>5.2307649528094649</v>
          </cell>
          <cell r="O161">
            <v>5.0217022423550866</v>
          </cell>
          <cell r="P161">
            <v>4.9838179770248274</v>
          </cell>
          <cell r="Q161">
            <v>5.0333892793297856</v>
          </cell>
        </row>
        <row r="162">
          <cell r="A162" t="str">
            <v>Russia</v>
          </cell>
          <cell r="B162">
            <v>6.108478604330573</v>
          </cell>
          <cell r="C162">
            <v>5.8739109266585805</v>
          </cell>
          <cell r="D162">
            <v>5.6692511207559892</v>
          </cell>
          <cell r="E162">
            <v>5.5988043977878901</v>
          </cell>
          <cell r="F162">
            <v>5.28466061632649</v>
          </cell>
          <cell r="G162">
            <v>5.4892207185817723</v>
          </cell>
          <cell r="H162">
            <v>5.602507432028899</v>
          </cell>
          <cell r="I162">
            <v>5.5866811583647058</v>
          </cell>
          <cell r="J162">
            <v>5.5093427824074821</v>
          </cell>
          <cell r="K162">
            <v>5.5224814877342689</v>
          </cell>
          <cell r="L162">
            <v>5.4301046519281106</v>
          </cell>
          <cell r="M162">
            <v>5.3874322433676856</v>
          </cell>
          <cell r="N162">
            <v>5.2608028324353988</v>
          </cell>
          <cell r="O162">
            <v>6.2729064783723416</v>
          </cell>
          <cell r="P162">
            <v>6.84526972564937</v>
          </cell>
          <cell r="Q162">
            <v>7.93</v>
          </cell>
        </row>
        <row r="163">
          <cell r="A163" t="str">
            <v>Rwanda</v>
          </cell>
          <cell r="B163">
            <v>7.5130753512471511</v>
          </cell>
          <cell r="C163">
            <v>7.5989672316547443</v>
          </cell>
          <cell r="D163">
            <v>7.6708100037983602</v>
          </cell>
          <cell r="E163">
            <v>7.3616017863344396</v>
          </cell>
          <cell r="F163">
            <v>7.2625547474955674</v>
          </cell>
          <cell r="G163">
            <v>7.2081482779267585</v>
          </cell>
          <cell r="H163">
            <v>7.6470369222509733</v>
          </cell>
          <cell r="I163">
            <v>7.7151538589136184</v>
          </cell>
          <cell r="J163">
            <v>7.2836498819690689</v>
          </cell>
          <cell r="K163">
            <v>7.1958670383345655</v>
          </cell>
          <cell r="L163">
            <v>7.179708137166819</v>
          </cell>
          <cell r="M163">
            <v>7.1723809069375317</v>
          </cell>
          <cell r="N163">
            <v>7.0593206048357509</v>
          </cell>
          <cell r="O163">
            <v>6.5813749512473505</v>
          </cell>
          <cell r="P163">
            <v>7.3919836709495872</v>
          </cell>
          <cell r="Q163">
            <v>8.1884938230773159</v>
          </cell>
        </row>
        <row r="164">
          <cell r="A164" t="str">
            <v>Samoa</v>
          </cell>
          <cell r="B164">
            <v>6.5349295629191797</v>
          </cell>
          <cell r="C164">
            <v>7.2461019480314128</v>
          </cell>
          <cell r="D164">
            <v>6.8573905978140264</v>
          </cell>
          <cell r="E164">
            <v>6.5174975574296248</v>
          </cell>
          <cell r="F164">
            <v>6.7475750973195581</v>
          </cell>
          <cell r="G164">
            <v>6.5814083922033886</v>
          </cell>
          <cell r="H164">
            <v>6.1601086189111331</v>
          </cell>
          <cell r="I164">
            <v>6.430346963119014</v>
          </cell>
          <cell r="J164">
            <v>6.1209724326481965</v>
          </cell>
          <cell r="K164">
            <v>5.6848152084647365</v>
          </cell>
          <cell r="L164">
            <v>5.4795030054376141</v>
          </cell>
          <cell r="M164">
            <v>5.7553911399827378</v>
          </cell>
          <cell r="N164">
            <v>5.4043294647631877</v>
          </cell>
          <cell r="O164">
            <v>5.4598709793603479</v>
          </cell>
          <cell r="P164">
            <v>5.8660634195833428</v>
          </cell>
          <cell r="Q164">
            <v>5.8850319372522364</v>
          </cell>
        </row>
        <row r="165">
          <cell r="A165" t="str">
            <v>San Marino</v>
          </cell>
          <cell r="B165">
            <v>8.0604327903181101</v>
          </cell>
          <cell r="C165">
            <v>7.8640000000000008</v>
          </cell>
          <cell r="D165">
            <v>8.3211979043006679</v>
          </cell>
          <cell r="E165">
            <v>8.0380000000000003</v>
          </cell>
          <cell r="F165">
            <v>7.8940000000000001</v>
          </cell>
          <cell r="G165">
            <v>7.8849999999999998</v>
          </cell>
          <cell r="H165">
            <v>4.8933221309296142</v>
          </cell>
          <cell r="I165">
            <v>4.9365280294719049</v>
          </cell>
          <cell r="J165">
            <v>5.1574399519252108</v>
          </cell>
          <cell r="K165">
            <v>4.6143909018086049</v>
          </cell>
          <cell r="L165">
            <v>4.8463370929299412</v>
          </cell>
          <cell r="M165">
            <v>4.8361186970899839</v>
          </cell>
          <cell r="N165">
            <v>4.3555659858567983</v>
          </cell>
          <cell r="O165">
            <v>3.3901678650834777</v>
          </cell>
          <cell r="P165">
            <v>6.8443972360597778</v>
          </cell>
          <cell r="Q165">
            <v>7.1680000000000001</v>
          </cell>
        </row>
        <row r="166">
          <cell r="A166" t="str">
            <v>Sao Tome and Principe</v>
          </cell>
          <cell r="B166">
            <v>6.1236676623628723</v>
          </cell>
          <cell r="C166">
            <v>5.5683562760385046</v>
          </cell>
          <cell r="D166">
            <v>5.8964805012320909</v>
          </cell>
          <cell r="E166">
            <v>5.4419388348460904</v>
          </cell>
          <cell r="F166">
            <v>5.795824047711104</v>
          </cell>
          <cell r="G166">
            <v>5.5593503516582086</v>
          </cell>
          <cell r="H166">
            <v>6.0093333863492884</v>
          </cell>
          <cell r="I166">
            <v>6.4654378824777421</v>
          </cell>
          <cell r="J166">
            <v>5.7481411417831128</v>
          </cell>
          <cell r="K166">
            <v>6.5682555458968404</v>
          </cell>
          <cell r="L166">
            <v>6.0669463453945855</v>
          </cell>
          <cell r="M166">
            <v>5.4336244069230384</v>
          </cell>
          <cell r="N166">
            <v>5.0266525171862693</v>
          </cell>
          <cell r="O166">
            <v>6.1505105988176219</v>
          </cell>
          <cell r="P166">
            <v>4.7391177398056117</v>
          </cell>
          <cell r="Q166">
            <v>7.0380927350083375</v>
          </cell>
        </row>
        <row r="167">
          <cell r="A167" t="str">
            <v>Saudi Arabia</v>
          </cell>
          <cell r="B167">
            <v>6.0782425037227004</v>
          </cell>
          <cell r="C167">
            <v>5.9259905754079663</v>
          </cell>
          <cell r="D167">
            <v>5.7498540586158544</v>
          </cell>
          <cell r="E167">
            <v>5.5896678127500303</v>
          </cell>
          <cell r="F167">
            <v>5.5924470346230635</v>
          </cell>
          <cell r="G167">
            <v>5.5576352439572672</v>
          </cell>
          <cell r="H167">
            <v>5.8311454202030877</v>
          </cell>
          <cell r="I167">
            <v>5.4987563936423207</v>
          </cell>
          <cell r="J167">
            <v>5.2762098158875093</v>
          </cell>
          <cell r="K167">
            <v>5.0842908361137988</v>
          </cell>
          <cell r="L167">
            <v>5.1327967884812313</v>
          </cell>
          <cell r="M167">
            <v>5.2230043888402244</v>
          </cell>
          <cell r="N167">
            <v>4.9998954890816147</v>
          </cell>
          <cell r="O167">
            <v>5.095587624601257</v>
          </cell>
          <cell r="P167">
            <v>4.9836358281521242</v>
          </cell>
          <cell r="Q167">
            <v>5.4572266611449711</v>
          </cell>
        </row>
        <row r="168">
          <cell r="A168" t="str">
            <v>Senegal</v>
          </cell>
          <cell r="B168">
            <v>7.4964916116820035</v>
          </cell>
          <cell r="C168">
            <v>7.6085956285205416</v>
          </cell>
          <cell r="D168">
            <v>7.2315103025283705</v>
          </cell>
          <cell r="E168">
            <v>6.9425705143236502</v>
          </cell>
          <cell r="F168">
            <v>6.9588198386488145</v>
          </cell>
          <cell r="G168">
            <v>6.9144415885252286</v>
          </cell>
          <cell r="H168">
            <v>6.8198253366048966</v>
          </cell>
          <cell r="I168">
            <v>6.9309162987906827</v>
          </cell>
          <cell r="J168">
            <v>6.5998862788266219</v>
          </cell>
          <cell r="K168">
            <v>6.447851678852687</v>
          </cell>
          <cell r="L168">
            <v>6.6956201798791088</v>
          </cell>
          <cell r="M168">
            <v>6.3414751878448108</v>
          </cell>
          <cell r="N168">
            <v>6.1981932884600273</v>
          </cell>
          <cell r="O168">
            <v>6.0218900886113644</v>
          </cell>
          <cell r="P168">
            <v>5.9437982054351437</v>
          </cell>
          <cell r="Q168">
            <v>5.7996848475386535</v>
          </cell>
        </row>
        <row r="169">
          <cell r="A169" t="str">
            <v>Serbia</v>
          </cell>
          <cell r="B169">
            <v>6.3328242228302098</v>
          </cell>
          <cell r="C169">
            <v>6.3277534567680203</v>
          </cell>
          <cell r="D169">
            <v>5.8357875728425759</v>
          </cell>
          <cell r="E169">
            <v>5.7939283894047797</v>
          </cell>
          <cell r="F169">
            <v>5.4425452435177686</v>
          </cell>
          <cell r="G169">
            <v>6.0038828293545565</v>
          </cell>
          <cell r="H169">
            <v>5.8967931233949162</v>
          </cell>
          <cell r="I169">
            <v>5.7157614184963172</v>
          </cell>
          <cell r="J169">
            <v>5.2823062653318731</v>
          </cell>
          <cell r="K169">
            <v>5.2171229033018438</v>
          </cell>
          <cell r="L169">
            <v>5.2473939103694258</v>
          </cell>
          <cell r="M169">
            <v>4.7920575006845159</v>
          </cell>
          <cell r="N169">
            <v>4.716371725977563</v>
          </cell>
          <cell r="O169">
            <v>4.7403992958633019</v>
          </cell>
          <cell r="P169">
            <v>4.5078690184172467</v>
          </cell>
          <cell r="Q169">
            <v>4.907726087455262</v>
          </cell>
        </row>
        <row r="170">
          <cell r="A170" t="str">
            <v>Seychelles</v>
          </cell>
          <cell r="B170">
            <v>6.7690952667736815</v>
          </cell>
          <cell r="C170">
            <v>5.8729365797043549</v>
          </cell>
          <cell r="D170">
            <v>6.0670208310825178</v>
          </cell>
          <cell r="E170">
            <v>5.0570871300497684</v>
          </cell>
          <cell r="F170">
            <v>5.6346370385969085</v>
          </cell>
          <cell r="G170">
            <v>5.638878464616111</v>
          </cell>
          <cell r="H170">
            <v>5.4005683028380256</v>
          </cell>
          <cell r="I170">
            <v>5.5289097827127085</v>
          </cell>
          <cell r="J170">
            <v>5.2074900818498175</v>
          </cell>
          <cell r="K170">
            <v>4.8987931625222441</v>
          </cell>
          <cell r="L170">
            <v>4.8482344073811694</v>
          </cell>
          <cell r="M170">
            <v>4.8050520006337498</v>
          </cell>
          <cell r="N170">
            <v>4.5849104066297892</v>
          </cell>
          <cell r="O170">
            <v>7.2893057381838293</v>
          </cell>
          <cell r="P170">
            <v>4.5734136590584367</v>
          </cell>
          <cell r="Q170">
            <v>6.9494427981825631</v>
          </cell>
        </row>
        <row r="171">
          <cell r="A171" t="str">
            <v>Sierra Leone</v>
          </cell>
          <cell r="B171">
            <v>8.0504584990068295</v>
          </cell>
          <cell r="C171">
            <v>7.9626426003481443</v>
          </cell>
          <cell r="D171">
            <v>8.2358559464179351</v>
          </cell>
          <cell r="E171">
            <v>8.1349123270648072</v>
          </cell>
          <cell r="F171">
            <v>8.0802797913048288</v>
          </cell>
          <cell r="G171">
            <v>8.0923684406439804</v>
          </cell>
          <cell r="H171">
            <v>7.7779921962344574</v>
          </cell>
          <cell r="I171">
            <v>7.8819106259630409</v>
          </cell>
          <cell r="J171">
            <v>7.5998067104983882</v>
          </cell>
          <cell r="K171">
            <v>7.3232338866239974</v>
          </cell>
          <cell r="L171">
            <v>7.696278716623203</v>
          </cell>
          <cell r="M171">
            <v>8.0465675155879666</v>
          </cell>
          <cell r="N171">
            <v>7.4948186733196422</v>
          </cell>
          <cell r="O171">
            <v>7.363263273632235</v>
          </cell>
          <cell r="P171">
            <v>7.5456355862752194</v>
          </cell>
          <cell r="Q171">
            <v>7.0726557321575854</v>
          </cell>
        </row>
        <row r="172">
          <cell r="A172" t="str">
            <v>Singapore</v>
          </cell>
          <cell r="B172">
            <v>3.1696646263251909</v>
          </cell>
          <cell r="C172">
            <v>3.3554311020406757</v>
          </cell>
          <cell r="D172">
            <v>3.463856900363778</v>
          </cell>
          <cell r="E172">
            <v>3.5050353778427814</v>
          </cell>
          <cell r="F172">
            <v>3.3779441952438889</v>
          </cell>
          <cell r="G172">
            <v>3.4407489243851508</v>
          </cell>
          <cell r="H172">
            <v>3.5762456342927313</v>
          </cell>
          <cell r="I172">
            <v>3.769398018270592</v>
          </cell>
          <cell r="J172">
            <v>3.5773202093903604</v>
          </cell>
          <cell r="K172">
            <v>3.4410886493660371</v>
          </cell>
          <cell r="L172">
            <v>3.3076074937296758</v>
          </cell>
          <cell r="M172">
            <v>3.2857285055323642</v>
          </cell>
          <cell r="N172">
            <v>3.2911108328112153</v>
          </cell>
          <cell r="O172">
            <v>2.5003774152862466</v>
          </cell>
          <cell r="P172">
            <v>2.6193200205726868</v>
          </cell>
          <cell r="Q172">
            <v>2.8202061766236133</v>
          </cell>
        </row>
        <row r="173">
          <cell r="A173" t="str">
            <v>Sint Maarten (Dutch part)</v>
          </cell>
          <cell r="B173">
            <v>7.7590000000000003</v>
          </cell>
          <cell r="C173">
            <v>7.1110000000000007</v>
          </cell>
          <cell r="D173">
            <v>5.7365000000000004</v>
          </cell>
          <cell r="E173">
            <v>5.1624999999999996</v>
          </cell>
          <cell r="F173">
            <v>5.0685000000000002</v>
          </cell>
          <cell r="G173">
            <v>5.4864999999999995</v>
          </cell>
          <cell r="H173">
            <v>5.4530000000000003</v>
          </cell>
          <cell r="I173">
            <v>6.3025000000000002</v>
          </cell>
          <cell r="J173">
            <v>6.0555000000000003</v>
          </cell>
          <cell r="K173">
            <v>5.7829999999999995</v>
          </cell>
          <cell r="L173">
            <v>5.7869999999999999</v>
          </cell>
          <cell r="M173">
            <v>6.1855000000000002</v>
          </cell>
          <cell r="N173">
            <v>7.2080000000000002</v>
          </cell>
          <cell r="O173">
            <v>6.1025000000000009</v>
          </cell>
          <cell r="P173">
            <v>5.6114999999999995</v>
          </cell>
          <cell r="Q173">
            <v>5.6895000000000007</v>
          </cell>
        </row>
        <row r="174">
          <cell r="A174" t="str">
            <v>Slovakia</v>
          </cell>
          <cell r="B174">
            <v>5.1406094980958255</v>
          </cell>
          <cell r="C174">
            <v>5.1087682464636828</v>
          </cell>
          <cell r="D174">
            <v>5.0468896088585158</v>
          </cell>
          <cell r="E174">
            <v>4.7378809565453048</v>
          </cell>
          <cell r="F174">
            <v>4.8309248134768881</v>
          </cell>
          <cell r="G174">
            <v>5.063621812060723</v>
          </cell>
          <cell r="H174">
            <v>4.9334023487905574</v>
          </cell>
          <cell r="I174">
            <v>4.8161189060922149</v>
          </cell>
          <cell r="J174">
            <v>4.7158836742527432</v>
          </cell>
          <cell r="K174">
            <v>4.7149933332760092</v>
          </cell>
          <cell r="L174">
            <v>4.8199870606086721</v>
          </cell>
          <cell r="M174">
            <v>4.6708850295490123</v>
          </cell>
          <cell r="N174">
            <v>4.6233101656202695</v>
          </cell>
          <cell r="O174">
            <v>4.7434720090646447</v>
          </cell>
          <cell r="P174">
            <v>4.6739496220881396</v>
          </cell>
          <cell r="Q174">
            <v>4.1550326201338947</v>
          </cell>
        </row>
        <row r="175">
          <cell r="A175" t="str">
            <v>Slovenia</v>
          </cell>
          <cell r="B175">
            <v>5.5962144479905662</v>
          </cell>
          <cell r="C175">
            <v>5.6482563362236871</v>
          </cell>
          <cell r="D175">
            <v>5.5130209155697534</v>
          </cell>
          <cell r="E175">
            <v>5.5551422892016156</v>
          </cell>
          <cell r="F175">
            <v>5.3839708872231506</v>
          </cell>
          <cell r="G175">
            <v>5.279005575722695</v>
          </cell>
          <cell r="H175">
            <v>5.0416307205579489</v>
          </cell>
          <cell r="I175">
            <v>4.9803603676880766</v>
          </cell>
          <cell r="J175">
            <v>4.8031574891217881</v>
          </cell>
          <cell r="K175">
            <v>4.8687499099875264</v>
          </cell>
          <cell r="L175">
            <v>4.8630473171356776</v>
          </cell>
          <cell r="M175">
            <v>4.9013602921262187</v>
          </cell>
          <cell r="N175">
            <v>4.2681818908304061</v>
          </cell>
          <cell r="O175">
            <v>4.4643600049828471</v>
          </cell>
          <cell r="P175">
            <v>4.3904810162859631</v>
          </cell>
          <cell r="Q175">
            <v>4.5136635703864769</v>
          </cell>
        </row>
        <row r="176">
          <cell r="A176" t="str">
            <v>Solomon Islands</v>
          </cell>
          <cell r="B176">
            <v>8.2100882546897385</v>
          </cell>
          <cell r="C176">
            <v>7.3956393203429052</v>
          </cell>
          <cell r="D176">
            <v>7.8032609425773583</v>
          </cell>
          <cell r="E176">
            <v>7.6309081650392523</v>
          </cell>
          <cell r="F176">
            <v>7.8984572360471175</v>
          </cell>
          <cell r="G176">
            <v>8.0165522363889039</v>
          </cell>
          <cell r="H176">
            <v>8.0677313484393594</v>
          </cell>
          <cell r="I176">
            <v>8.0100266126295878</v>
          </cell>
          <cell r="J176">
            <v>7.8551809592405899</v>
          </cell>
          <cell r="K176">
            <v>8.152477221986981</v>
          </cell>
          <cell r="L176">
            <v>7.1294284240542005</v>
          </cell>
          <cell r="M176">
            <v>6.9721431635842528</v>
          </cell>
          <cell r="N176">
            <v>7.1955869516529409</v>
          </cell>
          <cell r="O176">
            <v>8.2079502026079076</v>
          </cell>
          <cell r="P176">
            <v>6.2930138596609337</v>
          </cell>
          <cell r="Q176">
            <v>7.7407520329169444</v>
          </cell>
        </row>
        <row r="177">
          <cell r="A177" t="str">
            <v>Somalia</v>
          </cell>
          <cell r="B177">
            <v>7.5950857620176766</v>
          </cell>
          <cell r="C177">
            <v>7.6740000000000004</v>
          </cell>
          <cell r="D177">
            <v>8.2254691305294365</v>
          </cell>
          <cell r="E177">
            <v>8.4618431565717867</v>
          </cell>
          <cell r="F177">
            <v>8.6046806272475465</v>
          </cell>
          <cell r="G177">
            <v>8.615093521568344</v>
          </cell>
          <cell r="H177">
            <v>8.6005737867262209</v>
          </cell>
          <cell r="I177">
            <v>9.0093703252352491</v>
          </cell>
          <cell r="J177">
            <v>8.5816825269125019</v>
          </cell>
          <cell r="K177">
            <v>8.48236691375633</v>
          </cell>
          <cell r="L177">
            <v>8.6266917389737596</v>
          </cell>
          <cell r="M177">
            <v>8.6129396055684513</v>
          </cell>
          <cell r="N177">
            <v>8.5543203280444544</v>
          </cell>
          <cell r="O177">
            <v>8.5627760391974359</v>
          </cell>
          <cell r="P177">
            <v>8.4256429703330848</v>
          </cell>
          <cell r="Q177">
            <v>9.6999999999999993</v>
          </cell>
        </row>
        <row r="178">
          <cell r="A178" t="str">
            <v>South Africa</v>
          </cell>
          <cell r="B178">
            <v>7.268547646637507</v>
          </cell>
          <cell r="C178">
            <v>6.9558384751213715</v>
          </cell>
          <cell r="D178">
            <v>7.0658358271707007</v>
          </cell>
          <cell r="E178">
            <v>6.4863077454347549</v>
          </cell>
          <cell r="F178">
            <v>6.3448090204289009</v>
          </cell>
          <cell r="G178">
            <v>6.5110949054119516</v>
          </cell>
          <cell r="H178">
            <v>6.4509382140511509</v>
          </cell>
          <cell r="I178">
            <v>6.2956852958853204</v>
          </cell>
          <cell r="J178">
            <v>6.1609755631952101</v>
          </cell>
          <cell r="K178">
            <v>6.0235187823918999</v>
          </cell>
          <cell r="L178">
            <v>6.0861985837463033</v>
          </cell>
          <cell r="M178">
            <v>6.1143970499585816</v>
          </cell>
          <cell r="N178">
            <v>5.8026487013668619</v>
          </cell>
          <cell r="O178">
            <v>7.8334187146219953</v>
          </cell>
          <cell r="P178">
            <v>5.68434990385279</v>
          </cell>
          <cell r="Q178">
            <v>8.0679834405636921</v>
          </cell>
        </row>
        <row r="179">
          <cell r="A179" t="str">
            <v>South Sudan</v>
          </cell>
          <cell r="B179">
            <v>6.3814555162816484</v>
          </cell>
          <cell r="C179">
            <v>6.9307058517633759</v>
          </cell>
          <cell r="D179">
            <v>6.5011400998032887</v>
          </cell>
          <cell r="E179">
            <v>6.3383489559062021</v>
          </cell>
          <cell r="F179">
            <v>7.815276377397355</v>
          </cell>
          <cell r="G179">
            <v>8.0702800069829266</v>
          </cell>
          <cell r="H179">
            <v>8.0393812900075368</v>
          </cell>
          <cell r="I179">
            <v>8.5099742149342337</v>
          </cell>
          <cell r="J179">
            <v>8.6561514961346937</v>
          </cell>
          <cell r="K179">
            <v>8.5202971204191371</v>
          </cell>
          <cell r="L179">
            <v>8.5118596270334113</v>
          </cell>
          <cell r="M179">
            <v>8.4272487714034714</v>
          </cell>
          <cell r="N179">
            <v>7.5280000000000005</v>
          </cell>
          <cell r="O179">
            <v>7.4589999999999996</v>
          </cell>
          <cell r="P179">
            <v>7.2850000000000001</v>
          </cell>
          <cell r="Q179">
            <v>7.5010000000000003</v>
          </cell>
        </row>
        <row r="180">
          <cell r="A180" t="str">
            <v>Spain</v>
          </cell>
          <cell r="B180">
            <v>5.3905751925782814</v>
          </cell>
          <cell r="C180">
            <v>5.3886992115542416</v>
          </cell>
          <cell r="D180">
            <v>5.1994927147052445</v>
          </cell>
          <cell r="E180">
            <v>5.1615607501115246</v>
          </cell>
          <cell r="F180">
            <v>5.2028659281782783</v>
          </cell>
          <cell r="G180">
            <v>4.8883106452376417</v>
          </cell>
          <cell r="H180">
            <v>4.7917686617693702</v>
          </cell>
          <cell r="I180">
            <v>5.0064549471518252</v>
          </cell>
          <cell r="J180">
            <v>4.8781840348121479</v>
          </cell>
          <cell r="K180">
            <v>4.8283783815546828</v>
          </cell>
          <cell r="L180">
            <v>4.8095003415979853</v>
          </cell>
          <cell r="M180">
            <v>4.6783609406624986</v>
          </cell>
          <cell r="N180">
            <v>4.7630391136248873</v>
          </cell>
          <cell r="O180">
            <v>4.1750342605825264</v>
          </cell>
          <cell r="P180">
            <v>4.3318850925155505</v>
          </cell>
          <cell r="Q180">
            <v>4.5841394543829139</v>
          </cell>
        </row>
        <row r="181">
          <cell r="A181" t="str">
            <v>Sri Lanka</v>
          </cell>
          <cell r="B181">
            <v>5.0133567045120948</v>
          </cell>
          <cell r="C181">
            <v>3.999608062303361</v>
          </cell>
          <cell r="D181">
            <v>5.0357270167260113</v>
          </cell>
          <cell r="E181">
            <v>5.4848419021191877</v>
          </cell>
          <cell r="F181">
            <v>5.5824470586518089</v>
          </cell>
          <cell r="G181">
            <v>6.0238710507633737</v>
          </cell>
          <cell r="H181">
            <v>7.0570900182370568</v>
          </cell>
          <cell r="I181">
            <v>6.9878975407493416</v>
          </cell>
          <cell r="J181">
            <v>6.505822598643487</v>
          </cell>
          <cell r="K181">
            <v>6.7497798057423513</v>
          </cell>
          <cell r="L181">
            <v>6.3731446507783325</v>
          </cell>
          <cell r="M181">
            <v>6.7211805926036376</v>
          </cell>
          <cell r="N181">
            <v>6.6464668176968527</v>
          </cell>
          <cell r="O181">
            <v>5.9417338765456176</v>
          </cell>
          <cell r="P181">
            <v>6.0266735639755531</v>
          </cell>
          <cell r="Q181">
            <v>5.8866787300709085</v>
          </cell>
        </row>
        <row r="182">
          <cell r="A182" t="str">
            <v>St. Kitts and Nevis</v>
          </cell>
          <cell r="B182">
            <v>4.4989352805602421</v>
          </cell>
          <cell r="C182">
            <v>4.8390395214596822</v>
          </cell>
          <cell r="D182">
            <v>4.8731836601710299</v>
          </cell>
          <cell r="E182">
            <v>4.1279380568472392</v>
          </cell>
          <cell r="F182">
            <v>4.2206183820345586</v>
          </cell>
          <cell r="G182">
            <v>4.2238653126655379</v>
          </cell>
          <cell r="H182">
            <v>4.5429887667840676</v>
          </cell>
          <cell r="I182">
            <v>4.6919752719917716</v>
          </cell>
          <cell r="J182">
            <v>4.6151728377795251</v>
          </cell>
          <cell r="K182">
            <v>5.1404585717557572</v>
          </cell>
          <cell r="L182">
            <v>4.2663440528940342</v>
          </cell>
          <cell r="M182">
            <v>5.0829551231733747</v>
          </cell>
          <cell r="N182">
            <v>5.0472587264395665</v>
          </cell>
          <cell r="O182">
            <v>4.9882807537896143</v>
          </cell>
          <cell r="P182">
            <v>4.9303666395703578</v>
          </cell>
          <cell r="Q182">
            <v>4.9100058734155168</v>
          </cell>
        </row>
        <row r="183">
          <cell r="A183" t="str">
            <v>St. Lucia</v>
          </cell>
          <cell r="B183">
            <v>5.2329058046674009</v>
          </cell>
          <cell r="C183">
            <v>5.0736967266950206</v>
          </cell>
          <cell r="D183">
            <v>5.8427403097864143</v>
          </cell>
          <cell r="E183">
            <v>4.6684077895771043</v>
          </cell>
          <cell r="F183">
            <v>4.5253586220173103</v>
          </cell>
          <cell r="G183">
            <v>4.9198452905202084</v>
          </cell>
          <cell r="H183">
            <v>5.0289448868691018</v>
          </cell>
          <cell r="I183">
            <v>4.8239949192023612</v>
          </cell>
          <cell r="J183">
            <v>4.153987035872408</v>
          </cell>
          <cell r="K183">
            <v>4.4804890203044208</v>
          </cell>
          <cell r="L183">
            <v>4.439304664498243</v>
          </cell>
          <cell r="M183">
            <v>4.1290418338867623</v>
          </cell>
          <cell r="N183">
            <v>4.911365017637479</v>
          </cell>
          <cell r="O183">
            <v>5.3005898846446531</v>
          </cell>
          <cell r="P183">
            <v>4.8379857742714565</v>
          </cell>
          <cell r="Q183">
            <v>4.574338492875043</v>
          </cell>
        </row>
        <row r="184">
          <cell r="A184" t="str">
            <v>St. Martin (French part)</v>
          </cell>
          <cell r="B184">
            <v>8.1579999999999995</v>
          </cell>
          <cell r="C184">
            <v>7.5310000000000006</v>
          </cell>
          <cell r="D184">
            <v>8.1189999999999998</v>
          </cell>
          <cell r="E184">
            <v>7.6</v>
          </cell>
          <cell r="F184">
            <v>7.6029999999999998</v>
          </cell>
          <cell r="G184">
            <v>8.1999999999999993</v>
          </cell>
          <cell r="H184">
            <v>7.5790000000000006</v>
          </cell>
          <cell r="I184">
            <v>8.17</v>
          </cell>
          <cell r="J184">
            <v>7.6989999999999998</v>
          </cell>
          <cell r="K184">
            <v>8.14</v>
          </cell>
          <cell r="L184">
            <v>8.1790000000000003</v>
          </cell>
          <cell r="M184">
            <v>8.2929999999999993</v>
          </cell>
          <cell r="N184">
            <v>8.4580000000000002</v>
          </cell>
          <cell r="O184">
            <v>8.1850000000000005</v>
          </cell>
          <cell r="P184">
            <v>8.1609999999999996</v>
          </cell>
          <cell r="Q184">
            <v>7.6989999999999998</v>
          </cell>
        </row>
        <row r="185">
          <cell r="A185" t="str">
            <v>St. Vincent and the Grenadines</v>
          </cell>
          <cell r="B185">
            <v>5.3028001445955493</v>
          </cell>
          <cell r="C185">
            <v>5.2650449428347201</v>
          </cell>
          <cell r="D185">
            <v>5.8125068880290192</v>
          </cell>
          <cell r="E185">
            <v>5.1420213477784396</v>
          </cell>
          <cell r="F185">
            <v>5.118400956248446</v>
          </cell>
          <cell r="G185">
            <v>5.613072101688469</v>
          </cell>
          <cell r="H185">
            <v>5.1606138994210511</v>
          </cell>
          <cell r="I185">
            <v>5.1984918128659832</v>
          </cell>
          <cell r="J185">
            <v>4.9088538543674449</v>
          </cell>
          <cell r="K185">
            <v>5.2420932402825748</v>
          </cell>
          <cell r="L185">
            <v>4.7739173643593356</v>
          </cell>
          <cell r="M185">
            <v>4.5538668499651509</v>
          </cell>
          <cell r="N185">
            <v>4.4878235554332093</v>
          </cell>
          <cell r="O185">
            <v>4.8615500520094574</v>
          </cell>
          <cell r="P185">
            <v>4.7491684677604784</v>
          </cell>
          <cell r="Q185">
            <v>4.8027631171753393</v>
          </cell>
        </row>
        <row r="186">
          <cell r="A186" t="str">
            <v>Sudan</v>
          </cell>
          <cell r="B186">
            <v>7.2856955541323529</v>
          </cell>
          <cell r="C186">
            <v>7.0497013638775128</v>
          </cell>
          <cell r="D186">
            <v>6.9661956675758132</v>
          </cell>
          <cell r="E186">
            <v>6.9050489273768996</v>
          </cell>
          <cell r="F186">
            <v>6.6996749405794453</v>
          </cell>
          <cell r="G186">
            <v>6.8204826623126475</v>
          </cell>
          <cell r="H186">
            <v>7.0535750025483033</v>
          </cell>
          <cell r="I186">
            <v>8.0358779937405114</v>
          </cell>
          <cell r="J186">
            <v>7.5837681373549959</v>
          </cell>
          <cell r="K186">
            <v>7.4058997757942793</v>
          </cell>
          <cell r="L186">
            <v>7.7376493912974649</v>
          </cell>
          <cell r="M186">
            <v>7.8461289399727123</v>
          </cell>
          <cell r="N186">
            <v>9.3558499636017185</v>
          </cell>
          <cell r="O186">
            <v>9.3879006762673338</v>
          </cell>
          <cell r="P186">
            <v>9.6226432613989612</v>
          </cell>
          <cell r="Q186">
            <v>9.0055424159397237</v>
          </cell>
        </row>
        <row r="187">
          <cell r="A187" t="str">
            <v>Suriname</v>
          </cell>
          <cell r="B187">
            <v>6.3602434585035867</v>
          </cell>
          <cell r="C187">
            <v>6.2893398252465245</v>
          </cell>
          <cell r="D187">
            <v>5.9357652732897641</v>
          </cell>
          <cell r="E187">
            <v>5.963657627392311</v>
          </cell>
          <cell r="F187">
            <v>6.0294154139379224</v>
          </cell>
          <cell r="G187">
            <v>6.4928275774284732</v>
          </cell>
          <cell r="H187">
            <v>5.9286171016892437</v>
          </cell>
          <cell r="I187">
            <v>5.3352200239462757</v>
          </cell>
          <cell r="J187">
            <v>5.4711084251198985</v>
          </cell>
          <cell r="K187">
            <v>5.4386823301640455</v>
          </cell>
          <cell r="L187">
            <v>5.1493000943554268</v>
          </cell>
          <cell r="M187">
            <v>5.6150722678285279</v>
          </cell>
          <cell r="N187">
            <v>4.8962685629145222</v>
          </cell>
          <cell r="O187">
            <v>7.6140714699624468</v>
          </cell>
          <cell r="P187">
            <v>4.5667370343063611</v>
          </cell>
          <cell r="Q187">
            <v>7.3429200132676113</v>
          </cell>
        </row>
        <row r="188">
          <cell r="A188" t="str">
            <v>Sweden</v>
          </cell>
          <cell r="B188">
            <v>4.8215771546865271</v>
          </cell>
          <cell r="C188">
            <v>5.0425664517636992</v>
          </cell>
          <cell r="D188">
            <v>4.8244477404159483</v>
          </cell>
          <cell r="E188">
            <v>4.931918002598529</v>
          </cell>
          <cell r="F188">
            <v>4.9976542497948548</v>
          </cell>
          <cell r="G188">
            <v>4.9543393253618895</v>
          </cell>
          <cell r="H188">
            <v>4.9659745393412775</v>
          </cell>
          <cell r="I188">
            <v>4.9388792497652059</v>
          </cell>
          <cell r="J188">
            <v>4.8337822624970768</v>
          </cell>
          <cell r="K188">
            <v>4.7228875526499561</v>
          </cell>
          <cell r="L188">
            <v>4.4571714660737038</v>
          </cell>
          <cell r="M188">
            <v>4.485759425682577</v>
          </cell>
          <cell r="N188">
            <v>4.456464872808712</v>
          </cell>
          <cell r="O188">
            <v>4.3553199106587144</v>
          </cell>
          <cell r="P188">
            <v>4.4643484826386262</v>
          </cell>
          <cell r="Q188">
            <v>4.4836500892838904</v>
          </cell>
        </row>
        <row r="189">
          <cell r="A189" t="str">
            <v>Switzerland</v>
          </cell>
          <cell r="B189">
            <v>4.1955031635499989</v>
          </cell>
          <cell r="C189">
            <v>4.1732792615870116</v>
          </cell>
          <cell r="D189">
            <v>4.3269261586271481</v>
          </cell>
          <cell r="E189">
            <v>3.9979865109638837</v>
          </cell>
          <cell r="F189">
            <v>3.9864930400797727</v>
          </cell>
          <cell r="G189">
            <v>4.1519699669393129</v>
          </cell>
          <cell r="H189">
            <v>3.9814169603681471</v>
          </cell>
          <cell r="I189">
            <v>3.9727794299918955</v>
          </cell>
          <cell r="J189">
            <v>3.9367201371044276</v>
          </cell>
          <cell r="K189">
            <v>3.919185791214634</v>
          </cell>
          <cell r="L189">
            <v>3.9245513224251809</v>
          </cell>
          <cell r="M189">
            <v>3.4421266989340271</v>
          </cell>
          <cell r="N189">
            <v>3.3863998585733999</v>
          </cell>
          <cell r="O189">
            <v>4.2084124504757279</v>
          </cell>
          <cell r="P189">
            <v>3.6902420105446598</v>
          </cell>
          <cell r="Q189">
            <v>4.2057113319456079</v>
          </cell>
        </row>
        <row r="190">
          <cell r="A190" t="str">
            <v>Syrian Arab Republic</v>
          </cell>
          <cell r="B190">
            <v>7.6309431601947999</v>
          </cell>
          <cell r="C190">
            <v>7.5140255503000279</v>
          </cell>
          <cell r="D190">
            <v>8.3734128158879191</v>
          </cell>
          <cell r="E190">
            <v>8.7204545689640511</v>
          </cell>
          <cell r="F190">
            <v>8.4389657333479633</v>
          </cell>
          <cell r="G190">
            <v>8.2869366587002471</v>
          </cell>
          <cell r="H190">
            <v>8.0583141128183016</v>
          </cell>
          <cell r="I190">
            <v>7.9695326990325004</v>
          </cell>
          <cell r="J190">
            <v>7.831795089838149</v>
          </cell>
          <cell r="K190">
            <v>7.9750116028251661</v>
          </cell>
          <cell r="L190">
            <v>8.0449144399927732</v>
          </cell>
          <cell r="M190">
            <v>7.713307709005937</v>
          </cell>
          <cell r="N190">
            <v>8.492925692917467</v>
          </cell>
          <cell r="O190">
            <v>9.1440703308217159</v>
          </cell>
          <cell r="P190">
            <v>9.3399097873396624</v>
          </cell>
          <cell r="Q190">
            <v>8.815956137898052</v>
          </cell>
        </row>
        <row r="191">
          <cell r="A191" t="str">
            <v>Tajikistan</v>
          </cell>
          <cell r="B191">
            <v>7.3865206036033229</v>
          </cell>
          <cell r="C191">
            <v>7.5180708848833326</v>
          </cell>
          <cell r="D191">
            <v>7.8296064192191004</v>
          </cell>
          <cell r="E191">
            <v>7.7796622980392005</v>
          </cell>
          <cell r="F191">
            <v>8.2423591927664575</v>
          </cell>
          <cell r="G191">
            <v>8.256188782677528</v>
          </cell>
          <cell r="H191">
            <v>8.2144431286883233</v>
          </cell>
          <cell r="I191">
            <v>7.5753733091628002</v>
          </cell>
          <cell r="J191">
            <v>7.3837739226130701</v>
          </cell>
          <cell r="K191">
            <v>6.8936148915050559</v>
          </cell>
          <cell r="L191">
            <v>6.4089879472110445</v>
          </cell>
          <cell r="M191">
            <v>7.0138839900986696</v>
          </cell>
          <cell r="N191">
            <v>6.6529975460466826</v>
          </cell>
          <cell r="O191">
            <v>8.4146787424175127</v>
          </cell>
          <cell r="P191">
            <v>6.3472612785691469</v>
          </cell>
          <cell r="Q191">
            <v>8.1372648692621627</v>
          </cell>
        </row>
        <row r="192">
          <cell r="A192" t="str">
            <v>Tanzania</v>
          </cell>
          <cell r="B192">
            <v>8.1149064180995065</v>
          </cell>
          <cell r="C192">
            <v>8.2203123449609041</v>
          </cell>
          <cell r="D192">
            <v>8.2306676160951859</v>
          </cell>
          <cell r="E192">
            <v>7.9396836880584107</v>
          </cell>
          <cell r="F192">
            <v>8.1342005725113982</v>
          </cell>
          <cell r="G192">
            <v>8.1009720993698</v>
          </cell>
          <cell r="H192">
            <v>7.9834704249965087</v>
          </cell>
          <cell r="I192">
            <v>8.103851741376273</v>
          </cell>
          <cell r="J192">
            <v>8.0546756594293356</v>
          </cell>
          <cell r="K192">
            <v>7.7219964099075344</v>
          </cell>
          <cell r="L192">
            <v>7.6629231997473788</v>
          </cell>
          <cell r="M192">
            <v>7.895042887415606</v>
          </cell>
          <cell r="N192">
            <v>7.90197792666034</v>
          </cell>
          <cell r="O192">
            <v>8.6720222575927153</v>
          </cell>
          <cell r="P192">
            <v>7.985992666485032</v>
          </cell>
          <cell r="Q192">
            <v>8.5191686232032993</v>
          </cell>
        </row>
        <row r="193">
          <cell r="A193" t="str">
            <v>Thailand</v>
          </cell>
          <cell r="B193">
            <v>6.5199992177372943</v>
          </cell>
          <cell r="C193">
            <v>6.4218351199835046</v>
          </cell>
          <cell r="D193">
            <v>6.4853133843035859</v>
          </cell>
          <cell r="E193">
            <v>6.0050343838208189</v>
          </cell>
          <cell r="F193">
            <v>5.8693745706720266</v>
          </cell>
          <cell r="G193">
            <v>5.7772972978693327</v>
          </cell>
          <cell r="H193">
            <v>5.5557518872747176</v>
          </cell>
          <cell r="I193">
            <v>5.8032416245223999</v>
          </cell>
          <cell r="J193">
            <v>5.5118452240702229</v>
          </cell>
          <cell r="K193">
            <v>5.4003965081572112</v>
          </cell>
          <cell r="L193">
            <v>5.2534822478645165</v>
          </cell>
          <cell r="M193">
            <v>5.5089134588201585</v>
          </cell>
          <cell r="N193">
            <v>4.8380047851111634</v>
          </cell>
          <cell r="O193">
            <v>5.011019089497923</v>
          </cell>
          <cell r="P193">
            <v>4.4287951755238497</v>
          </cell>
          <cell r="Q193">
            <v>4.5121624597574979</v>
          </cell>
        </row>
        <row r="194">
          <cell r="A194" t="str">
            <v>Timor-Leste</v>
          </cell>
          <cell r="B194">
            <v>8.7005983250671619</v>
          </cell>
          <cell r="C194">
            <v>8.8310423867127668</v>
          </cell>
          <cell r="D194">
            <v>8.9989937535710229</v>
          </cell>
          <cell r="E194">
            <v>8.5998735042469256</v>
          </cell>
          <cell r="F194">
            <v>8.4058127966740859</v>
          </cell>
          <cell r="G194">
            <v>8.5325594015132467</v>
          </cell>
          <cell r="H194">
            <v>8.673002188268617</v>
          </cell>
          <cell r="I194">
            <v>8.9686300048880607</v>
          </cell>
          <cell r="J194">
            <v>8.5252407381183932</v>
          </cell>
          <cell r="K194">
            <v>8.0218365664977078</v>
          </cell>
          <cell r="L194">
            <v>8.5053707551119864</v>
          </cell>
          <cell r="M194">
            <v>7.6735096365099498</v>
          </cell>
          <cell r="N194">
            <v>7.5132440510745635</v>
          </cell>
          <cell r="O194">
            <v>8.6089556808124001</v>
          </cell>
          <cell r="P194">
            <v>7.745919755048746</v>
          </cell>
          <cell r="Q194">
            <v>7.8969448687951491</v>
          </cell>
        </row>
        <row r="195">
          <cell r="A195" t="str">
            <v>Togo</v>
          </cell>
          <cell r="B195">
            <v>8.1647884067014722</v>
          </cell>
          <cell r="C195">
            <v>8.2440525425369078</v>
          </cell>
          <cell r="D195">
            <v>8.266989070599795</v>
          </cell>
          <cell r="E195">
            <v>8.314299561608598</v>
          </cell>
          <cell r="F195">
            <v>8.2589736074757418</v>
          </cell>
          <cell r="G195">
            <v>8.3376792744556614</v>
          </cell>
          <cell r="H195">
            <v>8.2613623561296432</v>
          </cell>
          <cell r="I195">
            <v>8.2733808177467925</v>
          </cell>
          <cell r="J195">
            <v>7.8896889710785931</v>
          </cell>
          <cell r="K195">
            <v>7.7166630384591235</v>
          </cell>
          <cell r="L195">
            <v>7.3858810972528888</v>
          </cell>
          <cell r="M195">
            <v>7.5080115017109286</v>
          </cell>
          <cell r="N195">
            <v>7.6136231968578727</v>
          </cell>
          <cell r="O195">
            <v>8.489052080093213</v>
          </cell>
          <cell r="P195">
            <v>7.5195150755383562</v>
          </cell>
          <cell r="Q195">
            <v>7.8867324661163352</v>
          </cell>
        </row>
        <row r="196">
          <cell r="A196" t="str">
            <v>Tonga</v>
          </cell>
          <cell r="B196">
            <v>7.3082367244712731</v>
          </cell>
          <cell r="C196">
            <v>7.0458129121042878</v>
          </cell>
          <cell r="D196">
            <v>6.7756054401490822</v>
          </cell>
          <cell r="E196">
            <v>6.4169750416276532</v>
          </cell>
          <cell r="F196">
            <v>6.2094099447032267</v>
          </cell>
          <cell r="G196">
            <v>6.3237149959644254</v>
          </cell>
          <cell r="H196">
            <v>6.7129874106172789</v>
          </cell>
          <cell r="I196">
            <v>6.7553243212427114</v>
          </cell>
          <cell r="J196">
            <v>6.7153837933147642</v>
          </cell>
          <cell r="K196">
            <v>6.1438203889095915</v>
          </cell>
          <cell r="L196">
            <v>6.2071231372738049</v>
          </cell>
          <cell r="M196">
            <v>5.9335974972169314</v>
          </cell>
          <cell r="N196">
            <v>5.8178405780390436</v>
          </cell>
          <cell r="O196">
            <v>7.9914234286758772</v>
          </cell>
          <cell r="P196">
            <v>6.9700727558421889</v>
          </cell>
          <cell r="Q196">
            <v>8.7495614595896836</v>
          </cell>
        </row>
        <row r="197">
          <cell r="A197" t="str">
            <v>Trinidad and Tobago</v>
          </cell>
          <cell r="B197">
            <v>5.8370919524676967</v>
          </cell>
          <cell r="C197">
            <v>5.7310384422854828</v>
          </cell>
          <cell r="D197">
            <v>5.6204991076620328</v>
          </cell>
          <cell r="E197">
            <v>4.7224867945036682</v>
          </cell>
          <cell r="F197">
            <v>5.3318593187112739</v>
          </cell>
          <cell r="G197">
            <v>5.6633538961740992</v>
          </cell>
          <cell r="H197">
            <v>5.347629272766067</v>
          </cell>
          <cell r="I197">
            <v>5.8761590790796046</v>
          </cell>
          <cell r="J197">
            <v>5.3802561530613433</v>
          </cell>
          <cell r="K197">
            <v>6.0655430542156648</v>
          </cell>
          <cell r="L197">
            <v>5.3143421034759104</v>
          </cell>
          <cell r="M197">
            <v>5.229059615525852</v>
          </cell>
          <cell r="N197">
            <v>5.7312261747021154</v>
          </cell>
          <cell r="O197">
            <v>6.1516175308095198</v>
          </cell>
          <cell r="P197">
            <v>4.8705513245211236</v>
          </cell>
          <cell r="Q197">
            <v>5.7387004584681831</v>
          </cell>
        </row>
        <row r="198">
          <cell r="A198" t="str">
            <v>Tunisia</v>
          </cell>
          <cell r="B198">
            <v>6.8646599904895531</v>
          </cell>
          <cell r="C198">
            <v>6.9737375679265998</v>
          </cell>
          <cell r="D198">
            <v>6.911032078561087</v>
          </cell>
          <cell r="E198">
            <v>6.8707261118308285</v>
          </cell>
          <cell r="F198">
            <v>6.7021762260118036</v>
          </cell>
          <cell r="G198">
            <v>7.0809125905060366</v>
          </cell>
          <cell r="H198">
            <v>6.7935685332730653</v>
          </cell>
          <cell r="I198">
            <v>6.8847417269138234</v>
          </cell>
          <cell r="J198">
            <v>6.9479916198309271</v>
          </cell>
          <cell r="K198">
            <v>6.6018086056779843</v>
          </cell>
          <cell r="L198">
            <v>6.318588258153528</v>
          </cell>
          <cell r="M198">
            <v>6.7189552414965013</v>
          </cell>
          <cell r="N198">
            <v>6.6866928094078908</v>
          </cell>
          <cell r="O198">
            <v>6.5399284476536792</v>
          </cell>
          <cell r="P198">
            <v>6.1735175937254709</v>
          </cell>
          <cell r="Q198">
            <v>6.152451522048505</v>
          </cell>
        </row>
        <row r="199">
          <cell r="A199" t="str">
            <v>Turkey</v>
          </cell>
          <cell r="B199">
            <v>6.3347273538122577</v>
          </cell>
          <cell r="C199">
            <v>6.2086647558539845</v>
          </cell>
          <cell r="D199">
            <v>5.9171260652496942</v>
          </cell>
          <cell r="E199">
            <v>6.06030427618846</v>
          </cell>
          <cell r="F199">
            <v>6.376762653422599</v>
          </cell>
          <cell r="G199">
            <v>6.2596689819332241</v>
          </cell>
          <cell r="H199">
            <v>6.1801506000313147</v>
          </cell>
          <cell r="I199">
            <v>6.1320261113188517</v>
          </cell>
          <cell r="J199">
            <v>5.8794616888213627</v>
          </cell>
          <cell r="K199">
            <v>5.9468351212128523</v>
          </cell>
          <cell r="L199">
            <v>5.7979737562910811</v>
          </cell>
          <cell r="M199">
            <v>5.5564641973723674</v>
          </cell>
          <cell r="N199">
            <v>5.50395767823911</v>
          </cell>
          <cell r="O199">
            <v>5.0121091317477591</v>
          </cell>
          <cell r="P199">
            <v>4.9988212309523625</v>
          </cell>
          <cell r="Q199">
            <v>5.6992610039810989</v>
          </cell>
        </row>
        <row r="200">
          <cell r="A200" t="str">
            <v>Turkmenistan</v>
          </cell>
          <cell r="B200">
            <v>7.6564423119839837</v>
          </cell>
          <cell r="C200">
            <v>7.7614580042715877</v>
          </cell>
          <cell r="D200">
            <v>7.7760760808222074</v>
          </cell>
          <cell r="E200">
            <v>7.5437579431886306</v>
          </cell>
          <cell r="F200">
            <v>7.4738856743397246</v>
          </cell>
          <cell r="G200">
            <v>7.8976369466823506</v>
          </cell>
          <cell r="H200">
            <v>7.1356297482925211</v>
          </cell>
          <cell r="I200">
            <v>7.5272571181456023</v>
          </cell>
          <cell r="J200">
            <v>7.5083173832645187</v>
          </cell>
          <cell r="K200">
            <v>6.3265277053417446</v>
          </cell>
          <cell r="L200">
            <v>7.4962759282584432</v>
          </cell>
          <cell r="M200">
            <v>7.4219019253221283</v>
          </cell>
          <cell r="N200">
            <v>7.5378052041841661</v>
          </cell>
          <cell r="O200">
            <v>7.5431837931329104</v>
          </cell>
          <cell r="P200">
            <v>7.3014229061052625</v>
          </cell>
          <cell r="Q200">
            <v>6.7873573883826772</v>
          </cell>
        </row>
        <row r="201">
          <cell r="A201" t="str">
            <v>Turks and Caicos Islands</v>
          </cell>
          <cell r="B201">
            <v>6.7015674197048334</v>
          </cell>
          <cell r="C201">
            <v>9.5500000000000007</v>
          </cell>
          <cell r="D201">
            <v>6.5081186293762716</v>
          </cell>
          <cell r="E201">
            <v>7.2982628507982241</v>
          </cell>
          <cell r="F201">
            <v>9.4</v>
          </cell>
          <cell r="G201">
            <v>7.5120000000000005</v>
          </cell>
          <cell r="H201">
            <v>7.5335000000000001</v>
          </cell>
          <cell r="I201">
            <v>7.5585000000000004</v>
          </cell>
          <cell r="J201">
            <v>7.6770000000000005</v>
          </cell>
          <cell r="K201">
            <v>7.7054999999999998</v>
          </cell>
          <cell r="L201">
            <v>7.8810000000000002</v>
          </cell>
          <cell r="M201">
            <v>7.4329999999999998</v>
          </cell>
          <cell r="N201">
            <v>7.8915000000000006</v>
          </cell>
          <cell r="O201">
            <v>5.1455000000000002</v>
          </cell>
          <cell r="P201">
            <v>7.657</v>
          </cell>
          <cell r="Q201">
            <v>7.9715000000000007</v>
          </cell>
        </row>
        <row r="202">
          <cell r="A202" t="str">
            <v>Tuvalu</v>
          </cell>
          <cell r="B202">
            <v>6.2794178856280602</v>
          </cell>
          <cell r="C202">
            <v>6.5168814687567105</v>
          </cell>
          <cell r="D202">
            <v>7.1012205323273561</v>
          </cell>
          <cell r="E202">
            <v>6.4388084203988631</v>
          </cell>
          <cell r="F202">
            <v>6.629161377066457</v>
          </cell>
          <cell r="G202">
            <v>6.5639332465928639</v>
          </cell>
          <cell r="H202">
            <v>6.3597501587594572</v>
          </cell>
          <cell r="I202">
            <v>6.2100660476528073</v>
          </cell>
          <cell r="J202">
            <v>6.1010873875590459</v>
          </cell>
          <cell r="K202">
            <v>5.4815000000000005</v>
          </cell>
          <cell r="L202">
            <v>5.8645000000000005</v>
          </cell>
          <cell r="M202">
            <v>5.9689999999999994</v>
          </cell>
          <cell r="N202">
            <v>5.868104726002775</v>
          </cell>
          <cell r="O202">
            <v>7.5329999999999995</v>
          </cell>
          <cell r="P202">
            <v>6.8557665916760406</v>
          </cell>
          <cell r="Q202">
            <v>9.6999999999999993</v>
          </cell>
        </row>
        <row r="203">
          <cell r="A203" t="str">
            <v>Uganda</v>
          </cell>
          <cell r="B203">
            <v>8.3068671786945849</v>
          </cell>
          <cell r="C203">
            <v>8.3201751231158774</v>
          </cell>
          <cell r="D203">
            <v>7.4525341740869564</v>
          </cell>
          <cell r="E203">
            <v>8.40729039511751</v>
          </cell>
          <cell r="F203">
            <v>8.3768223791036078</v>
          </cell>
          <cell r="G203">
            <v>8.4372037044413926</v>
          </cell>
          <cell r="H203">
            <v>8.482118525418695</v>
          </cell>
          <cell r="I203">
            <v>8.4641318304524944</v>
          </cell>
          <cell r="J203">
            <v>8.2680629274911919</v>
          </cell>
          <cell r="K203">
            <v>8.404830594478792</v>
          </cell>
          <cell r="L203">
            <v>8.4768717159818969</v>
          </cell>
          <cell r="M203">
            <v>8.5108882142062612</v>
          </cell>
          <cell r="N203">
            <v>8.4692841118506212</v>
          </cell>
          <cell r="O203">
            <v>8.4452535991130482</v>
          </cell>
          <cell r="P203">
            <v>8.1117955150667314</v>
          </cell>
          <cell r="Q203">
            <v>8.2107209807871016</v>
          </cell>
        </row>
        <row r="204">
          <cell r="A204" t="str">
            <v>Ukraine</v>
          </cell>
          <cell r="B204">
            <v>6.9895627597889156</v>
          </cell>
          <cell r="C204">
            <v>6.88558023022079</v>
          </cell>
          <cell r="D204">
            <v>6.7743202516041832</v>
          </cell>
          <cell r="E204">
            <v>6.3534349830430177</v>
          </cell>
          <cell r="F204">
            <v>6.4001862410158186</v>
          </cell>
          <cell r="G204">
            <v>6.4875607935396857</v>
          </cell>
          <cell r="H204">
            <v>6.5658346520214934</v>
          </cell>
          <cell r="I204">
            <v>6.2274819563249189</v>
          </cell>
          <cell r="J204">
            <v>5.9502118474474477</v>
          </cell>
          <cell r="K204">
            <v>5.9125583439421048</v>
          </cell>
          <cell r="L204">
            <v>5.8795381336291852</v>
          </cell>
          <cell r="M204">
            <v>6.0109031078310675</v>
          </cell>
          <cell r="N204">
            <v>5.7421854285965868</v>
          </cell>
          <cell r="O204">
            <v>7.9057327186313664</v>
          </cell>
          <cell r="P204">
            <v>5.4628791995507129</v>
          </cell>
          <cell r="Q204">
            <v>7.8863777201646403</v>
          </cell>
        </row>
        <row r="205">
          <cell r="A205" t="str">
            <v>United Arab Emirates</v>
          </cell>
          <cell r="B205">
            <v>4.814126853410996</v>
          </cell>
          <cell r="C205">
            <v>4.4949630830045857</v>
          </cell>
          <cell r="D205">
            <v>4.303684082980423</v>
          </cell>
          <cell r="E205">
            <v>3.8925670657172287</v>
          </cell>
          <cell r="F205">
            <v>3.8123042551681143</v>
          </cell>
          <cell r="G205">
            <v>3.9640322407779802</v>
          </cell>
          <cell r="H205">
            <v>3.7687731321972269</v>
          </cell>
          <cell r="I205">
            <v>3.8421422586842269</v>
          </cell>
          <cell r="J205">
            <v>3.8142298960625105</v>
          </cell>
          <cell r="K205">
            <v>3.8195346468844793</v>
          </cell>
          <cell r="L205">
            <v>3.7031819264025572</v>
          </cell>
          <cell r="M205">
            <v>3.3991989596820149</v>
          </cell>
          <cell r="N205">
            <v>3.6922415073745212</v>
          </cell>
          <cell r="O205">
            <v>3.5864165327442938</v>
          </cell>
          <cell r="P205">
            <v>4.2966788982327611</v>
          </cell>
          <cell r="Q205">
            <v>4.1117991502615459</v>
          </cell>
        </row>
        <row r="206">
          <cell r="A206" t="str">
            <v>United Kingdom</v>
          </cell>
          <cell r="B206">
            <v>4.5586346634104773</v>
          </cell>
          <cell r="C206">
            <v>4.5028027285908596</v>
          </cell>
          <cell r="D206">
            <v>4.4776157985265002</v>
          </cell>
          <cell r="E206">
            <v>4.3876593172705256</v>
          </cell>
          <cell r="F206">
            <v>4.3055997103211165</v>
          </cell>
          <cell r="G206">
            <v>4.5318719137847374</v>
          </cell>
          <cell r="H206">
            <v>4.4655714468695757</v>
          </cell>
          <cell r="I206">
            <v>4.2378302114227928</v>
          </cell>
          <cell r="J206">
            <v>4.3052836376368795</v>
          </cell>
          <cell r="K206">
            <v>4.3641321498954149</v>
          </cell>
          <cell r="L206">
            <v>4.472717808035136</v>
          </cell>
          <cell r="M206">
            <v>4.2654749494085111</v>
          </cell>
          <cell r="N206">
            <v>4.5311765566297479</v>
          </cell>
          <cell r="O206">
            <v>4.4888794184308294</v>
          </cell>
          <cell r="P206">
            <v>4.132846126664278</v>
          </cell>
          <cell r="Q206">
            <v>4.884295606554625</v>
          </cell>
        </row>
        <row r="207">
          <cell r="A207" t="str">
            <v>United States</v>
          </cell>
          <cell r="B207">
            <v>5.0586434468285821</v>
          </cell>
          <cell r="C207">
            <v>4.8817732539478014</v>
          </cell>
          <cell r="D207">
            <v>4.9318432320453143</v>
          </cell>
          <cell r="E207">
            <v>4.8179305986662584</v>
          </cell>
          <cell r="F207">
            <v>5.1823859103620364</v>
          </cell>
          <cell r="G207">
            <v>5.1268551511020162</v>
          </cell>
          <cell r="H207">
            <v>5.0535584349487124</v>
          </cell>
          <cell r="I207">
            <v>4.838135513010152</v>
          </cell>
          <cell r="J207">
            <v>4.7614201982261539</v>
          </cell>
          <cell r="K207">
            <v>4.8806137313852282</v>
          </cell>
          <cell r="L207">
            <v>4.8349133172945047</v>
          </cell>
          <cell r="M207">
            <v>4.8034588663916091</v>
          </cell>
          <cell r="N207">
            <v>4.9564341139344279</v>
          </cell>
          <cell r="O207">
            <v>4.9840578965270277</v>
          </cell>
          <cell r="P207">
            <v>4.7376027164913035</v>
          </cell>
          <cell r="Q207">
            <v>5.0714254985987193</v>
          </cell>
        </row>
        <row r="208">
          <cell r="A208" t="str">
            <v>Uruguay</v>
          </cell>
          <cell r="B208">
            <v>6.1801666862458244</v>
          </cell>
          <cell r="C208">
            <v>6.0324511519726993</v>
          </cell>
          <cell r="D208">
            <v>6.0682198029599075</v>
          </cell>
          <cell r="E208">
            <v>5.9693329004898805</v>
          </cell>
          <cell r="F208">
            <v>5.8516991703904475</v>
          </cell>
          <cell r="G208">
            <v>5.9198440738469165</v>
          </cell>
          <cell r="H208">
            <v>5.6729441904887894</v>
          </cell>
          <cell r="I208">
            <v>5.6838439969817225</v>
          </cell>
          <cell r="J208">
            <v>5.3758645338766975</v>
          </cell>
          <cell r="K208">
            <v>5.3204534827831482</v>
          </cell>
          <cell r="L208">
            <v>5.5253265587409732</v>
          </cell>
          <cell r="M208">
            <v>5.3902776311670122</v>
          </cell>
          <cell r="N208">
            <v>5.2823545734682122</v>
          </cell>
          <cell r="O208">
            <v>4.6615888757715238</v>
          </cell>
          <cell r="P208">
            <v>4.6564613732955689</v>
          </cell>
          <cell r="Q208">
            <v>4.6930261532966826</v>
          </cell>
        </row>
        <row r="209">
          <cell r="A209" t="str">
            <v>Uzbekistan</v>
          </cell>
          <cell r="B209">
            <v>8.560675514149203</v>
          </cell>
          <cell r="C209">
            <v>8.7745120478820393</v>
          </cell>
          <cell r="D209">
            <v>8.4065046459014638</v>
          </cell>
          <cell r="E209">
            <v>8.336428789524156</v>
          </cell>
          <cell r="F209">
            <v>8.5101327189997296</v>
          </cell>
          <cell r="G209">
            <v>8.4666297754999249</v>
          </cell>
          <cell r="H209">
            <v>8.1619967076309248</v>
          </cell>
          <cell r="I209">
            <v>8.0637287327470162</v>
          </cell>
          <cell r="J209">
            <v>7.9254898002279273</v>
          </cell>
          <cell r="K209">
            <v>7.6681838575717594</v>
          </cell>
          <cell r="L209">
            <v>6.5151558752315042</v>
          </cell>
          <cell r="M209">
            <v>6.4139357061891022</v>
          </cell>
          <cell r="N209">
            <v>6.8559200336879282</v>
          </cell>
          <cell r="O209">
            <v>8.4521908137409323</v>
          </cell>
          <cell r="P209">
            <v>6.0132268588468474</v>
          </cell>
          <cell r="Q209">
            <v>8.4883890813715404</v>
          </cell>
        </row>
        <row r="210">
          <cell r="A210" t="str">
            <v>Vanuatu</v>
          </cell>
          <cell r="B210">
            <v>6.5559891391471368</v>
          </cell>
          <cell r="C210">
            <v>6.6878084382393403</v>
          </cell>
          <cell r="D210">
            <v>6.7660813494197516</v>
          </cell>
          <cell r="E210">
            <v>6.8110674261763364</v>
          </cell>
          <cell r="F210">
            <v>6.5536512003577094</v>
          </cell>
          <cell r="G210">
            <v>6.8575383572113005</v>
          </cell>
          <cell r="H210">
            <v>6.6070940630173745</v>
          </cell>
          <cell r="I210">
            <v>6.6649738084946595</v>
          </cell>
          <cell r="J210">
            <v>6.5595649848394402</v>
          </cell>
          <cell r="K210">
            <v>6.2980359629231026</v>
          </cell>
          <cell r="L210">
            <v>5.9093500856209502</v>
          </cell>
          <cell r="M210">
            <v>5.9614700938296252</v>
          </cell>
          <cell r="N210">
            <v>6.0733275664416553</v>
          </cell>
          <cell r="O210">
            <v>5.6348585097872705</v>
          </cell>
          <cell r="P210">
            <v>5.653338962642712</v>
          </cell>
          <cell r="Q210">
            <v>4.968308866617269</v>
          </cell>
        </row>
        <row r="211">
          <cell r="A211" t="str">
            <v>Venezuela</v>
          </cell>
          <cell r="B211">
            <v>7.2193660498094072</v>
          </cell>
          <cell r="C211">
            <v>7.2383545308300263</v>
          </cell>
          <cell r="D211">
            <v>7.041310006860753</v>
          </cell>
          <cell r="E211">
            <v>6.4012077576895026</v>
          </cell>
          <cell r="F211">
            <v>6.76832451631841</v>
          </cell>
          <cell r="G211">
            <v>7.0671289419550991</v>
          </cell>
          <cell r="H211">
            <v>7.6997762748519039</v>
          </cell>
          <cell r="I211">
            <v>7.6716269093172471</v>
          </cell>
          <cell r="J211">
            <v>7.4488670902169209</v>
          </cell>
          <cell r="K211">
            <v>7.8854564596434651</v>
          </cell>
          <cell r="L211">
            <v>7.9021876554090653</v>
          </cell>
          <cell r="M211">
            <v>8.1064561586300528</v>
          </cell>
          <cell r="N211">
            <v>9.4697989454083213</v>
          </cell>
          <cell r="O211">
            <v>8.2236797953425533</v>
          </cell>
          <cell r="P211">
            <v>9.1026361700397906</v>
          </cell>
          <cell r="Q211">
            <v>9.2613503642641319</v>
          </cell>
        </row>
        <row r="212">
          <cell r="A212" t="str">
            <v>Vietnam</v>
          </cell>
          <cell r="B212">
            <v>7.1193160704209948</v>
          </cell>
          <cell r="C212">
            <v>7.1957574957167694</v>
          </cell>
          <cell r="D212">
            <v>7.0299299687995749</v>
          </cell>
          <cell r="E212">
            <v>7.0895497124270452</v>
          </cell>
          <cell r="F212">
            <v>7.0982210181590739</v>
          </cell>
          <cell r="G212">
            <v>6.9479627352731672</v>
          </cell>
          <cell r="H212">
            <v>6.7307542266441303</v>
          </cell>
          <cell r="I212">
            <v>6.4235792870623936</v>
          </cell>
          <cell r="J212">
            <v>5.8270001197577974</v>
          </cell>
          <cell r="K212">
            <v>5.2896327035528614</v>
          </cell>
          <cell r="L212">
            <v>5.9239407119151615</v>
          </cell>
          <cell r="M212">
            <v>5.1724459911509966</v>
          </cell>
          <cell r="N212">
            <v>5.8547010870073262</v>
          </cell>
          <cell r="O212">
            <v>5.7408786077332801</v>
          </cell>
          <cell r="P212">
            <v>5.2631067898510304</v>
          </cell>
          <cell r="Q212">
            <v>5.189026122895549</v>
          </cell>
        </row>
        <row r="213">
          <cell r="A213" t="str">
            <v>Virgin Islands (U.S.)</v>
          </cell>
          <cell r="B213">
            <v>4.1314340837003058</v>
          </cell>
          <cell r="C213">
            <v>4.6609825148010682</v>
          </cell>
          <cell r="D213">
            <v>4.1594780836127763</v>
          </cell>
          <cell r="E213">
            <v>6.2477570762346355</v>
          </cell>
          <cell r="F213">
            <v>6.3178588077072408</v>
          </cell>
          <cell r="G213">
            <v>6.0086556961034532</v>
          </cell>
          <cell r="H213">
            <v>6.5299927312710544</v>
          </cell>
          <cell r="I213">
            <v>6.7288102508352292</v>
          </cell>
          <cell r="J213">
            <v>5.7953138378945575</v>
          </cell>
          <cell r="K213">
            <v>5.0752771876485117</v>
          </cell>
          <cell r="L213">
            <v>5.6888168049259979</v>
          </cell>
          <cell r="M213">
            <v>5.6122285093411151</v>
          </cell>
          <cell r="N213">
            <v>5.0711111787723171</v>
          </cell>
          <cell r="O213">
            <v>8.209994191394955</v>
          </cell>
          <cell r="P213" t="str">
            <v>NA</v>
          </cell>
          <cell r="Q213">
            <v>9.5500000000000007</v>
          </cell>
        </row>
        <row r="214">
          <cell r="A214" t="str">
            <v>West Bank and Gaza</v>
          </cell>
          <cell r="B214">
            <v>6.5787376539091236</v>
          </cell>
          <cell r="C214">
            <v>6.5046663665123576</v>
          </cell>
          <cell r="D214">
            <v>6.9993254821000495</v>
          </cell>
          <cell r="E214">
            <v>6.6477074308834405</v>
          </cell>
          <cell r="F214">
            <v>6.5922972063809517</v>
          </cell>
          <cell r="G214">
            <v>6.442441210600359</v>
          </cell>
          <cell r="H214">
            <v>6.2676755817921208</v>
          </cell>
          <cell r="I214">
            <v>6.1997522332765556</v>
          </cell>
          <cell r="J214">
            <v>5.987345461979003</v>
          </cell>
          <cell r="K214">
            <v>6.1120654268040671</v>
          </cell>
          <cell r="L214">
            <v>6.0265651885530911</v>
          </cell>
          <cell r="M214">
            <v>6.2135925198320701</v>
          </cell>
          <cell r="N214">
            <v>6.0911652951104944</v>
          </cell>
          <cell r="O214">
            <v>5.8322655604470812</v>
          </cell>
          <cell r="P214">
            <v>5.9817820071388548</v>
          </cell>
          <cell r="Q214">
            <v>5.9197490277868576</v>
          </cell>
        </row>
        <row r="215">
          <cell r="A215" t="str">
            <v>Yemen</v>
          </cell>
          <cell r="B215">
            <v>7.7226108268844742</v>
          </cell>
          <cell r="C215">
            <v>7.5240690428061834</v>
          </cell>
          <cell r="D215">
            <v>7.3935557936579697</v>
          </cell>
          <cell r="E215">
            <v>7.6855129194847454</v>
          </cell>
          <cell r="F215">
            <v>7.285055301519316</v>
          </cell>
          <cell r="G215">
            <v>7.2217767913133351</v>
          </cell>
          <cell r="H215">
            <v>7.4966334841893749</v>
          </cell>
          <cell r="I215">
            <v>7.9925453029489049</v>
          </cell>
          <cell r="J215">
            <v>7.8939741375064099</v>
          </cell>
          <cell r="K215">
            <v>6.4512529177133962</v>
          </cell>
          <cell r="L215">
            <v>5.3817583507392133</v>
          </cell>
          <cell r="M215">
            <v>7.6584976665253857</v>
          </cell>
          <cell r="N215">
            <v>8.4834821852548217</v>
          </cell>
          <cell r="O215">
            <v>7.8198825246918</v>
          </cell>
          <cell r="P215">
            <v>7.6039622599502383</v>
          </cell>
          <cell r="Q215">
            <v>7.1949554291648887</v>
          </cell>
        </row>
        <row r="216">
          <cell r="A216" t="str">
            <v>Zambia</v>
          </cell>
          <cell r="B216">
            <v>8.1139039946582336</v>
          </cell>
          <cell r="C216">
            <v>7.4743911346196166</v>
          </cell>
          <cell r="D216">
            <v>7.4394736708976774</v>
          </cell>
          <cell r="E216">
            <v>7.150531017534707</v>
          </cell>
          <cell r="F216">
            <v>7.3101774812143985</v>
          </cell>
          <cell r="G216">
            <v>7.2475351303509168</v>
          </cell>
          <cell r="H216">
            <v>7.0437465072064995</v>
          </cell>
          <cell r="I216">
            <v>7.7939590046412306</v>
          </cell>
          <cell r="J216">
            <v>7.8181302743008043</v>
          </cell>
          <cell r="K216">
            <v>7.7755981700894941</v>
          </cell>
          <cell r="L216">
            <v>7.9039666090981795</v>
          </cell>
          <cell r="M216">
            <v>7.4237378719355291</v>
          </cell>
          <cell r="N216">
            <v>7.5604787269098779</v>
          </cell>
          <cell r="O216">
            <v>8.4519342470623542</v>
          </cell>
          <cell r="P216">
            <v>7.5880153407134054</v>
          </cell>
          <cell r="Q216">
            <v>8.1249134476677067</v>
          </cell>
        </row>
        <row r="217">
          <cell r="A217" t="str">
            <v>Zimbabwe</v>
          </cell>
          <cell r="B217">
            <v>8.1739561755227239</v>
          </cell>
          <cell r="C217">
            <v>7.5332365754354882</v>
          </cell>
          <cell r="D217">
            <v>7.4752091445915472</v>
          </cell>
          <cell r="E217">
            <v>7.3236933727698226</v>
          </cell>
          <cell r="F217">
            <v>7.8072553267050591</v>
          </cell>
          <cell r="G217">
            <v>7.8331411990250555</v>
          </cell>
          <cell r="H217">
            <v>7.6789646309593271</v>
          </cell>
          <cell r="I217">
            <v>7.6847833562806418</v>
          </cell>
          <cell r="J217">
            <v>7.9563072647304249</v>
          </cell>
          <cell r="K217">
            <v>7.4609774199712646</v>
          </cell>
          <cell r="L217">
            <v>7.4650821608766051</v>
          </cell>
          <cell r="M217">
            <v>7.2960310373681097</v>
          </cell>
          <cell r="N217">
            <v>7.3797777390768484</v>
          </cell>
          <cell r="O217">
            <v>8.2583066365301363</v>
          </cell>
          <cell r="P217">
            <v>7.342863376605175</v>
          </cell>
          <cell r="Q217">
            <v>8.3302560076617276</v>
          </cell>
        </row>
      </sheetData>
      <sheetData sheetId="9">
        <row r="1">
          <cell r="B1">
            <v>2008</v>
          </cell>
          <cell r="C1">
            <v>2009</v>
          </cell>
          <cell r="D1">
            <v>2010</v>
          </cell>
          <cell r="E1">
            <v>2011</v>
          </cell>
          <cell r="F1">
            <v>2012</v>
          </cell>
          <cell r="G1">
            <v>2013</v>
          </cell>
          <cell r="H1">
            <v>2014</v>
          </cell>
          <cell r="I1">
            <v>2015</v>
          </cell>
          <cell r="J1">
            <v>2016</v>
          </cell>
          <cell r="K1">
            <v>2017</v>
          </cell>
          <cell r="L1">
            <v>2018</v>
          </cell>
          <cell r="M1">
            <v>2019</v>
          </cell>
          <cell r="N1">
            <v>2020</v>
          </cell>
          <cell r="O1">
            <v>2021</v>
          </cell>
          <cell r="P1">
            <v>2022</v>
          </cell>
          <cell r="Q1">
            <v>2023</v>
          </cell>
          <cell r="R1">
            <v>2024</v>
          </cell>
        </row>
        <row r="2">
          <cell r="A2" t="str">
            <v>Afghanistan</v>
          </cell>
          <cell r="B2">
            <v>8.9</v>
          </cell>
          <cell r="C2">
            <v>8.9</v>
          </cell>
          <cell r="D2">
            <v>9.1999999999999993</v>
          </cell>
          <cell r="E2">
            <v>9.3000000000000007</v>
          </cell>
          <cell r="F2">
            <v>10</v>
          </cell>
          <cell r="G2">
            <v>9.1999999999999993</v>
          </cell>
          <cell r="H2">
            <v>9.3000000000000007</v>
          </cell>
          <cell r="I2">
            <v>9.1</v>
          </cell>
          <cell r="J2">
            <v>9.5</v>
          </cell>
          <cell r="K2">
            <v>9.8000000000000007</v>
          </cell>
          <cell r="L2">
            <v>9.9</v>
          </cell>
          <cell r="M2">
            <v>9.6</v>
          </cell>
          <cell r="N2">
            <v>9.3000000000000007</v>
          </cell>
          <cell r="O2">
            <v>8.8000000000000007</v>
          </cell>
          <cell r="P2">
            <v>8.9</v>
          </cell>
          <cell r="Q2">
            <v>8.6</v>
          </cell>
          <cell r="R2">
            <v>7.983366064394712</v>
          </cell>
        </row>
        <row r="3">
          <cell r="A3" t="str">
            <v>Albania</v>
          </cell>
          <cell r="B3">
            <v>2.7</v>
          </cell>
          <cell r="C3">
            <v>2.6</v>
          </cell>
          <cell r="D3">
            <v>2.8</v>
          </cell>
          <cell r="E3">
            <v>3.1</v>
          </cell>
          <cell r="F3">
            <v>9.6999999999999993</v>
          </cell>
          <cell r="G3">
            <v>3.1</v>
          </cell>
          <cell r="H3">
            <v>3.4</v>
          </cell>
          <cell r="I3">
            <v>3.1</v>
          </cell>
          <cell r="J3">
            <v>3.3</v>
          </cell>
          <cell r="K3">
            <v>3.6</v>
          </cell>
          <cell r="L3">
            <v>3.3</v>
          </cell>
          <cell r="M3">
            <v>3</v>
          </cell>
          <cell r="N3">
            <v>2.94</v>
          </cell>
          <cell r="O3">
            <v>2.6</v>
          </cell>
          <cell r="P3">
            <v>2.5</v>
          </cell>
          <cell r="Q3">
            <v>2.8</v>
          </cell>
          <cell r="R3">
            <v>2.8912653349216813</v>
          </cell>
        </row>
        <row r="4">
          <cell r="A4" t="str">
            <v>Algeria</v>
          </cell>
          <cell r="B4">
            <v>6.8</v>
          </cell>
          <cell r="C4">
            <v>6.7</v>
          </cell>
          <cell r="D4">
            <v>6.5</v>
          </cell>
          <cell r="E4">
            <v>6.1</v>
          </cell>
          <cell r="F4">
            <v>9.9</v>
          </cell>
          <cell r="G4">
            <v>7</v>
          </cell>
          <cell r="H4">
            <v>6.7</v>
          </cell>
          <cell r="I4">
            <v>6.4</v>
          </cell>
          <cell r="J4">
            <v>6.5</v>
          </cell>
          <cell r="K4">
            <v>6.8</v>
          </cell>
          <cell r="L4">
            <v>7.1</v>
          </cell>
          <cell r="M4">
            <v>7.4</v>
          </cell>
          <cell r="N4">
            <v>7.1</v>
          </cell>
          <cell r="O4">
            <v>6.8</v>
          </cell>
          <cell r="P4">
            <v>6.5</v>
          </cell>
          <cell r="Q4">
            <v>6.2</v>
          </cell>
          <cell r="R4">
            <v>4.5375898353010973</v>
          </cell>
        </row>
        <row r="5">
          <cell r="A5" t="str">
            <v>Angola</v>
          </cell>
          <cell r="B5">
            <v>6.9</v>
          </cell>
          <cell r="C5">
            <v>7</v>
          </cell>
          <cell r="D5">
            <v>6.9</v>
          </cell>
          <cell r="E5">
            <v>6.6</v>
          </cell>
          <cell r="F5">
            <v>9.9</v>
          </cell>
          <cell r="G5">
            <v>7.2</v>
          </cell>
          <cell r="H5">
            <v>7.5</v>
          </cell>
          <cell r="I5">
            <v>7.6</v>
          </cell>
          <cell r="J5">
            <v>7.3</v>
          </cell>
          <cell r="K5">
            <v>7.1</v>
          </cell>
          <cell r="L5">
            <v>6.8</v>
          </cell>
          <cell r="M5">
            <v>6.5</v>
          </cell>
          <cell r="N5">
            <v>6.2</v>
          </cell>
          <cell r="O5">
            <v>5.9</v>
          </cell>
          <cell r="P5">
            <v>5.6</v>
          </cell>
          <cell r="Q5">
            <v>5.3</v>
          </cell>
          <cell r="R5">
            <v>4.2899062426735446</v>
          </cell>
        </row>
        <row r="6">
          <cell r="A6" t="str">
            <v>Argentina</v>
          </cell>
          <cell r="B6">
            <v>1.5</v>
          </cell>
          <cell r="C6">
            <v>2</v>
          </cell>
          <cell r="D6">
            <v>2.2000000000000002</v>
          </cell>
          <cell r="E6">
            <v>2.6</v>
          </cell>
          <cell r="F6">
            <v>8.4</v>
          </cell>
          <cell r="G6">
            <v>2</v>
          </cell>
          <cell r="H6">
            <v>2.2999999999999998</v>
          </cell>
          <cell r="I6">
            <v>2</v>
          </cell>
          <cell r="J6">
            <v>2.5</v>
          </cell>
          <cell r="K6">
            <v>2.2999999999999998</v>
          </cell>
          <cell r="L6">
            <v>2.2200000000000002</v>
          </cell>
          <cell r="M6">
            <v>1.9</v>
          </cell>
          <cell r="N6">
            <v>2</v>
          </cell>
          <cell r="O6">
            <v>1.9</v>
          </cell>
          <cell r="P6">
            <v>1.9</v>
          </cell>
          <cell r="Q6">
            <v>1.6</v>
          </cell>
          <cell r="R6">
            <v>2.1947799458044548</v>
          </cell>
        </row>
        <row r="7">
          <cell r="A7" t="str">
            <v>Armenia</v>
          </cell>
          <cell r="B7">
            <v>7.5</v>
          </cell>
          <cell r="C7">
            <v>7.2</v>
          </cell>
          <cell r="D7">
            <v>6.9</v>
          </cell>
          <cell r="E7">
            <v>6.6</v>
          </cell>
          <cell r="F7">
            <v>9</v>
          </cell>
          <cell r="G7">
            <v>7</v>
          </cell>
          <cell r="H7">
            <v>6.7</v>
          </cell>
          <cell r="I7">
            <v>7</v>
          </cell>
          <cell r="J7">
            <v>6.7</v>
          </cell>
          <cell r="K7">
            <v>7</v>
          </cell>
          <cell r="L7">
            <v>6.7</v>
          </cell>
          <cell r="M7">
            <v>6.4</v>
          </cell>
          <cell r="N7">
            <v>6.1</v>
          </cell>
          <cell r="O7">
            <v>6.6</v>
          </cell>
          <cell r="P7">
            <v>6.5</v>
          </cell>
          <cell r="Q7">
            <v>6.8</v>
          </cell>
          <cell r="R7">
            <v>4.4827123806394438</v>
          </cell>
        </row>
        <row r="8">
          <cell r="A8" t="str">
            <v>Australia</v>
          </cell>
          <cell r="B8">
            <v>2</v>
          </cell>
          <cell r="C8">
            <v>2.2000000000000002</v>
          </cell>
          <cell r="D8">
            <v>2.5</v>
          </cell>
          <cell r="E8">
            <v>2.8</v>
          </cell>
          <cell r="F8">
            <v>8.1</v>
          </cell>
          <cell r="G8">
            <v>2.7</v>
          </cell>
          <cell r="H8">
            <v>2.4</v>
          </cell>
          <cell r="I8">
            <v>2.1</v>
          </cell>
          <cell r="J8">
            <v>2</v>
          </cell>
          <cell r="K8">
            <v>2.2999999999999998</v>
          </cell>
          <cell r="L8">
            <v>2</v>
          </cell>
          <cell r="M8">
            <v>1.7</v>
          </cell>
          <cell r="N8">
            <v>1.8</v>
          </cell>
          <cell r="O8">
            <v>2</v>
          </cell>
          <cell r="P8">
            <v>2</v>
          </cell>
          <cell r="Q8">
            <v>1.7</v>
          </cell>
          <cell r="R8">
            <v>1.4856994003422481</v>
          </cell>
        </row>
        <row r="9">
          <cell r="A9" t="str">
            <v>Austria</v>
          </cell>
          <cell r="B9">
            <v>2.2000000000000002</v>
          </cell>
          <cell r="C9">
            <v>2.2000000000000002</v>
          </cell>
          <cell r="D9">
            <v>2.2999999999999998</v>
          </cell>
          <cell r="E9">
            <v>2.6</v>
          </cell>
          <cell r="F9">
            <v>8.6999999999999993</v>
          </cell>
          <cell r="G9">
            <v>2.4</v>
          </cell>
          <cell r="H9">
            <v>2.2999999999999998</v>
          </cell>
          <cell r="I9">
            <v>2</v>
          </cell>
          <cell r="J9">
            <v>6.1</v>
          </cell>
          <cell r="K9">
            <v>5.6</v>
          </cell>
          <cell r="L9">
            <v>5.3</v>
          </cell>
          <cell r="M9">
            <v>5</v>
          </cell>
          <cell r="N9">
            <v>4.7</v>
          </cell>
          <cell r="O9">
            <v>4.4000000000000004</v>
          </cell>
          <cell r="P9">
            <v>4.2</v>
          </cell>
          <cell r="Q9">
            <v>4.5</v>
          </cell>
          <cell r="R9">
            <v>1.591850494459305</v>
          </cell>
        </row>
        <row r="10">
          <cell r="A10" t="str">
            <v>Azerbaijan</v>
          </cell>
          <cell r="B10">
            <v>7.8</v>
          </cell>
          <cell r="C10">
            <v>8.1999999999999993</v>
          </cell>
          <cell r="D10">
            <v>8.1</v>
          </cell>
          <cell r="E10">
            <v>7.9</v>
          </cell>
          <cell r="F10">
            <v>8.5</v>
          </cell>
          <cell r="G10">
            <v>7.9</v>
          </cell>
          <cell r="H10">
            <v>7.6</v>
          </cell>
          <cell r="I10">
            <v>7.6</v>
          </cell>
          <cell r="J10">
            <v>7.9</v>
          </cell>
          <cell r="K10">
            <v>7.7</v>
          </cell>
          <cell r="L10">
            <v>7.4</v>
          </cell>
          <cell r="M10">
            <v>7.1</v>
          </cell>
          <cell r="N10">
            <v>6.8</v>
          </cell>
          <cell r="O10">
            <v>6.9</v>
          </cell>
          <cell r="P10">
            <v>6.6</v>
          </cell>
          <cell r="Q10">
            <v>6.3</v>
          </cell>
          <cell r="R10">
            <v>4.7811583632107064</v>
          </cell>
        </row>
        <row r="11">
          <cell r="A11" t="str">
            <v>Bahrain</v>
          </cell>
          <cell r="B11">
            <v>3.1</v>
          </cell>
          <cell r="C11">
            <v>3.1</v>
          </cell>
          <cell r="D11">
            <v>2.6</v>
          </cell>
          <cell r="E11">
            <v>2.9</v>
          </cell>
          <cell r="F11">
            <v>9</v>
          </cell>
          <cell r="G11">
            <v>2.5</v>
          </cell>
          <cell r="H11">
            <v>2.9</v>
          </cell>
          <cell r="I11">
            <v>2.6</v>
          </cell>
          <cell r="J11">
            <v>2.5</v>
          </cell>
          <cell r="K11">
            <v>2.4</v>
          </cell>
          <cell r="L11">
            <v>2.2999999999999998</v>
          </cell>
          <cell r="M11">
            <v>2</v>
          </cell>
          <cell r="N11">
            <v>2</v>
          </cell>
          <cell r="O11">
            <v>1.7</v>
          </cell>
          <cell r="P11">
            <v>1.7</v>
          </cell>
          <cell r="Q11">
            <v>1.4</v>
          </cell>
          <cell r="R11">
            <v>3.7974411756906568</v>
          </cell>
        </row>
        <row r="12">
          <cell r="A12" t="str">
            <v>Bangladesh</v>
          </cell>
          <cell r="B12">
            <v>7.1</v>
          </cell>
          <cell r="C12">
            <v>6.9</v>
          </cell>
          <cell r="D12">
            <v>6.7</v>
          </cell>
          <cell r="E12">
            <v>6.5</v>
          </cell>
          <cell r="F12">
            <v>8</v>
          </cell>
          <cell r="G12">
            <v>7.3</v>
          </cell>
          <cell r="H12">
            <v>6.9</v>
          </cell>
          <cell r="I12">
            <v>6.6</v>
          </cell>
          <cell r="J12">
            <v>6.3</v>
          </cell>
          <cell r="K12">
            <v>6.6</v>
          </cell>
          <cell r="L12">
            <v>7.8</v>
          </cell>
          <cell r="M12">
            <v>7.5</v>
          </cell>
          <cell r="N12">
            <v>7.6</v>
          </cell>
          <cell r="O12">
            <v>7.3</v>
          </cell>
          <cell r="P12">
            <v>7.4</v>
          </cell>
          <cell r="Q12">
            <v>7.5</v>
          </cell>
          <cell r="R12">
            <v>5.8270857628800554</v>
          </cell>
        </row>
        <row r="13">
          <cell r="A13" t="str">
            <v>Belarus</v>
          </cell>
          <cell r="B13">
            <v>4.3</v>
          </cell>
          <cell r="C13">
            <v>4.0999999999999996</v>
          </cell>
          <cell r="D13">
            <v>3.7</v>
          </cell>
          <cell r="E13">
            <v>3.6</v>
          </cell>
          <cell r="F13">
            <v>6.5</v>
          </cell>
          <cell r="G13">
            <v>3.6</v>
          </cell>
          <cell r="H13">
            <v>3.6</v>
          </cell>
          <cell r="I13">
            <v>4.0999999999999996</v>
          </cell>
          <cell r="J13">
            <v>3.8</v>
          </cell>
          <cell r="K13">
            <v>3.6</v>
          </cell>
          <cell r="L13">
            <v>3.3</v>
          </cell>
          <cell r="M13">
            <v>3</v>
          </cell>
          <cell r="N13">
            <v>2.7</v>
          </cell>
          <cell r="O13">
            <v>2.4</v>
          </cell>
          <cell r="P13">
            <v>2.7</v>
          </cell>
          <cell r="Q13">
            <v>3.2</v>
          </cell>
          <cell r="R13">
            <v>4.8392718238110426</v>
          </cell>
        </row>
        <row r="14">
          <cell r="A14" t="str">
            <v>Belgium</v>
          </cell>
          <cell r="B14">
            <v>1.6</v>
          </cell>
          <cell r="C14">
            <v>1.7</v>
          </cell>
          <cell r="D14">
            <v>1.8</v>
          </cell>
          <cell r="E14">
            <v>2.1</v>
          </cell>
          <cell r="F14">
            <v>7.5</v>
          </cell>
          <cell r="G14">
            <v>1.6</v>
          </cell>
          <cell r="H14">
            <v>1.6</v>
          </cell>
          <cell r="I14">
            <v>1.6</v>
          </cell>
          <cell r="J14">
            <v>2.1</v>
          </cell>
          <cell r="K14">
            <v>2.4</v>
          </cell>
          <cell r="L14">
            <v>2.4500000000000002</v>
          </cell>
          <cell r="M14">
            <v>2.2000000000000002</v>
          </cell>
          <cell r="N14">
            <v>2</v>
          </cell>
          <cell r="O14">
            <v>2.2999999999999998</v>
          </cell>
          <cell r="P14">
            <v>2.4</v>
          </cell>
          <cell r="Q14">
            <v>2.1</v>
          </cell>
          <cell r="R14">
            <v>1.9749268604433978</v>
          </cell>
        </row>
        <row r="15">
          <cell r="A15" t="str">
            <v>Benin</v>
          </cell>
          <cell r="B15">
            <v>5.2</v>
          </cell>
          <cell r="C15">
            <v>6.2</v>
          </cell>
          <cell r="D15">
            <v>6.7</v>
          </cell>
          <cell r="E15">
            <v>7.1</v>
          </cell>
          <cell r="F15">
            <v>8.6999999999999993</v>
          </cell>
          <cell r="G15">
            <v>6.5</v>
          </cell>
          <cell r="H15">
            <v>6.3</v>
          </cell>
          <cell r="I15">
            <v>6</v>
          </cell>
          <cell r="J15">
            <v>5.7</v>
          </cell>
          <cell r="K15">
            <v>5.5</v>
          </cell>
          <cell r="L15">
            <v>5.2</v>
          </cell>
          <cell r="M15">
            <v>4.9000000000000004</v>
          </cell>
          <cell r="N15">
            <v>4.8</v>
          </cell>
          <cell r="O15">
            <v>5.0999999999999996</v>
          </cell>
          <cell r="P15">
            <v>5.4</v>
          </cell>
          <cell r="Q15">
            <v>5.9</v>
          </cell>
          <cell r="R15">
            <v>5.1231946388283021</v>
          </cell>
        </row>
        <row r="16">
          <cell r="A16" t="str">
            <v>Bhutan</v>
          </cell>
          <cell r="B16">
            <v>7.5</v>
          </cell>
          <cell r="C16">
            <v>7.5</v>
          </cell>
          <cell r="D16">
            <v>7.3</v>
          </cell>
          <cell r="E16">
            <v>6.9</v>
          </cell>
          <cell r="F16">
            <v>8.9</v>
          </cell>
          <cell r="G16">
            <v>6.9</v>
          </cell>
          <cell r="H16">
            <v>7.2</v>
          </cell>
          <cell r="I16">
            <v>6.9</v>
          </cell>
          <cell r="J16">
            <v>7.2</v>
          </cell>
          <cell r="K16">
            <v>7</v>
          </cell>
          <cell r="L16">
            <v>6.7</v>
          </cell>
          <cell r="M16">
            <v>6.4</v>
          </cell>
          <cell r="N16">
            <v>6.1</v>
          </cell>
          <cell r="O16">
            <v>5.8</v>
          </cell>
          <cell r="P16">
            <v>5.5</v>
          </cell>
          <cell r="Q16">
            <v>5.8</v>
          </cell>
          <cell r="R16">
            <v>3.0803700081340173</v>
          </cell>
        </row>
        <row r="17">
          <cell r="A17" t="str">
            <v>Bolivia</v>
          </cell>
          <cell r="B17">
            <v>4.2</v>
          </cell>
          <cell r="C17">
            <v>4.9000000000000004</v>
          </cell>
          <cell r="D17">
            <v>4.7</v>
          </cell>
          <cell r="E17">
            <v>4.5999999999999996</v>
          </cell>
          <cell r="F17">
            <v>6.9</v>
          </cell>
          <cell r="G17">
            <v>4</v>
          </cell>
          <cell r="H17">
            <v>4.3</v>
          </cell>
          <cell r="I17">
            <v>3.8</v>
          </cell>
          <cell r="J17">
            <v>4.0999999999999996</v>
          </cell>
          <cell r="K17">
            <v>3.9</v>
          </cell>
          <cell r="L17">
            <v>3.66</v>
          </cell>
          <cell r="M17">
            <v>3.4</v>
          </cell>
          <cell r="N17">
            <v>3.3</v>
          </cell>
          <cell r="O17">
            <v>3.1</v>
          </cell>
          <cell r="P17">
            <v>2.9</v>
          </cell>
          <cell r="Q17">
            <v>2.6</v>
          </cell>
          <cell r="R17">
            <v>3.4335282781825551</v>
          </cell>
        </row>
        <row r="18">
          <cell r="A18" t="str">
            <v>Bosnia and Herzegovina</v>
          </cell>
          <cell r="B18">
            <v>8</v>
          </cell>
          <cell r="C18">
            <v>7.2</v>
          </cell>
          <cell r="D18">
            <v>7.1</v>
          </cell>
          <cell r="E18">
            <v>6.8</v>
          </cell>
          <cell r="F18">
            <v>8.1999999999999993</v>
          </cell>
          <cell r="G18">
            <v>6.8</v>
          </cell>
          <cell r="H18">
            <v>6.8</v>
          </cell>
          <cell r="I18">
            <v>7.3</v>
          </cell>
          <cell r="J18">
            <v>7.8</v>
          </cell>
          <cell r="K18">
            <v>7.6</v>
          </cell>
          <cell r="L18">
            <v>7.5</v>
          </cell>
          <cell r="M18">
            <v>7.2</v>
          </cell>
          <cell r="N18">
            <v>6.9</v>
          </cell>
          <cell r="O18">
            <v>7</v>
          </cell>
          <cell r="P18">
            <v>7.1</v>
          </cell>
          <cell r="Q18">
            <v>7.2</v>
          </cell>
          <cell r="R18">
            <v>4.4847469432624916</v>
          </cell>
        </row>
        <row r="19">
          <cell r="A19" t="str">
            <v>Botswana</v>
          </cell>
          <cell r="B19">
            <v>6</v>
          </cell>
          <cell r="C19">
            <v>6.7</v>
          </cell>
          <cell r="D19">
            <v>6.6</v>
          </cell>
          <cell r="E19">
            <v>6.4</v>
          </cell>
          <cell r="F19">
            <v>8.1999999999999993</v>
          </cell>
          <cell r="G19">
            <v>5.8</v>
          </cell>
          <cell r="H19">
            <v>5.5</v>
          </cell>
          <cell r="I19">
            <v>5.2</v>
          </cell>
          <cell r="J19">
            <v>4.7</v>
          </cell>
          <cell r="K19">
            <v>4.5</v>
          </cell>
          <cell r="L19">
            <v>4.2</v>
          </cell>
          <cell r="M19">
            <v>3.9</v>
          </cell>
          <cell r="N19">
            <v>3.6</v>
          </cell>
          <cell r="O19">
            <v>3.3</v>
          </cell>
          <cell r="P19">
            <v>3.4</v>
          </cell>
          <cell r="Q19">
            <v>3.1</v>
          </cell>
          <cell r="R19">
            <v>2.1315091394120484</v>
          </cell>
        </row>
        <row r="20">
          <cell r="A20" t="str">
            <v>Brazil</v>
          </cell>
          <cell r="B20">
            <v>3.3</v>
          </cell>
          <cell r="C20">
            <v>3.9</v>
          </cell>
          <cell r="D20">
            <v>3.7</v>
          </cell>
          <cell r="E20">
            <v>3.5</v>
          </cell>
          <cell r="F20">
            <v>5.3</v>
          </cell>
          <cell r="G20">
            <v>3.6</v>
          </cell>
          <cell r="H20">
            <v>3.6</v>
          </cell>
          <cell r="I20">
            <v>3.1</v>
          </cell>
          <cell r="J20">
            <v>2.9</v>
          </cell>
          <cell r="K20">
            <v>2.8</v>
          </cell>
          <cell r="L20">
            <v>2.75</v>
          </cell>
          <cell r="M20">
            <v>3.3</v>
          </cell>
          <cell r="N20">
            <v>3.6</v>
          </cell>
          <cell r="O20">
            <v>3.3</v>
          </cell>
          <cell r="P20">
            <v>3</v>
          </cell>
          <cell r="Q20">
            <v>3.5</v>
          </cell>
          <cell r="R20">
            <v>4.6655371127973169</v>
          </cell>
        </row>
        <row r="21">
          <cell r="A21" t="str">
            <v>Bulgaria</v>
          </cell>
          <cell r="B21">
            <v>4.0999999999999996</v>
          </cell>
          <cell r="C21">
            <v>3.8</v>
          </cell>
          <cell r="D21">
            <v>3.9</v>
          </cell>
          <cell r="E21">
            <v>3.6</v>
          </cell>
          <cell r="F21">
            <v>9</v>
          </cell>
          <cell r="G21">
            <v>3.1</v>
          </cell>
          <cell r="H21">
            <v>3.4</v>
          </cell>
          <cell r="I21">
            <v>3.5</v>
          </cell>
          <cell r="J21">
            <v>4</v>
          </cell>
          <cell r="K21">
            <v>4.5</v>
          </cell>
          <cell r="L21">
            <v>4.2</v>
          </cell>
          <cell r="M21">
            <v>4.3</v>
          </cell>
          <cell r="N21">
            <v>4</v>
          </cell>
          <cell r="O21">
            <v>3.7</v>
          </cell>
          <cell r="P21">
            <v>3.4</v>
          </cell>
          <cell r="Q21">
            <v>4.4000000000000004</v>
          </cell>
          <cell r="R21">
            <v>2.6141865356723328</v>
          </cell>
        </row>
        <row r="22">
          <cell r="A22" t="str">
            <v>Burkina Faso</v>
          </cell>
          <cell r="B22">
            <v>5.6</v>
          </cell>
          <cell r="C22">
            <v>6</v>
          </cell>
          <cell r="D22">
            <v>6.2</v>
          </cell>
          <cell r="E22">
            <v>6.2</v>
          </cell>
          <cell r="F22">
            <v>8.9</v>
          </cell>
          <cell r="G22">
            <v>7.4</v>
          </cell>
          <cell r="H22">
            <v>7.6</v>
          </cell>
          <cell r="I22">
            <v>7.1</v>
          </cell>
          <cell r="J22">
            <v>6.8</v>
          </cell>
          <cell r="K22">
            <v>6.6</v>
          </cell>
          <cell r="L22">
            <v>6.3</v>
          </cell>
          <cell r="M22">
            <v>6</v>
          </cell>
          <cell r="N22">
            <v>7</v>
          </cell>
          <cell r="O22">
            <v>7.2</v>
          </cell>
          <cell r="P22">
            <v>7.7</v>
          </cell>
          <cell r="Q22">
            <v>8.1999999999999993</v>
          </cell>
          <cell r="R22">
            <v>8.4175385364757052</v>
          </cell>
        </row>
        <row r="23">
          <cell r="A23" t="str">
            <v>Burundi</v>
          </cell>
          <cell r="B23">
            <v>8.1999999999999993</v>
          </cell>
          <cell r="C23">
            <v>8.1</v>
          </cell>
          <cell r="D23">
            <v>8.4</v>
          </cell>
          <cell r="E23">
            <v>8.6999999999999993</v>
          </cell>
          <cell r="F23">
            <v>7</v>
          </cell>
          <cell r="G23">
            <v>8.8000000000000007</v>
          </cell>
          <cell r="H23">
            <v>9</v>
          </cell>
          <cell r="I23">
            <v>9</v>
          </cell>
          <cell r="J23">
            <v>9.1</v>
          </cell>
          <cell r="K23">
            <v>8.6</v>
          </cell>
          <cell r="L23">
            <v>8.74</v>
          </cell>
          <cell r="M23">
            <v>8.4</v>
          </cell>
          <cell r="N23">
            <v>8.5</v>
          </cell>
          <cell r="O23">
            <v>8.1999999999999993</v>
          </cell>
          <cell r="P23">
            <v>8.3000000000000007</v>
          </cell>
          <cell r="Q23">
            <v>8</v>
          </cell>
          <cell r="R23">
            <v>6.5044529123119696</v>
          </cell>
        </row>
        <row r="24">
          <cell r="A24" t="str">
            <v>Cambodia</v>
          </cell>
          <cell r="B24">
            <v>5.7</v>
          </cell>
          <cell r="C24">
            <v>5.2</v>
          </cell>
          <cell r="D24">
            <v>5.3</v>
          </cell>
          <cell r="E24">
            <v>5.6</v>
          </cell>
          <cell r="F24">
            <v>7.7</v>
          </cell>
          <cell r="G24">
            <v>6.2</v>
          </cell>
          <cell r="H24">
            <v>6.1</v>
          </cell>
          <cell r="I24">
            <v>5.8</v>
          </cell>
          <cell r="J24">
            <v>5.9</v>
          </cell>
          <cell r="K24">
            <v>5.7</v>
          </cell>
          <cell r="L24">
            <v>5.4</v>
          </cell>
          <cell r="M24">
            <v>5.0999999999999996</v>
          </cell>
          <cell r="N24">
            <v>4.8</v>
          </cell>
          <cell r="O24">
            <v>4.5</v>
          </cell>
          <cell r="P24">
            <v>4.2</v>
          </cell>
          <cell r="Q24">
            <v>3.9</v>
          </cell>
          <cell r="R24">
            <v>4.2052073868490645</v>
          </cell>
        </row>
        <row r="25">
          <cell r="A25" t="str">
            <v>Cameroon</v>
          </cell>
          <cell r="B25">
            <v>7.1</v>
          </cell>
          <cell r="C25">
            <v>7.5</v>
          </cell>
          <cell r="D25">
            <v>7.6</v>
          </cell>
          <cell r="E25">
            <v>7.3</v>
          </cell>
          <cell r="F25">
            <v>7.7</v>
          </cell>
          <cell r="G25">
            <v>7.3</v>
          </cell>
          <cell r="H25">
            <v>7.6</v>
          </cell>
          <cell r="I25">
            <v>7.8</v>
          </cell>
          <cell r="J25">
            <v>8</v>
          </cell>
          <cell r="K25">
            <v>8</v>
          </cell>
          <cell r="L25">
            <v>8</v>
          </cell>
          <cell r="M25">
            <v>8.3000000000000007</v>
          </cell>
          <cell r="N25">
            <v>8.6</v>
          </cell>
          <cell r="O25">
            <v>8.3000000000000007</v>
          </cell>
          <cell r="P25">
            <v>8.4</v>
          </cell>
          <cell r="Q25">
            <v>8.4</v>
          </cell>
          <cell r="R25">
            <v>7.6186676503406741</v>
          </cell>
        </row>
        <row r="26">
          <cell r="A26" t="str">
            <v>Canada</v>
          </cell>
          <cell r="B26">
            <v>2.4</v>
          </cell>
          <cell r="C26">
            <v>2.4</v>
          </cell>
          <cell r="D26">
            <v>2.5</v>
          </cell>
          <cell r="E26">
            <v>2.5</v>
          </cell>
          <cell r="F26">
            <v>6.8</v>
          </cell>
          <cell r="G26">
            <v>2.1</v>
          </cell>
          <cell r="H26">
            <v>2.2999999999999998</v>
          </cell>
          <cell r="I26">
            <v>2</v>
          </cell>
          <cell r="J26">
            <v>2</v>
          </cell>
          <cell r="K26">
            <v>1.8</v>
          </cell>
          <cell r="L26">
            <v>1.9</v>
          </cell>
          <cell r="M26">
            <v>1.6</v>
          </cell>
          <cell r="N26">
            <v>1.9</v>
          </cell>
          <cell r="O26">
            <v>2.2000000000000002</v>
          </cell>
          <cell r="P26">
            <v>2.2999999999999998</v>
          </cell>
          <cell r="Q26">
            <v>2</v>
          </cell>
          <cell r="R26">
            <v>1.6154354574956356</v>
          </cell>
        </row>
        <row r="27">
          <cell r="A27" t="str">
            <v>Central African Republic</v>
          </cell>
          <cell r="B27">
            <v>8.8000000000000007</v>
          </cell>
          <cell r="C27">
            <v>9</v>
          </cell>
          <cell r="D27">
            <v>9.3000000000000007</v>
          </cell>
          <cell r="E27">
            <v>9.6</v>
          </cell>
          <cell r="F27">
            <v>6.4</v>
          </cell>
          <cell r="G27">
            <v>9.8000000000000007</v>
          </cell>
          <cell r="H27">
            <v>10</v>
          </cell>
          <cell r="I27">
            <v>10</v>
          </cell>
          <cell r="J27">
            <v>10</v>
          </cell>
          <cell r="K27">
            <v>10</v>
          </cell>
          <cell r="L27">
            <v>10</v>
          </cell>
          <cell r="M27">
            <v>10</v>
          </cell>
          <cell r="N27">
            <v>10</v>
          </cell>
          <cell r="O27">
            <v>9.6999999999999993</v>
          </cell>
          <cell r="P27">
            <v>9.8000000000000007</v>
          </cell>
          <cell r="Q27">
            <v>9.5</v>
          </cell>
          <cell r="R27">
            <v>7.0588771855739694</v>
          </cell>
        </row>
        <row r="28">
          <cell r="A28" t="str">
            <v>Chad</v>
          </cell>
          <cell r="B28">
            <v>9.1999999999999993</v>
          </cell>
          <cell r="C28">
            <v>9.4</v>
          </cell>
          <cell r="D28">
            <v>9.5</v>
          </cell>
          <cell r="E28">
            <v>9.5</v>
          </cell>
          <cell r="F28">
            <v>7.8</v>
          </cell>
          <cell r="G28">
            <v>9.6999999999999993</v>
          </cell>
          <cell r="H28">
            <v>9.8000000000000007</v>
          </cell>
          <cell r="I28">
            <v>10</v>
          </cell>
          <cell r="J28">
            <v>9.8000000000000007</v>
          </cell>
          <cell r="K28">
            <v>9.6</v>
          </cell>
          <cell r="L28">
            <v>9.3000000000000007</v>
          </cell>
          <cell r="M28">
            <v>9.5</v>
          </cell>
          <cell r="N28">
            <v>9.1999999999999993</v>
          </cell>
          <cell r="O28">
            <v>9.3000000000000007</v>
          </cell>
          <cell r="P28">
            <v>9.1</v>
          </cell>
          <cell r="Q28">
            <v>9</v>
          </cell>
          <cell r="R28">
            <v>7.2918600105524387</v>
          </cell>
        </row>
        <row r="29">
          <cell r="A29" t="str">
            <v>Chile</v>
          </cell>
          <cell r="B29">
            <v>2</v>
          </cell>
          <cell r="C29">
            <v>2.5</v>
          </cell>
          <cell r="D29">
            <v>2.6</v>
          </cell>
          <cell r="E29">
            <v>3</v>
          </cell>
          <cell r="F29">
            <v>7.7</v>
          </cell>
          <cell r="G29">
            <v>2.4</v>
          </cell>
          <cell r="H29">
            <v>2.6</v>
          </cell>
          <cell r="I29">
            <v>2.1</v>
          </cell>
          <cell r="J29">
            <v>2.2000000000000002</v>
          </cell>
          <cell r="K29">
            <v>2.1</v>
          </cell>
          <cell r="L29">
            <v>2.06</v>
          </cell>
          <cell r="M29">
            <v>1.8</v>
          </cell>
          <cell r="N29">
            <v>1.9</v>
          </cell>
          <cell r="O29">
            <v>1.9</v>
          </cell>
          <cell r="P29">
            <v>1.8</v>
          </cell>
          <cell r="Q29">
            <v>1.5</v>
          </cell>
          <cell r="R29">
            <v>2.8392834478935964</v>
          </cell>
        </row>
        <row r="30">
          <cell r="A30" t="str">
            <v>China</v>
          </cell>
          <cell r="B30">
            <v>5.0999999999999996</v>
          </cell>
          <cell r="C30">
            <v>6.8</v>
          </cell>
          <cell r="D30">
            <v>6.6</v>
          </cell>
          <cell r="E30">
            <v>6.2</v>
          </cell>
          <cell r="F30">
            <v>7.6</v>
          </cell>
          <cell r="G30">
            <v>6.1</v>
          </cell>
          <cell r="H30">
            <v>5.9</v>
          </cell>
          <cell r="I30">
            <v>5.6</v>
          </cell>
          <cell r="J30">
            <v>5.0999999999999996</v>
          </cell>
          <cell r="K30">
            <v>4.9000000000000004</v>
          </cell>
          <cell r="L30">
            <v>4.5999999999999996</v>
          </cell>
          <cell r="M30">
            <v>4.3</v>
          </cell>
          <cell r="N30">
            <v>4</v>
          </cell>
          <cell r="O30">
            <v>3.7</v>
          </cell>
          <cell r="P30">
            <v>3.4</v>
          </cell>
          <cell r="Q30">
            <v>3.1</v>
          </cell>
          <cell r="R30">
            <v>3.9225502772510099</v>
          </cell>
        </row>
        <row r="31">
          <cell r="A31" t="str">
            <v>Colombia</v>
          </cell>
          <cell r="B31">
            <v>9.1999999999999993</v>
          </cell>
          <cell r="C31">
            <v>9.1999999999999993</v>
          </cell>
          <cell r="D31">
            <v>9</v>
          </cell>
          <cell r="E31">
            <v>8.6999999999999993</v>
          </cell>
          <cell r="F31">
            <v>7.6</v>
          </cell>
          <cell r="G31">
            <v>8.3000000000000007</v>
          </cell>
          <cell r="H31">
            <v>8</v>
          </cell>
          <cell r="I31">
            <v>7.8</v>
          </cell>
          <cell r="J31">
            <v>7.9</v>
          </cell>
          <cell r="K31">
            <v>7.7</v>
          </cell>
          <cell r="L31">
            <v>7.4</v>
          </cell>
          <cell r="M31">
            <v>7.8</v>
          </cell>
          <cell r="N31">
            <v>7.9</v>
          </cell>
          <cell r="O31">
            <v>7.6</v>
          </cell>
          <cell r="P31">
            <v>7.7</v>
          </cell>
          <cell r="Q31">
            <v>7.8</v>
          </cell>
          <cell r="R31">
            <v>6.4933225491779396</v>
          </cell>
        </row>
        <row r="32">
          <cell r="A32" t="str">
            <v>Costa Rica</v>
          </cell>
          <cell r="B32">
            <v>4.2</v>
          </cell>
          <cell r="C32">
            <v>4.5</v>
          </cell>
          <cell r="D32">
            <v>4.5999999999999996</v>
          </cell>
          <cell r="E32">
            <v>4.3</v>
          </cell>
          <cell r="F32">
            <v>6.8</v>
          </cell>
          <cell r="G32">
            <v>4.0999999999999996</v>
          </cell>
          <cell r="H32">
            <v>4.4000000000000004</v>
          </cell>
          <cell r="I32">
            <v>3.9</v>
          </cell>
          <cell r="J32">
            <v>3.6</v>
          </cell>
          <cell r="K32">
            <v>3.9</v>
          </cell>
          <cell r="L32">
            <v>3.6</v>
          </cell>
          <cell r="M32">
            <v>3.7</v>
          </cell>
          <cell r="N32">
            <v>3.4</v>
          </cell>
          <cell r="O32">
            <v>3.9</v>
          </cell>
          <cell r="P32">
            <v>4.4000000000000004</v>
          </cell>
          <cell r="Q32">
            <v>4.9000000000000004</v>
          </cell>
          <cell r="R32">
            <v>2.65013134249486</v>
          </cell>
        </row>
        <row r="33">
          <cell r="A33" t="str">
            <v>Cote d'Ivoire</v>
          </cell>
          <cell r="B33">
            <v>8.3000000000000007</v>
          </cell>
          <cell r="C33">
            <v>7.8</v>
          </cell>
          <cell r="D33">
            <v>8</v>
          </cell>
          <cell r="E33">
            <v>8.5</v>
          </cell>
          <cell r="F33">
            <v>5.7</v>
          </cell>
          <cell r="G33">
            <v>9.3000000000000007</v>
          </cell>
          <cell r="H33">
            <v>9.1</v>
          </cell>
          <cell r="I33">
            <v>9</v>
          </cell>
          <cell r="J33">
            <v>8</v>
          </cell>
          <cell r="K33">
            <v>7.8</v>
          </cell>
          <cell r="L33">
            <v>7.5</v>
          </cell>
          <cell r="M33">
            <v>7.2</v>
          </cell>
          <cell r="N33">
            <v>6.9</v>
          </cell>
          <cell r="O33">
            <v>6.6</v>
          </cell>
          <cell r="P33">
            <v>6.3</v>
          </cell>
          <cell r="Q33">
            <v>6</v>
          </cell>
          <cell r="R33">
            <v>5.2961801938397048</v>
          </cell>
        </row>
        <row r="34">
          <cell r="A34" t="str">
            <v>Croatia</v>
          </cell>
          <cell r="B34">
            <v>6.3</v>
          </cell>
          <cell r="C34">
            <v>6.1</v>
          </cell>
          <cell r="D34">
            <v>5.9</v>
          </cell>
          <cell r="E34">
            <v>5.5</v>
          </cell>
          <cell r="F34">
            <v>5.9</v>
          </cell>
          <cell r="G34">
            <v>5.5</v>
          </cell>
          <cell r="H34">
            <v>5.2</v>
          </cell>
          <cell r="I34">
            <v>4.9000000000000004</v>
          </cell>
          <cell r="J34">
            <v>7.5</v>
          </cell>
          <cell r="K34">
            <v>7</v>
          </cell>
          <cell r="L34">
            <v>6.7</v>
          </cell>
          <cell r="M34">
            <v>6.4</v>
          </cell>
          <cell r="N34">
            <v>6.1</v>
          </cell>
          <cell r="O34">
            <v>6.6</v>
          </cell>
          <cell r="P34">
            <v>6.7</v>
          </cell>
          <cell r="Q34">
            <v>6.8</v>
          </cell>
          <cell r="R34">
            <v>2.370554324877745</v>
          </cell>
        </row>
        <row r="35">
          <cell r="A35" t="str">
            <v>Cuba</v>
          </cell>
          <cell r="B35">
            <v>4.7</v>
          </cell>
          <cell r="C35">
            <v>5.9</v>
          </cell>
          <cell r="D35">
            <v>5.7</v>
          </cell>
          <cell r="E35">
            <v>5.4</v>
          </cell>
          <cell r="F35">
            <v>5.3</v>
          </cell>
          <cell r="G35">
            <v>5.3</v>
          </cell>
          <cell r="H35">
            <v>5</v>
          </cell>
          <cell r="I35">
            <v>4.5</v>
          </cell>
          <cell r="J35">
            <v>4.2</v>
          </cell>
          <cell r="K35">
            <v>4</v>
          </cell>
          <cell r="L35">
            <v>3.7</v>
          </cell>
          <cell r="M35">
            <v>3.4</v>
          </cell>
          <cell r="N35">
            <v>3.1</v>
          </cell>
          <cell r="O35">
            <v>3</v>
          </cell>
          <cell r="P35">
            <v>2.7</v>
          </cell>
          <cell r="Q35">
            <v>3.2</v>
          </cell>
          <cell r="R35">
            <v>3.5773896126542915</v>
          </cell>
        </row>
        <row r="36">
          <cell r="A36" t="str">
            <v>Cyprus</v>
          </cell>
          <cell r="B36">
            <v>4.2</v>
          </cell>
          <cell r="C36">
            <v>4.5</v>
          </cell>
          <cell r="D36">
            <v>4.5</v>
          </cell>
          <cell r="E36">
            <v>4.4000000000000004</v>
          </cell>
          <cell r="F36">
            <v>3</v>
          </cell>
          <cell r="G36">
            <v>4.4000000000000004</v>
          </cell>
          <cell r="H36">
            <v>4.2</v>
          </cell>
          <cell r="I36">
            <v>4.5</v>
          </cell>
          <cell r="J36">
            <v>5</v>
          </cell>
          <cell r="K36">
            <v>5.3</v>
          </cell>
          <cell r="L36">
            <v>5</v>
          </cell>
          <cell r="M36">
            <v>5.3</v>
          </cell>
          <cell r="N36">
            <v>5</v>
          </cell>
          <cell r="O36">
            <v>5.3</v>
          </cell>
          <cell r="P36">
            <v>5.6</v>
          </cell>
          <cell r="Q36">
            <v>5.9</v>
          </cell>
          <cell r="R36">
            <v>3.6634858732049445</v>
          </cell>
        </row>
        <row r="37">
          <cell r="A37" t="str">
            <v>Czech Republic</v>
          </cell>
          <cell r="B37">
            <v>3.1</v>
          </cell>
          <cell r="C37">
            <v>2.7</v>
          </cell>
          <cell r="D37">
            <v>2.8</v>
          </cell>
          <cell r="E37">
            <v>2.8</v>
          </cell>
          <cell r="F37">
            <v>7.3</v>
          </cell>
          <cell r="G37">
            <v>2.2000000000000002</v>
          </cell>
          <cell r="H37">
            <v>2.2999999999999998</v>
          </cell>
          <cell r="I37">
            <v>2</v>
          </cell>
          <cell r="J37">
            <v>4</v>
          </cell>
          <cell r="K37">
            <v>3.8</v>
          </cell>
          <cell r="L37">
            <v>3.5</v>
          </cell>
          <cell r="M37">
            <v>3.2</v>
          </cell>
          <cell r="N37">
            <v>2.9</v>
          </cell>
          <cell r="O37">
            <v>3.2</v>
          </cell>
          <cell r="P37">
            <v>3.5</v>
          </cell>
          <cell r="Q37">
            <v>4.5</v>
          </cell>
          <cell r="R37">
            <v>2.4809064647912269</v>
          </cell>
        </row>
        <row r="38">
          <cell r="A38" t="str">
            <v>Democratic Republic of the Congo</v>
          </cell>
          <cell r="B38">
            <v>9.1999999999999993</v>
          </cell>
          <cell r="C38">
            <v>9.6</v>
          </cell>
          <cell r="D38">
            <v>9.6</v>
          </cell>
          <cell r="E38">
            <v>9.6</v>
          </cell>
          <cell r="F38">
            <v>5.9</v>
          </cell>
          <cell r="G38">
            <v>10</v>
          </cell>
          <cell r="H38">
            <v>9.9</v>
          </cell>
          <cell r="I38">
            <v>9.4</v>
          </cell>
          <cell r="J38">
            <v>9.6999999999999993</v>
          </cell>
          <cell r="K38">
            <v>10</v>
          </cell>
          <cell r="L38">
            <v>10</v>
          </cell>
          <cell r="M38">
            <v>10</v>
          </cell>
          <cell r="N38">
            <v>10</v>
          </cell>
          <cell r="O38">
            <v>10</v>
          </cell>
          <cell r="P38">
            <v>9.6999999999999993</v>
          </cell>
          <cell r="Q38">
            <v>9.8000000000000007</v>
          </cell>
          <cell r="R38">
            <v>8.8585858319677708</v>
          </cell>
        </row>
        <row r="39">
          <cell r="A39" t="str">
            <v>Denmark</v>
          </cell>
          <cell r="B39">
            <v>1.9</v>
          </cell>
          <cell r="C39">
            <v>1.6</v>
          </cell>
          <cell r="D39">
            <v>1.7</v>
          </cell>
          <cell r="E39">
            <v>2.1</v>
          </cell>
          <cell r="F39">
            <v>8.1999999999999993</v>
          </cell>
          <cell r="G39">
            <v>1.6</v>
          </cell>
          <cell r="H39">
            <v>1.4</v>
          </cell>
          <cell r="I39">
            <v>1.4</v>
          </cell>
          <cell r="J39">
            <v>1.8</v>
          </cell>
          <cell r="K39">
            <v>2.1</v>
          </cell>
          <cell r="L39">
            <v>2.14</v>
          </cell>
          <cell r="M39">
            <v>2</v>
          </cell>
          <cell r="N39">
            <v>1.7</v>
          </cell>
          <cell r="O39">
            <v>2.2000000000000002</v>
          </cell>
          <cell r="P39">
            <v>2.7</v>
          </cell>
          <cell r="Q39">
            <v>3</v>
          </cell>
          <cell r="R39">
            <v>1.2275979772624417</v>
          </cell>
        </row>
        <row r="40">
          <cell r="A40" t="str">
            <v>Djibouti</v>
          </cell>
          <cell r="B40">
            <v>6.4</v>
          </cell>
          <cell r="C40">
            <v>6.4</v>
          </cell>
          <cell r="D40">
            <v>6.8</v>
          </cell>
          <cell r="E40">
            <v>7.2</v>
          </cell>
          <cell r="F40">
            <v>5.6</v>
          </cell>
          <cell r="G40">
            <v>7.2</v>
          </cell>
          <cell r="H40">
            <v>7.4</v>
          </cell>
          <cell r="I40">
            <v>7.1</v>
          </cell>
          <cell r="J40">
            <v>7.5</v>
          </cell>
          <cell r="K40">
            <v>7.3</v>
          </cell>
          <cell r="L40">
            <v>7</v>
          </cell>
          <cell r="M40">
            <v>6.7</v>
          </cell>
          <cell r="N40">
            <v>7</v>
          </cell>
          <cell r="O40">
            <v>7.1</v>
          </cell>
          <cell r="P40">
            <v>7.4</v>
          </cell>
          <cell r="Q40">
            <v>7.1</v>
          </cell>
          <cell r="R40">
            <v>4.9274721826854213</v>
          </cell>
        </row>
        <row r="41">
          <cell r="A41" t="str">
            <v>Dominican Republic</v>
          </cell>
          <cell r="B41">
            <v>5.4</v>
          </cell>
          <cell r="C41">
            <v>5.3</v>
          </cell>
          <cell r="D41">
            <v>5.0999999999999996</v>
          </cell>
          <cell r="E41">
            <v>5.5</v>
          </cell>
          <cell r="F41">
            <v>4.8</v>
          </cell>
          <cell r="G41">
            <v>5.5</v>
          </cell>
          <cell r="H41">
            <v>5.6</v>
          </cell>
          <cell r="I41">
            <v>3.8</v>
          </cell>
          <cell r="J41">
            <v>3.5</v>
          </cell>
          <cell r="K41">
            <v>3.3</v>
          </cell>
          <cell r="L41">
            <v>3</v>
          </cell>
          <cell r="M41">
            <v>2.7</v>
          </cell>
          <cell r="N41">
            <v>2.7</v>
          </cell>
          <cell r="O41">
            <v>2.6</v>
          </cell>
          <cell r="P41">
            <v>2.5</v>
          </cell>
          <cell r="Q41">
            <v>2.6</v>
          </cell>
          <cell r="R41">
            <v>3.5078981050825884</v>
          </cell>
        </row>
        <row r="42">
          <cell r="A42" t="str">
            <v>Ecuador</v>
          </cell>
          <cell r="B42">
            <v>6</v>
          </cell>
          <cell r="C42">
            <v>6.3</v>
          </cell>
          <cell r="D42">
            <v>6.1</v>
          </cell>
          <cell r="E42">
            <v>6.4</v>
          </cell>
          <cell r="F42">
            <v>5.5</v>
          </cell>
          <cell r="G42">
            <v>5.7</v>
          </cell>
          <cell r="H42">
            <v>5.7</v>
          </cell>
          <cell r="I42">
            <v>5.2</v>
          </cell>
          <cell r="J42">
            <v>5.4</v>
          </cell>
          <cell r="K42">
            <v>5.7</v>
          </cell>
          <cell r="L42">
            <v>5.4</v>
          </cell>
          <cell r="M42">
            <v>5.5</v>
          </cell>
          <cell r="N42">
            <v>5.9</v>
          </cell>
          <cell r="O42">
            <v>5.6</v>
          </cell>
          <cell r="P42">
            <v>5.3</v>
          </cell>
          <cell r="Q42">
            <v>5</v>
          </cell>
          <cell r="R42">
            <v>5.1464650525322915</v>
          </cell>
        </row>
        <row r="43">
          <cell r="A43" t="str">
            <v>Egypt</v>
          </cell>
          <cell r="B43">
            <v>6.3</v>
          </cell>
          <cell r="C43">
            <v>6.9</v>
          </cell>
          <cell r="D43">
            <v>6.7</v>
          </cell>
          <cell r="E43">
            <v>6.4</v>
          </cell>
          <cell r="F43">
            <v>6.9</v>
          </cell>
          <cell r="G43">
            <v>6.5</v>
          </cell>
          <cell r="H43">
            <v>6.4</v>
          </cell>
          <cell r="I43">
            <v>6.7</v>
          </cell>
          <cell r="J43">
            <v>7</v>
          </cell>
          <cell r="K43">
            <v>7.3</v>
          </cell>
          <cell r="L43">
            <v>7</v>
          </cell>
          <cell r="M43">
            <v>6.7</v>
          </cell>
          <cell r="N43">
            <v>6.4</v>
          </cell>
          <cell r="O43">
            <v>6.1</v>
          </cell>
          <cell r="P43">
            <v>5.8</v>
          </cell>
          <cell r="Q43">
            <v>5.5</v>
          </cell>
          <cell r="R43">
            <v>5.8085650960547319</v>
          </cell>
        </row>
        <row r="44">
          <cell r="A44" t="str">
            <v>El Salvador</v>
          </cell>
          <cell r="B44">
            <v>5.6</v>
          </cell>
          <cell r="C44">
            <v>5.7</v>
          </cell>
          <cell r="D44">
            <v>5.7</v>
          </cell>
          <cell r="E44">
            <v>5.3</v>
          </cell>
          <cell r="F44">
            <v>5.0999999999999996</v>
          </cell>
          <cell r="G44">
            <v>5.5</v>
          </cell>
          <cell r="H44">
            <v>5.6</v>
          </cell>
          <cell r="I44">
            <v>5.0999999999999996</v>
          </cell>
          <cell r="J44">
            <v>5</v>
          </cell>
          <cell r="K44">
            <v>4.8</v>
          </cell>
          <cell r="L44">
            <v>4.8</v>
          </cell>
          <cell r="M44">
            <v>4.8</v>
          </cell>
          <cell r="N44">
            <v>5.3</v>
          </cell>
          <cell r="O44">
            <v>5.5</v>
          </cell>
          <cell r="P44">
            <v>5.6</v>
          </cell>
          <cell r="Q44">
            <v>5.3</v>
          </cell>
          <cell r="R44">
            <v>3.6275874150837613</v>
          </cell>
        </row>
        <row r="45">
          <cell r="A45" t="str">
            <v>Equatorial Guinea</v>
          </cell>
          <cell r="B45">
            <v>2</v>
          </cell>
          <cell r="C45">
            <v>2</v>
          </cell>
          <cell r="D45">
            <v>2.2999999999999998</v>
          </cell>
          <cell r="E45">
            <v>2.7</v>
          </cell>
          <cell r="F45">
            <v>7.2</v>
          </cell>
          <cell r="G45">
            <v>3.3</v>
          </cell>
          <cell r="H45">
            <v>3.6</v>
          </cell>
          <cell r="I45">
            <v>3.3</v>
          </cell>
          <cell r="J45">
            <v>3.6</v>
          </cell>
          <cell r="K45">
            <v>3.9</v>
          </cell>
          <cell r="L45">
            <v>4.2</v>
          </cell>
          <cell r="M45">
            <v>4.5</v>
          </cell>
          <cell r="N45">
            <v>4.8</v>
          </cell>
          <cell r="O45">
            <v>5</v>
          </cell>
          <cell r="P45">
            <v>5.2</v>
          </cell>
          <cell r="Q45">
            <v>5.5</v>
          </cell>
          <cell r="R45">
            <v>4.1756594666151976</v>
          </cell>
        </row>
        <row r="46">
          <cell r="A46" t="str">
            <v>Eritrea</v>
          </cell>
          <cell r="B46">
            <v>7.1</v>
          </cell>
          <cell r="C46">
            <v>7</v>
          </cell>
          <cell r="D46">
            <v>7.2</v>
          </cell>
          <cell r="E46">
            <v>6.8</v>
          </cell>
          <cell r="F46">
            <v>8.4</v>
          </cell>
          <cell r="G46">
            <v>7.4</v>
          </cell>
          <cell r="H46">
            <v>7.3</v>
          </cell>
          <cell r="I46">
            <v>7.8</v>
          </cell>
          <cell r="J46">
            <v>8.5</v>
          </cell>
          <cell r="K46">
            <v>8.3000000000000007</v>
          </cell>
          <cell r="L46">
            <v>8</v>
          </cell>
          <cell r="M46">
            <v>7.7</v>
          </cell>
          <cell r="N46">
            <v>7.7</v>
          </cell>
          <cell r="O46">
            <v>7.4</v>
          </cell>
          <cell r="P46">
            <v>7.1</v>
          </cell>
          <cell r="Q46">
            <v>6.6</v>
          </cell>
          <cell r="R46">
            <v>4.9496277914619293</v>
          </cell>
        </row>
        <row r="47">
          <cell r="A47" t="str">
            <v>Estonia</v>
          </cell>
          <cell r="B47">
            <v>4.8</v>
          </cell>
          <cell r="C47">
            <v>4.4000000000000004</v>
          </cell>
          <cell r="D47">
            <v>4.2</v>
          </cell>
          <cell r="E47">
            <v>3.9</v>
          </cell>
          <cell r="F47">
            <v>6.9</v>
          </cell>
          <cell r="G47">
            <v>3.3</v>
          </cell>
          <cell r="H47">
            <v>3.2</v>
          </cell>
          <cell r="I47">
            <v>2.9</v>
          </cell>
          <cell r="J47">
            <v>2.6</v>
          </cell>
          <cell r="K47">
            <v>3.1</v>
          </cell>
          <cell r="L47">
            <v>2.8</v>
          </cell>
          <cell r="M47">
            <v>2.5</v>
          </cell>
          <cell r="N47">
            <v>2.2000000000000002</v>
          </cell>
          <cell r="O47">
            <v>1.9</v>
          </cell>
          <cell r="P47">
            <v>1.6</v>
          </cell>
          <cell r="Q47">
            <v>2.6</v>
          </cell>
          <cell r="R47">
            <v>2.2182280754008272</v>
          </cell>
        </row>
        <row r="48">
          <cell r="A48" t="str">
            <v>Eswatini</v>
          </cell>
          <cell r="B48">
            <v>4</v>
          </cell>
          <cell r="C48">
            <v>4</v>
          </cell>
          <cell r="D48">
            <v>9.1</v>
          </cell>
          <cell r="E48">
            <v>4.5999999999999996</v>
          </cell>
          <cell r="F48">
            <v>2.6</v>
          </cell>
          <cell r="G48">
            <v>4.9000000000000004</v>
          </cell>
          <cell r="H48">
            <v>5.2</v>
          </cell>
          <cell r="I48">
            <v>4.9000000000000004</v>
          </cell>
          <cell r="J48">
            <v>4.8</v>
          </cell>
          <cell r="K48">
            <v>4.7</v>
          </cell>
          <cell r="L48">
            <v>4.59</v>
          </cell>
          <cell r="M48">
            <v>4.3</v>
          </cell>
          <cell r="N48">
            <v>4.3</v>
          </cell>
          <cell r="O48">
            <v>4.0999999999999996</v>
          </cell>
          <cell r="P48">
            <v>4</v>
          </cell>
          <cell r="Q48">
            <v>3.7</v>
          </cell>
          <cell r="R48">
            <v>3.7653093025337907</v>
          </cell>
        </row>
        <row r="49">
          <cell r="A49" t="str">
            <v>Ethiopia</v>
          </cell>
          <cell r="B49">
            <v>7.5</v>
          </cell>
          <cell r="C49">
            <v>8</v>
          </cell>
          <cell r="D49">
            <v>7.8</v>
          </cell>
          <cell r="E49">
            <v>8.1999999999999993</v>
          </cell>
          <cell r="F49">
            <v>4.8</v>
          </cell>
          <cell r="G49">
            <v>8.6999999999999993</v>
          </cell>
          <cell r="H49">
            <v>9</v>
          </cell>
          <cell r="I49">
            <v>9.4</v>
          </cell>
          <cell r="J49">
            <v>9.5</v>
          </cell>
          <cell r="K49">
            <v>9.3000000000000007</v>
          </cell>
          <cell r="L49">
            <v>9</v>
          </cell>
          <cell r="M49">
            <v>8.6999999999999993</v>
          </cell>
          <cell r="N49">
            <v>8.8000000000000007</v>
          </cell>
          <cell r="O49">
            <v>9.1</v>
          </cell>
          <cell r="P49">
            <v>9.1999999999999993</v>
          </cell>
          <cell r="Q49">
            <v>9.5</v>
          </cell>
          <cell r="R49">
            <v>7.2905249835351622</v>
          </cell>
        </row>
        <row r="50">
          <cell r="A50" t="str">
            <v>Finland</v>
          </cell>
          <cell r="B50">
            <v>1.6</v>
          </cell>
          <cell r="C50">
            <v>1.6</v>
          </cell>
          <cell r="D50">
            <v>1.7</v>
          </cell>
          <cell r="E50">
            <v>2.1</v>
          </cell>
          <cell r="F50">
            <v>6.2</v>
          </cell>
          <cell r="G50">
            <v>1.6</v>
          </cell>
          <cell r="H50">
            <v>1.5</v>
          </cell>
          <cell r="I50">
            <v>1.5</v>
          </cell>
          <cell r="J50">
            <v>2.5</v>
          </cell>
          <cell r="K50">
            <v>2.2999999999999998</v>
          </cell>
          <cell r="L50">
            <v>2.19</v>
          </cell>
          <cell r="M50">
            <v>1.9</v>
          </cell>
          <cell r="N50">
            <v>1.6</v>
          </cell>
          <cell r="O50">
            <v>1.5</v>
          </cell>
          <cell r="P50">
            <v>1.6</v>
          </cell>
          <cell r="Q50">
            <v>1.9</v>
          </cell>
          <cell r="R50">
            <v>1.491901815912867</v>
          </cell>
        </row>
        <row r="51">
          <cell r="A51" t="str">
            <v>France</v>
          </cell>
          <cell r="B51">
            <v>3.1</v>
          </cell>
          <cell r="C51">
            <v>3</v>
          </cell>
          <cell r="D51">
            <v>3.1</v>
          </cell>
          <cell r="E51">
            <v>2.8</v>
          </cell>
          <cell r="F51">
            <v>4.2</v>
          </cell>
          <cell r="G51">
            <v>2.2000000000000002</v>
          </cell>
          <cell r="H51">
            <v>2.5</v>
          </cell>
          <cell r="I51">
            <v>2.2000000000000002</v>
          </cell>
          <cell r="J51">
            <v>2.7</v>
          </cell>
          <cell r="K51">
            <v>2.5</v>
          </cell>
          <cell r="L51">
            <v>2.48</v>
          </cell>
          <cell r="M51">
            <v>2.2000000000000002</v>
          </cell>
          <cell r="N51">
            <v>2.5</v>
          </cell>
          <cell r="O51">
            <v>2.7</v>
          </cell>
          <cell r="P51">
            <v>2.7</v>
          </cell>
          <cell r="Q51">
            <v>2.4</v>
          </cell>
          <cell r="R51">
            <v>2.6126764447240949</v>
          </cell>
        </row>
        <row r="52">
          <cell r="A52" t="str">
            <v>Gabon</v>
          </cell>
          <cell r="B52">
            <v>6.2</v>
          </cell>
          <cell r="C52">
            <v>5.7</v>
          </cell>
          <cell r="D52">
            <v>5.9</v>
          </cell>
          <cell r="E52">
            <v>6.2</v>
          </cell>
          <cell r="F52">
            <v>4.4000000000000004</v>
          </cell>
          <cell r="G52">
            <v>5.6</v>
          </cell>
          <cell r="H52">
            <v>5.3</v>
          </cell>
          <cell r="I52">
            <v>5</v>
          </cell>
          <cell r="J52">
            <v>4.7</v>
          </cell>
          <cell r="K52">
            <v>4.5</v>
          </cell>
          <cell r="L52">
            <v>4.2</v>
          </cell>
          <cell r="M52">
            <v>3.9</v>
          </cell>
          <cell r="N52">
            <v>3.6</v>
          </cell>
          <cell r="O52">
            <v>3.3</v>
          </cell>
          <cell r="P52">
            <v>3.1</v>
          </cell>
          <cell r="Q52">
            <v>2.6</v>
          </cell>
          <cell r="R52">
            <v>4.8229969244154125</v>
          </cell>
        </row>
        <row r="53">
          <cell r="A53" t="str">
            <v>Gambia</v>
          </cell>
          <cell r="B53">
            <v>5.8</v>
          </cell>
          <cell r="C53">
            <v>5.7</v>
          </cell>
          <cell r="D53">
            <v>6</v>
          </cell>
          <cell r="E53">
            <v>6.4</v>
          </cell>
          <cell r="F53">
            <v>6.6</v>
          </cell>
          <cell r="G53">
            <v>6.4</v>
          </cell>
          <cell r="H53">
            <v>6.7</v>
          </cell>
          <cell r="I53">
            <v>6.4</v>
          </cell>
          <cell r="J53">
            <v>6.5</v>
          </cell>
          <cell r="K53">
            <v>6.8</v>
          </cell>
          <cell r="L53">
            <v>6.3</v>
          </cell>
          <cell r="M53">
            <v>6</v>
          </cell>
          <cell r="N53">
            <v>6.3</v>
          </cell>
          <cell r="O53">
            <v>6</v>
          </cell>
          <cell r="P53">
            <v>5.7</v>
          </cell>
          <cell r="Q53">
            <v>5.8</v>
          </cell>
          <cell r="R53">
            <v>4.0323531108342596</v>
          </cell>
        </row>
        <row r="54">
          <cell r="A54" t="str">
            <v>Georgia</v>
          </cell>
          <cell r="B54">
            <v>6.8</v>
          </cell>
          <cell r="C54">
            <v>8.3000000000000007</v>
          </cell>
          <cell r="D54">
            <v>7.8</v>
          </cell>
          <cell r="E54">
            <v>7.5</v>
          </cell>
          <cell r="F54">
            <v>4.3</v>
          </cell>
          <cell r="G54">
            <v>7.5</v>
          </cell>
          <cell r="H54">
            <v>7.2</v>
          </cell>
          <cell r="I54">
            <v>7.4</v>
          </cell>
          <cell r="J54">
            <v>7.7</v>
          </cell>
          <cell r="K54">
            <v>7.5</v>
          </cell>
          <cell r="L54">
            <v>7.2</v>
          </cell>
          <cell r="M54">
            <v>6.9</v>
          </cell>
          <cell r="N54">
            <v>6.6</v>
          </cell>
          <cell r="O54">
            <v>6.3</v>
          </cell>
          <cell r="P54">
            <v>6</v>
          </cell>
          <cell r="Q54">
            <v>6.5</v>
          </cell>
          <cell r="R54">
            <v>4.4878379739759078</v>
          </cell>
        </row>
        <row r="55">
          <cell r="A55" t="str">
            <v>Germany</v>
          </cell>
          <cell r="B55">
            <v>4.3</v>
          </cell>
          <cell r="C55">
            <v>3.9</v>
          </cell>
          <cell r="D55">
            <v>4</v>
          </cell>
          <cell r="E55">
            <v>4.2</v>
          </cell>
          <cell r="F55">
            <v>7.3</v>
          </cell>
          <cell r="G55">
            <v>3.6</v>
          </cell>
          <cell r="H55">
            <v>3.3</v>
          </cell>
          <cell r="I55">
            <v>3</v>
          </cell>
          <cell r="J55">
            <v>5.7</v>
          </cell>
          <cell r="K55">
            <v>5.4</v>
          </cell>
          <cell r="L55">
            <v>4.9000000000000004</v>
          </cell>
          <cell r="M55">
            <v>4.5999999999999996</v>
          </cell>
          <cell r="N55">
            <v>4.3</v>
          </cell>
          <cell r="O55">
            <v>4</v>
          </cell>
          <cell r="P55">
            <v>4</v>
          </cell>
          <cell r="Q55">
            <v>4.5</v>
          </cell>
          <cell r="R55">
            <v>2.4047947240476883</v>
          </cell>
        </row>
        <row r="56">
          <cell r="A56" t="str">
            <v>Ghana</v>
          </cell>
          <cell r="B56">
            <v>5</v>
          </cell>
          <cell r="C56">
            <v>5.0999999999999996</v>
          </cell>
          <cell r="D56">
            <v>5.3</v>
          </cell>
          <cell r="E56">
            <v>5.5</v>
          </cell>
          <cell r="F56">
            <v>4.3</v>
          </cell>
          <cell r="G56">
            <v>5.5</v>
          </cell>
          <cell r="H56">
            <v>5.8</v>
          </cell>
          <cell r="I56">
            <v>5.5</v>
          </cell>
          <cell r="J56">
            <v>5.2</v>
          </cell>
          <cell r="K56">
            <v>5</v>
          </cell>
          <cell r="L56">
            <v>4.7</v>
          </cell>
          <cell r="M56">
            <v>4.4000000000000004</v>
          </cell>
          <cell r="N56">
            <v>4.3</v>
          </cell>
          <cell r="O56">
            <v>4</v>
          </cell>
          <cell r="P56">
            <v>3.8</v>
          </cell>
          <cell r="Q56">
            <v>3.5</v>
          </cell>
          <cell r="R56">
            <v>3.3270983355008634</v>
          </cell>
        </row>
        <row r="57">
          <cell r="A57" t="str">
            <v>Greece</v>
          </cell>
          <cell r="B57">
            <v>2.6</v>
          </cell>
          <cell r="C57">
            <v>2.7</v>
          </cell>
          <cell r="D57">
            <v>2.8</v>
          </cell>
          <cell r="E57">
            <v>2.6</v>
          </cell>
          <cell r="F57">
            <v>6.1</v>
          </cell>
          <cell r="G57">
            <v>2</v>
          </cell>
          <cell r="H57">
            <v>1.9</v>
          </cell>
          <cell r="I57">
            <v>1.6</v>
          </cell>
          <cell r="J57">
            <v>5</v>
          </cell>
          <cell r="K57">
            <v>6.5</v>
          </cell>
          <cell r="L57">
            <v>6</v>
          </cell>
          <cell r="M57">
            <v>5.7</v>
          </cell>
          <cell r="N57">
            <v>5.8</v>
          </cell>
          <cell r="O57">
            <v>5.9</v>
          </cell>
          <cell r="P57">
            <v>5.6</v>
          </cell>
          <cell r="Q57">
            <v>5.3</v>
          </cell>
          <cell r="R57">
            <v>3.1183719937975516</v>
          </cell>
        </row>
        <row r="58">
          <cell r="A58" t="str">
            <v>Guatemala</v>
          </cell>
          <cell r="B58">
            <v>6</v>
          </cell>
          <cell r="C58">
            <v>5.8</v>
          </cell>
          <cell r="D58">
            <v>5.6</v>
          </cell>
          <cell r="E58">
            <v>5.6</v>
          </cell>
          <cell r="F58">
            <v>3.3</v>
          </cell>
          <cell r="G58">
            <v>6</v>
          </cell>
          <cell r="H58">
            <v>6</v>
          </cell>
          <cell r="I58">
            <v>5.5</v>
          </cell>
          <cell r="J58">
            <v>5.8</v>
          </cell>
          <cell r="K58">
            <v>5.6</v>
          </cell>
          <cell r="L58">
            <v>5.3</v>
          </cell>
          <cell r="M58">
            <v>5.4</v>
          </cell>
          <cell r="N58">
            <v>5.0999999999999996</v>
          </cell>
          <cell r="O58">
            <v>4.8</v>
          </cell>
          <cell r="P58">
            <v>4.9000000000000004</v>
          </cell>
          <cell r="Q58">
            <v>5.3</v>
          </cell>
          <cell r="R58">
            <v>4.3306758566924923</v>
          </cell>
        </row>
        <row r="59">
          <cell r="A59" t="str">
            <v>Guinea</v>
          </cell>
          <cell r="B59">
            <v>7.4</v>
          </cell>
          <cell r="C59">
            <v>7.1</v>
          </cell>
          <cell r="D59">
            <v>7.5</v>
          </cell>
          <cell r="E59">
            <v>7.7</v>
          </cell>
          <cell r="F59">
            <v>7.1</v>
          </cell>
          <cell r="G59">
            <v>8.1999999999999993</v>
          </cell>
          <cell r="H59">
            <v>8.3000000000000007</v>
          </cell>
          <cell r="I59">
            <v>8.6999999999999993</v>
          </cell>
          <cell r="J59">
            <v>8.4</v>
          </cell>
          <cell r="K59">
            <v>8.1999999999999993</v>
          </cell>
          <cell r="L59">
            <v>7.9</v>
          </cell>
          <cell r="M59">
            <v>7.6</v>
          </cell>
          <cell r="N59">
            <v>7.3</v>
          </cell>
          <cell r="O59">
            <v>7</v>
          </cell>
          <cell r="P59">
            <v>6.5</v>
          </cell>
          <cell r="Q59">
            <v>6.2</v>
          </cell>
          <cell r="R59">
            <v>5.8113519223845893</v>
          </cell>
        </row>
        <row r="60">
          <cell r="A60" t="str">
            <v>Guinea-Bissau</v>
          </cell>
          <cell r="B60">
            <v>6.5</v>
          </cell>
          <cell r="C60">
            <v>6.5</v>
          </cell>
          <cell r="D60">
            <v>6.8</v>
          </cell>
          <cell r="E60">
            <v>7.2</v>
          </cell>
          <cell r="F60">
            <v>6</v>
          </cell>
          <cell r="G60">
            <v>7.8</v>
          </cell>
          <cell r="H60">
            <v>8.1</v>
          </cell>
          <cell r="I60">
            <v>7.8</v>
          </cell>
          <cell r="J60">
            <v>7.5</v>
          </cell>
          <cell r="K60">
            <v>7.3</v>
          </cell>
          <cell r="L60">
            <v>7</v>
          </cell>
          <cell r="M60">
            <v>6.7</v>
          </cell>
          <cell r="N60">
            <v>6.43</v>
          </cell>
          <cell r="O60">
            <v>6.1</v>
          </cell>
          <cell r="P60">
            <v>5.8</v>
          </cell>
          <cell r="Q60">
            <v>5.5</v>
          </cell>
          <cell r="R60">
            <v>4.75221994927327</v>
          </cell>
        </row>
        <row r="61">
          <cell r="A61" t="str">
            <v>Guyana</v>
          </cell>
          <cell r="B61">
            <v>3.6</v>
          </cell>
          <cell r="C61">
            <v>3.5</v>
          </cell>
          <cell r="D61">
            <v>3.6</v>
          </cell>
          <cell r="E61">
            <v>3.6</v>
          </cell>
          <cell r="F61">
            <v>7.6</v>
          </cell>
          <cell r="G61">
            <v>3.8</v>
          </cell>
          <cell r="H61">
            <v>4.0999999999999996</v>
          </cell>
          <cell r="I61">
            <v>3.6</v>
          </cell>
          <cell r="J61">
            <v>3.8</v>
          </cell>
          <cell r="K61">
            <v>3.8</v>
          </cell>
          <cell r="L61">
            <v>3.75</v>
          </cell>
          <cell r="M61">
            <v>3.5</v>
          </cell>
          <cell r="N61">
            <v>3.6</v>
          </cell>
          <cell r="O61">
            <v>3.4</v>
          </cell>
          <cell r="P61">
            <v>3.3</v>
          </cell>
          <cell r="Q61">
            <v>3</v>
          </cell>
          <cell r="R61">
            <v>3.5340476904310725</v>
          </cell>
        </row>
        <row r="62">
          <cell r="A62" t="str">
            <v>Haiti</v>
          </cell>
          <cell r="B62">
            <v>4.2</v>
          </cell>
          <cell r="C62">
            <v>5.8</v>
          </cell>
          <cell r="D62">
            <v>5.6</v>
          </cell>
          <cell r="E62">
            <v>9.1999999999999993</v>
          </cell>
          <cell r="F62">
            <v>4.3</v>
          </cell>
          <cell r="G62">
            <v>8.6</v>
          </cell>
          <cell r="H62">
            <v>8.5</v>
          </cell>
          <cell r="I62">
            <v>8.1999999999999993</v>
          </cell>
          <cell r="J62">
            <v>7.9</v>
          </cell>
          <cell r="K62">
            <v>7.7</v>
          </cell>
          <cell r="L62">
            <v>7.7</v>
          </cell>
          <cell r="M62">
            <v>7.4</v>
          </cell>
          <cell r="N62">
            <v>7.1</v>
          </cell>
          <cell r="O62">
            <v>7.1</v>
          </cell>
          <cell r="P62">
            <v>7.2</v>
          </cell>
          <cell r="Q62">
            <v>7.7</v>
          </cell>
          <cell r="R62">
            <v>6.4004016299436071</v>
          </cell>
        </row>
        <row r="63">
          <cell r="A63" t="str">
            <v>Honduras</v>
          </cell>
          <cell r="B63">
            <v>2</v>
          </cell>
          <cell r="C63">
            <v>4</v>
          </cell>
          <cell r="D63">
            <v>4.0999999999999996</v>
          </cell>
          <cell r="E63">
            <v>3.9</v>
          </cell>
          <cell r="F63">
            <v>5.9</v>
          </cell>
          <cell r="G63">
            <v>3.9</v>
          </cell>
          <cell r="H63">
            <v>4.2</v>
          </cell>
          <cell r="I63">
            <v>3.7</v>
          </cell>
          <cell r="J63">
            <v>4</v>
          </cell>
          <cell r="K63">
            <v>4.3</v>
          </cell>
          <cell r="L63">
            <v>4.5999999999999996</v>
          </cell>
          <cell r="M63">
            <v>5.0999999999999996</v>
          </cell>
          <cell r="N63">
            <v>5.4</v>
          </cell>
          <cell r="O63">
            <v>5.5</v>
          </cell>
          <cell r="P63">
            <v>5.3</v>
          </cell>
          <cell r="Q63">
            <v>5.8</v>
          </cell>
          <cell r="R63">
            <v>4.7090324445493419</v>
          </cell>
        </row>
        <row r="64">
          <cell r="A64" t="str">
            <v>Hungary</v>
          </cell>
          <cell r="B64">
            <v>3.4</v>
          </cell>
          <cell r="C64">
            <v>3</v>
          </cell>
          <cell r="D64">
            <v>3.1</v>
          </cell>
          <cell r="E64">
            <v>3.1</v>
          </cell>
          <cell r="F64">
            <v>6.7</v>
          </cell>
          <cell r="G64">
            <v>2.9</v>
          </cell>
          <cell r="H64">
            <v>2.8</v>
          </cell>
          <cell r="I64">
            <v>2.5</v>
          </cell>
          <cell r="J64">
            <v>6.7</v>
          </cell>
          <cell r="K64">
            <v>6.5</v>
          </cell>
          <cell r="L64">
            <v>6.2</v>
          </cell>
          <cell r="M64">
            <v>5.9</v>
          </cell>
          <cell r="N64">
            <v>5.6</v>
          </cell>
          <cell r="O64">
            <v>5.6</v>
          </cell>
          <cell r="P64">
            <v>5.7</v>
          </cell>
          <cell r="Q64">
            <v>5.4</v>
          </cell>
          <cell r="R64">
            <v>2.4512438287777085</v>
          </cell>
        </row>
        <row r="65">
          <cell r="A65" t="str">
            <v>Iceland</v>
          </cell>
          <cell r="B65">
            <v>0.9</v>
          </cell>
          <cell r="C65">
            <v>0.9</v>
          </cell>
          <cell r="D65">
            <v>1.1000000000000001</v>
          </cell>
          <cell r="E65">
            <v>1.5</v>
          </cell>
          <cell r="F65">
            <v>4.5999999999999996</v>
          </cell>
          <cell r="G65">
            <v>1.6</v>
          </cell>
          <cell r="H65">
            <v>1.6</v>
          </cell>
          <cell r="I65">
            <v>1.4</v>
          </cell>
          <cell r="J65">
            <v>1.7</v>
          </cell>
          <cell r="K65">
            <v>2</v>
          </cell>
          <cell r="L65">
            <v>1.8</v>
          </cell>
          <cell r="M65">
            <v>1.7</v>
          </cell>
          <cell r="N65">
            <v>1.7</v>
          </cell>
          <cell r="O65">
            <v>1.5</v>
          </cell>
          <cell r="P65">
            <v>1.8</v>
          </cell>
          <cell r="Q65">
            <v>1.5</v>
          </cell>
          <cell r="R65">
            <v>0.60862767400442497</v>
          </cell>
        </row>
        <row r="66">
          <cell r="A66" t="str">
            <v>India</v>
          </cell>
          <cell r="B66">
            <v>3.2</v>
          </cell>
          <cell r="C66">
            <v>4.9000000000000004</v>
          </cell>
          <cell r="D66">
            <v>5.2</v>
          </cell>
          <cell r="E66">
            <v>5</v>
          </cell>
          <cell r="F66">
            <v>4.7</v>
          </cell>
          <cell r="G66">
            <v>5.2</v>
          </cell>
          <cell r="H66">
            <v>5.0999999999999996</v>
          </cell>
          <cell r="I66">
            <v>5.4</v>
          </cell>
          <cell r="J66">
            <v>5.5</v>
          </cell>
          <cell r="K66">
            <v>5.3</v>
          </cell>
          <cell r="L66">
            <v>5</v>
          </cell>
          <cell r="M66">
            <v>4.7</v>
          </cell>
          <cell r="N66">
            <v>4.4000000000000004</v>
          </cell>
          <cell r="O66">
            <v>4.0999999999999996</v>
          </cell>
          <cell r="P66">
            <v>3.8</v>
          </cell>
          <cell r="Q66">
            <v>4.0999999999999996</v>
          </cell>
          <cell r="R66">
            <v>5.1701792886309876</v>
          </cell>
        </row>
        <row r="67">
          <cell r="A67" t="str">
            <v>Indonesia</v>
          </cell>
          <cell r="B67">
            <v>7.3</v>
          </cell>
          <cell r="C67">
            <v>6.7</v>
          </cell>
          <cell r="D67">
            <v>6.5</v>
          </cell>
          <cell r="E67">
            <v>6.6</v>
          </cell>
          <cell r="F67">
            <v>6.8</v>
          </cell>
          <cell r="G67">
            <v>6</v>
          </cell>
          <cell r="H67">
            <v>5.9</v>
          </cell>
          <cell r="I67">
            <v>5.9</v>
          </cell>
          <cell r="J67">
            <v>5.6</v>
          </cell>
          <cell r="K67">
            <v>5.4</v>
          </cell>
          <cell r="L67">
            <v>5.0999999999999996</v>
          </cell>
          <cell r="M67">
            <v>4.8</v>
          </cell>
          <cell r="N67">
            <v>4.5</v>
          </cell>
          <cell r="O67">
            <v>4.2</v>
          </cell>
          <cell r="P67">
            <v>4.3</v>
          </cell>
          <cell r="Q67">
            <v>4.4000000000000004</v>
          </cell>
          <cell r="R67">
            <v>4.2130497665135938</v>
          </cell>
        </row>
        <row r="68">
          <cell r="A68" t="str">
            <v>Iran</v>
          </cell>
          <cell r="B68">
            <v>8.6999999999999993</v>
          </cell>
          <cell r="C68">
            <v>8.5</v>
          </cell>
          <cell r="D68">
            <v>8.3000000000000007</v>
          </cell>
          <cell r="E68">
            <v>7.9</v>
          </cell>
          <cell r="F68">
            <v>3.6</v>
          </cell>
          <cell r="G68">
            <v>7.3</v>
          </cell>
          <cell r="H68">
            <v>6.8</v>
          </cell>
          <cell r="I68">
            <v>6.5</v>
          </cell>
          <cell r="J68">
            <v>6.7</v>
          </cell>
          <cell r="K68">
            <v>6.5</v>
          </cell>
          <cell r="L68">
            <v>6.2</v>
          </cell>
          <cell r="M68">
            <v>5.9</v>
          </cell>
          <cell r="N68">
            <v>5.6</v>
          </cell>
          <cell r="O68">
            <v>5.3</v>
          </cell>
          <cell r="P68">
            <v>5.4</v>
          </cell>
          <cell r="Q68">
            <v>5.5</v>
          </cell>
          <cell r="R68">
            <v>6.7398661535101052</v>
          </cell>
        </row>
        <row r="69">
          <cell r="A69" t="str">
            <v>Iraq</v>
          </cell>
          <cell r="B69">
            <v>9</v>
          </cell>
          <cell r="C69">
            <v>8.9</v>
          </cell>
          <cell r="D69">
            <v>8.6999999999999993</v>
          </cell>
          <cell r="E69">
            <v>9</v>
          </cell>
          <cell r="F69">
            <v>5.9</v>
          </cell>
          <cell r="G69">
            <v>8.8000000000000007</v>
          </cell>
          <cell r="H69">
            <v>8.5</v>
          </cell>
          <cell r="I69">
            <v>8.9</v>
          </cell>
          <cell r="J69">
            <v>9.4</v>
          </cell>
          <cell r="K69">
            <v>9.9</v>
          </cell>
          <cell r="L69">
            <v>9.6</v>
          </cell>
          <cell r="M69">
            <v>9.1</v>
          </cell>
          <cell r="N69">
            <v>8.6</v>
          </cell>
          <cell r="O69">
            <v>8.3000000000000007</v>
          </cell>
          <cell r="P69">
            <v>8</v>
          </cell>
          <cell r="Q69">
            <v>7.7</v>
          </cell>
          <cell r="R69">
            <v>7.4348148695487355</v>
          </cell>
        </row>
        <row r="70">
          <cell r="A70" t="str">
            <v>Ireland</v>
          </cell>
          <cell r="B70">
            <v>1.5</v>
          </cell>
          <cell r="C70">
            <v>1.5</v>
          </cell>
          <cell r="D70">
            <v>1.6</v>
          </cell>
          <cell r="E70">
            <v>2</v>
          </cell>
          <cell r="F70">
            <v>6.5</v>
          </cell>
          <cell r="G70">
            <v>1.4</v>
          </cell>
          <cell r="H70">
            <v>1.4</v>
          </cell>
          <cell r="I70">
            <v>1.4</v>
          </cell>
          <cell r="J70">
            <v>1.7</v>
          </cell>
          <cell r="K70">
            <v>2</v>
          </cell>
          <cell r="L70">
            <v>1.7</v>
          </cell>
          <cell r="M70">
            <v>1.4</v>
          </cell>
          <cell r="N70">
            <v>1.1000000000000001</v>
          </cell>
          <cell r="O70">
            <v>1.4</v>
          </cell>
          <cell r="P70">
            <v>1.3</v>
          </cell>
          <cell r="Q70">
            <v>1.6</v>
          </cell>
          <cell r="R70">
            <v>1.0254929088689908</v>
          </cell>
        </row>
        <row r="71">
          <cell r="A71" t="str">
            <v>Israel</v>
          </cell>
          <cell r="B71">
            <v>8.1</v>
          </cell>
          <cell r="C71">
            <v>8</v>
          </cell>
          <cell r="D71">
            <v>7.8</v>
          </cell>
          <cell r="E71">
            <v>7.6</v>
          </cell>
          <cell r="F71">
            <v>5.5</v>
          </cell>
          <cell r="G71">
            <v>7.4</v>
          </cell>
          <cell r="H71">
            <v>7.1</v>
          </cell>
          <cell r="I71">
            <v>7.4</v>
          </cell>
          <cell r="J71">
            <v>7.5</v>
          </cell>
          <cell r="K71">
            <v>7.3</v>
          </cell>
          <cell r="L71">
            <v>7.48</v>
          </cell>
          <cell r="M71">
            <v>7.2</v>
          </cell>
          <cell r="N71">
            <v>7.5</v>
          </cell>
          <cell r="O71">
            <v>7.5</v>
          </cell>
          <cell r="P71">
            <v>5.9</v>
          </cell>
          <cell r="Q71">
            <v>1.7</v>
          </cell>
          <cell r="R71">
            <v>6.3229844470905228</v>
          </cell>
        </row>
        <row r="72">
          <cell r="A72" t="str">
            <v>Italy</v>
          </cell>
          <cell r="B72">
            <v>3.5</v>
          </cell>
          <cell r="C72">
            <v>3.7</v>
          </cell>
          <cell r="D72">
            <v>3.9</v>
          </cell>
          <cell r="E72">
            <v>3.5</v>
          </cell>
          <cell r="F72">
            <v>6.5</v>
          </cell>
          <cell r="G72">
            <v>3.3</v>
          </cell>
          <cell r="H72">
            <v>3.4</v>
          </cell>
          <cell r="I72">
            <v>3.7</v>
          </cell>
          <cell r="J72">
            <v>5</v>
          </cell>
          <cell r="K72">
            <v>5.5</v>
          </cell>
          <cell r="L72">
            <v>5.2</v>
          </cell>
          <cell r="M72">
            <v>5.3</v>
          </cell>
          <cell r="N72">
            <v>5</v>
          </cell>
          <cell r="O72">
            <v>4.5</v>
          </cell>
          <cell r="P72">
            <v>4.5999999999999996</v>
          </cell>
          <cell r="Q72">
            <v>4.3</v>
          </cell>
          <cell r="R72">
            <v>2.67952997563106</v>
          </cell>
        </row>
        <row r="73">
          <cell r="A73" t="str">
            <v>Jamaica</v>
          </cell>
          <cell r="B73">
            <v>2.4</v>
          </cell>
          <cell r="C73">
            <v>2.7</v>
          </cell>
          <cell r="D73">
            <v>2.8</v>
          </cell>
          <cell r="E73">
            <v>3.4</v>
          </cell>
          <cell r="F73">
            <v>5.5</v>
          </cell>
          <cell r="G73">
            <v>3.4</v>
          </cell>
          <cell r="H73">
            <v>3.3</v>
          </cell>
          <cell r="I73">
            <v>3</v>
          </cell>
          <cell r="J73">
            <v>3.1</v>
          </cell>
          <cell r="K73">
            <v>3.1</v>
          </cell>
          <cell r="L73">
            <v>3.02</v>
          </cell>
          <cell r="M73">
            <v>2.7</v>
          </cell>
          <cell r="N73">
            <v>2.9</v>
          </cell>
          <cell r="O73">
            <v>2.8</v>
          </cell>
          <cell r="P73">
            <v>2.5</v>
          </cell>
          <cell r="Q73">
            <v>2.2000000000000002</v>
          </cell>
          <cell r="R73">
            <v>2.9395817214716167</v>
          </cell>
        </row>
        <row r="74">
          <cell r="A74" t="str">
            <v>Japan</v>
          </cell>
          <cell r="B74">
            <v>1.1000000000000001</v>
          </cell>
          <cell r="C74">
            <v>1.1000000000000001</v>
          </cell>
          <cell r="D74">
            <v>1.2</v>
          </cell>
          <cell r="E74">
            <v>1.1000000000000001</v>
          </cell>
          <cell r="F74">
            <v>3.9</v>
          </cell>
          <cell r="G74">
            <v>3.7</v>
          </cell>
          <cell r="H74">
            <v>3.4</v>
          </cell>
          <cell r="I74">
            <v>3.1</v>
          </cell>
          <cell r="J74">
            <v>3.4</v>
          </cell>
          <cell r="K74">
            <v>4.4000000000000004</v>
          </cell>
          <cell r="L74">
            <v>4.0999999999999996</v>
          </cell>
          <cell r="M74">
            <v>3.8</v>
          </cell>
          <cell r="N74">
            <v>3.5</v>
          </cell>
          <cell r="O74">
            <v>3.2</v>
          </cell>
          <cell r="P74">
            <v>2.9</v>
          </cell>
          <cell r="Q74">
            <v>2.6</v>
          </cell>
          <cell r="R74">
            <v>1.8011077346167965</v>
          </cell>
        </row>
        <row r="75">
          <cell r="A75" t="str">
            <v>Jordan</v>
          </cell>
          <cell r="B75">
            <v>7.8</v>
          </cell>
          <cell r="C75">
            <v>7.9</v>
          </cell>
          <cell r="D75">
            <v>7.9</v>
          </cell>
          <cell r="E75">
            <v>7.6</v>
          </cell>
          <cell r="F75">
            <v>4.5</v>
          </cell>
          <cell r="G75">
            <v>7.8</v>
          </cell>
          <cell r="H75">
            <v>8.3000000000000007</v>
          </cell>
          <cell r="I75">
            <v>8.8000000000000007</v>
          </cell>
          <cell r="J75">
            <v>9.3000000000000007</v>
          </cell>
          <cell r="K75">
            <v>9.6</v>
          </cell>
          <cell r="L75">
            <v>9.1</v>
          </cell>
          <cell r="M75">
            <v>8.8000000000000007</v>
          </cell>
          <cell r="N75">
            <v>8.5</v>
          </cell>
          <cell r="O75">
            <v>8.6</v>
          </cell>
          <cell r="P75">
            <v>8.6999999999999993</v>
          </cell>
          <cell r="Q75">
            <v>8.4</v>
          </cell>
          <cell r="R75">
            <v>4.5551293162713815</v>
          </cell>
        </row>
        <row r="76">
          <cell r="A76" t="str">
            <v>Kazakhstan</v>
          </cell>
          <cell r="B76">
            <v>3.6</v>
          </cell>
          <cell r="C76">
            <v>3.9</v>
          </cell>
          <cell r="D76">
            <v>4</v>
          </cell>
          <cell r="E76">
            <v>3.8</v>
          </cell>
          <cell r="F76">
            <v>5</v>
          </cell>
          <cell r="G76">
            <v>3.8</v>
          </cell>
          <cell r="H76">
            <v>3.8</v>
          </cell>
          <cell r="I76">
            <v>3.5</v>
          </cell>
          <cell r="J76">
            <v>3.2</v>
          </cell>
          <cell r="K76">
            <v>3</v>
          </cell>
          <cell r="L76">
            <v>2.7</v>
          </cell>
          <cell r="M76">
            <v>2.4</v>
          </cell>
          <cell r="N76">
            <v>2.2999999999999998</v>
          </cell>
          <cell r="O76">
            <v>2.1</v>
          </cell>
          <cell r="P76">
            <v>2</v>
          </cell>
          <cell r="Q76">
            <v>2.2999999999999998</v>
          </cell>
          <cell r="R76">
            <v>3.2974280440696719</v>
          </cell>
        </row>
        <row r="77">
          <cell r="A77" t="str">
            <v>Kenya</v>
          </cell>
          <cell r="B77">
            <v>8.5</v>
          </cell>
          <cell r="C77">
            <v>9</v>
          </cell>
          <cell r="D77">
            <v>8.6999999999999993</v>
          </cell>
          <cell r="E77">
            <v>8.5</v>
          </cell>
          <cell r="F77">
            <v>6.7</v>
          </cell>
          <cell r="G77">
            <v>8.6999999999999993</v>
          </cell>
          <cell r="H77">
            <v>8.1999999999999993</v>
          </cell>
          <cell r="I77">
            <v>8.3000000000000007</v>
          </cell>
          <cell r="J77">
            <v>8</v>
          </cell>
          <cell r="K77">
            <v>8.3000000000000007</v>
          </cell>
          <cell r="L77">
            <v>8</v>
          </cell>
          <cell r="M77">
            <v>7.7</v>
          </cell>
          <cell r="N77">
            <v>7.4</v>
          </cell>
          <cell r="O77">
            <v>7.5</v>
          </cell>
          <cell r="P77">
            <v>7.6</v>
          </cell>
          <cell r="Q77">
            <v>7.3</v>
          </cell>
          <cell r="R77">
            <v>6.2756163208852698</v>
          </cell>
        </row>
        <row r="78">
          <cell r="A78" t="str">
            <v>Kuwait</v>
          </cell>
          <cell r="B78">
            <v>4.4000000000000004</v>
          </cell>
          <cell r="C78">
            <v>4.2</v>
          </cell>
          <cell r="D78">
            <v>4.0999999999999996</v>
          </cell>
          <cell r="E78">
            <v>3.8</v>
          </cell>
          <cell r="F78">
            <v>3.3</v>
          </cell>
          <cell r="G78">
            <v>3.8</v>
          </cell>
          <cell r="H78">
            <v>3.7</v>
          </cell>
          <cell r="I78">
            <v>4</v>
          </cell>
          <cell r="J78">
            <v>3.7</v>
          </cell>
          <cell r="K78">
            <v>3.5</v>
          </cell>
          <cell r="L78">
            <v>3.2</v>
          </cell>
          <cell r="M78">
            <v>2.9</v>
          </cell>
          <cell r="N78">
            <v>2.62</v>
          </cell>
          <cell r="O78">
            <v>2.4</v>
          </cell>
          <cell r="P78">
            <v>2.2999999999999998</v>
          </cell>
          <cell r="Q78">
            <v>2</v>
          </cell>
          <cell r="R78">
            <v>2.4790677494542814</v>
          </cell>
        </row>
        <row r="79">
          <cell r="A79" t="str">
            <v>Kyrgyz Republic</v>
          </cell>
          <cell r="B79">
            <v>5.8</v>
          </cell>
          <cell r="C79">
            <v>5.3</v>
          </cell>
          <cell r="D79">
            <v>5.2</v>
          </cell>
          <cell r="E79">
            <v>6.5</v>
          </cell>
          <cell r="F79">
            <v>6.5</v>
          </cell>
          <cell r="G79">
            <v>5.6</v>
          </cell>
          <cell r="H79">
            <v>5.5</v>
          </cell>
          <cell r="I79">
            <v>5.8</v>
          </cell>
          <cell r="J79">
            <v>5.5</v>
          </cell>
          <cell r="K79">
            <v>5.3</v>
          </cell>
          <cell r="L79">
            <v>5</v>
          </cell>
          <cell r="M79">
            <v>4.7</v>
          </cell>
          <cell r="N79">
            <v>4.4000000000000004</v>
          </cell>
          <cell r="O79">
            <v>4.0999999999999996</v>
          </cell>
          <cell r="P79">
            <v>3.8</v>
          </cell>
          <cell r="Q79">
            <v>3.9</v>
          </cell>
          <cell r="R79">
            <v>4.2127454944996954</v>
          </cell>
        </row>
        <row r="80">
          <cell r="A80" t="str">
            <v>Laos</v>
          </cell>
          <cell r="B80">
            <v>5.7</v>
          </cell>
          <cell r="C80">
            <v>5.9</v>
          </cell>
          <cell r="D80">
            <v>5.9</v>
          </cell>
          <cell r="E80">
            <v>5.8</v>
          </cell>
          <cell r="F80">
            <v>6.2</v>
          </cell>
          <cell r="G80">
            <v>5.8</v>
          </cell>
          <cell r="H80">
            <v>5.9</v>
          </cell>
          <cell r="I80">
            <v>5.6</v>
          </cell>
          <cell r="J80">
            <v>5.3</v>
          </cell>
          <cell r="K80">
            <v>5.0999999999999996</v>
          </cell>
          <cell r="L80">
            <v>5.4</v>
          </cell>
          <cell r="M80">
            <v>5.0999999999999996</v>
          </cell>
          <cell r="N80">
            <v>5.4</v>
          </cell>
          <cell r="O80">
            <v>5.0999999999999996</v>
          </cell>
          <cell r="P80">
            <v>5.0999999999999996</v>
          </cell>
          <cell r="Q80">
            <v>5.4</v>
          </cell>
          <cell r="R80">
            <v>3.5059727005433752</v>
          </cell>
        </row>
        <row r="81">
          <cell r="A81" t="str">
            <v>Latvia</v>
          </cell>
          <cell r="B81">
            <v>4.9000000000000004</v>
          </cell>
          <cell r="C81">
            <v>4.5</v>
          </cell>
          <cell r="D81">
            <v>4.3</v>
          </cell>
          <cell r="E81">
            <v>3.9</v>
          </cell>
          <cell r="F81">
            <v>5.6</v>
          </cell>
          <cell r="G81">
            <v>3.3</v>
          </cell>
          <cell r="H81">
            <v>3.2</v>
          </cell>
          <cell r="I81">
            <v>2.9</v>
          </cell>
          <cell r="J81">
            <v>3</v>
          </cell>
          <cell r="K81">
            <v>2.8</v>
          </cell>
          <cell r="L81">
            <v>2.5</v>
          </cell>
          <cell r="M81">
            <v>2.2000000000000002</v>
          </cell>
          <cell r="N81">
            <v>2.1</v>
          </cell>
          <cell r="O81">
            <v>1.9</v>
          </cell>
          <cell r="P81">
            <v>2</v>
          </cell>
          <cell r="Q81">
            <v>3</v>
          </cell>
          <cell r="R81">
            <v>2.2798730703510581</v>
          </cell>
        </row>
        <row r="82">
          <cell r="A82" t="str">
            <v>Lebanon</v>
          </cell>
          <cell r="B82">
            <v>9</v>
          </cell>
          <cell r="C82">
            <v>9</v>
          </cell>
          <cell r="D82">
            <v>8.9</v>
          </cell>
          <cell r="E82">
            <v>8.5</v>
          </cell>
          <cell r="F82">
            <v>6.3</v>
          </cell>
          <cell r="G82">
            <v>8.5</v>
          </cell>
          <cell r="H82">
            <v>8.6</v>
          </cell>
          <cell r="I82">
            <v>9.1</v>
          </cell>
          <cell r="J82">
            <v>9.5</v>
          </cell>
          <cell r="K82">
            <v>9.3000000000000007</v>
          </cell>
          <cell r="L82">
            <v>9</v>
          </cell>
          <cell r="M82">
            <v>8.6999999999999993</v>
          </cell>
          <cell r="N82">
            <v>8.6999999999999993</v>
          </cell>
          <cell r="O82">
            <v>8.8000000000000007</v>
          </cell>
          <cell r="P82">
            <v>8.5</v>
          </cell>
          <cell r="Q82">
            <v>8.8000000000000007</v>
          </cell>
          <cell r="R82">
            <v>6.7159493554581706</v>
          </cell>
        </row>
        <row r="83">
          <cell r="A83" t="str">
            <v>Lesotho</v>
          </cell>
          <cell r="B83">
            <v>4.5999999999999996</v>
          </cell>
          <cell r="C83">
            <v>4.7</v>
          </cell>
          <cell r="D83">
            <v>4.8</v>
          </cell>
          <cell r="E83">
            <v>4.5999999999999996</v>
          </cell>
          <cell r="F83">
            <v>7.3</v>
          </cell>
          <cell r="G83">
            <v>4.9000000000000004</v>
          </cell>
          <cell r="H83">
            <v>5.2</v>
          </cell>
          <cell r="I83">
            <v>4.9000000000000004</v>
          </cell>
          <cell r="J83">
            <v>4.8</v>
          </cell>
          <cell r="K83">
            <v>4.8</v>
          </cell>
          <cell r="L83">
            <v>4.7300000000000004</v>
          </cell>
          <cell r="M83">
            <v>4.4000000000000004</v>
          </cell>
          <cell r="N83">
            <v>4.5999999999999996</v>
          </cell>
          <cell r="O83">
            <v>4.3</v>
          </cell>
          <cell r="P83">
            <v>4.2</v>
          </cell>
          <cell r="Q83">
            <v>3.9</v>
          </cell>
          <cell r="R83">
            <v>4.3207996694752175</v>
          </cell>
        </row>
        <row r="84">
          <cell r="A84" t="str">
            <v>Liberia</v>
          </cell>
          <cell r="B84">
            <v>8.4</v>
          </cell>
          <cell r="C84">
            <v>8</v>
          </cell>
          <cell r="D84">
            <v>8.1999999999999993</v>
          </cell>
          <cell r="E84">
            <v>8.6</v>
          </cell>
          <cell r="F84">
            <v>4</v>
          </cell>
          <cell r="G84">
            <v>9.1999999999999993</v>
          </cell>
          <cell r="H84">
            <v>9.1</v>
          </cell>
          <cell r="I84">
            <v>9.1999999999999993</v>
          </cell>
          <cell r="J84">
            <v>8.9</v>
          </cell>
          <cell r="K84">
            <v>8.6999999999999993</v>
          </cell>
          <cell r="L84">
            <v>8.4</v>
          </cell>
          <cell r="M84">
            <v>8.1</v>
          </cell>
          <cell r="N84">
            <v>7.8</v>
          </cell>
          <cell r="O84">
            <v>7.5</v>
          </cell>
          <cell r="P84">
            <v>7.8</v>
          </cell>
          <cell r="Q84">
            <v>7.4</v>
          </cell>
          <cell r="R84">
            <v>4.5544777303530273</v>
          </cell>
        </row>
        <row r="85">
          <cell r="A85" t="str">
            <v>Libya</v>
          </cell>
          <cell r="B85">
            <v>4</v>
          </cell>
          <cell r="C85">
            <v>4.2</v>
          </cell>
          <cell r="D85">
            <v>4.3</v>
          </cell>
          <cell r="E85">
            <v>4.5999999999999996</v>
          </cell>
          <cell r="F85">
            <v>5.9</v>
          </cell>
          <cell r="G85">
            <v>5.4</v>
          </cell>
          <cell r="H85">
            <v>5.7</v>
          </cell>
          <cell r="I85">
            <v>7.4</v>
          </cell>
          <cell r="J85">
            <v>8</v>
          </cell>
          <cell r="K85">
            <v>8.3000000000000007</v>
          </cell>
          <cell r="L85">
            <v>8</v>
          </cell>
          <cell r="M85">
            <v>7.7</v>
          </cell>
          <cell r="N85">
            <v>8</v>
          </cell>
          <cell r="O85">
            <v>7.7</v>
          </cell>
          <cell r="P85">
            <v>7.4</v>
          </cell>
          <cell r="Q85">
            <v>7.5</v>
          </cell>
          <cell r="R85">
            <v>6.468378534511622</v>
          </cell>
        </row>
        <row r="86">
          <cell r="A86" t="str">
            <v>Lithuania</v>
          </cell>
          <cell r="B86">
            <v>3.1</v>
          </cell>
          <cell r="C86">
            <v>2.8</v>
          </cell>
          <cell r="D86">
            <v>2.9</v>
          </cell>
          <cell r="E86">
            <v>3.2</v>
          </cell>
          <cell r="F86">
            <v>5.2</v>
          </cell>
          <cell r="G86">
            <v>2.9</v>
          </cell>
          <cell r="H86">
            <v>2.9</v>
          </cell>
          <cell r="I86">
            <v>2.6</v>
          </cell>
          <cell r="J86">
            <v>2.4</v>
          </cell>
          <cell r="K86">
            <v>2.2999999999999998</v>
          </cell>
          <cell r="L86">
            <v>2.16</v>
          </cell>
          <cell r="M86">
            <v>1.9</v>
          </cell>
          <cell r="N86">
            <v>1.9</v>
          </cell>
          <cell r="O86">
            <v>1.8</v>
          </cell>
          <cell r="P86">
            <v>1.9</v>
          </cell>
          <cell r="Q86">
            <v>2.9</v>
          </cell>
          <cell r="R86">
            <v>2.075529499473042</v>
          </cell>
        </row>
        <row r="87">
          <cell r="A87" t="str">
            <v>Madagascar</v>
          </cell>
          <cell r="B87">
            <v>2.5</v>
          </cell>
          <cell r="C87">
            <v>5</v>
          </cell>
          <cell r="D87">
            <v>4.8</v>
          </cell>
          <cell r="E87">
            <v>4.5999999999999996</v>
          </cell>
          <cell r="F87">
            <v>4.4000000000000004</v>
          </cell>
          <cell r="G87">
            <v>4.3</v>
          </cell>
          <cell r="H87">
            <v>4.2</v>
          </cell>
          <cell r="I87">
            <v>3.9</v>
          </cell>
          <cell r="J87">
            <v>3.6</v>
          </cell>
          <cell r="K87">
            <v>3.9</v>
          </cell>
          <cell r="L87">
            <v>4.2</v>
          </cell>
          <cell r="M87">
            <v>3.9</v>
          </cell>
          <cell r="N87">
            <v>4.2</v>
          </cell>
          <cell r="O87">
            <v>4.0999999999999996</v>
          </cell>
          <cell r="P87">
            <v>4</v>
          </cell>
          <cell r="Q87">
            <v>5</v>
          </cell>
          <cell r="R87">
            <v>3.7691182014978808</v>
          </cell>
        </row>
        <row r="88">
          <cell r="A88" t="str">
            <v>Malawi</v>
          </cell>
          <cell r="B88">
            <v>6.2</v>
          </cell>
          <cell r="C88">
            <v>6.3</v>
          </cell>
          <cell r="D88">
            <v>6.5</v>
          </cell>
          <cell r="E88">
            <v>6.5</v>
          </cell>
          <cell r="F88">
            <v>4</v>
          </cell>
          <cell r="G88">
            <v>6.5</v>
          </cell>
          <cell r="H88">
            <v>6.4</v>
          </cell>
          <cell r="I88">
            <v>6.1</v>
          </cell>
          <cell r="J88">
            <v>6.3</v>
          </cell>
          <cell r="K88">
            <v>5.8</v>
          </cell>
          <cell r="L88">
            <v>5.5</v>
          </cell>
          <cell r="M88">
            <v>5.2</v>
          </cell>
          <cell r="N88">
            <v>5.7</v>
          </cell>
          <cell r="O88">
            <v>5.4</v>
          </cell>
          <cell r="P88">
            <v>5.5</v>
          </cell>
          <cell r="Q88">
            <v>6</v>
          </cell>
          <cell r="R88">
            <v>4.2768366730276108</v>
          </cell>
        </row>
        <row r="89">
          <cell r="A89" t="str">
            <v>Malaysia</v>
          </cell>
          <cell r="B89">
            <v>5</v>
          </cell>
          <cell r="C89">
            <v>5.2</v>
          </cell>
          <cell r="D89">
            <v>5</v>
          </cell>
          <cell r="E89">
            <v>4.8</v>
          </cell>
          <cell r="F89">
            <v>4.2</v>
          </cell>
          <cell r="G89">
            <v>4.5999999999999996</v>
          </cell>
          <cell r="H89">
            <v>4.5</v>
          </cell>
          <cell r="I89">
            <v>4.2</v>
          </cell>
          <cell r="J89">
            <v>3.9</v>
          </cell>
          <cell r="K89">
            <v>3.7</v>
          </cell>
          <cell r="L89">
            <v>3.7</v>
          </cell>
          <cell r="M89">
            <v>3.4</v>
          </cell>
          <cell r="N89">
            <v>3.3</v>
          </cell>
          <cell r="O89">
            <v>3</v>
          </cell>
          <cell r="P89">
            <v>3.1</v>
          </cell>
          <cell r="Q89">
            <v>3.2</v>
          </cell>
          <cell r="R89">
            <v>2.5820181504727233</v>
          </cell>
        </row>
        <row r="90">
          <cell r="A90" t="str">
            <v>Mali</v>
          </cell>
          <cell r="B90">
            <v>4.4000000000000004</v>
          </cell>
          <cell r="C90">
            <v>4.5999999999999996</v>
          </cell>
          <cell r="D90">
            <v>4.8</v>
          </cell>
          <cell r="E90">
            <v>5.3</v>
          </cell>
          <cell r="F90">
            <v>5.5</v>
          </cell>
          <cell r="G90">
            <v>7.6</v>
          </cell>
          <cell r="H90">
            <v>7.5</v>
          </cell>
          <cell r="I90">
            <v>7.8</v>
          </cell>
          <cell r="J90">
            <v>8.1</v>
          </cell>
          <cell r="K90">
            <v>7.9</v>
          </cell>
          <cell r="L90">
            <v>8.1999999999999993</v>
          </cell>
          <cell r="M90">
            <v>8.4</v>
          </cell>
          <cell r="N90">
            <v>8.4</v>
          </cell>
          <cell r="O90">
            <v>8.1</v>
          </cell>
          <cell r="P90">
            <v>8.4</v>
          </cell>
          <cell r="Q90">
            <v>8.5</v>
          </cell>
          <cell r="R90">
            <v>8.2242655752799596</v>
          </cell>
        </row>
        <row r="91">
          <cell r="A91" t="str">
            <v>Mauritania</v>
          </cell>
          <cell r="B91">
            <v>6.2</v>
          </cell>
          <cell r="C91">
            <v>6.2</v>
          </cell>
          <cell r="D91">
            <v>6.4</v>
          </cell>
          <cell r="E91">
            <v>6.8</v>
          </cell>
          <cell r="F91">
            <v>6.8</v>
          </cell>
          <cell r="G91">
            <v>8.3000000000000007</v>
          </cell>
          <cell r="H91">
            <v>8.8000000000000007</v>
          </cell>
          <cell r="I91">
            <v>8.5</v>
          </cell>
          <cell r="J91">
            <v>8.1999999999999993</v>
          </cell>
          <cell r="K91">
            <v>8</v>
          </cell>
          <cell r="L91">
            <v>7.7</v>
          </cell>
          <cell r="M91">
            <v>7.4</v>
          </cell>
          <cell r="N91">
            <v>7.6</v>
          </cell>
          <cell r="O91">
            <v>7.9</v>
          </cell>
          <cell r="P91">
            <v>8.1999999999999993</v>
          </cell>
          <cell r="Q91">
            <v>8.3000000000000007</v>
          </cell>
          <cell r="R91">
            <v>4.8963856226161493</v>
          </cell>
        </row>
        <row r="92">
          <cell r="A92" t="str">
            <v>Mauritius</v>
          </cell>
          <cell r="B92">
            <v>1.1000000000000001</v>
          </cell>
          <cell r="C92">
            <v>1</v>
          </cell>
          <cell r="D92">
            <v>1.2</v>
          </cell>
          <cell r="E92">
            <v>1.6</v>
          </cell>
          <cell r="F92">
            <v>3.4</v>
          </cell>
          <cell r="G92">
            <v>2.2000000000000002</v>
          </cell>
          <cell r="H92">
            <v>2.5</v>
          </cell>
          <cell r="I92">
            <v>2.2000000000000002</v>
          </cell>
          <cell r="J92">
            <v>2.4</v>
          </cell>
          <cell r="K92">
            <v>2.7</v>
          </cell>
          <cell r="L92">
            <v>2.62</v>
          </cell>
          <cell r="M92">
            <v>2.2999999999999998</v>
          </cell>
          <cell r="N92">
            <v>2</v>
          </cell>
          <cell r="O92">
            <v>1.7</v>
          </cell>
          <cell r="P92">
            <v>1.9</v>
          </cell>
          <cell r="Q92">
            <v>1.6</v>
          </cell>
          <cell r="R92">
            <v>1.3114007680883868</v>
          </cell>
        </row>
        <row r="93">
          <cell r="A93" t="str">
            <v>Mexico</v>
          </cell>
          <cell r="B93">
            <v>4</v>
          </cell>
          <cell r="C93">
            <v>4.3</v>
          </cell>
          <cell r="D93">
            <v>4.0999999999999996</v>
          </cell>
          <cell r="E93">
            <v>4.2</v>
          </cell>
          <cell r="F93">
            <v>3.5</v>
          </cell>
          <cell r="G93">
            <v>4</v>
          </cell>
          <cell r="H93">
            <v>4.3</v>
          </cell>
          <cell r="I93">
            <v>4.4000000000000004</v>
          </cell>
          <cell r="J93">
            <v>4.0999999999999996</v>
          </cell>
          <cell r="K93">
            <v>5.0999999999999996</v>
          </cell>
          <cell r="L93">
            <v>4.8</v>
          </cell>
          <cell r="M93">
            <v>4.8</v>
          </cell>
          <cell r="N93">
            <v>4.9000000000000004</v>
          </cell>
          <cell r="O93">
            <v>5</v>
          </cell>
          <cell r="P93">
            <v>5.3</v>
          </cell>
          <cell r="Q93">
            <v>5.5</v>
          </cell>
          <cell r="R93">
            <v>5.7853570475300522</v>
          </cell>
        </row>
        <row r="94">
          <cell r="A94" t="str">
            <v>Moldova</v>
          </cell>
          <cell r="B94">
            <v>4.7</v>
          </cell>
          <cell r="C94">
            <v>4.2</v>
          </cell>
          <cell r="D94">
            <v>4.3</v>
          </cell>
          <cell r="E94">
            <v>4.4000000000000004</v>
          </cell>
          <cell r="F94">
            <v>5.3</v>
          </cell>
          <cell r="G94">
            <v>5</v>
          </cell>
          <cell r="H94">
            <v>4.7</v>
          </cell>
          <cell r="I94">
            <v>4.4000000000000004</v>
          </cell>
          <cell r="J94">
            <v>4.0999999999999996</v>
          </cell>
          <cell r="K94">
            <v>3.9</v>
          </cell>
          <cell r="L94">
            <v>3.6</v>
          </cell>
          <cell r="M94">
            <v>3.3</v>
          </cell>
          <cell r="N94">
            <v>3.3</v>
          </cell>
          <cell r="O94">
            <v>3</v>
          </cell>
          <cell r="P94">
            <v>2.8</v>
          </cell>
          <cell r="Q94">
            <v>6</v>
          </cell>
          <cell r="R94">
            <v>4.309008114153559</v>
          </cell>
        </row>
        <row r="95">
          <cell r="A95" t="str">
            <v>Mongolia</v>
          </cell>
          <cell r="B95">
            <v>1</v>
          </cell>
          <cell r="C95">
            <v>1.2</v>
          </cell>
          <cell r="D95">
            <v>1.4</v>
          </cell>
          <cell r="E95">
            <v>1.6</v>
          </cell>
          <cell r="F95">
            <v>3.5</v>
          </cell>
          <cell r="G95">
            <v>2.2000000000000002</v>
          </cell>
          <cell r="H95">
            <v>2.5</v>
          </cell>
          <cell r="I95">
            <v>2.4</v>
          </cell>
          <cell r="J95">
            <v>2.7</v>
          </cell>
          <cell r="K95">
            <v>3</v>
          </cell>
          <cell r="L95">
            <v>2.7</v>
          </cell>
          <cell r="M95">
            <v>2.6</v>
          </cell>
          <cell r="N95">
            <v>2.2999999999999998</v>
          </cell>
          <cell r="O95">
            <v>2.5</v>
          </cell>
          <cell r="P95">
            <v>2.6</v>
          </cell>
          <cell r="Q95">
            <v>2.2999999999999998</v>
          </cell>
          <cell r="R95">
            <v>2.3490912475783778</v>
          </cell>
        </row>
        <row r="96">
          <cell r="A96" t="str">
            <v>Montenegro</v>
          </cell>
          <cell r="B96">
            <v>4.0999999999999996</v>
          </cell>
          <cell r="C96">
            <v>4.0999999999999996</v>
          </cell>
          <cell r="D96">
            <v>4.2</v>
          </cell>
          <cell r="E96">
            <v>4.5</v>
          </cell>
          <cell r="F96">
            <v>2.2000000000000002</v>
          </cell>
          <cell r="G96">
            <v>4.5</v>
          </cell>
          <cell r="H96">
            <v>4.8</v>
          </cell>
          <cell r="I96">
            <v>4.5</v>
          </cell>
          <cell r="J96">
            <v>4.8</v>
          </cell>
          <cell r="K96">
            <v>4.5999999999999996</v>
          </cell>
          <cell r="L96">
            <v>4.3</v>
          </cell>
          <cell r="M96">
            <v>4</v>
          </cell>
          <cell r="N96">
            <v>3.7</v>
          </cell>
          <cell r="O96">
            <v>3.4</v>
          </cell>
          <cell r="P96">
            <v>3.1</v>
          </cell>
          <cell r="Q96">
            <v>3.6</v>
          </cell>
          <cell r="R96">
            <v>2.9832226562877548</v>
          </cell>
        </row>
        <row r="97">
          <cell r="A97" t="str">
            <v>Morocco</v>
          </cell>
          <cell r="B97">
            <v>7.1</v>
          </cell>
          <cell r="C97">
            <v>6.7</v>
          </cell>
          <cell r="D97">
            <v>6.6</v>
          </cell>
          <cell r="E97">
            <v>6.5</v>
          </cell>
          <cell r="F97">
            <v>4.9000000000000004</v>
          </cell>
          <cell r="G97">
            <v>5.9</v>
          </cell>
          <cell r="H97">
            <v>5.6</v>
          </cell>
          <cell r="I97">
            <v>5.3</v>
          </cell>
          <cell r="J97">
            <v>5.6</v>
          </cell>
          <cell r="K97">
            <v>6.1</v>
          </cell>
          <cell r="L97">
            <v>5.8</v>
          </cell>
          <cell r="M97">
            <v>5.9</v>
          </cell>
          <cell r="N97">
            <v>5.6</v>
          </cell>
          <cell r="O97">
            <v>5.3</v>
          </cell>
          <cell r="P97">
            <v>5</v>
          </cell>
          <cell r="Q97">
            <v>5.0999999999999996</v>
          </cell>
          <cell r="R97">
            <v>3.9826860215084645</v>
          </cell>
        </row>
        <row r="98">
          <cell r="A98" t="str">
            <v>Mozambique</v>
          </cell>
          <cell r="B98">
            <v>2.2000000000000002</v>
          </cell>
          <cell r="C98">
            <v>3.2</v>
          </cell>
          <cell r="D98">
            <v>3.5</v>
          </cell>
          <cell r="E98">
            <v>4</v>
          </cell>
          <cell r="F98">
            <v>4.5</v>
          </cell>
          <cell r="G98">
            <v>4.5999999999999996</v>
          </cell>
          <cell r="H98">
            <v>4.9000000000000004</v>
          </cell>
          <cell r="I98">
            <v>5</v>
          </cell>
          <cell r="J98">
            <v>5.5</v>
          </cell>
          <cell r="K98">
            <v>5.8</v>
          </cell>
          <cell r="L98">
            <v>6.1</v>
          </cell>
          <cell r="M98">
            <v>5.9</v>
          </cell>
          <cell r="N98">
            <v>7.6</v>
          </cell>
          <cell r="O98">
            <v>7.7</v>
          </cell>
          <cell r="P98">
            <v>7.8</v>
          </cell>
          <cell r="Q98">
            <v>7.9</v>
          </cell>
          <cell r="R98">
            <v>5.5895847957160552</v>
          </cell>
        </row>
        <row r="99">
          <cell r="A99" t="str">
            <v>Myanmar</v>
          </cell>
          <cell r="B99">
            <v>8.5</v>
          </cell>
          <cell r="C99">
            <v>8.8000000000000007</v>
          </cell>
          <cell r="D99">
            <v>8.3000000000000007</v>
          </cell>
          <cell r="E99">
            <v>8</v>
          </cell>
          <cell r="F99">
            <v>2.6</v>
          </cell>
          <cell r="G99">
            <v>8.5</v>
          </cell>
          <cell r="H99">
            <v>8.1999999999999993</v>
          </cell>
          <cell r="I99">
            <v>8.3000000000000007</v>
          </cell>
          <cell r="J99">
            <v>8.3000000000000007</v>
          </cell>
          <cell r="K99">
            <v>8.6999999999999993</v>
          </cell>
          <cell r="L99">
            <v>9.1999999999999993</v>
          </cell>
          <cell r="M99">
            <v>9.1</v>
          </cell>
          <cell r="N99">
            <v>9.1</v>
          </cell>
          <cell r="O99">
            <v>8.8000000000000007</v>
          </cell>
          <cell r="P99">
            <v>9.1</v>
          </cell>
          <cell r="Q99">
            <v>9.1999999999999993</v>
          </cell>
          <cell r="R99">
            <v>7.9819801905792733</v>
          </cell>
        </row>
        <row r="100">
          <cell r="A100" t="str">
            <v>Namibia</v>
          </cell>
          <cell r="B100">
            <v>5</v>
          </cell>
          <cell r="C100">
            <v>5.5</v>
          </cell>
          <cell r="D100">
            <v>5.7</v>
          </cell>
          <cell r="E100">
            <v>5.6</v>
          </cell>
          <cell r="F100">
            <v>5.2</v>
          </cell>
          <cell r="G100">
            <v>5.6</v>
          </cell>
          <cell r="H100">
            <v>5.8</v>
          </cell>
          <cell r="I100">
            <v>5.5</v>
          </cell>
          <cell r="J100">
            <v>5.2</v>
          </cell>
          <cell r="K100">
            <v>5</v>
          </cell>
          <cell r="L100">
            <v>4.7</v>
          </cell>
          <cell r="M100">
            <v>4.4000000000000004</v>
          </cell>
          <cell r="N100">
            <v>4.2</v>
          </cell>
          <cell r="O100">
            <v>4.0999999999999996</v>
          </cell>
          <cell r="P100">
            <v>3.9</v>
          </cell>
          <cell r="Q100">
            <v>3.6</v>
          </cell>
          <cell r="R100">
            <v>2.5544834965666285</v>
          </cell>
        </row>
        <row r="101">
          <cell r="A101" t="str">
            <v>Nepal</v>
          </cell>
          <cell r="B101">
            <v>5.5</v>
          </cell>
          <cell r="C101">
            <v>6.8</v>
          </cell>
          <cell r="D101">
            <v>7</v>
          </cell>
          <cell r="E101">
            <v>7.4</v>
          </cell>
          <cell r="F101">
            <v>5.0999999999999996</v>
          </cell>
          <cell r="G101">
            <v>7.7</v>
          </cell>
          <cell r="H101">
            <v>7.6</v>
          </cell>
          <cell r="I101">
            <v>7.6</v>
          </cell>
          <cell r="J101">
            <v>8</v>
          </cell>
          <cell r="K101">
            <v>7.8</v>
          </cell>
          <cell r="L101">
            <v>7.5</v>
          </cell>
          <cell r="M101">
            <v>7.2</v>
          </cell>
          <cell r="N101">
            <v>7.5</v>
          </cell>
          <cell r="O101">
            <v>7.2</v>
          </cell>
          <cell r="P101">
            <v>6.9</v>
          </cell>
          <cell r="Q101">
            <v>6.6</v>
          </cell>
          <cell r="R101">
            <v>4.4658068375303079</v>
          </cell>
        </row>
        <row r="102">
          <cell r="A102" t="str">
            <v>Netherlands</v>
          </cell>
          <cell r="B102">
            <v>3</v>
          </cell>
          <cell r="C102">
            <v>3.1</v>
          </cell>
          <cell r="D102">
            <v>3.2</v>
          </cell>
          <cell r="E102">
            <v>3</v>
          </cell>
          <cell r="F102">
            <v>2.9</v>
          </cell>
          <cell r="G102">
            <v>2.4</v>
          </cell>
          <cell r="H102">
            <v>2.4</v>
          </cell>
          <cell r="I102">
            <v>2.1</v>
          </cell>
          <cell r="J102">
            <v>4</v>
          </cell>
          <cell r="K102">
            <v>3.8</v>
          </cell>
          <cell r="L102">
            <v>3.5</v>
          </cell>
          <cell r="M102">
            <v>3.2</v>
          </cell>
          <cell r="N102">
            <v>2.9</v>
          </cell>
          <cell r="O102">
            <v>2.6</v>
          </cell>
          <cell r="P102">
            <v>2.2999999999999998</v>
          </cell>
          <cell r="Q102">
            <v>2.4</v>
          </cell>
          <cell r="R102">
            <v>1.6400600241263503</v>
          </cell>
        </row>
        <row r="103">
          <cell r="A103" t="str">
            <v>New Zealand</v>
          </cell>
          <cell r="B103">
            <v>1.2</v>
          </cell>
          <cell r="C103">
            <v>1.2</v>
          </cell>
          <cell r="D103">
            <v>1.4</v>
          </cell>
          <cell r="E103">
            <v>1.7</v>
          </cell>
          <cell r="F103">
            <v>4.7</v>
          </cell>
          <cell r="G103">
            <v>1.1000000000000001</v>
          </cell>
          <cell r="H103">
            <v>1.2</v>
          </cell>
          <cell r="I103">
            <v>1.1000000000000001</v>
          </cell>
          <cell r="J103">
            <v>1.5</v>
          </cell>
          <cell r="K103">
            <v>1.8</v>
          </cell>
          <cell r="L103">
            <v>1.76</v>
          </cell>
          <cell r="M103">
            <v>1.7</v>
          </cell>
          <cell r="N103">
            <v>1.7</v>
          </cell>
          <cell r="O103">
            <v>1.6</v>
          </cell>
          <cell r="P103">
            <v>1.5</v>
          </cell>
          <cell r="Q103">
            <v>1.2</v>
          </cell>
          <cell r="R103">
            <v>0.81292690189976691</v>
          </cell>
        </row>
        <row r="104">
          <cell r="A104" t="str">
            <v>Nicaragua</v>
          </cell>
          <cell r="B104">
            <v>5.7</v>
          </cell>
          <cell r="C104">
            <v>5.2</v>
          </cell>
          <cell r="D104">
            <v>5</v>
          </cell>
          <cell r="E104">
            <v>4.9000000000000004</v>
          </cell>
          <cell r="F104">
            <v>6.4</v>
          </cell>
          <cell r="G104">
            <v>4.8</v>
          </cell>
          <cell r="H104">
            <v>5.0999999999999996</v>
          </cell>
          <cell r="I104">
            <v>4.5999999999999996</v>
          </cell>
          <cell r="J104">
            <v>4.2</v>
          </cell>
          <cell r="K104">
            <v>4</v>
          </cell>
          <cell r="L104">
            <v>3.84</v>
          </cell>
          <cell r="M104">
            <v>4.2</v>
          </cell>
          <cell r="N104">
            <v>4</v>
          </cell>
          <cell r="O104">
            <v>3.7</v>
          </cell>
          <cell r="P104">
            <v>4.0999999999999996</v>
          </cell>
          <cell r="Q104">
            <v>5.0999999999999996</v>
          </cell>
          <cell r="R104">
            <v>4.4224751995672005</v>
          </cell>
        </row>
        <row r="105">
          <cell r="A105" t="str">
            <v>Niger</v>
          </cell>
          <cell r="B105">
            <v>6</v>
          </cell>
          <cell r="C105">
            <v>6.4</v>
          </cell>
          <cell r="D105">
            <v>6.5</v>
          </cell>
          <cell r="E105">
            <v>6.6</v>
          </cell>
          <cell r="F105">
            <v>6.1</v>
          </cell>
          <cell r="G105">
            <v>7.9</v>
          </cell>
          <cell r="H105">
            <v>8.1999999999999993</v>
          </cell>
          <cell r="I105">
            <v>7.9</v>
          </cell>
          <cell r="J105">
            <v>8</v>
          </cell>
          <cell r="K105">
            <v>7.9</v>
          </cell>
          <cell r="L105">
            <v>7.98</v>
          </cell>
          <cell r="M105">
            <v>8.3000000000000007</v>
          </cell>
          <cell r="N105">
            <v>8.4</v>
          </cell>
          <cell r="O105">
            <v>8.5</v>
          </cell>
          <cell r="P105">
            <v>8.1999999999999993</v>
          </cell>
          <cell r="Q105">
            <v>7.9</v>
          </cell>
          <cell r="R105">
            <v>8.0231707916950423</v>
          </cell>
        </row>
        <row r="106">
          <cell r="A106" t="str">
            <v>Nigeria</v>
          </cell>
          <cell r="B106">
            <v>5.0999999999999996</v>
          </cell>
          <cell r="C106">
            <v>5.3</v>
          </cell>
          <cell r="D106">
            <v>5.8</v>
          </cell>
          <cell r="E106">
            <v>6</v>
          </cell>
          <cell r="F106">
            <v>2.8</v>
          </cell>
          <cell r="G106">
            <v>6.6</v>
          </cell>
          <cell r="H106">
            <v>6.9</v>
          </cell>
          <cell r="I106">
            <v>7.5</v>
          </cell>
          <cell r="J106">
            <v>7.7</v>
          </cell>
          <cell r="K106">
            <v>7.5</v>
          </cell>
          <cell r="L106">
            <v>7.5</v>
          </cell>
          <cell r="M106">
            <v>7.2</v>
          </cell>
          <cell r="N106">
            <v>6.9</v>
          </cell>
          <cell r="O106">
            <v>6.6</v>
          </cell>
          <cell r="P106">
            <v>6.3</v>
          </cell>
          <cell r="Q106">
            <v>6.4</v>
          </cell>
          <cell r="R106">
            <v>7.7907837733780463</v>
          </cell>
        </row>
        <row r="107">
          <cell r="A107" t="str">
            <v>North Korea</v>
          </cell>
          <cell r="B107">
            <v>6</v>
          </cell>
          <cell r="C107">
            <v>6</v>
          </cell>
          <cell r="D107">
            <v>5.6</v>
          </cell>
          <cell r="E107">
            <v>5.3</v>
          </cell>
          <cell r="F107">
            <v>3.1</v>
          </cell>
          <cell r="G107">
            <v>5</v>
          </cell>
          <cell r="H107">
            <v>4.7</v>
          </cell>
          <cell r="I107">
            <v>4.3</v>
          </cell>
          <cell r="J107">
            <v>4.5999999999999996</v>
          </cell>
          <cell r="K107">
            <v>4.4000000000000004</v>
          </cell>
          <cell r="L107">
            <v>4.4000000000000004</v>
          </cell>
          <cell r="M107">
            <v>4.4000000000000004</v>
          </cell>
          <cell r="N107">
            <v>4.0999999999999996</v>
          </cell>
          <cell r="O107">
            <v>3.8</v>
          </cell>
          <cell r="P107">
            <v>3.5</v>
          </cell>
          <cell r="Q107">
            <v>3.2</v>
          </cell>
          <cell r="R107">
            <v>5.7391689504372616</v>
          </cell>
        </row>
        <row r="108">
          <cell r="A108" t="str">
            <v>North Macedonia</v>
          </cell>
          <cell r="B108">
            <v>4.5999999999999996</v>
          </cell>
          <cell r="C108">
            <v>4.5999999999999996</v>
          </cell>
          <cell r="D108">
            <v>4.5999999999999996</v>
          </cell>
          <cell r="E108">
            <v>4</v>
          </cell>
          <cell r="F108">
            <v>5.2</v>
          </cell>
          <cell r="G108">
            <v>5.2</v>
          </cell>
          <cell r="H108">
            <v>5</v>
          </cell>
          <cell r="I108">
            <v>5</v>
          </cell>
          <cell r="J108">
            <v>7</v>
          </cell>
          <cell r="K108">
            <v>7.3</v>
          </cell>
          <cell r="L108">
            <v>7.8</v>
          </cell>
          <cell r="M108">
            <v>7.5</v>
          </cell>
          <cell r="N108">
            <v>7.2</v>
          </cell>
          <cell r="O108">
            <v>6.9</v>
          </cell>
          <cell r="P108">
            <v>6.6</v>
          </cell>
          <cell r="Q108">
            <v>6.3</v>
          </cell>
          <cell r="R108">
            <v>3.4290966811438737</v>
          </cell>
        </row>
        <row r="109">
          <cell r="A109" t="str">
            <v>Norway</v>
          </cell>
          <cell r="B109">
            <v>1.6</v>
          </cell>
          <cell r="C109">
            <v>1.6</v>
          </cell>
          <cell r="D109">
            <v>1.6</v>
          </cell>
          <cell r="E109">
            <v>2</v>
          </cell>
          <cell r="F109">
            <v>3.6</v>
          </cell>
          <cell r="G109">
            <v>1.9</v>
          </cell>
          <cell r="H109">
            <v>2.2000000000000002</v>
          </cell>
          <cell r="I109">
            <v>1.9</v>
          </cell>
          <cell r="J109">
            <v>3</v>
          </cell>
          <cell r="K109">
            <v>2.8</v>
          </cell>
          <cell r="L109">
            <v>2.86</v>
          </cell>
          <cell r="M109">
            <v>2.8</v>
          </cell>
          <cell r="N109">
            <v>2.5</v>
          </cell>
          <cell r="O109">
            <v>2.2000000000000002</v>
          </cell>
          <cell r="P109">
            <v>2</v>
          </cell>
          <cell r="Q109">
            <v>1.7</v>
          </cell>
          <cell r="R109">
            <v>1.5373553490338749</v>
          </cell>
        </row>
        <row r="110">
          <cell r="A110" t="str">
            <v>Oman</v>
          </cell>
          <cell r="B110">
            <v>1.3</v>
          </cell>
          <cell r="C110">
            <v>1</v>
          </cell>
          <cell r="D110">
            <v>1.1000000000000001</v>
          </cell>
          <cell r="E110">
            <v>1.5</v>
          </cell>
          <cell r="F110">
            <v>2.9</v>
          </cell>
          <cell r="G110">
            <v>2</v>
          </cell>
          <cell r="H110">
            <v>2.2999999999999998</v>
          </cell>
          <cell r="I110">
            <v>2</v>
          </cell>
          <cell r="J110">
            <v>2.2000000000000002</v>
          </cell>
          <cell r="K110">
            <v>2.5</v>
          </cell>
          <cell r="L110">
            <v>2.4300000000000002</v>
          </cell>
          <cell r="M110">
            <v>2.1</v>
          </cell>
          <cell r="N110">
            <v>1.8</v>
          </cell>
          <cell r="O110">
            <v>1.9</v>
          </cell>
          <cell r="P110">
            <v>1.9</v>
          </cell>
          <cell r="Q110">
            <v>1.6</v>
          </cell>
          <cell r="R110">
            <v>2.7006318015939086</v>
          </cell>
        </row>
        <row r="111">
          <cell r="A111" t="str">
            <v>Pakistan</v>
          </cell>
          <cell r="B111">
            <v>8.6</v>
          </cell>
          <cell r="C111">
            <v>8.6</v>
          </cell>
          <cell r="D111">
            <v>8.9</v>
          </cell>
          <cell r="E111">
            <v>9.1999999999999993</v>
          </cell>
          <cell r="F111">
            <v>2.9</v>
          </cell>
          <cell r="G111">
            <v>9.1</v>
          </cell>
          <cell r="H111">
            <v>8.8000000000000007</v>
          </cell>
          <cell r="I111">
            <v>8.9</v>
          </cell>
          <cell r="J111">
            <v>8.9</v>
          </cell>
          <cell r="K111">
            <v>8.6999999999999993</v>
          </cell>
          <cell r="L111">
            <v>8.4</v>
          </cell>
          <cell r="M111">
            <v>8.1</v>
          </cell>
          <cell r="N111">
            <v>7.8</v>
          </cell>
          <cell r="O111">
            <v>7.5</v>
          </cell>
          <cell r="P111">
            <v>7.5</v>
          </cell>
          <cell r="Q111">
            <v>7.6</v>
          </cell>
          <cell r="R111">
            <v>7.522892426271981</v>
          </cell>
        </row>
        <row r="112">
          <cell r="A112" t="str">
            <v>Panama</v>
          </cell>
          <cell r="B112">
            <v>3.1</v>
          </cell>
          <cell r="C112">
            <v>3.4</v>
          </cell>
          <cell r="D112">
            <v>3.5</v>
          </cell>
          <cell r="E112">
            <v>3.9</v>
          </cell>
          <cell r="F112">
            <v>3.9</v>
          </cell>
          <cell r="G112">
            <v>3.7</v>
          </cell>
          <cell r="H112">
            <v>4</v>
          </cell>
          <cell r="I112">
            <v>3.5</v>
          </cell>
          <cell r="J112">
            <v>3.2</v>
          </cell>
          <cell r="K112">
            <v>3</v>
          </cell>
          <cell r="L112">
            <v>2.85</v>
          </cell>
          <cell r="M112">
            <v>2.5</v>
          </cell>
          <cell r="N112">
            <v>2.5</v>
          </cell>
          <cell r="O112">
            <v>2.2000000000000002</v>
          </cell>
          <cell r="P112">
            <v>2.2999999999999998</v>
          </cell>
          <cell r="Q112">
            <v>2.4</v>
          </cell>
          <cell r="R112">
            <v>2.6220952933416681</v>
          </cell>
        </row>
        <row r="113">
          <cell r="A113" t="str">
            <v>Papua New Guinea</v>
          </cell>
          <cell r="B113">
            <v>3.5</v>
          </cell>
          <cell r="C113">
            <v>4</v>
          </cell>
          <cell r="D113">
            <v>4.2</v>
          </cell>
          <cell r="E113">
            <v>4.5</v>
          </cell>
          <cell r="F113">
            <v>3.6</v>
          </cell>
          <cell r="G113">
            <v>5</v>
          </cell>
          <cell r="H113">
            <v>4.9000000000000004</v>
          </cell>
          <cell r="I113">
            <v>4.5999999999999996</v>
          </cell>
          <cell r="J113">
            <v>4.7</v>
          </cell>
          <cell r="K113">
            <v>5.2</v>
          </cell>
          <cell r="L113">
            <v>4.93</v>
          </cell>
          <cell r="M113">
            <v>4.5999999999999996</v>
          </cell>
          <cell r="N113">
            <v>4.5999999999999996</v>
          </cell>
          <cell r="O113">
            <v>4.3</v>
          </cell>
          <cell r="P113">
            <v>4.5999999999999996</v>
          </cell>
          <cell r="Q113">
            <v>4.9000000000000004</v>
          </cell>
          <cell r="R113">
            <v>4.565959492998596</v>
          </cell>
        </row>
        <row r="114">
          <cell r="A114" t="str">
            <v>Paraguay</v>
          </cell>
          <cell r="B114">
            <v>1.3</v>
          </cell>
          <cell r="C114">
            <v>1.3</v>
          </cell>
          <cell r="D114">
            <v>1.5</v>
          </cell>
          <cell r="E114">
            <v>1.9</v>
          </cell>
          <cell r="F114">
            <v>2.6</v>
          </cell>
          <cell r="G114">
            <v>2.4</v>
          </cell>
          <cell r="H114">
            <v>2.7</v>
          </cell>
          <cell r="I114">
            <v>2.2000000000000002</v>
          </cell>
          <cell r="J114">
            <v>2.8</v>
          </cell>
          <cell r="K114">
            <v>3.1</v>
          </cell>
          <cell r="L114">
            <v>3.17</v>
          </cell>
          <cell r="M114">
            <v>2.9</v>
          </cell>
          <cell r="N114">
            <v>3</v>
          </cell>
          <cell r="O114">
            <v>3</v>
          </cell>
          <cell r="P114">
            <v>3.2</v>
          </cell>
          <cell r="Q114">
            <v>2.9</v>
          </cell>
          <cell r="R114">
            <v>3.5571952787922134</v>
          </cell>
        </row>
        <row r="115">
          <cell r="A115" t="str">
            <v>Peru</v>
          </cell>
          <cell r="B115">
            <v>4.2</v>
          </cell>
          <cell r="C115">
            <v>4.5</v>
          </cell>
          <cell r="D115">
            <v>4.5</v>
          </cell>
          <cell r="E115">
            <v>4.0999999999999996</v>
          </cell>
          <cell r="F115">
            <v>2.9</v>
          </cell>
          <cell r="G115">
            <v>4.7</v>
          </cell>
          <cell r="H115">
            <v>5</v>
          </cell>
          <cell r="I115">
            <v>4.8</v>
          </cell>
          <cell r="J115">
            <v>4.5</v>
          </cell>
          <cell r="K115">
            <v>4.3</v>
          </cell>
          <cell r="L115">
            <v>4</v>
          </cell>
          <cell r="M115">
            <v>4.0999999999999996</v>
          </cell>
          <cell r="N115">
            <v>3.8</v>
          </cell>
          <cell r="O115">
            <v>4.0999999999999996</v>
          </cell>
          <cell r="P115">
            <v>4.4000000000000004</v>
          </cell>
          <cell r="Q115">
            <v>4.5</v>
          </cell>
          <cell r="R115">
            <v>4.5805989199196064</v>
          </cell>
        </row>
        <row r="116">
          <cell r="A116" t="str">
            <v>Philippines</v>
          </cell>
          <cell r="B116">
            <v>5.7</v>
          </cell>
          <cell r="C116">
            <v>6.3</v>
          </cell>
          <cell r="D116">
            <v>6.7</v>
          </cell>
          <cell r="E116">
            <v>6.5</v>
          </cell>
          <cell r="F116">
            <v>2.7</v>
          </cell>
          <cell r="G116">
            <v>6.5</v>
          </cell>
          <cell r="H116">
            <v>7.7</v>
          </cell>
          <cell r="I116">
            <v>7.4</v>
          </cell>
          <cell r="J116">
            <v>7.1</v>
          </cell>
          <cell r="K116">
            <v>6.9</v>
          </cell>
          <cell r="L116">
            <v>7.2</v>
          </cell>
          <cell r="M116">
            <v>6.9</v>
          </cell>
          <cell r="N116">
            <v>6.6</v>
          </cell>
          <cell r="O116">
            <v>6.3</v>
          </cell>
          <cell r="P116">
            <v>6</v>
          </cell>
          <cell r="Q116">
            <v>5.8</v>
          </cell>
          <cell r="R116">
            <v>5.9325608558997809</v>
          </cell>
        </row>
        <row r="117">
          <cell r="A117" t="str">
            <v>Poland</v>
          </cell>
          <cell r="B117">
            <v>3</v>
          </cell>
          <cell r="C117">
            <v>3</v>
          </cell>
          <cell r="D117">
            <v>3.2</v>
          </cell>
          <cell r="E117">
            <v>3.5</v>
          </cell>
          <cell r="F117">
            <v>3.5</v>
          </cell>
          <cell r="G117">
            <v>2.8</v>
          </cell>
          <cell r="H117">
            <v>3.1</v>
          </cell>
          <cell r="I117">
            <v>2.8</v>
          </cell>
          <cell r="J117">
            <v>3.8</v>
          </cell>
          <cell r="K117">
            <v>3.6</v>
          </cell>
          <cell r="L117">
            <v>3.3</v>
          </cell>
          <cell r="M117">
            <v>3</v>
          </cell>
          <cell r="N117">
            <v>2.7</v>
          </cell>
          <cell r="O117">
            <v>2.4</v>
          </cell>
          <cell r="P117">
            <v>2.5</v>
          </cell>
          <cell r="Q117">
            <v>5.9</v>
          </cell>
          <cell r="R117">
            <v>2.8033440194836472</v>
          </cell>
        </row>
        <row r="118">
          <cell r="A118" t="str">
            <v>Portugal</v>
          </cell>
          <cell r="B118">
            <v>1</v>
          </cell>
          <cell r="C118">
            <v>1.4</v>
          </cell>
          <cell r="D118">
            <v>1.8</v>
          </cell>
          <cell r="E118">
            <v>2</v>
          </cell>
          <cell r="F118">
            <v>1.9</v>
          </cell>
          <cell r="G118">
            <v>1.6</v>
          </cell>
          <cell r="H118">
            <v>1.9</v>
          </cell>
          <cell r="I118">
            <v>1.6</v>
          </cell>
          <cell r="J118">
            <v>1.9</v>
          </cell>
          <cell r="K118">
            <v>2.2000000000000002</v>
          </cell>
          <cell r="L118">
            <v>2.13</v>
          </cell>
          <cell r="M118">
            <v>1.8</v>
          </cell>
          <cell r="N118">
            <v>1.92</v>
          </cell>
          <cell r="O118">
            <v>1.8</v>
          </cell>
          <cell r="P118">
            <v>1.7</v>
          </cell>
          <cell r="Q118">
            <v>1.4</v>
          </cell>
          <cell r="R118">
            <v>0.98841379051490474</v>
          </cell>
        </row>
        <row r="119">
          <cell r="A119" t="str">
            <v>Qatar</v>
          </cell>
          <cell r="B119">
            <v>3.3</v>
          </cell>
          <cell r="C119">
            <v>3.2</v>
          </cell>
          <cell r="D119">
            <v>3</v>
          </cell>
          <cell r="E119">
            <v>2.7</v>
          </cell>
          <cell r="F119">
            <v>3.3</v>
          </cell>
          <cell r="G119">
            <v>2.1</v>
          </cell>
          <cell r="H119">
            <v>2.1</v>
          </cell>
          <cell r="I119">
            <v>1.8</v>
          </cell>
          <cell r="J119">
            <v>2</v>
          </cell>
          <cell r="K119">
            <v>2</v>
          </cell>
          <cell r="L119">
            <v>1.7</v>
          </cell>
          <cell r="M119">
            <v>1.4</v>
          </cell>
          <cell r="N119">
            <v>1.7</v>
          </cell>
          <cell r="O119">
            <v>1.4</v>
          </cell>
          <cell r="P119">
            <v>1.6</v>
          </cell>
          <cell r="Q119">
            <v>1.3</v>
          </cell>
          <cell r="R119">
            <v>1.8326726501392638</v>
          </cell>
        </row>
        <row r="120">
          <cell r="A120" t="str">
            <v>Congo, Rep.</v>
          </cell>
          <cell r="B120">
            <v>7.7</v>
          </cell>
          <cell r="C120">
            <v>7.8</v>
          </cell>
          <cell r="D120">
            <v>7.7</v>
          </cell>
          <cell r="E120">
            <v>7.7</v>
          </cell>
          <cell r="F120">
            <v>6.5</v>
          </cell>
          <cell r="G120">
            <v>8</v>
          </cell>
          <cell r="H120">
            <v>8.1</v>
          </cell>
          <cell r="I120">
            <v>8.3000000000000007</v>
          </cell>
          <cell r="J120">
            <v>7.9</v>
          </cell>
          <cell r="K120">
            <v>7.7</v>
          </cell>
          <cell r="L120">
            <v>7.47</v>
          </cell>
          <cell r="M120">
            <v>7</v>
          </cell>
          <cell r="N120">
            <v>6.7</v>
          </cell>
          <cell r="O120">
            <v>6.5</v>
          </cell>
          <cell r="P120">
            <v>6.8</v>
          </cell>
          <cell r="Q120">
            <v>6.5</v>
          </cell>
          <cell r="R120">
            <v>4.5947973421019359</v>
          </cell>
        </row>
        <row r="121">
          <cell r="A121" t="str">
            <v>Romania</v>
          </cell>
          <cell r="B121">
            <v>3.5</v>
          </cell>
          <cell r="C121">
            <v>3.4</v>
          </cell>
          <cell r="D121">
            <v>3.2</v>
          </cell>
          <cell r="E121">
            <v>3.2</v>
          </cell>
          <cell r="F121">
            <v>5.2</v>
          </cell>
          <cell r="G121">
            <v>2.7</v>
          </cell>
          <cell r="H121">
            <v>3</v>
          </cell>
          <cell r="I121">
            <v>2.7</v>
          </cell>
          <cell r="J121">
            <v>3</v>
          </cell>
          <cell r="K121">
            <v>2.8</v>
          </cell>
          <cell r="L121">
            <v>2.56</v>
          </cell>
          <cell r="M121">
            <v>2.2999999999999998</v>
          </cell>
          <cell r="N121">
            <v>2.2999999999999998</v>
          </cell>
          <cell r="O121">
            <v>2.1</v>
          </cell>
          <cell r="P121">
            <v>2</v>
          </cell>
          <cell r="Q121">
            <v>4</v>
          </cell>
          <cell r="R121">
            <v>2.6057854686520989</v>
          </cell>
        </row>
        <row r="122">
          <cell r="A122" t="str">
            <v>Russia</v>
          </cell>
          <cell r="B122">
            <v>5.4</v>
          </cell>
          <cell r="C122">
            <v>5.9</v>
          </cell>
          <cell r="D122">
            <v>5.4</v>
          </cell>
          <cell r="E122">
            <v>5.0999999999999996</v>
          </cell>
          <cell r="F122">
            <v>3.6</v>
          </cell>
          <cell r="G122">
            <v>5.3</v>
          </cell>
          <cell r="H122">
            <v>5.2</v>
          </cell>
          <cell r="I122">
            <v>5.7</v>
          </cell>
          <cell r="J122">
            <v>6</v>
          </cell>
          <cell r="K122">
            <v>5.8</v>
          </cell>
          <cell r="L122">
            <v>5.5</v>
          </cell>
          <cell r="M122">
            <v>5.2</v>
          </cell>
          <cell r="N122">
            <v>4.9000000000000004</v>
          </cell>
          <cell r="O122">
            <v>4.5999999999999996</v>
          </cell>
          <cell r="P122">
            <v>4.3</v>
          </cell>
          <cell r="Q122">
            <v>4.8</v>
          </cell>
          <cell r="R122">
            <v>7.1798670772952908</v>
          </cell>
        </row>
        <row r="123">
          <cell r="A123" t="str">
            <v>Rwanda</v>
          </cell>
          <cell r="B123">
            <v>7</v>
          </cell>
          <cell r="C123">
            <v>6.9</v>
          </cell>
          <cell r="D123">
            <v>7</v>
          </cell>
          <cell r="E123">
            <v>7.3</v>
          </cell>
          <cell r="F123">
            <v>4.2</v>
          </cell>
          <cell r="G123">
            <v>7.9</v>
          </cell>
          <cell r="H123">
            <v>8.1999999999999993</v>
          </cell>
          <cell r="I123">
            <v>7.9</v>
          </cell>
          <cell r="J123">
            <v>8</v>
          </cell>
          <cell r="K123">
            <v>8.3000000000000007</v>
          </cell>
          <cell r="L123">
            <v>8</v>
          </cell>
          <cell r="M123">
            <v>8.1</v>
          </cell>
          <cell r="N123">
            <v>7.8</v>
          </cell>
          <cell r="O123">
            <v>7.5</v>
          </cell>
          <cell r="P123">
            <v>7.6</v>
          </cell>
          <cell r="Q123">
            <v>7.3</v>
          </cell>
          <cell r="R123">
            <v>4.8117231456128469</v>
          </cell>
        </row>
        <row r="124">
          <cell r="A124" t="str">
            <v>Saudi Arabia</v>
          </cell>
          <cell r="B124">
            <v>6.2</v>
          </cell>
          <cell r="C124">
            <v>6</v>
          </cell>
          <cell r="D124">
            <v>6.2</v>
          </cell>
          <cell r="E124">
            <v>5.8</v>
          </cell>
          <cell r="F124">
            <v>3.6</v>
          </cell>
          <cell r="G124">
            <v>5.2</v>
          </cell>
          <cell r="H124">
            <v>4.9000000000000004</v>
          </cell>
          <cell r="I124">
            <v>4.5999999999999996</v>
          </cell>
          <cell r="J124">
            <v>4.9000000000000004</v>
          </cell>
          <cell r="K124">
            <v>4.7</v>
          </cell>
          <cell r="L124">
            <v>4.4000000000000004</v>
          </cell>
          <cell r="M124">
            <v>4.4000000000000004</v>
          </cell>
          <cell r="N124">
            <v>4.0999999999999996</v>
          </cell>
          <cell r="O124">
            <v>3.8</v>
          </cell>
          <cell r="P124">
            <v>3.5</v>
          </cell>
          <cell r="Q124">
            <v>3.2</v>
          </cell>
          <cell r="R124">
            <v>3.8842100950930125</v>
          </cell>
        </row>
        <row r="125">
          <cell r="A125" t="str">
            <v>Senegal</v>
          </cell>
          <cell r="B125">
            <v>5.5</v>
          </cell>
          <cell r="C125">
            <v>6</v>
          </cell>
          <cell r="D125">
            <v>6.2</v>
          </cell>
          <cell r="E125">
            <v>6.4</v>
          </cell>
          <cell r="F125">
            <v>1.8</v>
          </cell>
          <cell r="G125">
            <v>7</v>
          </cell>
          <cell r="H125">
            <v>7.3</v>
          </cell>
          <cell r="I125">
            <v>7.8</v>
          </cell>
          <cell r="J125">
            <v>7.5</v>
          </cell>
          <cell r="K125">
            <v>7.3</v>
          </cell>
          <cell r="L125">
            <v>7</v>
          </cell>
          <cell r="M125">
            <v>6.7</v>
          </cell>
          <cell r="N125">
            <v>6.4</v>
          </cell>
          <cell r="O125">
            <v>6.1</v>
          </cell>
          <cell r="P125">
            <v>5.8</v>
          </cell>
          <cell r="Q125">
            <v>5.8</v>
          </cell>
          <cell r="R125">
            <v>4.21411361041599</v>
          </cell>
        </row>
        <row r="126">
          <cell r="A126" t="str">
            <v>Serbia</v>
          </cell>
          <cell r="B126">
            <v>6</v>
          </cell>
          <cell r="C126">
            <v>7.3</v>
          </cell>
          <cell r="D126">
            <v>6.9</v>
          </cell>
          <cell r="E126">
            <v>6.4</v>
          </cell>
          <cell r="F126">
            <v>2.2999999999999998</v>
          </cell>
          <cell r="G126">
            <v>6.6</v>
          </cell>
          <cell r="H126">
            <v>6.5</v>
          </cell>
          <cell r="I126">
            <v>7</v>
          </cell>
          <cell r="J126">
            <v>8.6</v>
          </cell>
          <cell r="K126">
            <v>8.4</v>
          </cell>
          <cell r="L126">
            <v>7.9</v>
          </cell>
          <cell r="M126">
            <v>8</v>
          </cell>
          <cell r="N126">
            <v>7.7</v>
          </cell>
          <cell r="O126">
            <v>7.4</v>
          </cell>
          <cell r="P126">
            <v>7.1</v>
          </cell>
          <cell r="Q126">
            <v>6.8</v>
          </cell>
          <cell r="R126">
            <v>4.4422236815203062</v>
          </cell>
        </row>
        <row r="127">
          <cell r="A127" t="str">
            <v>Sierra Leone</v>
          </cell>
          <cell r="B127">
            <v>7.4</v>
          </cell>
          <cell r="C127">
            <v>6.9</v>
          </cell>
          <cell r="D127">
            <v>7.1</v>
          </cell>
          <cell r="E127">
            <v>7.5</v>
          </cell>
          <cell r="F127">
            <v>2.8</v>
          </cell>
          <cell r="G127">
            <v>8.1</v>
          </cell>
          <cell r="H127">
            <v>7.8</v>
          </cell>
          <cell r="I127">
            <v>8.1999999999999993</v>
          </cell>
          <cell r="J127">
            <v>7.9</v>
          </cell>
          <cell r="K127">
            <v>7.7</v>
          </cell>
          <cell r="L127">
            <v>7.7</v>
          </cell>
          <cell r="M127">
            <v>7.4</v>
          </cell>
          <cell r="N127">
            <v>7.1</v>
          </cell>
          <cell r="O127">
            <v>7.4</v>
          </cell>
          <cell r="P127">
            <v>7.7</v>
          </cell>
          <cell r="Q127">
            <v>7.4</v>
          </cell>
          <cell r="R127">
            <v>4.6623466539342324</v>
          </cell>
        </row>
        <row r="128">
          <cell r="A128" t="str">
            <v>Singapore</v>
          </cell>
          <cell r="B128">
            <v>1.1000000000000001</v>
          </cell>
          <cell r="C128">
            <v>1.1000000000000001</v>
          </cell>
          <cell r="D128">
            <v>0.9</v>
          </cell>
          <cell r="E128">
            <v>0.9</v>
          </cell>
          <cell r="F128">
            <v>2.8</v>
          </cell>
          <cell r="G128">
            <v>1.1000000000000001</v>
          </cell>
          <cell r="H128">
            <v>1.4</v>
          </cell>
          <cell r="I128">
            <v>1.1000000000000001</v>
          </cell>
          <cell r="J128">
            <v>1.4</v>
          </cell>
          <cell r="K128">
            <v>1.7</v>
          </cell>
          <cell r="L128">
            <v>1.4</v>
          </cell>
          <cell r="M128">
            <v>1.1000000000000001</v>
          </cell>
          <cell r="N128">
            <v>1</v>
          </cell>
          <cell r="O128">
            <v>0.7</v>
          </cell>
          <cell r="P128">
            <v>0.4</v>
          </cell>
          <cell r="Q128">
            <v>0.5</v>
          </cell>
          <cell r="R128">
            <v>0.92575427117411846</v>
          </cell>
        </row>
        <row r="129">
          <cell r="A129" t="str">
            <v>Slovakia</v>
          </cell>
          <cell r="B129">
            <v>1.8</v>
          </cell>
          <cell r="C129">
            <v>2</v>
          </cell>
          <cell r="D129">
            <v>2.2000000000000002</v>
          </cell>
          <cell r="E129">
            <v>2.2999999999999998</v>
          </cell>
          <cell r="F129">
            <v>2.4</v>
          </cell>
          <cell r="G129">
            <v>2</v>
          </cell>
          <cell r="H129">
            <v>2.2999999999999998</v>
          </cell>
          <cell r="I129">
            <v>2</v>
          </cell>
          <cell r="J129">
            <v>4</v>
          </cell>
          <cell r="K129">
            <v>3.8</v>
          </cell>
          <cell r="L129">
            <v>3.5</v>
          </cell>
          <cell r="M129">
            <v>3.2</v>
          </cell>
          <cell r="N129">
            <v>2.9</v>
          </cell>
          <cell r="O129">
            <v>2.9</v>
          </cell>
          <cell r="P129">
            <v>2.2999999999999998</v>
          </cell>
          <cell r="Q129">
            <v>3.3</v>
          </cell>
          <cell r="R129">
            <v>2.3494159272511115</v>
          </cell>
        </row>
        <row r="130">
          <cell r="A130" t="str">
            <v>Slovenia</v>
          </cell>
          <cell r="B130">
            <v>1.7</v>
          </cell>
          <cell r="C130">
            <v>1.3</v>
          </cell>
          <cell r="D130">
            <v>1.4</v>
          </cell>
          <cell r="E130">
            <v>1.7</v>
          </cell>
          <cell r="F130">
            <v>3.6</v>
          </cell>
          <cell r="G130">
            <v>1.4</v>
          </cell>
          <cell r="H130">
            <v>1.6</v>
          </cell>
          <cell r="I130">
            <v>1.4</v>
          </cell>
          <cell r="J130">
            <v>4.5</v>
          </cell>
          <cell r="K130">
            <v>4</v>
          </cell>
          <cell r="L130">
            <v>3.7</v>
          </cell>
          <cell r="M130">
            <v>3.4</v>
          </cell>
          <cell r="N130">
            <v>3.1</v>
          </cell>
          <cell r="O130">
            <v>2.8</v>
          </cell>
          <cell r="P130">
            <v>2.5</v>
          </cell>
          <cell r="Q130">
            <v>2.6</v>
          </cell>
          <cell r="R130">
            <v>1.3001798965748286</v>
          </cell>
        </row>
        <row r="131">
          <cell r="A131" t="str">
            <v>Somalia</v>
          </cell>
          <cell r="B131">
            <v>9.8000000000000007</v>
          </cell>
          <cell r="C131">
            <v>9.9</v>
          </cell>
          <cell r="D131">
            <v>10</v>
          </cell>
          <cell r="E131">
            <v>10</v>
          </cell>
          <cell r="F131">
            <v>2.2999999999999998</v>
          </cell>
          <cell r="G131">
            <v>10</v>
          </cell>
          <cell r="H131">
            <v>10</v>
          </cell>
          <cell r="I131">
            <v>9.8000000000000007</v>
          </cell>
          <cell r="J131">
            <v>9.6999999999999993</v>
          </cell>
          <cell r="K131">
            <v>10</v>
          </cell>
          <cell r="L131">
            <v>9.6999999999999993</v>
          </cell>
          <cell r="M131">
            <v>9.4</v>
          </cell>
          <cell r="N131">
            <v>9.1</v>
          </cell>
          <cell r="O131">
            <v>9.1999999999999993</v>
          </cell>
          <cell r="P131">
            <v>8.6999999999999993</v>
          </cell>
          <cell r="Q131">
            <v>9</v>
          </cell>
          <cell r="R131">
            <v>8.6660664807833818</v>
          </cell>
        </row>
        <row r="132">
          <cell r="A132" t="str">
            <v>South Africa</v>
          </cell>
          <cell r="B132">
            <v>7</v>
          </cell>
          <cell r="C132">
            <v>7.4</v>
          </cell>
          <cell r="D132">
            <v>7</v>
          </cell>
          <cell r="E132">
            <v>6.7</v>
          </cell>
          <cell r="F132">
            <v>3.6</v>
          </cell>
          <cell r="G132">
            <v>6.5</v>
          </cell>
          <cell r="H132">
            <v>6.2</v>
          </cell>
          <cell r="I132">
            <v>5.9</v>
          </cell>
          <cell r="J132">
            <v>5.6</v>
          </cell>
          <cell r="K132">
            <v>5.4</v>
          </cell>
          <cell r="L132">
            <v>5.0999999999999996</v>
          </cell>
          <cell r="M132">
            <v>4.8</v>
          </cell>
          <cell r="N132">
            <v>4.5</v>
          </cell>
          <cell r="O132">
            <v>4.2</v>
          </cell>
          <cell r="P132">
            <v>3.9</v>
          </cell>
          <cell r="Q132">
            <v>4</v>
          </cell>
          <cell r="R132">
            <v>4.4571413460920892</v>
          </cell>
        </row>
        <row r="133">
          <cell r="A133" t="str">
            <v>South Korea</v>
          </cell>
          <cell r="B133">
            <v>3.9</v>
          </cell>
          <cell r="C133">
            <v>3.5</v>
          </cell>
          <cell r="D133">
            <v>3.3</v>
          </cell>
          <cell r="E133">
            <v>3</v>
          </cell>
          <cell r="F133">
            <v>1.9</v>
          </cell>
          <cell r="G133">
            <v>2</v>
          </cell>
          <cell r="H133">
            <v>1.8</v>
          </cell>
          <cell r="I133">
            <v>1.5</v>
          </cell>
          <cell r="J133">
            <v>1.7</v>
          </cell>
          <cell r="K133">
            <v>2</v>
          </cell>
          <cell r="L133">
            <v>1.88</v>
          </cell>
          <cell r="M133">
            <v>1.6</v>
          </cell>
          <cell r="N133">
            <v>1.6</v>
          </cell>
          <cell r="O133">
            <v>1.6</v>
          </cell>
          <cell r="P133">
            <v>1.4</v>
          </cell>
          <cell r="Q133">
            <v>1.1000000000000001</v>
          </cell>
          <cell r="R133">
            <v>2.2333078028787949</v>
          </cell>
        </row>
        <row r="134">
          <cell r="A134" t="str">
            <v>South Sudan</v>
          </cell>
          <cell r="B134"/>
          <cell r="C134"/>
          <cell r="D134"/>
          <cell r="E134"/>
          <cell r="F134">
            <v>3</v>
          </cell>
          <cell r="G134">
            <v>10</v>
          </cell>
          <cell r="H134">
            <v>10</v>
          </cell>
          <cell r="I134">
            <v>10</v>
          </cell>
          <cell r="J134">
            <v>10</v>
          </cell>
          <cell r="K134">
            <v>10</v>
          </cell>
          <cell r="L134">
            <v>10</v>
          </cell>
          <cell r="M134">
            <v>10</v>
          </cell>
          <cell r="N134">
            <v>9.6999999999999993</v>
          </cell>
          <cell r="O134">
            <v>9.9</v>
          </cell>
          <cell r="P134">
            <v>10</v>
          </cell>
          <cell r="Q134">
            <v>10</v>
          </cell>
          <cell r="R134">
            <v>7.7564801384902022</v>
          </cell>
        </row>
        <row r="135">
          <cell r="A135" t="str">
            <v>Spain</v>
          </cell>
          <cell r="B135">
            <v>2.1</v>
          </cell>
          <cell r="C135">
            <v>2.6</v>
          </cell>
          <cell r="D135">
            <v>2.8</v>
          </cell>
          <cell r="E135">
            <v>2.9</v>
          </cell>
          <cell r="F135">
            <v>2.9</v>
          </cell>
          <cell r="G135">
            <v>2.2999999999999998</v>
          </cell>
          <cell r="H135">
            <v>2</v>
          </cell>
          <cell r="I135">
            <v>1.7</v>
          </cell>
          <cell r="J135">
            <v>2</v>
          </cell>
          <cell r="K135">
            <v>1.9</v>
          </cell>
          <cell r="L135">
            <v>1.93</v>
          </cell>
          <cell r="M135">
            <v>2</v>
          </cell>
          <cell r="N135">
            <v>1.9</v>
          </cell>
          <cell r="O135">
            <v>2.2000000000000002</v>
          </cell>
          <cell r="P135">
            <v>2.2000000000000002</v>
          </cell>
          <cell r="Q135">
            <v>1.9</v>
          </cell>
          <cell r="R135">
            <v>2.4070693755443813</v>
          </cell>
        </row>
        <row r="136">
          <cell r="A136" t="str">
            <v>Sri Lanka</v>
          </cell>
          <cell r="B136">
            <v>9</v>
          </cell>
          <cell r="C136">
            <v>9.3000000000000007</v>
          </cell>
          <cell r="D136">
            <v>9.4</v>
          </cell>
          <cell r="E136">
            <v>8.6</v>
          </cell>
          <cell r="F136">
            <v>5.0999999999999996</v>
          </cell>
          <cell r="G136">
            <v>8.4</v>
          </cell>
          <cell r="H136">
            <v>8.5</v>
          </cell>
          <cell r="I136">
            <v>8.1999999999999993</v>
          </cell>
          <cell r="J136">
            <v>7.9</v>
          </cell>
          <cell r="K136">
            <v>8.4</v>
          </cell>
          <cell r="L136">
            <v>8.1</v>
          </cell>
          <cell r="M136">
            <v>7.8</v>
          </cell>
          <cell r="N136">
            <v>7.5</v>
          </cell>
          <cell r="O136">
            <v>7.2</v>
          </cell>
          <cell r="P136">
            <v>6.9</v>
          </cell>
          <cell r="Q136">
            <v>6.6</v>
          </cell>
          <cell r="R136">
            <v>4.814769400479034</v>
          </cell>
        </row>
        <row r="137">
          <cell r="A137" t="str">
            <v>Sudan</v>
          </cell>
          <cell r="B137">
            <v>9.6</v>
          </cell>
          <cell r="C137">
            <v>9.8000000000000007</v>
          </cell>
          <cell r="D137">
            <v>9.8000000000000007</v>
          </cell>
          <cell r="E137">
            <v>9.6</v>
          </cell>
          <cell r="F137">
            <v>2.7</v>
          </cell>
          <cell r="G137">
            <v>10</v>
          </cell>
          <cell r="H137">
            <v>9.6999999999999993</v>
          </cell>
          <cell r="I137">
            <v>10</v>
          </cell>
          <cell r="J137">
            <v>10</v>
          </cell>
          <cell r="K137">
            <v>9.8000000000000007</v>
          </cell>
          <cell r="L137">
            <v>9.5</v>
          </cell>
          <cell r="M137">
            <v>9.6</v>
          </cell>
          <cell r="N137">
            <v>9.3000000000000007</v>
          </cell>
          <cell r="O137">
            <v>9.4</v>
          </cell>
          <cell r="P137">
            <v>9.5</v>
          </cell>
          <cell r="Q137">
            <v>9.6</v>
          </cell>
          <cell r="R137">
            <v>8.3352487030738391</v>
          </cell>
        </row>
        <row r="138">
          <cell r="A138" t="str">
            <v>Sweden</v>
          </cell>
          <cell r="B138">
            <v>3</v>
          </cell>
          <cell r="C138">
            <v>2.6</v>
          </cell>
          <cell r="D138">
            <v>2.7</v>
          </cell>
          <cell r="E138">
            <v>2.9</v>
          </cell>
          <cell r="F138">
            <v>1.8</v>
          </cell>
          <cell r="G138">
            <v>2.4</v>
          </cell>
          <cell r="H138">
            <v>2.6</v>
          </cell>
          <cell r="I138">
            <v>2.2999999999999998</v>
          </cell>
          <cell r="J138">
            <v>5.5</v>
          </cell>
          <cell r="K138">
            <v>5.3</v>
          </cell>
          <cell r="L138">
            <v>5.22</v>
          </cell>
          <cell r="M138">
            <v>4.9000000000000004</v>
          </cell>
          <cell r="N138">
            <v>4.5999999999999996</v>
          </cell>
          <cell r="O138">
            <v>4.3</v>
          </cell>
          <cell r="P138">
            <v>4</v>
          </cell>
          <cell r="Q138">
            <v>3.7</v>
          </cell>
          <cell r="R138">
            <v>2.378721900177946</v>
          </cell>
        </row>
        <row r="139">
          <cell r="A139" t="str">
            <v>Switzerland</v>
          </cell>
          <cell r="B139">
            <v>1.7</v>
          </cell>
          <cell r="C139">
            <v>1.3</v>
          </cell>
          <cell r="D139">
            <v>1.5</v>
          </cell>
          <cell r="E139">
            <v>1.9</v>
          </cell>
          <cell r="F139">
            <v>2.5</v>
          </cell>
          <cell r="G139">
            <v>1.5</v>
          </cell>
          <cell r="H139">
            <v>1.8</v>
          </cell>
          <cell r="I139">
            <v>2.1</v>
          </cell>
          <cell r="J139">
            <v>2.2000000000000002</v>
          </cell>
          <cell r="K139">
            <v>2.5</v>
          </cell>
          <cell r="L139">
            <v>2.48</v>
          </cell>
          <cell r="M139">
            <v>2.7</v>
          </cell>
          <cell r="N139">
            <v>2.8</v>
          </cell>
          <cell r="O139">
            <v>3.1</v>
          </cell>
          <cell r="P139">
            <v>3.1</v>
          </cell>
          <cell r="Q139">
            <v>3.2</v>
          </cell>
          <cell r="R139">
            <v>1.1926587572347565</v>
          </cell>
        </row>
        <row r="140">
          <cell r="A140" t="str">
            <v>Syrian Arab Republic</v>
          </cell>
          <cell r="B140">
            <v>9</v>
          </cell>
          <cell r="C140">
            <v>9.1999999999999993</v>
          </cell>
          <cell r="D140">
            <v>8.9</v>
          </cell>
          <cell r="E140">
            <v>8.5</v>
          </cell>
          <cell r="F140">
            <v>2.5</v>
          </cell>
          <cell r="G140">
            <v>9.5</v>
          </cell>
          <cell r="H140">
            <v>10</v>
          </cell>
          <cell r="I140">
            <v>10</v>
          </cell>
          <cell r="J140">
            <v>10</v>
          </cell>
          <cell r="K140">
            <v>9.8000000000000007</v>
          </cell>
          <cell r="L140">
            <v>10</v>
          </cell>
          <cell r="M140">
            <v>10</v>
          </cell>
          <cell r="N140">
            <v>10</v>
          </cell>
          <cell r="O140">
            <v>9.6999999999999993</v>
          </cell>
          <cell r="P140">
            <v>9.4</v>
          </cell>
          <cell r="Q140">
            <v>9.1</v>
          </cell>
          <cell r="R140">
            <v>9.0087313172807306</v>
          </cell>
        </row>
        <row r="141">
          <cell r="A141" t="str">
            <v>Tajikistan</v>
          </cell>
          <cell r="B141">
            <v>6.1</v>
          </cell>
          <cell r="C141">
            <v>6.4</v>
          </cell>
          <cell r="D141">
            <v>6.2</v>
          </cell>
          <cell r="E141">
            <v>5.9</v>
          </cell>
          <cell r="F141">
            <v>0.9</v>
          </cell>
          <cell r="G141">
            <v>5.3</v>
          </cell>
          <cell r="H141">
            <v>5.0999999999999996</v>
          </cell>
          <cell r="I141">
            <v>4.8</v>
          </cell>
          <cell r="J141">
            <v>4.5</v>
          </cell>
          <cell r="K141">
            <v>4.3</v>
          </cell>
          <cell r="L141">
            <v>4.1100000000000003</v>
          </cell>
          <cell r="M141">
            <v>3.8</v>
          </cell>
          <cell r="N141">
            <v>3.8</v>
          </cell>
          <cell r="O141">
            <v>3.6</v>
          </cell>
          <cell r="P141">
            <v>3.7</v>
          </cell>
          <cell r="Q141">
            <v>3.8</v>
          </cell>
          <cell r="R141">
            <v>4.318929268504438</v>
          </cell>
        </row>
        <row r="142">
          <cell r="A142" t="str">
            <v>Tanzania</v>
          </cell>
          <cell r="B142">
            <v>7</v>
          </cell>
          <cell r="C142">
            <v>7.1</v>
          </cell>
          <cell r="D142">
            <v>7.3</v>
          </cell>
          <cell r="E142">
            <v>7.4</v>
          </cell>
          <cell r="F142">
            <v>3</v>
          </cell>
          <cell r="G142">
            <v>6.8</v>
          </cell>
          <cell r="H142">
            <v>6.7</v>
          </cell>
          <cell r="I142">
            <v>6.4</v>
          </cell>
          <cell r="J142">
            <v>6.9</v>
          </cell>
          <cell r="K142">
            <v>6.7</v>
          </cell>
          <cell r="L142">
            <v>6.4</v>
          </cell>
          <cell r="M142">
            <v>6.1</v>
          </cell>
          <cell r="N142">
            <v>5.8</v>
          </cell>
          <cell r="O142">
            <v>5.5</v>
          </cell>
          <cell r="P142">
            <v>5.2</v>
          </cell>
          <cell r="Q142">
            <v>4.9000000000000004</v>
          </cell>
          <cell r="R142">
            <v>4.0533161003920659</v>
          </cell>
        </row>
        <row r="143">
          <cell r="A143" t="str">
            <v>Thailand</v>
          </cell>
          <cell r="B143">
            <v>6</v>
          </cell>
          <cell r="C143">
            <v>6.5</v>
          </cell>
          <cell r="D143">
            <v>6.7</v>
          </cell>
          <cell r="E143">
            <v>6.6</v>
          </cell>
          <cell r="F143">
            <v>2.6</v>
          </cell>
          <cell r="G143">
            <v>6.4</v>
          </cell>
          <cell r="H143">
            <v>6.5</v>
          </cell>
          <cell r="I143">
            <v>6</v>
          </cell>
          <cell r="J143">
            <v>6.1</v>
          </cell>
          <cell r="K143">
            <v>5.9</v>
          </cell>
          <cell r="L143">
            <v>5.6</v>
          </cell>
          <cell r="M143">
            <v>5.7</v>
          </cell>
          <cell r="N143">
            <v>5.4</v>
          </cell>
          <cell r="O143">
            <v>5.0999999999999996</v>
          </cell>
          <cell r="P143">
            <v>5.2</v>
          </cell>
          <cell r="Q143">
            <v>4.9000000000000004</v>
          </cell>
          <cell r="R143">
            <v>5.4401591579916113</v>
          </cell>
        </row>
        <row r="144">
          <cell r="A144" t="str">
            <v>Timor-Leste</v>
          </cell>
          <cell r="B144">
            <v>8.6</v>
          </cell>
          <cell r="C144">
            <v>9</v>
          </cell>
          <cell r="D144">
            <v>9.1</v>
          </cell>
          <cell r="E144">
            <v>8</v>
          </cell>
          <cell r="F144">
            <v>1.8</v>
          </cell>
          <cell r="G144">
            <v>7.4</v>
          </cell>
          <cell r="H144">
            <v>7.1</v>
          </cell>
          <cell r="I144">
            <v>6.8</v>
          </cell>
          <cell r="J144">
            <v>6.5</v>
          </cell>
          <cell r="K144">
            <v>6.3</v>
          </cell>
          <cell r="L144">
            <v>6</v>
          </cell>
          <cell r="M144">
            <v>5.7</v>
          </cell>
          <cell r="N144">
            <v>5.7</v>
          </cell>
          <cell r="O144">
            <v>5.4</v>
          </cell>
          <cell r="P144">
            <v>5.4</v>
          </cell>
          <cell r="Q144">
            <v>5.7</v>
          </cell>
          <cell r="R144">
            <v>3.8210742046939443</v>
          </cell>
        </row>
        <row r="145">
          <cell r="A145" t="str">
            <v>Togo</v>
          </cell>
          <cell r="B145">
            <v>5.6</v>
          </cell>
          <cell r="C145">
            <v>6</v>
          </cell>
          <cell r="D145">
            <v>6.2</v>
          </cell>
          <cell r="E145">
            <v>6.5</v>
          </cell>
          <cell r="F145">
            <v>1.5</v>
          </cell>
          <cell r="G145">
            <v>7.1</v>
          </cell>
          <cell r="H145">
            <v>7.4</v>
          </cell>
          <cell r="I145">
            <v>7.1</v>
          </cell>
          <cell r="J145">
            <v>6.8</v>
          </cell>
          <cell r="K145">
            <v>6.6</v>
          </cell>
          <cell r="L145">
            <v>6.9</v>
          </cell>
          <cell r="M145">
            <v>6.9</v>
          </cell>
          <cell r="N145">
            <v>6.6</v>
          </cell>
          <cell r="O145">
            <v>6.3</v>
          </cell>
          <cell r="P145">
            <v>6</v>
          </cell>
          <cell r="Q145">
            <v>5.7</v>
          </cell>
          <cell r="R145">
            <v>5.5037498333855082</v>
          </cell>
        </row>
        <row r="146">
          <cell r="A146" t="str">
            <v>Trinidad and Tobago</v>
          </cell>
          <cell r="B146">
            <v>3.6</v>
          </cell>
          <cell r="C146">
            <v>3.1</v>
          </cell>
          <cell r="D146">
            <v>3.1</v>
          </cell>
          <cell r="E146">
            <v>3.2</v>
          </cell>
          <cell r="F146">
            <v>2.5</v>
          </cell>
          <cell r="G146">
            <v>3</v>
          </cell>
          <cell r="H146">
            <v>3.3</v>
          </cell>
          <cell r="I146">
            <v>3</v>
          </cell>
          <cell r="J146">
            <v>2.8</v>
          </cell>
          <cell r="K146">
            <v>2.7</v>
          </cell>
          <cell r="L146">
            <v>2.58</v>
          </cell>
          <cell r="M146">
            <v>2.2999999999999998</v>
          </cell>
          <cell r="N146">
            <v>2.6</v>
          </cell>
          <cell r="O146">
            <v>2.5</v>
          </cell>
          <cell r="P146">
            <v>2.8</v>
          </cell>
          <cell r="Q146">
            <v>2.5</v>
          </cell>
          <cell r="R146">
            <v>3.4357020575710946</v>
          </cell>
        </row>
        <row r="147">
          <cell r="A147" t="str">
            <v>Tunisia</v>
          </cell>
          <cell r="B147">
            <v>3.4</v>
          </cell>
          <cell r="C147">
            <v>3.2</v>
          </cell>
          <cell r="D147">
            <v>3.4</v>
          </cell>
          <cell r="E147">
            <v>3.4</v>
          </cell>
          <cell r="F147">
            <v>1.9</v>
          </cell>
          <cell r="G147">
            <v>4.2</v>
          </cell>
          <cell r="H147">
            <v>4.4000000000000004</v>
          </cell>
          <cell r="I147">
            <v>4.0999999999999996</v>
          </cell>
          <cell r="J147">
            <v>4.2</v>
          </cell>
          <cell r="K147">
            <v>4.7</v>
          </cell>
          <cell r="L147">
            <v>4.4000000000000004</v>
          </cell>
          <cell r="M147">
            <v>4.0999999999999996</v>
          </cell>
          <cell r="N147">
            <v>3.8</v>
          </cell>
          <cell r="O147">
            <v>3.5</v>
          </cell>
          <cell r="P147">
            <v>3.2</v>
          </cell>
          <cell r="Q147">
            <v>2.9</v>
          </cell>
          <cell r="R147">
            <v>4.1986547152148486</v>
          </cell>
        </row>
        <row r="148">
          <cell r="A148" t="str">
            <v>Turkey</v>
          </cell>
          <cell r="B148">
            <v>6.2</v>
          </cell>
          <cell r="C148">
            <v>6.6</v>
          </cell>
          <cell r="D148">
            <v>6.3</v>
          </cell>
          <cell r="E148">
            <v>6</v>
          </cell>
          <cell r="F148">
            <v>3.9</v>
          </cell>
          <cell r="G148">
            <v>7.4</v>
          </cell>
          <cell r="H148">
            <v>7.1</v>
          </cell>
          <cell r="I148">
            <v>7.5</v>
          </cell>
          <cell r="J148">
            <v>8.8000000000000007</v>
          </cell>
          <cell r="K148">
            <v>9.1999999999999993</v>
          </cell>
          <cell r="L148">
            <v>9.3000000000000007</v>
          </cell>
          <cell r="M148">
            <v>9</v>
          </cell>
          <cell r="N148">
            <v>8.6999999999999993</v>
          </cell>
          <cell r="O148">
            <v>8.4</v>
          </cell>
          <cell r="P148">
            <v>8.1</v>
          </cell>
          <cell r="Q148">
            <v>8.1999999999999993</v>
          </cell>
          <cell r="R148">
            <v>5.5198697126152707</v>
          </cell>
        </row>
        <row r="149">
          <cell r="A149" t="str">
            <v>Turkmenistan</v>
          </cell>
          <cell r="B149">
            <v>4.5</v>
          </cell>
          <cell r="C149">
            <v>4.8</v>
          </cell>
          <cell r="D149">
            <v>4.5999999999999996</v>
          </cell>
          <cell r="E149">
            <v>4.2</v>
          </cell>
          <cell r="F149">
            <v>3</v>
          </cell>
          <cell r="G149">
            <v>3.9</v>
          </cell>
          <cell r="H149">
            <v>4.2</v>
          </cell>
          <cell r="I149">
            <v>3.9</v>
          </cell>
          <cell r="J149">
            <v>3.7</v>
          </cell>
          <cell r="K149">
            <v>3.5</v>
          </cell>
          <cell r="L149">
            <v>3.2</v>
          </cell>
          <cell r="M149">
            <v>2.9</v>
          </cell>
          <cell r="N149">
            <v>3.2</v>
          </cell>
          <cell r="O149">
            <v>2.9</v>
          </cell>
          <cell r="P149">
            <v>2.6</v>
          </cell>
          <cell r="Q149">
            <v>2.2999999999999998</v>
          </cell>
          <cell r="R149">
            <v>4.8442294855149068</v>
          </cell>
        </row>
        <row r="150">
          <cell r="A150" t="str">
            <v>Uganda</v>
          </cell>
          <cell r="B150">
            <v>9.3000000000000007</v>
          </cell>
          <cell r="C150">
            <v>9.3000000000000007</v>
          </cell>
          <cell r="D150">
            <v>8.9</v>
          </cell>
          <cell r="E150">
            <v>8</v>
          </cell>
          <cell r="F150">
            <v>1.3</v>
          </cell>
          <cell r="G150">
            <v>8.4</v>
          </cell>
          <cell r="H150">
            <v>8.6999999999999993</v>
          </cell>
          <cell r="I150">
            <v>8.8000000000000007</v>
          </cell>
          <cell r="J150">
            <v>9.1</v>
          </cell>
          <cell r="K150">
            <v>9.3000000000000007</v>
          </cell>
          <cell r="L150">
            <v>9</v>
          </cell>
          <cell r="M150">
            <v>9.1</v>
          </cell>
          <cell r="N150">
            <v>8.8000000000000007</v>
          </cell>
          <cell r="O150">
            <v>9.1</v>
          </cell>
          <cell r="P150">
            <v>9.1999999999999993</v>
          </cell>
          <cell r="Q150">
            <v>8.9</v>
          </cell>
          <cell r="R150">
            <v>6.0802802496012962</v>
          </cell>
        </row>
        <row r="151">
          <cell r="A151" t="str">
            <v>Ukraine</v>
          </cell>
          <cell r="B151">
            <v>3.2</v>
          </cell>
          <cell r="C151">
            <v>3</v>
          </cell>
          <cell r="D151">
            <v>3.1</v>
          </cell>
          <cell r="E151">
            <v>3.1</v>
          </cell>
          <cell r="F151">
            <v>2.7</v>
          </cell>
          <cell r="G151">
            <v>3.2</v>
          </cell>
          <cell r="H151">
            <v>3.4</v>
          </cell>
          <cell r="I151">
            <v>4.4000000000000004</v>
          </cell>
          <cell r="J151">
            <v>4.3</v>
          </cell>
          <cell r="K151">
            <v>4.5999999999999996</v>
          </cell>
          <cell r="L151">
            <v>4.9000000000000004</v>
          </cell>
          <cell r="M151">
            <v>4.7</v>
          </cell>
          <cell r="N151">
            <v>4.4000000000000004</v>
          </cell>
          <cell r="O151">
            <v>4.2</v>
          </cell>
          <cell r="P151">
            <v>4.2</v>
          </cell>
          <cell r="Q151">
            <v>10</v>
          </cell>
          <cell r="R151">
            <v>8.2319917738024362</v>
          </cell>
        </row>
        <row r="152">
          <cell r="A152" t="str">
            <v>United Arab Emirates</v>
          </cell>
          <cell r="B152">
            <v>3.6</v>
          </cell>
          <cell r="C152">
            <v>3.4</v>
          </cell>
          <cell r="D152">
            <v>3.2</v>
          </cell>
          <cell r="E152">
            <v>2.8</v>
          </cell>
          <cell r="F152">
            <v>2.2999999999999998</v>
          </cell>
          <cell r="G152">
            <v>2.5</v>
          </cell>
          <cell r="H152">
            <v>2.5</v>
          </cell>
          <cell r="I152">
            <v>2.2000000000000002</v>
          </cell>
          <cell r="J152">
            <v>2.2000000000000002</v>
          </cell>
          <cell r="K152">
            <v>2.2000000000000002</v>
          </cell>
          <cell r="L152">
            <v>2.14</v>
          </cell>
          <cell r="M152">
            <v>1.8</v>
          </cell>
          <cell r="N152">
            <v>1.9</v>
          </cell>
          <cell r="O152">
            <v>1.8</v>
          </cell>
          <cell r="P152">
            <v>1.7</v>
          </cell>
          <cell r="Q152">
            <v>1.4</v>
          </cell>
          <cell r="R152">
            <v>2.1643552132247872</v>
          </cell>
        </row>
        <row r="153">
          <cell r="A153" t="str">
            <v>United Kingdom</v>
          </cell>
          <cell r="B153">
            <v>3</v>
          </cell>
          <cell r="C153">
            <v>2.8</v>
          </cell>
          <cell r="D153">
            <v>3</v>
          </cell>
          <cell r="E153">
            <v>3.3</v>
          </cell>
          <cell r="F153">
            <v>2.2000000000000002</v>
          </cell>
          <cell r="G153">
            <v>2.7</v>
          </cell>
          <cell r="H153">
            <v>2.7</v>
          </cell>
          <cell r="I153">
            <v>2.4</v>
          </cell>
          <cell r="J153">
            <v>2.2000000000000002</v>
          </cell>
          <cell r="K153">
            <v>2.1</v>
          </cell>
          <cell r="L153">
            <v>1.95</v>
          </cell>
          <cell r="M153">
            <v>1.6</v>
          </cell>
          <cell r="N153">
            <v>1.73</v>
          </cell>
          <cell r="O153">
            <v>1.7</v>
          </cell>
          <cell r="P153">
            <v>1.9</v>
          </cell>
          <cell r="Q153">
            <v>2.4</v>
          </cell>
          <cell r="R153">
            <v>2.4791712542247901</v>
          </cell>
        </row>
        <row r="154">
          <cell r="A154" t="str">
            <v>United States</v>
          </cell>
          <cell r="B154">
            <v>4</v>
          </cell>
          <cell r="C154">
            <v>3.7</v>
          </cell>
          <cell r="D154">
            <v>3.2</v>
          </cell>
          <cell r="E154">
            <v>2.9</v>
          </cell>
          <cell r="F154">
            <v>1.7</v>
          </cell>
          <cell r="G154">
            <v>2.2999999999999998</v>
          </cell>
          <cell r="H154">
            <v>2.4</v>
          </cell>
          <cell r="I154">
            <v>2.1</v>
          </cell>
          <cell r="J154">
            <v>2.1</v>
          </cell>
          <cell r="K154">
            <v>2</v>
          </cell>
          <cell r="L154">
            <v>2.1</v>
          </cell>
          <cell r="M154">
            <v>2.4</v>
          </cell>
          <cell r="N154">
            <v>2.1</v>
          </cell>
          <cell r="O154">
            <v>2.2999999999999998</v>
          </cell>
          <cell r="P154">
            <v>2.5</v>
          </cell>
          <cell r="Q154">
            <v>2.2000000000000002</v>
          </cell>
          <cell r="R154">
            <v>4.5035770760346328</v>
          </cell>
        </row>
        <row r="155">
          <cell r="A155" t="str">
            <v>Uruguay</v>
          </cell>
          <cell r="B155">
            <v>1.1000000000000001</v>
          </cell>
          <cell r="C155">
            <v>1</v>
          </cell>
          <cell r="D155">
            <v>1.3</v>
          </cell>
          <cell r="E155">
            <v>1.7</v>
          </cell>
          <cell r="F155">
            <v>1.4</v>
          </cell>
          <cell r="G155">
            <v>1.9</v>
          </cell>
          <cell r="H155">
            <v>2.2000000000000002</v>
          </cell>
          <cell r="I155">
            <v>1.9</v>
          </cell>
          <cell r="J155">
            <v>2.2000000000000002</v>
          </cell>
          <cell r="K155">
            <v>2.5</v>
          </cell>
          <cell r="L155">
            <v>2.4300000000000002</v>
          </cell>
          <cell r="M155">
            <v>2.1</v>
          </cell>
          <cell r="N155">
            <v>2.2000000000000002</v>
          </cell>
          <cell r="O155">
            <v>1.9</v>
          </cell>
          <cell r="P155">
            <v>2.1</v>
          </cell>
          <cell r="Q155">
            <v>1.8</v>
          </cell>
          <cell r="R155">
            <v>1.8970128952375254</v>
          </cell>
        </row>
        <row r="156">
          <cell r="A156" t="str">
            <v>Uzbekistan</v>
          </cell>
          <cell r="B156">
            <v>5.4</v>
          </cell>
          <cell r="C156">
            <v>5.3</v>
          </cell>
          <cell r="D156">
            <v>5.0999999999999996</v>
          </cell>
          <cell r="E156">
            <v>5.7</v>
          </cell>
          <cell r="F156">
            <v>2.1</v>
          </cell>
          <cell r="G156">
            <v>6</v>
          </cell>
          <cell r="H156">
            <v>5.7</v>
          </cell>
          <cell r="I156">
            <v>6</v>
          </cell>
          <cell r="J156">
            <v>5.7</v>
          </cell>
          <cell r="K156">
            <v>5.5</v>
          </cell>
          <cell r="L156">
            <v>5.3</v>
          </cell>
          <cell r="M156">
            <v>5</v>
          </cell>
          <cell r="N156">
            <v>4.7</v>
          </cell>
          <cell r="O156">
            <v>4.4000000000000004</v>
          </cell>
          <cell r="P156">
            <v>4.0999999999999996</v>
          </cell>
          <cell r="Q156">
            <v>3.8</v>
          </cell>
          <cell r="R156">
            <v>4.0485183879081701</v>
          </cell>
        </row>
        <row r="157">
          <cell r="A157" t="str">
            <v>Venezuela</v>
          </cell>
          <cell r="B157">
            <v>5</v>
          </cell>
          <cell r="C157">
            <v>5</v>
          </cell>
          <cell r="D157">
            <v>5.0999999999999996</v>
          </cell>
          <cell r="E157">
            <v>4.8</v>
          </cell>
          <cell r="F157">
            <v>1.8</v>
          </cell>
          <cell r="G157">
            <v>4.8</v>
          </cell>
          <cell r="H157">
            <v>5.0999999999999996</v>
          </cell>
          <cell r="I157">
            <v>4.8</v>
          </cell>
          <cell r="J157">
            <v>4.8</v>
          </cell>
          <cell r="K157">
            <v>4.5999999999999996</v>
          </cell>
          <cell r="L157">
            <v>5.0999999999999996</v>
          </cell>
          <cell r="M157">
            <v>5.6</v>
          </cell>
          <cell r="N157">
            <v>6.6</v>
          </cell>
          <cell r="O157">
            <v>6.3</v>
          </cell>
          <cell r="P157">
            <v>6</v>
          </cell>
          <cell r="Q157">
            <v>6.5</v>
          </cell>
          <cell r="R157">
            <v>5.8458213781899344</v>
          </cell>
        </row>
        <row r="158">
          <cell r="A158" t="str">
            <v>Vietnam</v>
          </cell>
          <cell r="B158">
            <v>5</v>
          </cell>
          <cell r="C158">
            <v>5.3</v>
          </cell>
          <cell r="D158">
            <v>5.2</v>
          </cell>
          <cell r="E158">
            <v>5</v>
          </cell>
          <cell r="F158">
            <v>1.8</v>
          </cell>
          <cell r="G158">
            <v>4.7</v>
          </cell>
          <cell r="H158">
            <v>5</v>
          </cell>
          <cell r="I158">
            <v>4.7</v>
          </cell>
          <cell r="J158">
            <v>4.4000000000000004</v>
          </cell>
          <cell r="K158">
            <v>4.7</v>
          </cell>
          <cell r="L158">
            <v>4.4000000000000004</v>
          </cell>
          <cell r="M158">
            <v>4.0999999999999996</v>
          </cell>
          <cell r="N158">
            <v>4.4000000000000004</v>
          </cell>
          <cell r="O158">
            <v>4.5</v>
          </cell>
          <cell r="P158">
            <v>4.2</v>
          </cell>
          <cell r="Q158">
            <v>3.9</v>
          </cell>
          <cell r="R158">
            <v>3.0201371077086088</v>
          </cell>
        </row>
        <row r="159">
          <cell r="A159" t="str">
            <v>Yemen</v>
          </cell>
          <cell r="B159">
            <v>7.2</v>
          </cell>
          <cell r="C159">
            <v>7.9</v>
          </cell>
          <cell r="D159">
            <v>8.3000000000000007</v>
          </cell>
          <cell r="E159">
            <v>8.4</v>
          </cell>
          <cell r="F159">
            <v>1.9</v>
          </cell>
          <cell r="G159">
            <v>9.1999999999999993</v>
          </cell>
          <cell r="H159">
            <v>9</v>
          </cell>
          <cell r="I159">
            <v>9.1</v>
          </cell>
          <cell r="J159">
            <v>9.6</v>
          </cell>
          <cell r="K159">
            <v>9.4</v>
          </cell>
          <cell r="L159">
            <v>9.5</v>
          </cell>
          <cell r="M159">
            <v>9.6</v>
          </cell>
          <cell r="N159">
            <v>9.6999999999999993</v>
          </cell>
          <cell r="O159">
            <v>9.8000000000000007</v>
          </cell>
          <cell r="P159">
            <v>9.9</v>
          </cell>
          <cell r="Q159">
            <v>9.6</v>
          </cell>
          <cell r="R159">
            <v>8.3247790215441313</v>
          </cell>
        </row>
        <row r="160">
          <cell r="A160" t="str">
            <v>Zambia</v>
          </cell>
          <cell r="B160">
            <v>6.4</v>
          </cell>
          <cell r="C160">
            <v>7.1</v>
          </cell>
          <cell r="D160">
            <v>7.3</v>
          </cell>
          <cell r="E160">
            <v>7.6</v>
          </cell>
          <cell r="F160">
            <v>2.6</v>
          </cell>
          <cell r="G160">
            <v>7.4</v>
          </cell>
          <cell r="H160">
            <v>7.2</v>
          </cell>
          <cell r="I160">
            <v>6.9</v>
          </cell>
          <cell r="J160">
            <v>6.6</v>
          </cell>
          <cell r="K160">
            <v>6.4</v>
          </cell>
          <cell r="L160">
            <v>6.4</v>
          </cell>
          <cell r="M160">
            <v>6.1</v>
          </cell>
          <cell r="N160">
            <v>5.8</v>
          </cell>
          <cell r="O160">
            <v>5.5</v>
          </cell>
          <cell r="P160">
            <v>5.2</v>
          </cell>
          <cell r="Q160">
            <v>4.9000000000000004</v>
          </cell>
          <cell r="R160">
            <v>3.3142722747750075</v>
          </cell>
        </row>
        <row r="161">
          <cell r="A161" t="str">
            <v>Zimbabwe</v>
          </cell>
          <cell r="B161">
            <v>9</v>
          </cell>
          <cell r="C161">
            <v>9.1</v>
          </cell>
          <cell r="D161">
            <v>8.6</v>
          </cell>
          <cell r="E161">
            <v>8.1999999999999993</v>
          </cell>
          <cell r="F161">
            <v>1.9</v>
          </cell>
          <cell r="G161">
            <v>8.6999999999999993</v>
          </cell>
          <cell r="H161">
            <v>8.4</v>
          </cell>
          <cell r="I161">
            <v>8.4</v>
          </cell>
          <cell r="J161">
            <v>8.6999999999999993</v>
          </cell>
          <cell r="K161">
            <v>8.5</v>
          </cell>
          <cell r="L161">
            <v>8.1999999999999993</v>
          </cell>
          <cell r="M161">
            <v>8.1999999999999993</v>
          </cell>
          <cell r="N161">
            <v>8.5</v>
          </cell>
          <cell r="O161">
            <v>8.1999999999999993</v>
          </cell>
          <cell r="P161">
            <v>7.9</v>
          </cell>
          <cell r="Q161">
            <v>7.6</v>
          </cell>
          <cell r="R161">
            <v>5.7450394548408061</v>
          </cell>
        </row>
      </sheetData>
      <sheetData sheetId="10">
        <row r="1">
          <cell r="B1">
            <v>2011</v>
          </cell>
          <cell r="C1">
            <v>2012</v>
          </cell>
          <cell r="D1">
            <v>2013</v>
          </cell>
          <cell r="E1">
            <v>2014</v>
          </cell>
          <cell r="F1">
            <v>2015</v>
          </cell>
          <cell r="G1">
            <v>2016</v>
          </cell>
          <cell r="H1">
            <v>2017</v>
          </cell>
          <cell r="I1">
            <v>2018</v>
          </cell>
          <cell r="J1">
            <v>2019</v>
          </cell>
          <cell r="K1">
            <v>2020</v>
          </cell>
          <cell r="L1">
            <v>2021</v>
          </cell>
          <cell r="M1">
            <v>2022</v>
          </cell>
          <cell r="N1">
            <v>2023</v>
          </cell>
          <cell r="O1">
            <v>2024</v>
          </cell>
        </row>
        <row r="2">
          <cell r="A2" t="str">
            <v>Afghanistan</v>
          </cell>
          <cell r="B2">
            <v>7.5301</v>
          </cell>
          <cell r="C2">
            <v>5.9976000000000003</v>
          </cell>
          <cell r="D2">
            <v>7.05</v>
          </cell>
          <cell r="E2">
            <v>6.0568</v>
          </cell>
          <cell r="F2">
            <v>6.4371</v>
          </cell>
          <cell r="G2">
            <v>6.5408999999999997</v>
          </cell>
          <cell r="H2">
            <v>6.7709000000000001</v>
          </cell>
          <cell r="I2">
            <v>6.7342999999999993</v>
          </cell>
          <cell r="J2">
            <v>5.7606000000000002</v>
          </cell>
          <cell r="K2">
            <v>5.7496999999999998</v>
          </cell>
          <cell r="L2">
            <v>6.3479000000000001</v>
          </cell>
          <cell r="M2">
            <v>6.4504999999999999</v>
          </cell>
          <cell r="N2">
            <v>6.2122999999999999</v>
          </cell>
          <cell r="O2">
            <v>6.2195</v>
          </cell>
        </row>
        <row r="3">
          <cell r="A3" t="str">
            <v>Albania</v>
          </cell>
          <cell r="B3">
            <v>5.2993000000000006</v>
          </cell>
          <cell r="C3">
            <v>5.3838000000000008</v>
          </cell>
          <cell r="D3">
            <v>5.4405000000000001</v>
          </cell>
          <cell r="E3">
            <v>5.1562999999999999</v>
          </cell>
          <cell r="F3">
            <v>5.1724000000000014</v>
          </cell>
          <cell r="G3">
            <v>4.9352999999999998</v>
          </cell>
          <cell r="H3">
            <v>4.7790999999999997</v>
          </cell>
          <cell r="I3">
            <v>5.1258999999999997</v>
          </cell>
          <cell r="J3">
            <v>4.9718</v>
          </cell>
          <cell r="K3">
            <v>4.9419000000000004</v>
          </cell>
          <cell r="L3">
            <v>5.0838000000000001</v>
          </cell>
          <cell r="M3">
            <v>4.7065000000000001</v>
          </cell>
          <cell r="N3">
            <v>4.8185000000000002</v>
          </cell>
          <cell r="O3">
            <v>4.8185000000000002</v>
          </cell>
        </row>
        <row r="4">
          <cell r="A4" t="str">
            <v>Algeria</v>
          </cell>
          <cell r="B4">
            <v>6.0031999999999996</v>
          </cell>
          <cell r="C4">
            <v>5.7295999999999996</v>
          </cell>
          <cell r="D4">
            <v>5.7622</v>
          </cell>
          <cell r="E4">
            <v>5.8262</v>
          </cell>
          <cell r="F4">
            <v>5.2997999999999994</v>
          </cell>
          <cell r="G4">
            <v>5.8437000000000001</v>
          </cell>
          <cell r="H4">
            <v>5.8440999999999992</v>
          </cell>
          <cell r="I4">
            <v>5.6734000000000009</v>
          </cell>
          <cell r="J4">
            <v>5.2060999999999993</v>
          </cell>
          <cell r="K4">
            <v>5.7719000000000005</v>
          </cell>
          <cell r="L4">
            <v>6.0739999999999998</v>
          </cell>
          <cell r="M4">
            <v>5.6806000000000001</v>
          </cell>
          <cell r="N4">
            <v>5.7705000000000002</v>
          </cell>
          <cell r="O4">
            <v>5.7705000000000002</v>
          </cell>
        </row>
        <row r="5">
          <cell r="A5" t="str">
            <v>Angola</v>
          </cell>
          <cell r="B5">
            <v>5.5654000000000003</v>
          </cell>
          <cell r="C5">
            <v>4.9468000000000005</v>
          </cell>
          <cell r="D5">
            <v>5.3183000000000007</v>
          </cell>
          <cell r="E5">
            <v>5.0611000000000006</v>
          </cell>
          <cell r="F5">
            <v>5.4159000000000006</v>
          </cell>
          <cell r="G5">
            <v>5.474800000000001</v>
          </cell>
          <cell r="H5">
            <v>4.8361999999999998</v>
          </cell>
          <cell r="I5">
            <v>5.8131000000000004</v>
          </cell>
          <cell r="J5">
            <v>6.0129999999999999</v>
          </cell>
          <cell r="K5">
            <v>5.4037000000000006</v>
          </cell>
          <cell r="L5">
            <v>5.7945000000000002</v>
          </cell>
          <cell r="M5">
            <v>5.5221999999999998</v>
          </cell>
          <cell r="N5">
            <v>5.2857000000000003</v>
          </cell>
          <cell r="O5">
            <v>5.2857000000000003</v>
          </cell>
        </row>
        <row r="6">
          <cell r="A6" t="str">
            <v>Argentina</v>
          </cell>
          <cell r="B6">
            <v>4.1592000000000002</v>
          </cell>
          <cell r="C6">
            <v>4.5694999999999997</v>
          </cell>
          <cell r="D6">
            <v>4.1905000000000001</v>
          </cell>
          <cell r="E6">
            <v>4.5540000000000003</v>
          </cell>
          <cell r="F6">
            <v>4.3497000000000003</v>
          </cell>
          <cell r="G6">
            <v>4.2711000000000006</v>
          </cell>
          <cell r="H6">
            <v>4.5642000000000005</v>
          </cell>
          <cell r="I6">
            <v>4.2824</v>
          </cell>
          <cell r="J6">
            <v>4.0878000000000005</v>
          </cell>
          <cell r="K6">
            <v>4.3875000000000002</v>
          </cell>
          <cell r="L6">
            <v>4.6265000000000001</v>
          </cell>
          <cell r="M6">
            <v>5.0404</v>
          </cell>
          <cell r="N6">
            <v>5.3663999999999996</v>
          </cell>
          <cell r="O6">
            <v>5.3663999999999996</v>
          </cell>
        </row>
        <row r="7">
          <cell r="A7" t="str">
            <v>Armenia</v>
          </cell>
          <cell r="B7">
            <v>4.7835000000000001</v>
          </cell>
          <cell r="C7">
            <v>5.3456000000000001</v>
          </cell>
          <cell r="D7">
            <v>5.5717000000000008</v>
          </cell>
          <cell r="E7">
            <v>5.4073000000000002</v>
          </cell>
          <cell r="F7">
            <v>5.5390999999999995</v>
          </cell>
          <cell r="G7">
            <v>5.1242999999999999</v>
          </cell>
          <cell r="H7">
            <v>4.9809000000000001</v>
          </cell>
          <cell r="I7">
            <v>5.6789999999999994</v>
          </cell>
          <cell r="J7">
            <v>5.2488000000000001</v>
          </cell>
          <cell r="K7">
            <v>5.3551000000000002</v>
          </cell>
          <cell r="L7">
            <v>5.4343000000000004</v>
          </cell>
          <cell r="M7">
            <v>4.7111000000000001</v>
          </cell>
          <cell r="N7">
            <v>4.7811000000000003</v>
          </cell>
          <cell r="O7">
            <v>4.7882999999999996</v>
          </cell>
        </row>
        <row r="8">
          <cell r="A8" t="str">
            <v>Australia</v>
          </cell>
          <cell r="B8">
            <v>4.7869000000000002</v>
          </cell>
          <cell r="C8">
            <v>4.9464000000000006</v>
          </cell>
          <cell r="D8">
            <v>5.9997000000000007</v>
          </cell>
          <cell r="E8">
            <v>5.5398000000000005</v>
          </cell>
          <cell r="F8">
            <v>5.1076000000000006</v>
          </cell>
          <cell r="G8">
            <v>4.9794</v>
          </cell>
          <cell r="H8">
            <v>5.1766000000000005</v>
          </cell>
          <cell r="I8">
            <v>5.4117000000000006</v>
          </cell>
          <cell r="J8">
            <v>5.3541000000000007</v>
          </cell>
          <cell r="K8">
            <v>5.2892999999999999</v>
          </cell>
          <cell r="L8">
            <v>4.7507000000000001</v>
          </cell>
          <cell r="M8">
            <v>5.0491000000000001</v>
          </cell>
          <cell r="N8">
            <v>4.9061000000000003</v>
          </cell>
          <cell r="O8">
            <v>4.9061000000000003</v>
          </cell>
        </row>
        <row r="9">
          <cell r="A9" t="str">
            <v>Austria</v>
          </cell>
          <cell r="B9">
            <v>4.6947000000000001</v>
          </cell>
          <cell r="C9">
            <v>4.6943999999999999</v>
          </cell>
          <cell r="D9">
            <v>4.3332999999999995</v>
          </cell>
          <cell r="E9">
            <v>4.6802000000000001</v>
          </cell>
          <cell r="F9">
            <v>4.7345999999999995</v>
          </cell>
          <cell r="G9">
            <v>4.7516999999999996</v>
          </cell>
          <cell r="H9">
            <v>4.6859000000000002</v>
          </cell>
          <cell r="I9">
            <v>4.7488000000000001</v>
          </cell>
          <cell r="J9">
            <v>4.6859000000000002</v>
          </cell>
          <cell r="K9">
            <v>4.6408000000000005</v>
          </cell>
          <cell r="L9">
            <v>4.2210999999999999</v>
          </cell>
          <cell r="M9">
            <v>4.3060999999999998</v>
          </cell>
          <cell r="N9">
            <v>4.1997</v>
          </cell>
          <cell r="O9">
            <v>4.2500999999999998</v>
          </cell>
        </row>
        <row r="10">
          <cell r="A10" t="str">
            <v>Azerbaijan</v>
          </cell>
          <cell r="B10">
            <v>5.4393000000000002</v>
          </cell>
          <cell r="C10">
            <v>5.9413999999999998</v>
          </cell>
          <cell r="D10">
            <v>6.1471999999999998</v>
          </cell>
          <cell r="E10">
            <v>5.7199</v>
          </cell>
          <cell r="F10">
            <v>5.8405999999999993</v>
          </cell>
          <cell r="G10">
            <v>5.3776999999999999</v>
          </cell>
          <cell r="H10">
            <v>5.3446999999999996</v>
          </cell>
          <cell r="I10">
            <v>5.7568999999999999</v>
          </cell>
          <cell r="J10">
            <v>5.7060000000000004</v>
          </cell>
          <cell r="K10">
            <v>5.6089999999999991</v>
          </cell>
          <cell r="L10">
            <v>5.6608999999999998</v>
          </cell>
          <cell r="M10">
            <v>5.1557000000000004</v>
          </cell>
          <cell r="N10">
            <v>5.1134000000000004</v>
          </cell>
          <cell r="O10">
            <v>5.1206000000000005</v>
          </cell>
        </row>
        <row r="11">
          <cell r="A11" t="str">
            <v>Bahamas</v>
          </cell>
          <cell r="B11">
            <v>4.9386000000000001</v>
          </cell>
          <cell r="C11">
            <v>5.0401999999999996</v>
          </cell>
          <cell r="D11">
            <v>5.1217000000000006</v>
          </cell>
          <cell r="E11">
            <v>5.6391000000000009</v>
          </cell>
          <cell r="F11">
            <v>5.4820000000000002</v>
          </cell>
          <cell r="G11">
            <v>5.3951000000000011</v>
          </cell>
          <cell r="H11">
            <v>5.9272</v>
          </cell>
          <cell r="I11">
            <v>5.7853000000000003</v>
          </cell>
          <cell r="J11">
            <v>5.9773000000000005</v>
          </cell>
          <cell r="K11">
            <v>6.0068999999999999</v>
          </cell>
          <cell r="L11">
            <v>5.2484000000000002</v>
          </cell>
          <cell r="M11">
            <v>5.8345000000000002</v>
          </cell>
          <cell r="N11">
            <v>5.8738000000000001</v>
          </cell>
          <cell r="O11">
            <v>5.8738000000000001</v>
          </cell>
        </row>
        <row r="12">
          <cell r="A12" t="str">
            <v>Bahrain</v>
          </cell>
          <cell r="B12">
            <v>4.1369000000000007</v>
          </cell>
          <cell r="C12">
            <v>4.0139999999999993</v>
          </cell>
          <cell r="D12">
            <v>4.1890000000000001</v>
          </cell>
          <cell r="E12">
            <v>4.0651999999999999</v>
          </cell>
          <cell r="F12">
            <v>4.2238000000000007</v>
          </cell>
          <cell r="G12">
            <v>3.9842</v>
          </cell>
          <cell r="H12">
            <v>4.4281000000000006</v>
          </cell>
          <cell r="I12">
            <v>4.3572000000000006</v>
          </cell>
          <cell r="J12">
            <v>4.3708</v>
          </cell>
          <cell r="K12">
            <v>4.3428000000000004</v>
          </cell>
          <cell r="L12">
            <v>4.6174999999999997</v>
          </cell>
          <cell r="M12">
            <v>4.4924999999999997</v>
          </cell>
          <cell r="N12">
            <v>4.4957000000000011</v>
          </cell>
          <cell r="O12">
            <v>4.4957000000000011</v>
          </cell>
        </row>
        <row r="13">
          <cell r="A13" t="str">
            <v>Bangladesh</v>
          </cell>
          <cell r="B13">
            <v>5.2858000000000009</v>
          </cell>
          <cell r="C13">
            <v>5.2680000000000007</v>
          </cell>
          <cell r="D13">
            <v>5.2747000000000002</v>
          </cell>
          <cell r="E13">
            <v>5.3853999999999997</v>
          </cell>
          <cell r="F13">
            <v>5.2894999999999994</v>
          </cell>
          <cell r="G13">
            <v>5.6484000000000005</v>
          </cell>
          <cell r="H13">
            <v>5.6484000000000005</v>
          </cell>
          <cell r="I13">
            <v>5.4343000000000004</v>
          </cell>
          <cell r="J13">
            <v>5.4077000000000002</v>
          </cell>
          <cell r="K13">
            <v>5.2489000000000008</v>
          </cell>
          <cell r="L13">
            <v>5.7322000000000006</v>
          </cell>
          <cell r="M13">
            <v>5.6673000000000009</v>
          </cell>
          <cell r="N13">
            <v>5.6697000000000006</v>
          </cell>
          <cell r="O13">
            <v>5.6697000000000006</v>
          </cell>
        </row>
        <row r="14">
          <cell r="A14" t="str">
            <v>Barbados</v>
          </cell>
          <cell r="B14">
            <v>4.2499000000000002</v>
          </cell>
          <cell r="C14">
            <v>3.9184000000000005</v>
          </cell>
          <cell r="D14">
            <v>4.1374000000000004</v>
          </cell>
          <cell r="E14">
            <v>3.7702</v>
          </cell>
          <cell r="F14">
            <v>3.9121999999999999</v>
          </cell>
          <cell r="G14">
            <v>3.9340000000000002</v>
          </cell>
          <cell r="H14">
            <v>3.8136999999999999</v>
          </cell>
          <cell r="I14">
            <v>3.7992000000000004</v>
          </cell>
          <cell r="J14">
            <v>3.7721999999999998</v>
          </cell>
          <cell r="K14">
            <v>3.6623000000000001</v>
          </cell>
          <cell r="L14">
            <v>3.7493999999999996</v>
          </cell>
          <cell r="M14">
            <v>4.1242999999999999</v>
          </cell>
          <cell r="N14">
            <v>3.9654000000000003</v>
          </cell>
          <cell r="O14">
            <v>3.9798</v>
          </cell>
        </row>
        <row r="15">
          <cell r="A15" t="str">
            <v>Belarus</v>
          </cell>
          <cell r="B15">
            <v>4.5975999999999999</v>
          </cell>
          <cell r="C15">
            <v>4.8437000000000001</v>
          </cell>
          <cell r="D15">
            <v>4.7088000000000001</v>
          </cell>
          <cell r="E15">
            <v>4.9698000000000002</v>
          </cell>
          <cell r="F15">
            <v>5.0282999999999998</v>
          </cell>
          <cell r="G15">
            <v>5.0051999999999994</v>
          </cell>
          <cell r="H15">
            <v>4.7609000000000004</v>
          </cell>
          <cell r="I15">
            <v>4.8658000000000001</v>
          </cell>
          <cell r="J15">
            <v>5.0194000000000001</v>
          </cell>
          <cell r="K15">
            <v>5.0042999999999997</v>
          </cell>
          <cell r="L15">
            <v>4.609</v>
          </cell>
          <cell r="M15">
            <v>4.4843999999999999</v>
          </cell>
          <cell r="N15">
            <v>4.7916999999999996</v>
          </cell>
          <cell r="O15">
            <v>4.7916999999999996</v>
          </cell>
        </row>
        <row r="16">
          <cell r="A16" t="str">
            <v>Belgium</v>
          </cell>
          <cell r="B16">
            <v>4.4566999999999997</v>
          </cell>
          <cell r="C16">
            <v>4.2570999999999994</v>
          </cell>
          <cell r="D16">
            <v>3.5643000000000002</v>
          </cell>
          <cell r="E16">
            <v>4.5187999999999988</v>
          </cell>
          <cell r="F16">
            <v>4.1905000000000001</v>
          </cell>
          <cell r="G16">
            <v>4.4622000000000011</v>
          </cell>
          <cell r="H16">
            <v>4.4622999999999999</v>
          </cell>
          <cell r="I16">
            <v>4.3891</v>
          </cell>
          <cell r="J16">
            <v>4.3363999999999994</v>
          </cell>
          <cell r="K16">
            <v>4.4474</v>
          </cell>
          <cell r="L16">
            <v>3.7646000000000002</v>
          </cell>
          <cell r="M16">
            <v>4.7352000000000007</v>
          </cell>
          <cell r="N16">
            <v>4.6037999999999997</v>
          </cell>
          <cell r="O16">
            <v>4.6037999999999997</v>
          </cell>
        </row>
        <row r="17">
          <cell r="A17" t="str">
            <v>Belize</v>
          </cell>
          <cell r="B17">
            <v>4.8256000000000006</v>
          </cell>
          <cell r="C17">
            <v>4.7905999999999995</v>
          </cell>
          <cell r="D17">
            <v>4.7868000000000004</v>
          </cell>
          <cell r="E17">
            <v>4.8730000000000011</v>
          </cell>
          <cell r="F17">
            <v>5.2359</v>
          </cell>
          <cell r="G17">
            <v>5.1009000000000002</v>
          </cell>
          <cell r="H17">
            <v>5.0814000000000004</v>
          </cell>
          <cell r="I17">
            <v>4.9764999999999997</v>
          </cell>
          <cell r="J17">
            <v>5.5668000000000006</v>
          </cell>
          <cell r="K17">
            <v>5.6271000000000004</v>
          </cell>
          <cell r="L17">
            <v>5.4451999999999998</v>
          </cell>
          <cell r="M17">
            <v>5.2042000000000002</v>
          </cell>
          <cell r="N17">
            <v>5.5077999999999996</v>
          </cell>
          <cell r="O17">
            <v>5.5077999999999996</v>
          </cell>
        </row>
        <row r="18">
          <cell r="A18" t="str">
            <v>Benin</v>
          </cell>
          <cell r="B18">
            <v>6.4133000000000004</v>
          </cell>
          <cell r="C18">
            <v>5.7934999999999999</v>
          </cell>
          <cell r="D18">
            <v>5.9983000000000004</v>
          </cell>
          <cell r="E18">
            <v>5.9622000000000002</v>
          </cell>
          <cell r="F18">
            <v>5.8556000000000008</v>
          </cell>
          <cell r="G18">
            <v>5.7147000000000006</v>
          </cell>
          <cell r="H18">
            <v>6.0683000000000007</v>
          </cell>
          <cell r="I18">
            <v>6.0768000000000004</v>
          </cell>
          <cell r="J18">
            <v>5.7695000000000007</v>
          </cell>
          <cell r="K18">
            <v>5.6531000000000002</v>
          </cell>
          <cell r="L18">
            <v>6.2327000000000004</v>
          </cell>
          <cell r="M18">
            <v>5.0466000000000006</v>
          </cell>
          <cell r="N18">
            <v>5.1034000000000006</v>
          </cell>
          <cell r="O18">
            <v>5.1034000000000006</v>
          </cell>
        </row>
        <row r="19">
          <cell r="A19" t="str">
            <v>Bhutan</v>
          </cell>
          <cell r="B19">
            <v>4.8594999999999997</v>
          </cell>
          <cell r="C19">
            <v>4.5686</v>
          </cell>
          <cell r="D19">
            <v>4.5875000000000004</v>
          </cell>
          <cell r="E19">
            <v>4.7008000000000001</v>
          </cell>
          <cell r="F19">
            <v>4.4630000000000001</v>
          </cell>
          <cell r="G19">
            <v>4.4512999999999998</v>
          </cell>
          <cell r="H19">
            <v>4.7995000000000001</v>
          </cell>
          <cell r="I19">
            <v>4.9206000000000003</v>
          </cell>
          <cell r="J19">
            <v>3.7747999999999999</v>
          </cell>
          <cell r="K19">
            <v>3.5402000000000005</v>
          </cell>
          <cell r="L19">
            <v>4.3845000000000001</v>
          </cell>
          <cell r="M19">
            <v>4.2229999999999999</v>
          </cell>
          <cell r="N19">
            <v>4.1717000000000004</v>
          </cell>
          <cell r="O19">
            <v>4.1717000000000004</v>
          </cell>
        </row>
        <row r="20">
          <cell r="A20" t="str">
            <v>Bolivia</v>
          </cell>
          <cell r="B20">
            <v>5.9196999999999997</v>
          </cell>
          <cell r="C20">
            <v>5.6364000000000001</v>
          </cell>
          <cell r="D20">
            <v>5.1723000000000008</v>
          </cell>
          <cell r="E20">
            <v>5.5987</v>
          </cell>
          <cell r="F20">
            <v>5.8789999999999996</v>
          </cell>
          <cell r="G20">
            <v>5.2624000000000004</v>
          </cell>
          <cell r="H20">
            <v>5.3938000000000006</v>
          </cell>
          <cell r="I20">
            <v>5.1215000000000002</v>
          </cell>
          <cell r="J20">
            <v>5.1744000000000003</v>
          </cell>
          <cell r="K20">
            <v>5.5026999999999999</v>
          </cell>
          <cell r="L20">
            <v>5.0929000000000002</v>
          </cell>
          <cell r="M20">
            <v>5.3130000000000006</v>
          </cell>
          <cell r="N20">
            <v>6.0972999999999997</v>
          </cell>
          <cell r="O20">
            <v>6.1116999999999999</v>
          </cell>
        </row>
        <row r="21">
          <cell r="A21" t="str">
            <v>Bosnia and Herzegovina</v>
          </cell>
          <cell r="B21">
            <v>5.6898999999999997</v>
          </cell>
          <cell r="C21">
            <v>5.9228000000000005</v>
          </cell>
          <cell r="D21">
            <v>5.6316000000000006</v>
          </cell>
          <cell r="E21">
            <v>5.7080000000000002</v>
          </cell>
          <cell r="F21">
            <v>5.7465000000000011</v>
          </cell>
          <cell r="G21">
            <v>5.6626999999999992</v>
          </cell>
          <cell r="H21">
            <v>5.6052999999999997</v>
          </cell>
          <cell r="I21">
            <v>5.5248000000000008</v>
          </cell>
          <cell r="J21">
            <v>5.3477999999999994</v>
          </cell>
          <cell r="K21">
            <v>5.4238</v>
          </cell>
          <cell r="L21">
            <v>5.2619000000000007</v>
          </cell>
          <cell r="M21">
            <v>5.5164000000000009</v>
          </cell>
          <cell r="N21">
            <v>5.4539000000000009</v>
          </cell>
          <cell r="O21">
            <v>5.4682999999999993</v>
          </cell>
        </row>
        <row r="22">
          <cell r="A22" t="str">
            <v>Botswana</v>
          </cell>
          <cell r="B22">
            <v>6.3815</v>
          </cell>
          <cell r="C22">
            <v>6.8109000000000002</v>
          </cell>
          <cell r="D22">
            <v>7.0968999999999998</v>
          </cell>
          <cell r="E22">
            <v>6.2609000000000004</v>
          </cell>
          <cell r="F22">
            <v>7.0940999999999992</v>
          </cell>
          <cell r="G22">
            <v>7.2037999999999993</v>
          </cell>
          <cell r="H22">
            <v>6.1700999999999997</v>
          </cell>
          <cell r="I22">
            <v>6.6654999999999998</v>
          </cell>
          <cell r="J22">
            <v>6.8405999999999993</v>
          </cell>
          <cell r="K22">
            <v>6.0145999999999997</v>
          </cell>
          <cell r="L22">
            <v>5.8350999999999997</v>
          </cell>
          <cell r="M22">
            <v>5.7085999999999997</v>
          </cell>
          <cell r="N22">
            <v>5.7815000000000003</v>
          </cell>
          <cell r="O22">
            <v>5.7815000000000003</v>
          </cell>
        </row>
        <row r="23">
          <cell r="A23" t="str">
            <v>Brazil</v>
          </cell>
          <cell r="B23">
            <v>4.1310000000000002</v>
          </cell>
          <cell r="C23">
            <v>4.3982000000000001</v>
          </cell>
          <cell r="D23">
            <v>4.1705000000000005</v>
          </cell>
          <cell r="E23">
            <v>4.4132000000000007</v>
          </cell>
          <cell r="F23">
            <v>4.5179000000000009</v>
          </cell>
          <cell r="G23">
            <v>4.2549000000000001</v>
          </cell>
          <cell r="H23">
            <v>4.2831000000000001</v>
          </cell>
          <cell r="I23">
            <v>4.1227999999999998</v>
          </cell>
          <cell r="J23">
            <v>4.2788000000000004</v>
          </cell>
          <cell r="K23">
            <v>4.1412000000000004</v>
          </cell>
          <cell r="L23">
            <v>3.9024999999999999</v>
          </cell>
          <cell r="M23">
            <v>4.3060999999999998</v>
          </cell>
          <cell r="N23">
            <v>4.4748999999999999</v>
          </cell>
          <cell r="O23">
            <v>4.4748999999999999</v>
          </cell>
        </row>
        <row r="24">
          <cell r="A24" t="str">
            <v>Brunei</v>
          </cell>
          <cell r="B24">
            <v>4.9724000000000004</v>
          </cell>
          <cell r="C24">
            <v>5.218</v>
          </cell>
          <cell r="D24">
            <v>5.2146000000000008</v>
          </cell>
          <cell r="E24">
            <v>5.2048000000000005</v>
          </cell>
          <cell r="F24">
            <v>5.0677000000000003</v>
          </cell>
          <cell r="G24">
            <v>5.3866999999999994</v>
          </cell>
          <cell r="H24">
            <v>5.1165000000000003</v>
          </cell>
          <cell r="I24">
            <v>5.2099999999999991</v>
          </cell>
          <cell r="J24">
            <v>5.2676999999999996</v>
          </cell>
          <cell r="K24">
            <v>5.2301000000000002</v>
          </cell>
          <cell r="L24">
            <v>5.1441999999999997</v>
          </cell>
          <cell r="M24">
            <v>4.3958000000000004</v>
          </cell>
          <cell r="N24">
            <v>3.9182000000000006</v>
          </cell>
          <cell r="O24">
            <v>4.1858000000000004</v>
          </cell>
        </row>
        <row r="25">
          <cell r="A25" t="str">
            <v>Bulgaria</v>
          </cell>
          <cell r="B25">
            <v>4.6502999999999997</v>
          </cell>
          <cell r="C25">
            <v>5.6837999999999997</v>
          </cell>
          <cell r="D25">
            <v>5.7299000000000007</v>
          </cell>
          <cell r="E25">
            <v>5.3255999999999997</v>
          </cell>
          <cell r="F25">
            <v>5.4128000000000007</v>
          </cell>
          <cell r="G25">
            <v>5.6213999999999995</v>
          </cell>
          <cell r="H25">
            <v>4.8865999999999996</v>
          </cell>
          <cell r="I25">
            <v>5.6363000000000003</v>
          </cell>
          <cell r="J25">
            <v>5.6589999999999989</v>
          </cell>
          <cell r="K25">
            <v>5.5757999999999992</v>
          </cell>
          <cell r="L25">
            <v>5.4359999999999999</v>
          </cell>
          <cell r="M25">
            <v>5.373800000000001</v>
          </cell>
          <cell r="N25">
            <v>5.5025999999999993</v>
          </cell>
          <cell r="O25">
            <v>5.5169999999999995</v>
          </cell>
        </row>
        <row r="26">
          <cell r="A26" t="str">
            <v>Burkina Faso</v>
          </cell>
          <cell r="B26">
            <v>6.5567000000000002</v>
          </cell>
          <cell r="C26">
            <v>5.5338000000000003</v>
          </cell>
          <cell r="D26">
            <v>5.8469999999999995</v>
          </cell>
          <cell r="E26">
            <v>5.9116</v>
          </cell>
          <cell r="F26">
            <v>5.7991000000000001</v>
          </cell>
          <cell r="G26">
            <v>5.4585999999999997</v>
          </cell>
          <cell r="H26">
            <v>5.9493</v>
          </cell>
          <cell r="I26">
            <v>5.9606000000000003</v>
          </cell>
          <cell r="J26">
            <v>5.6805000000000003</v>
          </cell>
          <cell r="K26">
            <v>5.5737000000000005</v>
          </cell>
          <cell r="L26">
            <v>6.2063999999999995</v>
          </cell>
          <cell r="M26">
            <v>4.7467000000000006</v>
          </cell>
          <cell r="N26">
            <v>5.0023</v>
          </cell>
          <cell r="O26">
            <v>5.0023</v>
          </cell>
        </row>
        <row r="27">
          <cell r="A27" t="str">
            <v>Burundi</v>
          </cell>
          <cell r="B27">
            <v>4.9564000000000004</v>
          </cell>
          <cell r="C27">
            <v>4.7278000000000011</v>
          </cell>
          <cell r="D27">
            <v>4.6637000000000004</v>
          </cell>
          <cell r="E27">
            <v>4.633</v>
          </cell>
          <cell r="F27">
            <v>4.6204999999999998</v>
          </cell>
          <cell r="G27">
            <v>4.6265999999999998</v>
          </cell>
          <cell r="H27">
            <v>4.7587999999999999</v>
          </cell>
          <cell r="I27">
            <v>4.6148999999999996</v>
          </cell>
          <cell r="J27">
            <v>4.6959</v>
          </cell>
          <cell r="K27">
            <v>4.7117000000000004</v>
          </cell>
          <cell r="L27">
            <v>4.8584000000000005</v>
          </cell>
          <cell r="M27">
            <v>4.3276000000000003</v>
          </cell>
          <cell r="N27">
            <v>4.3092000000000006</v>
          </cell>
          <cell r="O27">
            <v>4.3092000000000006</v>
          </cell>
        </row>
        <row r="28">
          <cell r="A28" t="str">
            <v>Cabo Verde</v>
          </cell>
          <cell r="B28">
            <v>5.2532000000000005</v>
          </cell>
          <cell r="C28">
            <v>4.6755000000000004</v>
          </cell>
          <cell r="D28">
            <v>4.9284000000000008</v>
          </cell>
          <cell r="E28">
            <v>4.8414000000000001</v>
          </cell>
          <cell r="F28">
            <v>4.7193000000000005</v>
          </cell>
          <cell r="G28">
            <v>4.9395000000000007</v>
          </cell>
          <cell r="H28">
            <v>5.350200000000001</v>
          </cell>
          <cell r="I28">
            <v>4.4551000000000007</v>
          </cell>
          <cell r="J28">
            <v>4.718</v>
          </cell>
          <cell r="K28">
            <v>4.5090000000000003</v>
          </cell>
          <cell r="L28">
            <v>4.8490000000000002</v>
          </cell>
          <cell r="M28">
            <v>3.8228</v>
          </cell>
          <cell r="N28">
            <v>4.1757</v>
          </cell>
          <cell r="O28">
            <v>4.1757</v>
          </cell>
        </row>
        <row r="29">
          <cell r="A29" t="str">
            <v>Cambodia</v>
          </cell>
          <cell r="B29">
            <v>5.5396999999999998</v>
          </cell>
          <cell r="C29">
            <v>5.8158000000000012</v>
          </cell>
          <cell r="D29">
            <v>5.8252000000000006</v>
          </cell>
          <cell r="E29">
            <v>5.3039000000000005</v>
          </cell>
          <cell r="F29">
            <v>5.5260999999999996</v>
          </cell>
          <cell r="G29">
            <v>5.7378999999999998</v>
          </cell>
          <cell r="H29">
            <v>5.5753000000000004</v>
          </cell>
          <cell r="I29">
            <v>5.4156000000000013</v>
          </cell>
          <cell r="J29">
            <v>6.039299999999999</v>
          </cell>
          <cell r="K29">
            <v>5.8389000000000006</v>
          </cell>
          <cell r="L29">
            <v>5.7449000000000012</v>
          </cell>
          <cell r="M29">
            <v>5.5318000000000005</v>
          </cell>
          <cell r="N29">
            <v>5.5617999999999999</v>
          </cell>
          <cell r="O29">
            <v>5.5617999999999999</v>
          </cell>
        </row>
        <row r="30">
          <cell r="A30" t="str">
            <v>Cameroon</v>
          </cell>
          <cell r="B30">
            <v>5.3205000000000009</v>
          </cell>
          <cell r="C30">
            <v>5.1436000000000002</v>
          </cell>
          <cell r="D30">
            <v>5.3472</v>
          </cell>
          <cell r="E30">
            <v>5.4764000000000017</v>
          </cell>
          <cell r="F30">
            <v>5.4474000000000009</v>
          </cell>
          <cell r="G30">
            <v>5.2502000000000004</v>
          </cell>
          <cell r="H30">
            <v>5.4558000000000009</v>
          </cell>
          <cell r="I30">
            <v>5.5135000000000005</v>
          </cell>
          <cell r="J30">
            <v>5.527000000000001</v>
          </cell>
          <cell r="K30">
            <v>5.5029000000000003</v>
          </cell>
          <cell r="L30">
            <v>5.7338000000000005</v>
          </cell>
          <cell r="M30">
            <v>5.1922000000000006</v>
          </cell>
          <cell r="N30">
            <v>5.141</v>
          </cell>
          <cell r="O30">
            <v>5.141</v>
          </cell>
        </row>
        <row r="31">
          <cell r="A31" t="str">
            <v>Canada</v>
          </cell>
          <cell r="B31">
            <v>4.8221000000000007</v>
          </cell>
          <cell r="C31">
            <v>5.1082000000000001</v>
          </cell>
          <cell r="D31">
            <v>4.8111000000000006</v>
          </cell>
          <cell r="E31">
            <v>3.9394</v>
          </cell>
          <cell r="F31">
            <v>4.6197999999999997</v>
          </cell>
          <cell r="G31">
            <v>5.0822000000000003</v>
          </cell>
          <cell r="H31">
            <v>4.7436000000000007</v>
          </cell>
          <cell r="I31">
            <v>3.9355000000000002</v>
          </cell>
          <cell r="J31">
            <v>4.2557000000000009</v>
          </cell>
          <cell r="K31">
            <v>4.1810999999999998</v>
          </cell>
          <cell r="L31">
            <v>4.7917000000000005</v>
          </cell>
          <cell r="M31">
            <v>5.1769999999999996</v>
          </cell>
          <cell r="N31">
            <v>5.6033999999999997</v>
          </cell>
          <cell r="O31">
            <v>5.6033999999999997</v>
          </cell>
        </row>
        <row r="32">
          <cell r="A32" t="str">
            <v>Central African Republic</v>
          </cell>
          <cell r="B32">
            <v>5.3616000000000001</v>
          </cell>
          <cell r="C32">
            <v>5.0976999999999997</v>
          </cell>
          <cell r="D32">
            <v>5.1584000000000012</v>
          </cell>
          <cell r="E32">
            <v>5.0430000000000001</v>
          </cell>
          <cell r="F32">
            <v>4.9964000000000004</v>
          </cell>
          <cell r="G32">
            <v>5.0454999999999997</v>
          </cell>
          <cell r="H32">
            <v>5.2115000000000009</v>
          </cell>
          <cell r="I32">
            <v>5.2537000000000003</v>
          </cell>
          <cell r="J32">
            <v>5.188600000000001</v>
          </cell>
          <cell r="K32">
            <v>4.9881000000000002</v>
          </cell>
          <cell r="L32">
            <v>5.2294</v>
          </cell>
          <cell r="M32">
            <v>5.0036000000000005</v>
          </cell>
          <cell r="N32">
            <v>4.8080000000000007</v>
          </cell>
          <cell r="O32">
            <v>4.8080000000000007</v>
          </cell>
        </row>
        <row r="33">
          <cell r="A33" t="str">
            <v>Chad</v>
          </cell>
          <cell r="B33">
            <v>6.8238000000000003</v>
          </cell>
          <cell r="C33">
            <v>6.2050999999999998</v>
          </cell>
          <cell r="D33">
            <v>6.7427999999999999</v>
          </cell>
          <cell r="E33">
            <v>6.4494000000000007</v>
          </cell>
          <cell r="F33">
            <v>6.4274000000000004</v>
          </cell>
          <cell r="G33">
            <v>6.0590000000000002</v>
          </cell>
          <cell r="H33">
            <v>6.2368000000000006</v>
          </cell>
          <cell r="I33">
            <v>6.6772999999999998</v>
          </cell>
          <cell r="J33">
            <v>6.0297999999999998</v>
          </cell>
          <cell r="K33">
            <v>6.1109999999999998</v>
          </cell>
          <cell r="L33">
            <v>6.3966000000000003</v>
          </cell>
          <cell r="M33">
            <v>5.4043999999999999</v>
          </cell>
          <cell r="N33">
            <v>5.7216000000000005</v>
          </cell>
          <cell r="O33">
            <v>5.7216000000000005</v>
          </cell>
        </row>
        <row r="34">
          <cell r="A34" t="str">
            <v>Chile</v>
          </cell>
          <cell r="B34">
            <v>4.9992000000000001</v>
          </cell>
          <cell r="C34">
            <v>5.3108000000000004</v>
          </cell>
          <cell r="D34">
            <v>5.15</v>
          </cell>
          <cell r="E34">
            <v>5.0751999999999997</v>
          </cell>
          <cell r="F34">
            <v>5.1743000000000006</v>
          </cell>
          <cell r="G34">
            <v>5.1975999999999996</v>
          </cell>
          <cell r="H34">
            <v>4.9908000000000001</v>
          </cell>
          <cell r="I34">
            <v>4.8457000000000008</v>
          </cell>
          <cell r="J34">
            <v>5.1097999999999999</v>
          </cell>
          <cell r="K34">
            <v>4.9286000000000003</v>
          </cell>
          <cell r="L34">
            <v>4.7763</v>
          </cell>
          <cell r="M34">
            <v>4.5545</v>
          </cell>
          <cell r="N34">
            <v>4.5457000000000001</v>
          </cell>
          <cell r="O34">
            <v>4.5457000000000001</v>
          </cell>
        </row>
        <row r="35">
          <cell r="A35" t="str">
            <v>China</v>
          </cell>
          <cell r="B35">
            <v>4.7263000000000002</v>
          </cell>
          <cell r="C35">
            <v>5.1798000000000002</v>
          </cell>
          <cell r="D35">
            <v>5.3801000000000005</v>
          </cell>
          <cell r="E35">
            <v>5.162700000000001</v>
          </cell>
          <cell r="F35">
            <v>5.3279999999999994</v>
          </cell>
          <cell r="G35">
            <v>4.7977000000000007</v>
          </cell>
          <cell r="H35">
            <v>5.3904999999999994</v>
          </cell>
          <cell r="I35">
            <v>5.2812000000000001</v>
          </cell>
          <cell r="J35">
            <v>5.4507000000000012</v>
          </cell>
          <cell r="K35">
            <v>5.4148999999999994</v>
          </cell>
          <cell r="L35">
            <v>5.5168999999999997</v>
          </cell>
          <cell r="M35">
            <v>5.5340000000000007</v>
          </cell>
          <cell r="N35">
            <v>5.3064</v>
          </cell>
          <cell r="O35">
            <v>5.3064</v>
          </cell>
        </row>
        <row r="36">
          <cell r="A36" t="str">
            <v>Colombia</v>
          </cell>
          <cell r="B36">
            <v>4.4397000000000002</v>
          </cell>
          <cell r="C36">
            <v>4.6718999999999999</v>
          </cell>
          <cell r="D36">
            <v>4.6924000000000001</v>
          </cell>
          <cell r="E36">
            <v>4.6348000000000003</v>
          </cell>
          <cell r="F36">
            <v>4.8498000000000001</v>
          </cell>
          <cell r="G36">
            <v>4.4341000000000008</v>
          </cell>
          <cell r="H36">
            <v>4.3369</v>
          </cell>
          <cell r="I36">
            <v>4.5875000000000004</v>
          </cell>
          <cell r="J36">
            <v>4.6412000000000004</v>
          </cell>
          <cell r="K36">
            <v>4.8405000000000005</v>
          </cell>
          <cell r="L36">
            <v>4.4114000000000004</v>
          </cell>
          <cell r="M36">
            <v>4.9116</v>
          </cell>
          <cell r="N36">
            <v>5.0936000000000003</v>
          </cell>
          <cell r="O36">
            <v>5.0936000000000003</v>
          </cell>
        </row>
        <row r="37">
          <cell r="A37" t="str">
            <v>Comoros</v>
          </cell>
          <cell r="B37">
            <v>4.5988000000000007</v>
          </cell>
          <cell r="C37">
            <v>4.67</v>
          </cell>
          <cell r="D37">
            <v>4.5423999999999998</v>
          </cell>
          <cell r="E37">
            <v>4.3478000000000012</v>
          </cell>
          <cell r="F37">
            <v>4.1570000000000009</v>
          </cell>
          <cell r="G37">
            <v>4.3970000000000002</v>
          </cell>
          <cell r="H37">
            <v>4.5113000000000003</v>
          </cell>
          <cell r="I37">
            <v>4.8277000000000001</v>
          </cell>
          <cell r="J37">
            <v>5.4413</v>
          </cell>
          <cell r="K37">
            <v>5.2996000000000008</v>
          </cell>
          <cell r="L37">
            <v>5.2598000000000003</v>
          </cell>
          <cell r="M37">
            <v>4.5123999999999995</v>
          </cell>
          <cell r="N37">
            <v>4.7472000000000003</v>
          </cell>
          <cell r="O37">
            <v>4.7616000000000005</v>
          </cell>
        </row>
        <row r="38">
          <cell r="A38" t="str">
            <v>Congo, Rep.</v>
          </cell>
          <cell r="B38">
            <v>5.8536999999999999</v>
          </cell>
          <cell r="C38">
            <v>5.4315999999999995</v>
          </cell>
          <cell r="D38">
            <v>5.8765000000000001</v>
          </cell>
          <cell r="E38">
            <v>5.8183000000000007</v>
          </cell>
          <cell r="F38">
            <v>5.6355000000000004</v>
          </cell>
          <cell r="G38">
            <v>5.9899000000000004</v>
          </cell>
          <cell r="H38">
            <v>5.9252000000000002</v>
          </cell>
          <cell r="I38">
            <v>6.0717999999999996</v>
          </cell>
          <cell r="J38">
            <v>6.3042999999999996</v>
          </cell>
          <cell r="K38">
            <v>6.2177999999999987</v>
          </cell>
          <cell r="L38">
            <v>6.1832999999999991</v>
          </cell>
          <cell r="M38">
            <v>6.2452000000000005</v>
          </cell>
          <cell r="N38">
            <v>5.8934999999999995</v>
          </cell>
          <cell r="O38">
            <v>5.9007000000000005</v>
          </cell>
        </row>
        <row r="39">
          <cell r="A39" t="str">
            <v>Costa Rica</v>
          </cell>
          <cell r="B39">
            <v>4.6976000000000004</v>
          </cell>
          <cell r="C39">
            <v>4.2436000000000007</v>
          </cell>
          <cell r="D39">
            <v>4.1843000000000004</v>
          </cell>
          <cell r="E39">
            <v>4.1547000000000001</v>
          </cell>
          <cell r="F39">
            <v>4.2076000000000002</v>
          </cell>
          <cell r="G39">
            <v>4.1284000000000001</v>
          </cell>
          <cell r="H39">
            <v>4.1441000000000008</v>
          </cell>
          <cell r="I39">
            <v>4.1399999999999997</v>
          </cell>
          <cell r="J39">
            <v>4.1257000000000001</v>
          </cell>
          <cell r="K39">
            <v>4.1305000000000005</v>
          </cell>
          <cell r="L39">
            <v>4.173</v>
          </cell>
          <cell r="M39">
            <v>4.0190000000000001</v>
          </cell>
          <cell r="N39">
            <v>4.0246000000000004</v>
          </cell>
          <cell r="O39">
            <v>4.0246000000000004</v>
          </cell>
        </row>
        <row r="40">
          <cell r="A40" t="str">
            <v>Croatia</v>
          </cell>
          <cell r="B40">
            <v>4.9329999999999998</v>
          </cell>
          <cell r="C40">
            <v>5.1109000000000009</v>
          </cell>
          <cell r="D40">
            <v>4.8326000000000002</v>
          </cell>
          <cell r="E40">
            <v>4.985100000000001</v>
          </cell>
          <cell r="F40">
            <v>4.9801000000000002</v>
          </cell>
          <cell r="G40">
            <v>4.8688000000000002</v>
          </cell>
          <cell r="H40">
            <v>4.8461999999999996</v>
          </cell>
          <cell r="I40">
            <v>4.9229000000000003</v>
          </cell>
          <cell r="J40">
            <v>4.9194999999999993</v>
          </cell>
          <cell r="K40">
            <v>4.9648000000000003</v>
          </cell>
          <cell r="L40">
            <v>4.7425999999999995</v>
          </cell>
          <cell r="M40">
            <v>5.2060999999999993</v>
          </cell>
          <cell r="N40">
            <v>5.2500999999999998</v>
          </cell>
          <cell r="O40">
            <v>5.2500999999999998</v>
          </cell>
        </row>
        <row r="41">
          <cell r="A41" t="str">
            <v>Cuba</v>
          </cell>
          <cell r="B41">
            <v>4.8597000000000001</v>
          </cell>
          <cell r="C41">
            <v>5.0335000000000001</v>
          </cell>
          <cell r="D41">
            <v>5.2226999999999997</v>
          </cell>
          <cell r="E41">
            <v>5.3115000000000006</v>
          </cell>
          <cell r="F41">
            <v>5.4894999999999996</v>
          </cell>
          <cell r="G41">
            <v>5.2659000000000002</v>
          </cell>
          <cell r="H41">
            <v>5.4230999999999998</v>
          </cell>
          <cell r="I41">
            <v>5.351700000000001</v>
          </cell>
          <cell r="J41">
            <v>5.5050000000000008</v>
          </cell>
          <cell r="K41">
            <v>5.5957000000000008</v>
          </cell>
          <cell r="L41">
            <v>5.8742999999999999</v>
          </cell>
          <cell r="M41">
            <v>6.0350000000000001</v>
          </cell>
          <cell r="N41">
            <v>6.1062000000000012</v>
          </cell>
          <cell r="O41">
            <v>6.1062000000000012</v>
          </cell>
        </row>
        <row r="42">
          <cell r="A42" t="str">
            <v>Cyprus</v>
          </cell>
          <cell r="B42">
            <v>4.5640000000000001</v>
          </cell>
          <cell r="C42">
            <v>4.5109000000000004</v>
          </cell>
          <cell r="D42">
            <v>4.7160000000000002</v>
          </cell>
          <cell r="E42">
            <v>4.5376000000000003</v>
          </cell>
          <cell r="F42">
            <v>4.2754000000000003</v>
          </cell>
          <cell r="G42">
            <v>4.6303999999999998</v>
          </cell>
          <cell r="H42">
            <v>4.1974999999999998</v>
          </cell>
          <cell r="I42">
            <v>5.0399999999999991</v>
          </cell>
          <cell r="J42">
            <v>4.8626000000000005</v>
          </cell>
          <cell r="K42">
            <v>5.0278000000000009</v>
          </cell>
          <cell r="L42">
            <v>5.2672000000000008</v>
          </cell>
          <cell r="M42">
            <v>5.0815000000000001</v>
          </cell>
          <cell r="N42">
            <v>5.274799999999999</v>
          </cell>
          <cell r="O42">
            <v>5.274799999999999</v>
          </cell>
        </row>
        <row r="43">
          <cell r="A43" t="str">
            <v>Czech Republic</v>
          </cell>
          <cell r="B43">
            <v>4.7513999999999994</v>
          </cell>
          <cell r="C43">
            <v>5.0095000000000001</v>
          </cell>
          <cell r="D43">
            <v>4.2711999999999994</v>
          </cell>
          <cell r="E43">
            <v>5.0637999999999996</v>
          </cell>
          <cell r="F43">
            <v>5.1558000000000002</v>
          </cell>
          <cell r="G43">
            <v>5.0874999999999995</v>
          </cell>
          <cell r="H43">
            <v>4.8397999999999994</v>
          </cell>
          <cell r="I43">
            <v>5.1704999999999997</v>
          </cell>
          <cell r="J43">
            <v>5.0091999999999999</v>
          </cell>
          <cell r="K43">
            <v>4.7993000000000006</v>
          </cell>
          <cell r="L43">
            <v>4.4212999999999996</v>
          </cell>
          <cell r="M43">
            <v>4.7202999999999999</v>
          </cell>
          <cell r="N43">
            <v>4.6062999999999992</v>
          </cell>
          <cell r="O43">
            <v>4.6062999999999992</v>
          </cell>
        </row>
        <row r="44">
          <cell r="A44" t="str">
            <v>Cote d'Ivoire</v>
          </cell>
          <cell r="B44">
            <v>5.7902000000000005</v>
          </cell>
          <cell r="C44">
            <v>5.3849000000000009</v>
          </cell>
          <cell r="D44">
            <v>5.6497000000000002</v>
          </cell>
          <cell r="E44">
            <v>5.4591000000000003</v>
          </cell>
          <cell r="F44">
            <v>5.6547000000000001</v>
          </cell>
          <cell r="G44">
            <v>5.6703000000000001</v>
          </cell>
          <cell r="H44">
            <v>5.8817000000000004</v>
          </cell>
          <cell r="I44">
            <v>5.6003000000000007</v>
          </cell>
          <cell r="J44">
            <v>5.6134000000000004</v>
          </cell>
          <cell r="K44">
            <v>5.6353</v>
          </cell>
          <cell r="L44">
            <v>5.8426</v>
          </cell>
          <cell r="M44">
            <v>4.9518000000000004</v>
          </cell>
          <cell r="N44">
            <v>5.0198000000000009</v>
          </cell>
          <cell r="O44">
            <v>5.0198000000000009</v>
          </cell>
        </row>
        <row r="45">
          <cell r="A45" t="str">
            <v>Denmark</v>
          </cell>
          <cell r="B45">
            <v>3.8797999999999999</v>
          </cell>
          <cell r="C45">
            <v>4.2103999999999999</v>
          </cell>
          <cell r="D45">
            <v>3.5315000000000003</v>
          </cell>
          <cell r="E45">
            <v>4.5157000000000007</v>
          </cell>
          <cell r="F45">
            <v>4.17</v>
          </cell>
          <cell r="G45">
            <v>4.4184000000000001</v>
          </cell>
          <cell r="H45">
            <v>4.2919999999999998</v>
          </cell>
          <cell r="I45">
            <v>4.2786999999999997</v>
          </cell>
          <cell r="J45">
            <v>4.3433000000000002</v>
          </cell>
          <cell r="K45">
            <v>4.5074000000000005</v>
          </cell>
          <cell r="L45">
            <v>4.2647000000000004</v>
          </cell>
          <cell r="M45">
            <v>4.1575000000000006</v>
          </cell>
          <cell r="N45">
            <v>3.7879999999999998</v>
          </cell>
          <cell r="O45">
            <v>3.7951999999999995</v>
          </cell>
        </row>
        <row r="46">
          <cell r="A46" t="str">
            <v>Djibouti</v>
          </cell>
          <cell r="B46">
            <v>6.0264000000000006</v>
          </cell>
          <cell r="C46">
            <v>5.8275000000000006</v>
          </cell>
          <cell r="D46">
            <v>6.7081999999999997</v>
          </cell>
          <cell r="E46">
            <v>6.4539000000000009</v>
          </cell>
          <cell r="F46">
            <v>6.6293000000000006</v>
          </cell>
          <cell r="G46">
            <v>6.2779000000000007</v>
          </cell>
          <cell r="H46">
            <v>6.8327000000000009</v>
          </cell>
          <cell r="I46">
            <v>6.3195999999999994</v>
          </cell>
          <cell r="J46">
            <v>6.3619000000000003</v>
          </cell>
          <cell r="K46">
            <v>6.3218999999999994</v>
          </cell>
          <cell r="L46">
            <v>6.1334</v>
          </cell>
          <cell r="M46">
            <v>6.3331999999999997</v>
          </cell>
          <cell r="N46">
            <v>5.6964000000000006</v>
          </cell>
          <cell r="O46">
            <v>5.6964000000000006</v>
          </cell>
        </row>
        <row r="47">
          <cell r="A47" t="str">
            <v>Dominican Republic</v>
          </cell>
          <cell r="B47">
            <v>5.6510000000000007</v>
          </cell>
          <cell r="C47">
            <v>5.5318000000000005</v>
          </cell>
          <cell r="D47">
            <v>5.7063000000000006</v>
          </cell>
          <cell r="E47">
            <v>5.5921000000000003</v>
          </cell>
          <cell r="F47">
            <v>5.5957000000000008</v>
          </cell>
          <cell r="G47">
            <v>4.8731</v>
          </cell>
          <cell r="H47">
            <v>4.9428999999999998</v>
          </cell>
          <cell r="I47">
            <v>5.2063000000000006</v>
          </cell>
          <cell r="J47">
            <v>5.3949000000000007</v>
          </cell>
          <cell r="K47">
            <v>5.3646000000000011</v>
          </cell>
          <cell r="L47">
            <v>4.9072000000000005</v>
          </cell>
          <cell r="M47">
            <v>4.7381000000000011</v>
          </cell>
          <cell r="N47">
            <v>4.9492000000000003</v>
          </cell>
          <cell r="O47">
            <v>4.9492000000000003</v>
          </cell>
        </row>
        <row r="48">
          <cell r="A48" t="str">
            <v>Ecuador</v>
          </cell>
          <cell r="B48">
            <v>5.5043000000000006</v>
          </cell>
          <cell r="C48">
            <v>5.2981000000000007</v>
          </cell>
          <cell r="D48">
            <v>5.0624000000000002</v>
          </cell>
          <cell r="E48">
            <v>5.4463000000000008</v>
          </cell>
          <cell r="F48">
            <v>5.7288000000000006</v>
          </cell>
          <cell r="G48">
            <v>5.5912000000000006</v>
          </cell>
          <cell r="H48">
            <v>5.2947000000000006</v>
          </cell>
          <cell r="I48">
            <v>5.2401</v>
          </cell>
          <cell r="J48">
            <v>5.4171000000000014</v>
          </cell>
          <cell r="K48">
            <v>5.486600000000001</v>
          </cell>
          <cell r="L48">
            <v>5.0329000000000006</v>
          </cell>
          <cell r="M48">
            <v>5.1459000000000001</v>
          </cell>
          <cell r="N48">
            <v>5.5714000000000006</v>
          </cell>
          <cell r="O48">
            <v>5.5714000000000006</v>
          </cell>
        </row>
        <row r="49">
          <cell r="A49" t="str">
            <v>Egypt</v>
          </cell>
          <cell r="B49">
            <v>3.8409</v>
          </cell>
          <cell r="C49">
            <v>4.1577999999999999</v>
          </cell>
          <cell r="D49">
            <v>4.2345000000000006</v>
          </cell>
          <cell r="E49">
            <v>4.4113000000000007</v>
          </cell>
          <cell r="F49">
            <v>4.1029</v>
          </cell>
          <cell r="G49">
            <v>4.1855000000000002</v>
          </cell>
          <cell r="H49">
            <v>3.7469000000000001</v>
          </cell>
          <cell r="I49">
            <v>4.6082000000000001</v>
          </cell>
          <cell r="J49">
            <v>3.8957000000000002</v>
          </cell>
          <cell r="K49">
            <v>4.0587</v>
          </cell>
          <cell r="L49">
            <v>4.7780000000000005</v>
          </cell>
          <cell r="M49">
            <v>4.9521999999999995</v>
          </cell>
          <cell r="N49">
            <v>5.6417999999999999</v>
          </cell>
          <cell r="O49">
            <v>5.6417999999999999</v>
          </cell>
        </row>
        <row r="50">
          <cell r="A50" t="str">
            <v>El Salvador</v>
          </cell>
          <cell r="B50">
            <v>5.3880000000000008</v>
          </cell>
          <cell r="C50">
            <v>5.4258000000000006</v>
          </cell>
          <cell r="D50">
            <v>5.2049000000000003</v>
          </cell>
          <cell r="E50">
            <v>5.1112000000000002</v>
          </cell>
          <cell r="F50">
            <v>5.5071000000000012</v>
          </cell>
          <cell r="G50">
            <v>5.2378999999999998</v>
          </cell>
          <cell r="H50">
            <v>4.7645</v>
          </cell>
          <cell r="I50">
            <v>4.9139000000000008</v>
          </cell>
          <cell r="J50">
            <v>4.7957000000000001</v>
          </cell>
          <cell r="K50">
            <v>5.1799000000000008</v>
          </cell>
          <cell r="L50">
            <v>5.039200000000001</v>
          </cell>
          <cell r="M50">
            <v>4.5967000000000002</v>
          </cell>
          <cell r="N50">
            <v>4.9887000000000006</v>
          </cell>
          <cell r="O50">
            <v>4.9887000000000006</v>
          </cell>
        </row>
        <row r="51">
          <cell r="A51" t="str">
            <v>Equatorial Guinea</v>
          </cell>
          <cell r="B51">
            <v>6.2255000000000003</v>
          </cell>
          <cell r="C51">
            <v>5.8315999999999999</v>
          </cell>
          <cell r="D51">
            <v>5.4850000000000003</v>
          </cell>
          <cell r="E51">
            <v>5.5582000000000003</v>
          </cell>
          <cell r="F51">
            <v>5.2782000000000009</v>
          </cell>
          <cell r="G51">
            <v>5.8046000000000006</v>
          </cell>
          <cell r="H51">
            <v>5.7508000000000008</v>
          </cell>
          <cell r="I51">
            <v>5.3666999999999998</v>
          </cell>
          <cell r="J51">
            <v>6.0256000000000007</v>
          </cell>
          <cell r="K51">
            <v>5.9815000000000005</v>
          </cell>
          <cell r="L51">
            <v>5.9401999999999999</v>
          </cell>
          <cell r="M51">
            <v>5.9271000000000011</v>
          </cell>
          <cell r="N51">
            <v>5.6555000000000009</v>
          </cell>
          <cell r="O51">
            <v>5.6555000000000009</v>
          </cell>
        </row>
        <row r="52">
          <cell r="A52" t="str">
            <v>Eritrea</v>
          </cell>
          <cell r="B52">
            <v>5.7026000000000003</v>
          </cell>
          <cell r="C52">
            <v>6.577399999999999</v>
          </cell>
          <cell r="D52">
            <v>6.7454999999999998</v>
          </cell>
          <cell r="E52">
            <v>6.6362000000000005</v>
          </cell>
          <cell r="F52">
            <v>7.1227999999999998</v>
          </cell>
          <cell r="G52">
            <v>6.3248999999999995</v>
          </cell>
          <cell r="H52">
            <v>6.7153000000000009</v>
          </cell>
          <cell r="I52">
            <v>6.4023000000000003</v>
          </cell>
          <cell r="J52">
            <v>6.2629000000000001</v>
          </cell>
          <cell r="K52">
            <v>6.2886000000000006</v>
          </cell>
          <cell r="L52">
            <v>6.6058000000000003</v>
          </cell>
          <cell r="M52">
            <v>6.781600000000001</v>
          </cell>
          <cell r="N52">
            <v>6.7487999999999992</v>
          </cell>
          <cell r="O52">
            <v>6.7487999999999992</v>
          </cell>
        </row>
        <row r="53">
          <cell r="A53" t="str">
            <v>Estonia</v>
          </cell>
          <cell r="B53">
            <v>4.673</v>
          </cell>
          <cell r="C53">
            <v>4.6501999999999999</v>
          </cell>
          <cell r="D53">
            <v>4.4727999999999994</v>
          </cell>
          <cell r="E53">
            <v>4.7919999999999998</v>
          </cell>
          <cell r="F53">
            <v>4.718</v>
          </cell>
          <cell r="G53">
            <v>4.6197999999999997</v>
          </cell>
          <cell r="H53">
            <v>4.3826000000000001</v>
          </cell>
          <cell r="I53">
            <v>4.5743000000000009</v>
          </cell>
          <cell r="J53">
            <v>4.3694000000000006</v>
          </cell>
          <cell r="K53">
            <v>4.3365</v>
          </cell>
          <cell r="L53">
            <v>4.3647000000000009</v>
          </cell>
          <cell r="M53">
            <v>4.6857000000000006</v>
          </cell>
          <cell r="N53">
            <v>4.5097000000000005</v>
          </cell>
          <cell r="O53">
            <v>4.5241000000000007</v>
          </cell>
        </row>
        <row r="54">
          <cell r="A54" t="str">
            <v>Eswatini</v>
          </cell>
          <cell r="B54">
            <v>5.7048000000000005</v>
          </cell>
          <cell r="C54">
            <v>5.1271000000000004</v>
          </cell>
          <cell r="D54">
            <v>5.0219000000000005</v>
          </cell>
          <cell r="E54">
            <v>4.8673000000000002</v>
          </cell>
          <cell r="F54">
            <v>4.9494999999999996</v>
          </cell>
          <cell r="G54">
            <v>4.7804000000000002</v>
          </cell>
          <cell r="H54">
            <v>4.7910000000000004</v>
          </cell>
          <cell r="I54">
            <v>5.0150000000000006</v>
          </cell>
          <cell r="J54">
            <v>5.2742000000000004</v>
          </cell>
          <cell r="K54">
            <v>4.5474000000000006</v>
          </cell>
          <cell r="L54">
            <v>4.8811999999999998</v>
          </cell>
          <cell r="M54">
            <v>4.8319999999999999</v>
          </cell>
          <cell r="N54">
            <v>4.4736000000000002</v>
          </cell>
          <cell r="O54">
            <v>4.4736000000000002</v>
          </cell>
        </row>
        <row r="55">
          <cell r="A55" t="str">
            <v>Ethiopia</v>
          </cell>
          <cell r="B55">
            <v>6.0601000000000003</v>
          </cell>
          <cell r="C55">
            <v>5.8620000000000001</v>
          </cell>
          <cell r="D55">
            <v>5.915</v>
          </cell>
          <cell r="E55">
            <v>5.6722999999999999</v>
          </cell>
          <cell r="F55">
            <v>5.6897000000000002</v>
          </cell>
          <cell r="G55">
            <v>5.5740999999999996</v>
          </cell>
          <cell r="H55">
            <v>5.6101000000000001</v>
          </cell>
          <cell r="I55">
            <v>5.1952999999999996</v>
          </cell>
          <cell r="J55">
            <v>5.2622000000000009</v>
          </cell>
          <cell r="K55">
            <v>5.2317</v>
          </cell>
          <cell r="L55">
            <v>5.5959000000000003</v>
          </cell>
          <cell r="M55">
            <v>5.5656000000000008</v>
          </cell>
          <cell r="N55">
            <v>5.2908000000000008</v>
          </cell>
          <cell r="O55">
            <v>5.305200000000001</v>
          </cell>
        </row>
        <row r="56">
          <cell r="A56" t="str">
            <v>Fiji</v>
          </cell>
          <cell r="B56">
            <v>5.2533000000000012</v>
          </cell>
          <cell r="C56">
            <v>4.9779000000000009</v>
          </cell>
          <cell r="D56">
            <v>5.2283000000000008</v>
          </cell>
          <cell r="E56">
            <v>5.2035000000000009</v>
          </cell>
          <cell r="F56">
            <v>5.0141000000000009</v>
          </cell>
          <cell r="G56">
            <v>5.0107000000000008</v>
          </cell>
          <cell r="H56">
            <v>5.2622</v>
          </cell>
          <cell r="I56">
            <v>5.0432000000000006</v>
          </cell>
          <cell r="J56">
            <v>5.0103</v>
          </cell>
          <cell r="K56">
            <v>4.9777000000000005</v>
          </cell>
          <cell r="L56">
            <v>4.9137000000000004</v>
          </cell>
          <cell r="M56">
            <v>4.8485000000000005</v>
          </cell>
          <cell r="N56">
            <v>4.4721000000000002</v>
          </cell>
          <cell r="O56">
            <v>4.4721000000000002</v>
          </cell>
        </row>
        <row r="57">
          <cell r="A57" t="str">
            <v>Finland</v>
          </cell>
          <cell r="B57">
            <v>4.7367000000000008</v>
          </cell>
          <cell r="C57">
            <v>4.6080000000000005</v>
          </cell>
          <cell r="D57">
            <v>4.7104999999999997</v>
          </cell>
          <cell r="E57">
            <v>4.7149000000000001</v>
          </cell>
          <cell r="F57">
            <v>4.6995000000000005</v>
          </cell>
          <cell r="G57">
            <v>4.6531000000000002</v>
          </cell>
          <cell r="H57">
            <v>4.3749000000000002</v>
          </cell>
          <cell r="I57">
            <v>4.5449999999999999</v>
          </cell>
          <cell r="J57">
            <v>4.1900000000000004</v>
          </cell>
          <cell r="K57">
            <v>4.6647999999999996</v>
          </cell>
          <cell r="L57">
            <v>4.5736000000000008</v>
          </cell>
          <cell r="M57">
            <v>4.7663000000000002</v>
          </cell>
          <cell r="N57">
            <v>4.4903999999999993</v>
          </cell>
          <cell r="O57">
            <v>4.5047999999999995</v>
          </cell>
        </row>
        <row r="58">
          <cell r="A58" t="str">
            <v>France</v>
          </cell>
          <cell r="B58">
            <v>3.9521999999999995</v>
          </cell>
          <cell r="C58">
            <v>3.6728999999999998</v>
          </cell>
          <cell r="D58">
            <v>3.0931999999999999</v>
          </cell>
          <cell r="E58">
            <v>3.8333999999999997</v>
          </cell>
          <cell r="F58">
            <v>3.7143000000000002</v>
          </cell>
          <cell r="G58">
            <v>3.7544</v>
          </cell>
          <cell r="H58">
            <v>3.9114</v>
          </cell>
          <cell r="I58">
            <v>3.6922999999999999</v>
          </cell>
          <cell r="J58">
            <v>3.8146</v>
          </cell>
          <cell r="K58">
            <v>3.9338000000000002</v>
          </cell>
          <cell r="L58">
            <v>3.4400999999999997</v>
          </cell>
          <cell r="M58">
            <v>4.5876000000000001</v>
          </cell>
          <cell r="N58">
            <v>4.5083000000000002</v>
          </cell>
          <cell r="O58">
            <v>4.5083000000000002</v>
          </cell>
        </row>
        <row r="59">
          <cell r="A59" t="str">
            <v>Gabon</v>
          </cell>
          <cell r="B59">
            <v>5.1831000000000005</v>
          </cell>
          <cell r="C59">
            <v>5.1766000000000005</v>
          </cell>
          <cell r="D59">
            <v>5.1789000000000005</v>
          </cell>
          <cell r="E59">
            <v>5.3256000000000006</v>
          </cell>
          <cell r="F59">
            <v>5.2355999999999998</v>
          </cell>
          <cell r="G59">
            <v>5.6752000000000011</v>
          </cell>
          <cell r="H59">
            <v>5.5931000000000006</v>
          </cell>
          <cell r="I59">
            <v>5.5146000000000006</v>
          </cell>
          <cell r="J59">
            <v>5.6382000000000003</v>
          </cell>
          <cell r="K59">
            <v>5.5188000000000006</v>
          </cell>
          <cell r="L59">
            <v>5.4259000000000004</v>
          </cell>
          <cell r="M59">
            <v>5.5154000000000005</v>
          </cell>
          <cell r="N59">
            <v>5.5395000000000003</v>
          </cell>
          <cell r="O59">
            <v>5.5395000000000003</v>
          </cell>
        </row>
        <row r="60">
          <cell r="A60" t="str">
            <v>Gambia</v>
          </cell>
          <cell r="B60">
            <v>6.0921000000000012</v>
          </cell>
          <cell r="C60">
            <v>5.8206000000000007</v>
          </cell>
          <cell r="D60">
            <v>5.8874000000000013</v>
          </cell>
          <cell r="E60">
            <v>5.9358000000000004</v>
          </cell>
          <cell r="F60">
            <v>5.7393000000000001</v>
          </cell>
          <cell r="G60">
            <v>6.0654000000000003</v>
          </cell>
          <cell r="H60">
            <v>6.2229000000000001</v>
          </cell>
          <cell r="I60">
            <v>5.8576000000000006</v>
          </cell>
          <cell r="J60">
            <v>5.8331000000000008</v>
          </cell>
          <cell r="K60">
            <v>5.9454000000000011</v>
          </cell>
          <cell r="L60">
            <v>6.1629000000000005</v>
          </cell>
          <cell r="M60">
            <v>5.5915000000000008</v>
          </cell>
          <cell r="N60">
            <v>5.5479000000000003</v>
          </cell>
          <cell r="O60">
            <v>5.5551000000000013</v>
          </cell>
        </row>
        <row r="61">
          <cell r="A61" t="str">
            <v>Georgia</v>
          </cell>
          <cell r="B61">
            <v>4.9206000000000003</v>
          </cell>
          <cell r="C61">
            <v>5.7507999999999999</v>
          </cell>
          <cell r="D61">
            <v>5.9573</v>
          </cell>
          <cell r="E61">
            <v>5.698599999999999</v>
          </cell>
          <cell r="F61">
            <v>5.8313000000000006</v>
          </cell>
          <cell r="G61">
            <v>5.4060000000000006</v>
          </cell>
          <cell r="H61">
            <v>5.0834000000000001</v>
          </cell>
          <cell r="I61">
            <v>5.9291999999999998</v>
          </cell>
          <cell r="J61">
            <v>5.6006999999999998</v>
          </cell>
          <cell r="K61">
            <v>5.7857000000000003</v>
          </cell>
          <cell r="L61">
            <v>5.7012999999999998</v>
          </cell>
          <cell r="M61">
            <v>5.2890999999999995</v>
          </cell>
          <cell r="N61">
            <v>5.3615999999999993</v>
          </cell>
          <cell r="O61">
            <v>5.3688000000000002</v>
          </cell>
        </row>
        <row r="62">
          <cell r="A62" t="str">
            <v>Germany</v>
          </cell>
          <cell r="B62">
            <v>4.3765999999999998</v>
          </cell>
          <cell r="C62">
            <v>4.5070999999999994</v>
          </cell>
          <cell r="D62">
            <v>3.7593999999999999</v>
          </cell>
          <cell r="E62">
            <v>4.6780000000000008</v>
          </cell>
          <cell r="F62">
            <v>4.4862000000000002</v>
          </cell>
          <cell r="G62">
            <v>4.6623000000000001</v>
          </cell>
          <cell r="H62">
            <v>4.5180999999999996</v>
          </cell>
          <cell r="I62">
            <v>4.5940999999999992</v>
          </cell>
          <cell r="J62">
            <v>4.5286000000000008</v>
          </cell>
          <cell r="K62">
            <v>4.4931999999999999</v>
          </cell>
          <cell r="L62">
            <v>4.0604000000000013</v>
          </cell>
          <cell r="M62">
            <v>4.9405999999999999</v>
          </cell>
          <cell r="N62">
            <v>4.7938000000000009</v>
          </cell>
          <cell r="O62">
            <v>4.7938000000000009</v>
          </cell>
        </row>
        <row r="63">
          <cell r="A63" t="str">
            <v>Ghana</v>
          </cell>
          <cell r="B63">
            <v>4.8982999999999999</v>
          </cell>
          <cell r="C63">
            <v>4.452300000000001</v>
          </cell>
          <cell r="D63">
            <v>4.7076000000000011</v>
          </cell>
          <cell r="E63">
            <v>4.5722000000000005</v>
          </cell>
          <cell r="F63">
            <v>4.6166</v>
          </cell>
          <cell r="G63">
            <v>4.6735000000000007</v>
          </cell>
          <cell r="H63">
            <v>4.8474000000000004</v>
          </cell>
          <cell r="I63">
            <v>4.7623000000000006</v>
          </cell>
          <cell r="J63">
            <v>4.7235000000000005</v>
          </cell>
          <cell r="K63">
            <v>4.7096</v>
          </cell>
          <cell r="L63">
            <v>5.0911</v>
          </cell>
          <cell r="M63">
            <v>4.2002000000000006</v>
          </cell>
          <cell r="N63">
            <v>4.1674000000000007</v>
          </cell>
          <cell r="O63">
            <v>4.1818</v>
          </cell>
        </row>
        <row r="64">
          <cell r="A64" t="str">
            <v>Greece</v>
          </cell>
          <cell r="B64">
            <v>5.0068000000000001</v>
          </cell>
          <cell r="C64">
            <v>5.7363999999999997</v>
          </cell>
          <cell r="D64">
            <v>5.6767000000000003</v>
          </cell>
          <cell r="E64">
            <v>5.4539000000000009</v>
          </cell>
          <cell r="F64">
            <v>4.8836999999999993</v>
          </cell>
          <cell r="G64">
            <v>5.3887999999999998</v>
          </cell>
          <cell r="H64">
            <v>4.7652000000000001</v>
          </cell>
          <cell r="I64">
            <v>5.5371000000000006</v>
          </cell>
          <cell r="J64">
            <v>5.0891000000000002</v>
          </cell>
          <cell r="K64">
            <v>5.1085000000000012</v>
          </cell>
          <cell r="L64">
            <v>5.4168000000000003</v>
          </cell>
          <cell r="M64">
            <v>4.8878000000000004</v>
          </cell>
          <cell r="N64">
            <v>5.1885999999999992</v>
          </cell>
          <cell r="O64">
            <v>5.1885999999999992</v>
          </cell>
        </row>
        <row r="65">
          <cell r="A65" t="str">
            <v>Grenada</v>
          </cell>
          <cell r="B65">
            <v>4.821200000000001</v>
          </cell>
          <cell r="C65">
            <v>4.7218</v>
          </cell>
          <cell r="D65">
            <v>4.9401999999999999</v>
          </cell>
          <cell r="E65">
            <v>4.777000000000001</v>
          </cell>
          <cell r="F65">
            <v>4.7725000000000009</v>
          </cell>
          <cell r="G65">
            <v>4.5156999999999998</v>
          </cell>
          <cell r="H65">
            <v>5.0285000000000002</v>
          </cell>
          <cell r="I65">
            <v>4.6305000000000005</v>
          </cell>
          <cell r="J65">
            <v>4.8575000000000008</v>
          </cell>
          <cell r="K65">
            <v>5.0407999999999999</v>
          </cell>
          <cell r="L65">
            <v>4.8173000000000012</v>
          </cell>
          <cell r="M65">
            <v>5.0246000000000004</v>
          </cell>
          <cell r="N65">
            <v>5.1218000000000004</v>
          </cell>
          <cell r="O65">
            <v>5.1362000000000005</v>
          </cell>
        </row>
        <row r="66">
          <cell r="A66" t="str">
            <v>Guatemala</v>
          </cell>
          <cell r="B66">
            <v>5.6315</v>
          </cell>
          <cell r="C66">
            <v>5.7283000000000008</v>
          </cell>
          <cell r="D66">
            <v>5.6958000000000002</v>
          </cell>
          <cell r="E66">
            <v>5.6471999999999998</v>
          </cell>
          <cell r="F66">
            <v>5.9316000000000004</v>
          </cell>
          <cell r="G66">
            <v>6.0226000000000006</v>
          </cell>
          <cell r="H66">
            <v>5.8183000000000007</v>
          </cell>
          <cell r="I66">
            <v>5.8268000000000004</v>
          </cell>
          <cell r="J66">
            <v>6.0765000000000002</v>
          </cell>
          <cell r="K66">
            <v>6.1134000000000004</v>
          </cell>
          <cell r="L66">
            <v>6.0388000000000011</v>
          </cell>
          <cell r="M66">
            <v>5.4184000000000001</v>
          </cell>
          <cell r="N66">
            <v>5.620000000000001</v>
          </cell>
          <cell r="O66">
            <v>5.620000000000001</v>
          </cell>
        </row>
        <row r="67">
          <cell r="A67" t="str">
            <v>Guinea</v>
          </cell>
          <cell r="B67">
            <v>5.2958000000000007</v>
          </cell>
          <cell r="C67">
            <v>4.7481000000000009</v>
          </cell>
          <cell r="D67">
            <v>5.2113000000000005</v>
          </cell>
          <cell r="E67">
            <v>4.9474000000000009</v>
          </cell>
          <cell r="F67">
            <v>4.9102000000000006</v>
          </cell>
          <cell r="G67">
            <v>4.5687000000000006</v>
          </cell>
          <cell r="H67">
            <v>5.1195000000000004</v>
          </cell>
          <cell r="I67">
            <v>4.9756000000000009</v>
          </cell>
          <cell r="J67">
            <v>5.1753000000000009</v>
          </cell>
          <cell r="K67">
            <v>4.9139000000000008</v>
          </cell>
          <cell r="L67">
            <v>5.402000000000001</v>
          </cell>
          <cell r="M67">
            <v>5.283500000000001</v>
          </cell>
          <cell r="N67">
            <v>5.1998000000000006</v>
          </cell>
          <cell r="O67">
            <v>5.1998000000000006</v>
          </cell>
        </row>
        <row r="68">
          <cell r="A68" t="str">
            <v>Guinea-Bissau</v>
          </cell>
          <cell r="B68">
            <v>6.9036000000000008</v>
          </cell>
          <cell r="C68">
            <v>6.5608000000000004</v>
          </cell>
          <cell r="D68">
            <v>6.4818999999999996</v>
          </cell>
          <cell r="E68">
            <v>6.7146000000000008</v>
          </cell>
          <cell r="F68">
            <v>6.4512000000000009</v>
          </cell>
          <cell r="G68">
            <v>6.4763000000000002</v>
          </cell>
          <cell r="H68">
            <v>6.8070000000000004</v>
          </cell>
          <cell r="I68">
            <v>6.4791000000000007</v>
          </cell>
          <cell r="J68">
            <v>6.4473000000000003</v>
          </cell>
          <cell r="K68">
            <v>6.5676000000000005</v>
          </cell>
          <cell r="L68">
            <v>6.7576000000000001</v>
          </cell>
          <cell r="M68">
            <v>6.1136000000000008</v>
          </cell>
          <cell r="N68">
            <v>6.0299000000000014</v>
          </cell>
          <cell r="O68">
            <v>6.0371000000000006</v>
          </cell>
        </row>
        <row r="69">
          <cell r="A69" t="str">
            <v>Guyana</v>
          </cell>
          <cell r="B69">
            <v>5.8178000000000001</v>
          </cell>
          <cell r="C69">
            <v>5.785400000000001</v>
          </cell>
          <cell r="D69">
            <v>5.557900000000001</v>
          </cell>
          <cell r="E69">
            <v>5.7041000000000004</v>
          </cell>
          <cell r="F69">
            <v>5.6979000000000006</v>
          </cell>
          <cell r="G69">
            <v>5.5030999999999999</v>
          </cell>
          <cell r="H69">
            <v>5.3406000000000002</v>
          </cell>
          <cell r="I69">
            <v>5.6591000000000005</v>
          </cell>
          <cell r="J69">
            <v>5.5254000000000003</v>
          </cell>
          <cell r="K69">
            <v>5.7780000000000005</v>
          </cell>
          <cell r="L69">
            <v>5.4844000000000008</v>
          </cell>
          <cell r="M69">
            <v>5.2542999999999997</v>
          </cell>
          <cell r="N69">
            <v>5.5211000000000006</v>
          </cell>
          <cell r="O69">
            <v>5.5211000000000006</v>
          </cell>
        </row>
        <row r="70">
          <cell r="A70" t="str">
            <v>Haiti</v>
          </cell>
          <cell r="B70">
            <v>5.9306000000000001</v>
          </cell>
          <cell r="C70">
            <v>6.2727000000000004</v>
          </cell>
          <cell r="D70">
            <v>6.4802999999999997</v>
          </cell>
          <cell r="E70">
            <v>6.5276999999999994</v>
          </cell>
          <cell r="F70">
            <v>6.3593000000000011</v>
          </cell>
          <cell r="G70">
            <v>5.9966000000000008</v>
          </cell>
          <cell r="H70">
            <v>6.0913000000000004</v>
          </cell>
          <cell r="I70">
            <v>6.3735999999999997</v>
          </cell>
          <cell r="J70">
            <v>6.5996000000000006</v>
          </cell>
          <cell r="K70">
            <v>6.3894000000000002</v>
          </cell>
          <cell r="L70">
            <v>6.0740999999999996</v>
          </cell>
          <cell r="M70">
            <v>6.1112000000000002</v>
          </cell>
          <cell r="N70">
            <v>6.1630000000000003</v>
          </cell>
          <cell r="O70">
            <v>6.1630000000000003</v>
          </cell>
        </row>
        <row r="71">
          <cell r="A71" t="str">
            <v>Honduras</v>
          </cell>
          <cell r="B71">
            <v>5.7542000000000009</v>
          </cell>
          <cell r="C71">
            <v>5.6859999999999999</v>
          </cell>
          <cell r="D71">
            <v>5.7516999999999996</v>
          </cell>
          <cell r="E71">
            <v>5.5579999999999998</v>
          </cell>
          <cell r="F71">
            <v>5.7591000000000001</v>
          </cell>
          <cell r="G71">
            <v>5.7058</v>
          </cell>
          <cell r="H71">
            <v>5.4539000000000009</v>
          </cell>
          <cell r="I71">
            <v>5.3633000000000006</v>
          </cell>
          <cell r="J71">
            <v>5.5902999999999992</v>
          </cell>
          <cell r="K71">
            <v>5.9507999999999992</v>
          </cell>
          <cell r="L71">
            <v>5.658100000000001</v>
          </cell>
          <cell r="M71">
            <v>5.4376999999999995</v>
          </cell>
          <cell r="N71">
            <v>5.7413000000000007</v>
          </cell>
          <cell r="O71">
            <v>5.7413000000000007</v>
          </cell>
        </row>
        <row r="72">
          <cell r="A72" t="str">
            <v>Hungary</v>
          </cell>
          <cell r="B72">
            <v>4.8148</v>
          </cell>
          <cell r="C72">
            <v>5.2581999999999995</v>
          </cell>
          <cell r="D72">
            <v>4.9718</v>
          </cell>
          <cell r="E72">
            <v>5.1694000000000004</v>
          </cell>
          <cell r="F72">
            <v>5.0910000000000002</v>
          </cell>
          <cell r="G72">
            <v>5.0771000000000006</v>
          </cell>
          <cell r="H72">
            <v>4.7214</v>
          </cell>
          <cell r="I72">
            <v>5.0992000000000006</v>
          </cell>
          <cell r="J72">
            <v>5.0502999999999991</v>
          </cell>
          <cell r="K72">
            <v>4.8666</v>
          </cell>
          <cell r="L72">
            <v>4.5063000000000004</v>
          </cell>
          <cell r="M72">
            <v>4.0701999999999998</v>
          </cell>
          <cell r="N72">
            <v>4.0948000000000002</v>
          </cell>
          <cell r="O72">
            <v>4.0948000000000002</v>
          </cell>
        </row>
        <row r="73">
          <cell r="A73" t="str">
            <v>Iceland</v>
          </cell>
          <cell r="B73">
            <v>4.4344000000000001</v>
          </cell>
          <cell r="C73">
            <v>4.0142999999999995</v>
          </cell>
          <cell r="D73">
            <v>3.8666</v>
          </cell>
          <cell r="E73">
            <v>4.5645999999999995</v>
          </cell>
          <cell r="F73">
            <v>3.6471999999999998</v>
          </cell>
          <cell r="G73">
            <v>3.9898000000000007</v>
          </cell>
          <cell r="H73">
            <v>4.4614000000000003</v>
          </cell>
          <cell r="I73">
            <v>3.7574000000000005</v>
          </cell>
          <cell r="J73">
            <v>3.9436</v>
          </cell>
          <cell r="K73">
            <v>3.7682000000000002</v>
          </cell>
          <cell r="L73">
            <v>3.8</v>
          </cell>
          <cell r="M73">
            <v>4.4881000000000002</v>
          </cell>
          <cell r="N73">
            <v>4.0427000000000008</v>
          </cell>
          <cell r="O73">
            <v>4.0499000000000009</v>
          </cell>
        </row>
        <row r="74">
          <cell r="A74" t="str">
            <v>India</v>
          </cell>
          <cell r="B74">
            <v>4.6739000000000006</v>
          </cell>
          <cell r="C74">
            <v>4.7541000000000011</v>
          </cell>
          <cell r="D74">
            <v>4.6357999999999997</v>
          </cell>
          <cell r="E74">
            <v>4.6938000000000004</v>
          </cell>
          <cell r="F74">
            <v>4.6922999999999995</v>
          </cell>
          <cell r="G74">
            <v>4.7277000000000005</v>
          </cell>
          <cell r="H74">
            <v>4.7865000000000011</v>
          </cell>
          <cell r="I74">
            <v>4.8627000000000011</v>
          </cell>
          <cell r="J74">
            <v>4.5823000000000009</v>
          </cell>
          <cell r="K74">
            <v>4.5773000000000001</v>
          </cell>
          <cell r="L74">
            <v>4.5866000000000007</v>
          </cell>
          <cell r="M74">
            <v>5.2747000000000011</v>
          </cell>
          <cell r="N74">
            <v>5.1915000000000004</v>
          </cell>
          <cell r="O74">
            <v>5.1915000000000004</v>
          </cell>
        </row>
        <row r="75">
          <cell r="A75" t="str">
            <v>Indonesia</v>
          </cell>
          <cell r="B75">
            <v>5.3129</v>
          </cell>
          <cell r="C75">
            <v>5.4660000000000002</v>
          </cell>
          <cell r="D75">
            <v>5.6241000000000003</v>
          </cell>
          <cell r="E75">
            <v>5.5293999999999999</v>
          </cell>
          <cell r="F75">
            <v>5.3417000000000003</v>
          </cell>
          <cell r="G75">
            <v>5.6507999999999994</v>
          </cell>
          <cell r="H75">
            <v>5.2799000000000005</v>
          </cell>
          <cell r="I75">
            <v>5.3026000000000009</v>
          </cell>
          <cell r="J75">
            <v>5.2682000000000011</v>
          </cell>
          <cell r="K75">
            <v>5.4780000000000006</v>
          </cell>
          <cell r="L75">
            <v>5.4476000000000013</v>
          </cell>
          <cell r="M75">
            <v>5.7580999999999998</v>
          </cell>
          <cell r="N75">
            <v>5.5508000000000006</v>
          </cell>
          <cell r="O75">
            <v>5.5508000000000006</v>
          </cell>
        </row>
        <row r="76">
          <cell r="A76" t="str">
            <v>Iran</v>
          </cell>
          <cell r="B76">
            <v>5.7415000000000003</v>
          </cell>
          <cell r="C76">
            <v>5.4284999999999997</v>
          </cell>
          <cell r="D76">
            <v>5.6588999999999992</v>
          </cell>
          <cell r="E76">
            <v>5.1768999999999998</v>
          </cell>
          <cell r="F76">
            <v>5.6056000000000008</v>
          </cell>
          <cell r="G76">
            <v>5.4876000000000005</v>
          </cell>
          <cell r="H76">
            <v>5.7667999999999999</v>
          </cell>
          <cell r="I76">
            <v>5.6392000000000007</v>
          </cell>
          <cell r="J76">
            <v>5.3694000000000006</v>
          </cell>
          <cell r="K76">
            <v>5.0693000000000001</v>
          </cell>
          <cell r="L76">
            <v>5.7601999999999993</v>
          </cell>
          <cell r="M76">
            <v>6.4329000000000001</v>
          </cell>
          <cell r="N76">
            <v>6.2641000000000009</v>
          </cell>
          <cell r="O76">
            <v>6.2641000000000009</v>
          </cell>
        </row>
        <row r="77">
          <cell r="A77" t="str">
            <v>Iraq</v>
          </cell>
          <cell r="B77">
            <v>5.5186999999999991</v>
          </cell>
          <cell r="C77">
            <v>5.761099999999999</v>
          </cell>
          <cell r="D77">
            <v>5.8626000000000005</v>
          </cell>
          <cell r="E77">
            <v>5.6657999999999991</v>
          </cell>
          <cell r="F77">
            <v>5.9883000000000006</v>
          </cell>
          <cell r="G77">
            <v>5.7311999999999994</v>
          </cell>
          <cell r="H77">
            <v>5.8593999999999991</v>
          </cell>
          <cell r="I77">
            <v>6.0234000000000005</v>
          </cell>
          <cell r="J77">
            <v>5.8042999999999996</v>
          </cell>
          <cell r="K77">
            <v>5.7812999999999999</v>
          </cell>
          <cell r="L77">
            <v>6.1416000000000004</v>
          </cell>
          <cell r="M77">
            <v>6.3725000000000005</v>
          </cell>
          <cell r="N77">
            <v>6.1547999999999998</v>
          </cell>
          <cell r="O77">
            <v>6.1547999999999998</v>
          </cell>
        </row>
        <row r="78">
          <cell r="A78" t="str">
            <v>Ireland</v>
          </cell>
          <cell r="B78">
            <v>4.1580000000000004</v>
          </cell>
          <cell r="C78">
            <v>4.4277000000000006</v>
          </cell>
          <cell r="D78">
            <v>4.1720000000000006</v>
          </cell>
          <cell r="E78">
            <v>4.9018000000000006</v>
          </cell>
          <cell r="F78">
            <v>4.0403000000000002</v>
          </cell>
          <cell r="G78">
            <v>4.117</v>
          </cell>
          <cell r="H78">
            <v>4.5341000000000005</v>
          </cell>
          <cell r="I78">
            <v>4.1516999999999999</v>
          </cell>
          <cell r="J78">
            <v>4.2696000000000005</v>
          </cell>
          <cell r="K78">
            <v>4.3007000000000009</v>
          </cell>
          <cell r="L78">
            <v>4.3464</v>
          </cell>
          <cell r="M78">
            <v>4.5764000000000005</v>
          </cell>
          <cell r="N78">
            <v>4.2704000000000004</v>
          </cell>
          <cell r="O78">
            <v>4.2704000000000004</v>
          </cell>
        </row>
        <row r="79">
          <cell r="A79" t="str">
            <v>Israel</v>
          </cell>
          <cell r="B79">
            <v>4.2354000000000003</v>
          </cell>
          <cell r="C79">
            <v>4.5827999999999998</v>
          </cell>
          <cell r="D79">
            <v>4.6204000000000001</v>
          </cell>
          <cell r="E79">
            <v>4.2628000000000004</v>
          </cell>
          <cell r="F79">
            <v>4.5049999999999999</v>
          </cell>
          <cell r="G79">
            <v>4.5580999999999996</v>
          </cell>
          <cell r="H79">
            <v>3.8231000000000002</v>
          </cell>
          <cell r="I79">
            <v>4.581900000000001</v>
          </cell>
          <cell r="J79">
            <v>4.2383000000000006</v>
          </cell>
          <cell r="K79">
            <v>4.3266</v>
          </cell>
          <cell r="L79">
            <v>4.7803000000000004</v>
          </cell>
          <cell r="M79">
            <v>4.4956999999999994</v>
          </cell>
          <cell r="N79">
            <v>4.7920999999999996</v>
          </cell>
          <cell r="O79">
            <v>4.7920999999999996</v>
          </cell>
        </row>
        <row r="80">
          <cell r="A80" t="str">
            <v>Italy</v>
          </cell>
          <cell r="B80">
            <v>4.6714000000000002</v>
          </cell>
          <cell r="C80">
            <v>4.6819000000000006</v>
          </cell>
          <cell r="D80">
            <v>4.2361000000000004</v>
          </cell>
          <cell r="E80">
            <v>4.5735999999999999</v>
          </cell>
          <cell r="F80">
            <v>4.6135000000000002</v>
          </cell>
          <cell r="G80">
            <v>4.5427999999999997</v>
          </cell>
          <cell r="H80">
            <v>4.6318999999999999</v>
          </cell>
          <cell r="I80">
            <v>4.5264000000000006</v>
          </cell>
          <cell r="J80">
            <v>4.5785999999999998</v>
          </cell>
          <cell r="K80">
            <v>4.6406000000000009</v>
          </cell>
          <cell r="L80">
            <v>4.5107999999999997</v>
          </cell>
          <cell r="M80">
            <v>4.9774999999999991</v>
          </cell>
          <cell r="N80">
            <v>4.8958999999999993</v>
          </cell>
          <cell r="O80">
            <v>4.8958999999999993</v>
          </cell>
        </row>
        <row r="81">
          <cell r="A81" t="str">
            <v>Jamaica</v>
          </cell>
          <cell r="B81">
            <v>5.4205000000000005</v>
          </cell>
          <cell r="C81">
            <v>5.5594000000000001</v>
          </cell>
          <cell r="D81">
            <v>5.7822000000000013</v>
          </cell>
          <cell r="E81">
            <v>5.8911999999999995</v>
          </cell>
          <cell r="F81">
            <v>5.7475000000000005</v>
          </cell>
          <cell r="G81">
            <v>5.7311999999999994</v>
          </cell>
          <cell r="H81">
            <v>5.5221999999999998</v>
          </cell>
          <cell r="I81">
            <v>5.7005999999999997</v>
          </cell>
          <cell r="J81">
            <v>6.0387000000000004</v>
          </cell>
          <cell r="K81">
            <v>6.0774000000000008</v>
          </cell>
          <cell r="L81">
            <v>5.9329000000000001</v>
          </cell>
          <cell r="M81">
            <v>5.3924000000000003</v>
          </cell>
          <cell r="N81">
            <v>5.4459999999999997</v>
          </cell>
          <cell r="O81">
            <v>5.4459999999999997</v>
          </cell>
        </row>
        <row r="82">
          <cell r="A82" t="str">
            <v>Japan</v>
          </cell>
          <cell r="B82">
            <v>5.1825999999999999</v>
          </cell>
          <cell r="C82">
            <v>5.0387000000000004</v>
          </cell>
          <cell r="D82">
            <v>5.1402999999999999</v>
          </cell>
          <cell r="E82">
            <v>5.077</v>
          </cell>
          <cell r="F82">
            <v>5.1315000000000008</v>
          </cell>
          <cell r="G82">
            <v>5.3598999999999997</v>
          </cell>
          <cell r="H82">
            <v>5.0408000000000008</v>
          </cell>
          <cell r="I82">
            <v>5.2797999999999998</v>
          </cell>
          <cell r="J82">
            <v>5.2841000000000005</v>
          </cell>
          <cell r="K82">
            <v>5.5401000000000007</v>
          </cell>
          <cell r="L82">
            <v>5.5306999999999995</v>
          </cell>
          <cell r="M82">
            <v>5.6471</v>
          </cell>
          <cell r="N82">
            <v>5.6846999999999994</v>
          </cell>
          <cell r="O82">
            <v>5.6846999999999994</v>
          </cell>
        </row>
        <row r="83">
          <cell r="A83" t="str">
            <v>Jordan</v>
          </cell>
          <cell r="B83">
            <v>5.2473000000000001</v>
          </cell>
          <cell r="C83">
            <v>5.7743000000000002</v>
          </cell>
          <cell r="D83">
            <v>5.7744999999999997</v>
          </cell>
          <cell r="E83">
            <v>5.3735999999999997</v>
          </cell>
          <cell r="F83">
            <v>5.7096</v>
          </cell>
          <cell r="G83">
            <v>5.8216999999999999</v>
          </cell>
          <cell r="H83">
            <v>5.2601999999999993</v>
          </cell>
          <cell r="I83">
            <v>5.9208999999999996</v>
          </cell>
          <cell r="J83">
            <v>5.6013999999999999</v>
          </cell>
          <cell r="K83">
            <v>5.8548000000000009</v>
          </cell>
          <cell r="L83">
            <v>6.0667000000000009</v>
          </cell>
          <cell r="M83">
            <v>5.9819999999999993</v>
          </cell>
          <cell r="N83">
            <v>6.0212000000000003</v>
          </cell>
          <cell r="O83">
            <v>6.0283999999999995</v>
          </cell>
        </row>
        <row r="84">
          <cell r="A84" t="str">
            <v>Kazakhstan</v>
          </cell>
          <cell r="B84">
            <v>5.7304000000000004</v>
          </cell>
          <cell r="C84">
            <v>6.0516999999999994</v>
          </cell>
          <cell r="D84">
            <v>6.4066000000000001</v>
          </cell>
          <cell r="E84">
            <v>5.5282</v>
          </cell>
          <cell r="F84">
            <v>6.2549999999999999</v>
          </cell>
          <cell r="G84">
            <v>6.4441999999999995</v>
          </cell>
          <cell r="H84">
            <v>6.2991999999999999</v>
          </cell>
          <cell r="I84">
            <v>5.3182999999999998</v>
          </cell>
          <cell r="J84">
            <v>5.8462999999999994</v>
          </cell>
          <cell r="K84">
            <v>6.3338999999999999</v>
          </cell>
          <cell r="L84">
            <v>5.8722000000000003</v>
          </cell>
          <cell r="M84">
            <v>6.4249999999999998</v>
          </cell>
          <cell r="N84">
            <v>6.3817999999999993</v>
          </cell>
          <cell r="O84">
            <v>6.3889999999999993</v>
          </cell>
        </row>
        <row r="85">
          <cell r="A85" t="str">
            <v>Kenya</v>
          </cell>
          <cell r="B85">
            <v>5.6030000000000006</v>
          </cell>
          <cell r="C85">
            <v>5.2785000000000011</v>
          </cell>
          <cell r="D85">
            <v>4.9979000000000005</v>
          </cell>
          <cell r="E85">
            <v>5.0598000000000001</v>
          </cell>
          <cell r="F85">
            <v>4.7824999999999998</v>
          </cell>
          <cell r="G85">
            <v>4.7419000000000011</v>
          </cell>
          <cell r="H85">
            <v>5.2836000000000007</v>
          </cell>
          <cell r="I85">
            <v>4.6852</v>
          </cell>
          <cell r="J85">
            <v>5.7061000000000002</v>
          </cell>
          <cell r="K85">
            <v>5.3951000000000002</v>
          </cell>
          <cell r="L85">
            <v>5.7519000000000009</v>
          </cell>
          <cell r="M85">
            <v>5.6774000000000004</v>
          </cell>
          <cell r="N85">
            <v>5.5478000000000005</v>
          </cell>
          <cell r="O85">
            <v>5.5478000000000005</v>
          </cell>
        </row>
        <row r="86">
          <cell r="A86" t="str">
            <v>Kuwait</v>
          </cell>
          <cell r="B86">
            <v>4.5054999999999996</v>
          </cell>
          <cell r="C86">
            <v>4.5960999999999999</v>
          </cell>
          <cell r="D86">
            <v>4.5983000000000001</v>
          </cell>
          <cell r="E86">
            <v>4.4628999999999994</v>
          </cell>
          <cell r="F86">
            <v>4.6953999999999994</v>
          </cell>
          <cell r="G86">
            <v>4.4505999999999997</v>
          </cell>
          <cell r="H86">
            <v>4.8529</v>
          </cell>
          <cell r="I86">
            <v>4.8590999999999998</v>
          </cell>
          <cell r="J86">
            <v>4.9879999999999995</v>
          </cell>
          <cell r="K86">
            <v>5.0450999999999997</v>
          </cell>
          <cell r="L86">
            <v>6.3613999999999997</v>
          </cell>
          <cell r="M86">
            <v>6.4543999999999997</v>
          </cell>
          <cell r="N86">
            <v>6.2043999999999997</v>
          </cell>
          <cell r="O86">
            <v>6.2043999999999997</v>
          </cell>
        </row>
        <row r="87">
          <cell r="A87" t="str">
            <v>Kyrgyz Republic</v>
          </cell>
          <cell r="B87">
            <v>5.980900000000001</v>
          </cell>
          <cell r="C87">
            <v>5.3214999999999995</v>
          </cell>
          <cell r="D87">
            <v>6.1785000000000005</v>
          </cell>
          <cell r="E87">
            <v>5.2837000000000005</v>
          </cell>
          <cell r="F87">
            <v>5.8762999999999996</v>
          </cell>
          <cell r="G87">
            <v>6.0778999999999996</v>
          </cell>
          <cell r="H87">
            <v>5.6415999999999995</v>
          </cell>
          <cell r="I87">
            <v>5.5957000000000008</v>
          </cell>
          <cell r="J87">
            <v>5.6775000000000002</v>
          </cell>
          <cell r="K87">
            <v>5.2678000000000003</v>
          </cell>
          <cell r="L87">
            <v>5.4813999999999998</v>
          </cell>
          <cell r="M87">
            <v>5.5179999999999998</v>
          </cell>
          <cell r="N87">
            <v>5.1672000000000002</v>
          </cell>
          <cell r="O87">
            <v>5.1744000000000003</v>
          </cell>
        </row>
        <row r="88">
          <cell r="A88" t="str">
            <v>Laos</v>
          </cell>
          <cell r="B88">
            <v>3.9514000000000005</v>
          </cell>
          <cell r="C88">
            <v>4.6803999999999997</v>
          </cell>
          <cell r="D88">
            <v>4.6944999999999997</v>
          </cell>
          <cell r="E88">
            <v>4.2700000000000005</v>
          </cell>
          <cell r="F88">
            <v>4.7428999999999997</v>
          </cell>
          <cell r="G88">
            <v>4.6909000000000001</v>
          </cell>
          <cell r="H88">
            <v>4.8232999999999997</v>
          </cell>
          <cell r="I88">
            <v>4.5889000000000006</v>
          </cell>
          <cell r="J88">
            <v>5.2831000000000001</v>
          </cell>
          <cell r="K88">
            <v>4.9452000000000007</v>
          </cell>
          <cell r="L88">
            <v>4.6898999999999997</v>
          </cell>
          <cell r="M88">
            <v>4.9164000000000003</v>
          </cell>
          <cell r="N88">
            <v>5.0338000000000003</v>
          </cell>
          <cell r="O88">
            <v>5.0482000000000005</v>
          </cell>
        </row>
        <row r="89">
          <cell r="A89" t="str">
            <v>Latvia</v>
          </cell>
          <cell r="B89">
            <v>4.1934000000000005</v>
          </cell>
          <cell r="C89">
            <v>4.3117999999999999</v>
          </cell>
          <cell r="D89">
            <v>4.0942000000000007</v>
          </cell>
          <cell r="E89">
            <v>4.4526000000000003</v>
          </cell>
          <cell r="F89">
            <v>4.4908999999999999</v>
          </cell>
          <cell r="G89">
            <v>4.4352</v>
          </cell>
          <cell r="H89">
            <v>4.1752000000000002</v>
          </cell>
          <cell r="I89">
            <v>4.4786999999999999</v>
          </cell>
          <cell r="J89">
            <v>4.4878999999999998</v>
          </cell>
          <cell r="K89">
            <v>4.492700000000001</v>
          </cell>
          <cell r="L89">
            <v>4.5183999999999997</v>
          </cell>
          <cell r="M89">
            <v>4.5849000000000002</v>
          </cell>
          <cell r="N89">
            <v>4.6249000000000002</v>
          </cell>
          <cell r="O89">
            <v>4.6320999999999994</v>
          </cell>
        </row>
        <row r="90">
          <cell r="A90" t="str">
            <v>Lebanon</v>
          </cell>
          <cell r="B90">
            <v>5.3333999999999993</v>
          </cell>
          <cell r="C90">
            <v>5.7775999999999996</v>
          </cell>
          <cell r="D90">
            <v>6.0579999999999998</v>
          </cell>
          <cell r="E90">
            <v>5.8167000000000009</v>
          </cell>
          <cell r="F90">
            <v>5.9461000000000013</v>
          </cell>
          <cell r="G90">
            <v>6.1273999999999997</v>
          </cell>
          <cell r="H90">
            <v>5.6623000000000001</v>
          </cell>
          <cell r="I90">
            <v>6.3352000000000004</v>
          </cell>
          <cell r="J90">
            <v>5.9624000000000006</v>
          </cell>
          <cell r="K90">
            <v>6.1349</v>
          </cell>
          <cell r="L90">
            <v>6.3770000000000007</v>
          </cell>
          <cell r="M90">
            <v>5.9605999999999995</v>
          </cell>
          <cell r="N90">
            <v>6.107800000000001</v>
          </cell>
          <cell r="O90">
            <v>6.1222000000000012</v>
          </cell>
        </row>
        <row r="91">
          <cell r="A91" t="str">
            <v>Lesotho</v>
          </cell>
          <cell r="B91">
            <v>5.1324000000000005</v>
          </cell>
          <cell r="C91">
            <v>5.2455999999999996</v>
          </cell>
          <cell r="D91">
            <v>5.1162999999999998</v>
          </cell>
          <cell r="E91">
            <v>5.1681999999999997</v>
          </cell>
          <cell r="F91">
            <v>5.2999000000000001</v>
          </cell>
          <cell r="G91">
            <v>5.6649000000000003</v>
          </cell>
          <cell r="H91">
            <v>5.0556999999999999</v>
          </cell>
          <cell r="I91">
            <v>5.3609</v>
          </cell>
          <cell r="J91">
            <v>5.6386000000000003</v>
          </cell>
          <cell r="K91">
            <v>4.9529999999999994</v>
          </cell>
          <cell r="L91">
            <v>5.2614999999999998</v>
          </cell>
          <cell r="M91">
            <v>5.0923999999999996</v>
          </cell>
          <cell r="N91">
            <v>4.8835999999999995</v>
          </cell>
          <cell r="O91">
            <v>4.8835999999999995</v>
          </cell>
        </row>
        <row r="92">
          <cell r="A92" t="str">
            <v>Liberia</v>
          </cell>
          <cell r="B92">
            <v>6.0971000000000011</v>
          </cell>
          <cell r="C92">
            <v>5.6389000000000005</v>
          </cell>
          <cell r="D92">
            <v>5.6241000000000003</v>
          </cell>
          <cell r="E92">
            <v>5.4243000000000006</v>
          </cell>
          <cell r="F92">
            <v>5.3608000000000011</v>
          </cell>
          <cell r="G92">
            <v>5.4672999999999998</v>
          </cell>
          <cell r="H92">
            <v>5.5687000000000006</v>
          </cell>
          <cell r="I92">
            <v>5.7604000000000006</v>
          </cell>
          <cell r="J92">
            <v>5.7744999999999997</v>
          </cell>
          <cell r="K92">
            <v>5.4517000000000007</v>
          </cell>
          <cell r="L92">
            <v>5.3919000000000006</v>
          </cell>
          <cell r="M92">
            <v>5.2145999999999999</v>
          </cell>
          <cell r="N92">
            <v>4.8785999999999996</v>
          </cell>
          <cell r="O92">
            <v>4.8857999999999997</v>
          </cell>
        </row>
        <row r="93">
          <cell r="A93" t="str">
            <v>Libya</v>
          </cell>
          <cell r="B93">
            <v>5.5880000000000001</v>
          </cell>
          <cell r="C93">
            <v>5.4822000000000006</v>
          </cell>
          <cell r="D93">
            <v>5.7858000000000001</v>
          </cell>
          <cell r="E93">
            <v>5.6981000000000002</v>
          </cell>
          <cell r="F93">
            <v>4.9177</v>
          </cell>
          <cell r="G93">
            <v>5.6291999999999991</v>
          </cell>
          <cell r="H93">
            <v>4.7635000000000005</v>
          </cell>
          <cell r="I93">
            <v>5.4777000000000005</v>
          </cell>
          <cell r="J93">
            <v>4.7805</v>
          </cell>
          <cell r="K93">
            <v>4.8925999999999998</v>
          </cell>
          <cell r="L93">
            <v>5.6439000000000004</v>
          </cell>
          <cell r="M93">
            <v>5.4843000000000011</v>
          </cell>
          <cell r="N93">
            <v>5.8572000000000006</v>
          </cell>
          <cell r="O93">
            <v>5.8572000000000006</v>
          </cell>
        </row>
        <row r="94">
          <cell r="A94" t="str">
            <v>Lithuania</v>
          </cell>
          <cell r="B94">
            <v>4.2656000000000001</v>
          </cell>
          <cell r="C94">
            <v>4.5557999999999996</v>
          </cell>
          <cell r="D94">
            <v>4.1011000000000006</v>
          </cell>
          <cell r="E94">
            <v>4.5623000000000005</v>
          </cell>
          <cell r="F94">
            <v>4.6072000000000006</v>
          </cell>
          <cell r="G94">
            <v>4.5348000000000006</v>
          </cell>
          <cell r="H94">
            <v>4.2887000000000004</v>
          </cell>
          <cell r="I94">
            <v>4.4806000000000008</v>
          </cell>
          <cell r="J94">
            <v>4.6069999999999993</v>
          </cell>
          <cell r="K94">
            <v>4.6962000000000002</v>
          </cell>
          <cell r="L94">
            <v>4.5210000000000008</v>
          </cell>
          <cell r="M94">
            <v>4.7946000000000009</v>
          </cell>
          <cell r="N94">
            <v>4.4885999999999999</v>
          </cell>
          <cell r="O94">
            <v>4.9074000000000009</v>
          </cell>
        </row>
        <row r="95">
          <cell r="A95" t="str">
            <v>Luxembourg</v>
          </cell>
          <cell r="B95">
            <v>4.6347000000000005</v>
          </cell>
          <cell r="C95">
            <v>4.4291999999999998</v>
          </cell>
          <cell r="D95">
            <v>3.7040999999999995</v>
          </cell>
          <cell r="E95">
            <v>4.6849999999999996</v>
          </cell>
          <cell r="F95">
            <v>4.4756999999999998</v>
          </cell>
          <cell r="G95">
            <v>4.6395999999999997</v>
          </cell>
          <cell r="H95">
            <v>4.6257999999999999</v>
          </cell>
          <cell r="I95">
            <v>4.7810999999999995</v>
          </cell>
          <cell r="J95">
            <v>4.6491999999999996</v>
          </cell>
          <cell r="K95">
            <v>4.7401</v>
          </cell>
          <cell r="L95">
            <v>4.0692999999999993</v>
          </cell>
          <cell r="M95">
            <v>4.5884</v>
          </cell>
          <cell r="N95">
            <v>4.4631999999999996</v>
          </cell>
          <cell r="O95">
            <v>4.4631999999999996</v>
          </cell>
        </row>
        <row r="96">
          <cell r="A96" t="str">
            <v>Madagascar</v>
          </cell>
          <cell r="B96">
            <v>6.2905000000000006</v>
          </cell>
          <cell r="C96">
            <v>5.8745000000000003</v>
          </cell>
          <cell r="D96">
            <v>5.5631000000000004</v>
          </cell>
          <cell r="E96">
            <v>5.5220000000000002</v>
          </cell>
          <cell r="F96">
            <v>5.3936999999999999</v>
          </cell>
          <cell r="G96">
            <v>5.2480000000000002</v>
          </cell>
          <cell r="H96">
            <v>5.8398000000000003</v>
          </cell>
          <cell r="I96">
            <v>5.5717000000000017</v>
          </cell>
          <cell r="J96">
            <v>5.6167000000000007</v>
          </cell>
          <cell r="K96">
            <v>5.4118000000000004</v>
          </cell>
          <cell r="L96">
            <v>5.7065999999999999</v>
          </cell>
          <cell r="M96">
            <v>5.8349000000000011</v>
          </cell>
          <cell r="N96">
            <v>5.9473000000000003</v>
          </cell>
          <cell r="O96">
            <v>5.9473000000000003</v>
          </cell>
        </row>
        <row r="97">
          <cell r="A97" t="str">
            <v>Malawi</v>
          </cell>
          <cell r="B97">
            <v>5.5437000000000003</v>
          </cell>
          <cell r="C97">
            <v>5.4069000000000003</v>
          </cell>
          <cell r="D97">
            <v>5.0382999999999996</v>
          </cell>
          <cell r="E97">
            <v>5.3681999999999999</v>
          </cell>
          <cell r="F97">
            <v>4.9515000000000002</v>
          </cell>
          <cell r="G97">
            <v>5.0390000000000006</v>
          </cell>
          <cell r="H97">
            <v>5.4050000000000002</v>
          </cell>
          <cell r="I97">
            <v>5.4912000000000001</v>
          </cell>
          <cell r="J97">
            <v>5.4904999999999999</v>
          </cell>
          <cell r="K97">
            <v>5.5190999999999999</v>
          </cell>
          <cell r="L97">
            <v>5.2136000000000005</v>
          </cell>
          <cell r="M97">
            <v>4.9080000000000004</v>
          </cell>
          <cell r="N97">
            <v>4.9040000000000008</v>
          </cell>
          <cell r="O97">
            <v>4.9184000000000001</v>
          </cell>
        </row>
        <row r="98">
          <cell r="A98" t="str">
            <v>Malaysia</v>
          </cell>
          <cell r="B98">
            <v>4.9989999999999997</v>
          </cell>
          <cell r="C98">
            <v>5.0801999999999996</v>
          </cell>
          <cell r="D98">
            <v>5.1467999999999989</v>
          </cell>
          <cell r="E98">
            <v>5.0513999999999992</v>
          </cell>
          <cell r="F98">
            <v>4.9245999999999999</v>
          </cell>
          <cell r="G98">
            <v>5.2409999999999997</v>
          </cell>
          <cell r="H98">
            <v>4.8179999999999996</v>
          </cell>
          <cell r="I98">
            <v>5.1290999999999993</v>
          </cell>
          <cell r="J98">
            <v>5.2803000000000004</v>
          </cell>
          <cell r="K98">
            <v>5.2749000000000006</v>
          </cell>
          <cell r="L98">
            <v>5.3386000000000013</v>
          </cell>
          <cell r="M98">
            <v>5.424100000000001</v>
          </cell>
          <cell r="N98">
            <v>5.2245000000000008</v>
          </cell>
          <cell r="O98">
            <v>5.2245000000000008</v>
          </cell>
        </row>
        <row r="99">
          <cell r="A99" t="str">
            <v>Mali</v>
          </cell>
          <cell r="B99">
            <v>6.2316999999999991</v>
          </cell>
          <cell r="C99">
            <v>4.8845999999999998</v>
          </cell>
          <cell r="D99">
            <v>5.4601999999999995</v>
          </cell>
          <cell r="E99">
            <v>5.2047999999999996</v>
          </cell>
          <cell r="F99">
            <v>5.0925000000000002</v>
          </cell>
          <cell r="G99">
            <v>5.0041000000000002</v>
          </cell>
          <cell r="H99">
            <v>5.6166999999999998</v>
          </cell>
          <cell r="I99">
            <v>5.3281000000000001</v>
          </cell>
          <cell r="J99">
            <v>5.1741000000000001</v>
          </cell>
          <cell r="K99">
            <v>5.1302000000000003</v>
          </cell>
          <cell r="L99">
            <v>5.7332000000000001</v>
          </cell>
          <cell r="M99">
            <v>4.4011000000000005</v>
          </cell>
          <cell r="N99">
            <v>5.0043000000000006</v>
          </cell>
          <cell r="O99">
            <v>4.5927000000000007</v>
          </cell>
        </row>
        <row r="100">
          <cell r="A100" t="str">
            <v>Malta</v>
          </cell>
          <cell r="B100">
            <v>4.1367000000000003</v>
          </cell>
          <cell r="C100">
            <v>4.3856000000000002</v>
          </cell>
          <cell r="D100">
            <v>4.4408000000000012</v>
          </cell>
          <cell r="E100">
            <v>4.3079999999999998</v>
          </cell>
          <cell r="F100">
            <v>4.1436000000000002</v>
          </cell>
          <cell r="G100">
            <v>4.0489999999999995</v>
          </cell>
          <cell r="H100">
            <v>3.6678000000000006</v>
          </cell>
          <cell r="I100">
            <v>4.0226000000000006</v>
          </cell>
          <cell r="J100">
            <v>3.7124000000000001</v>
          </cell>
          <cell r="K100">
            <v>4.0959000000000003</v>
          </cell>
          <cell r="L100">
            <v>4.4822000000000006</v>
          </cell>
          <cell r="M100">
            <v>4.4659000000000004</v>
          </cell>
          <cell r="N100">
            <v>4.4387000000000008</v>
          </cell>
          <cell r="O100">
            <v>4.4387000000000008</v>
          </cell>
        </row>
        <row r="101">
          <cell r="A101" t="str">
            <v>Mauritania</v>
          </cell>
          <cell r="B101">
            <v>6.0194000000000001</v>
          </cell>
          <cell r="C101">
            <v>5.3379000000000003</v>
          </cell>
          <cell r="D101">
            <v>5.8092000000000006</v>
          </cell>
          <cell r="E101">
            <v>5.5080000000000009</v>
          </cell>
          <cell r="F101">
            <v>5.4777000000000005</v>
          </cell>
          <cell r="G101">
            <v>5.5235000000000003</v>
          </cell>
          <cell r="H101">
            <v>5.9038000000000004</v>
          </cell>
          <cell r="I101">
            <v>5.5532000000000012</v>
          </cell>
          <cell r="J101">
            <v>5.5119000000000007</v>
          </cell>
          <cell r="K101">
            <v>5.8885000000000005</v>
          </cell>
          <cell r="L101">
            <v>5.8260000000000005</v>
          </cell>
          <cell r="M101">
            <v>5.7884000000000011</v>
          </cell>
          <cell r="N101">
            <v>5.7988000000000008</v>
          </cell>
          <cell r="O101">
            <v>5.7988000000000008</v>
          </cell>
        </row>
        <row r="102">
          <cell r="A102" t="str">
            <v>Mauritius</v>
          </cell>
          <cell r="B102">
            <v>4.9490999999999996</v>
          </cell>
          <cell r="C102">
            <v>4.7712000000000003</v>
          </cell>
          <cell r="D102">
            <v>4.8969000000000005</v>
          </cell>
          <cell r="E102">
            <v>4.8387000000000002</v>
          </cell>
          <cell r="F102">
            <v>4.9347000000000003</v>
          </cell>
          <cell r="G102">
            <v>4.8572000000000006</v>
          </cell>
          <cell r="H102">
            <v>5.2995000000000001</v>
          </cell>
          <cell r="I102">
            <v>4.9062000000000001</v>
          </cell>
          <cell r="J102">
            <v>5.0079000000000011</v>
          </cell>
          <cell r="K102">
            <v>4.9072000000000005</v>
          </cell>
          <cell r="L102">
            <v>4.9303000000000008</v>
          </cell>
          <cell r="M102">
            <v>4.1539000000000001</v>
          </cell>
          <cell r="N102">
            <v>4.5123000000000006</v>
          </cell>
          <cell r="O102">
            <v>4.5195000000000007</v>
          </cell>
        </row>
        <row r="103">
          <cell r="A103" t="str">
            <v>Mexico</v>
          </cell>
          <cell r="B103">
            <v>5.1991000000000005</v>
          </cell>
          <cell r="C103">
            <v>4.9215000000000009</v>
          </cell>
          <cell r="D103">
            <v>4.6137000000000006</v>
          </cell>
          <cell r="E103">
            <v>4.6568000000000005</v>
          </cell>
          <cell r="F103">
            <v>4.5650000000000004</v>
          </cell>
          <cell r="G103">
            <v>4.6221999999999994</v>
          </cell>
          <cell r="H103">
            <v>5.1007999999999996</v>
          </cell>
          <cell r="I103">
            <v>4.6278000000000006</v>
          </cell>
          <cell r="J103">
            <v>4.5394000000000005</v>
          </cell>
          <cell r="K103">
            <v>4.8262999999999998</v>
          </cell>
          <cell r="L103">
            <v>4.4004000000000003</v>
          </cell>
          <cell r="M103">
            <v>5.0442</v>
          </cell>
          <cell r="N103">
            <v>5.2060000000000004</v>
          </cell>
          <cell r="O103">
            <v>5.2060000000000004</v>
          </cell>
        </row>
        <row r="104">
          <cell r="A104" t="str">
            <v>Mongolia</v>
          </cell>
          <cell r="B104">
            <v>6.1898999999999997</v>
          </cell>
          <cell r="C104">
            <v>5.8854000000000006</v>
          </cell>
          <cell r="D104">
            <v>6.6092999999999993</v>
          </cell>
          <cell r="E104">
            <v>6.7767999999999997</v>
          </cell>
          <cell r="F104">
            <v>6.8065000000000007</v>
          </cell>
          <cell r="G104">
            <v>6.1663000000000006</v>
          </cell>
          <cell r="H104">
            <v>6.8944000000000001</v>
          </cell>
          <cell r="I104">
            <v>6.6604999999999999</v>
          </cell>
          <cell r="J104">
            <v>6.6667999999999994</v>
          </cell>
          <cell r="K104">
            <v>6.61</v>
          </cell>
          <cell r="L104">
            <v>6.5819000000000001</v>
          </cell>
          <cell r="M104">
            <v>6.7142999999999997</v>
          </cell>
          <cell r="N104">
            <v>6.5774999999999997</v>
          </cell>
          <cell r="O104">
            <v>6.5846999999999998</v>
          </cell>
        </row>
        <row r="105">
          <cell r="A105" t="str">
            <v>Morocco</v>
          </cell>
          <cell r="B105">
            <v>5.7647000000000004</v>
          </cell>
          <cell r="C105">
            <v>5.5657000000000014</v>
          </cell>
          <cell r="D105">
            <v>5.6409000000000002</v>
          </cell>
          <cell r="E105">
            <v>5.6743000000000006</v>
          </cell>
          <cell r="F105">
            <v>5.1850000000000005</v>
          </cell>
          <cell r="G105">
            <v>5.5409000000000006</v>
          </cell>
          <cell r="H105">
            <v>5.7458000000000009</v>
          </cell>
          <cell r="I105">
            <v>4.6071</v>
          </cell>
          <cell r="J105">
            <v>5.4685000000000006</v>
          </cell>
          <cell r="K105">
            <v>5.9077999999999999</v>
          </cell>
          <cell r="L105">
            <v>5.9861000000000004</v>
          </cell>
          <cell r="M105">
            <v>6.4166000000000007</v>
          </cell>
          <cell r="N105">
            <v>6.359</v>
          </cell>
          <cell r="O105">
            <v>6.359</v>
          </cell>
        </row>
        <row r="106">
          <cell r="A106" t="str">
            <v>Mozambique</v>
          </cell>
          <cell r="B106">
            <v>5.1482000000000001</v>
          </cell>
          <cell r="C106">
            <v>5.0430000000000001</v>
          </cell>
          <cell r="D106">
            <v>4.8570000000000002</v>
          </cell>
          <cell r="E106">
            <v>4.9885999999999999</v>
          </cell>
          <cell r="F106">
            <v>4.9590000000000005</v>
          </cell>
          <cell r="G106">
            <v>4.8669000000000002</v>
          </cell>
          <cell r="H106">
            <v>4.932500000000001</v>
          </cell>
          <cell r="I106">
            <v>5.0043000000000006</v>
          </cell>
          <cell r="J106">
            <v>5.0502000000000002</v>
          </cell>
          <cell r="K106">
            <v>4.9250000000000007</v>
          </cell>
          <cell r="L106">
            <v>4.8345000000000011</v>
          </cell>
          <cell r="M106">
            <v>5.4636000000000013</v>
          </cell>
          <cell r="N106">
            <v>5.4524000000000008</v>
          </cell>
          <cell r="O106">
            <v>5.4524000000000008</v>
          </cell>
        </row>
        <row r="107">
          <cell r="A107" t="str">
            <v>Namibia</v>
          </cell>
          <cell r="B107">
            <v>5.1252000000000004</v>
          </cell>
          <cell r="C107">
            <v>5.0184000000000006</v>
          </cell>
          <cell r="D107">
            <v>5.6140000000000008</v>
          </cell>
          <cell r="E107">
            <v>5.1590000000000007</v>
          </cell>
          <cell r="F107">
            <v>5.3985000000000003</v>
          </cell>
          <cell r="G107">
            <v>5.4280000000000008</v>
          </cell>
          <cell r="H107">
            <v>4.9959000000000007</v>
          </cell>
          <cell r="I107">
            <v>5.7698</v>
          </cell>
          <cell r="J107">
            <v>6.0774999999999997</v>
          </cell>
          <cell r="K107">
            <v>4.9976000000000003</v>
          </cell>
          <cell r="L107">
            <v>4.8478000000000003</v>
          </cell>
          <cell r="M107">
            <v>5.1181000000000001</v>
          </cell>
          <cell r="N107">
            <v>5.2149000000000001</v>
          </cell>
          <cell r="O107">
            <v>5.2149000000000001</v>
          </cell>
        </row>
        <row r="108">
          <cell r="A108" t="str">
            <v>Nepal</v>
          </cell>
          <cell r="B108">
            <v>4.4848999999999997</v>
          </cell>
          <cell r="C108">
            <v>4.5853000000000002</v>
          </cell>
          <cell r="D108">
            <v>4.4330999999999996</v>
          </cell>
          <cell r="E108">
            <v>4.4272</v>
          </cell>
          <cell r="F108">
            <v>4.3355000000000006</v>
          </cell>
          <cell r="G108">
            <v>4.3970000000000002</v>
          </cell>
          <cell r="H108">
            <v>4.6232999999999995</v>
          </cell>
          <cell r="I108">
            <v>4.4046000000000003</v>
          </cell>
          <cell r="J108">
            <v>4.1577000000000002</v>
          </cell>
          <cell r="K108">
            <v>4.0932000000000004</v>
          </cell>
          <cell r="L108">
            <v>4.1062000000000003</v>
          </cell>
          <cell r="M108">
            <v>4.5875000000000004</v>
          </cell>
          <cell r="N108">
            <v>4.5083000000000002</v>
          </cell>
          <cell r="O108">
            <v>4.5155000000000003</v>
          </cell>
        </row>
        <row r="109">
          <cell r="A109" t="str">
            <v>Netherlands</v>
          </cell>
          <cell r="B109">
            <v>5.2425999999999995</v>
          </cell>
          <cell r="C109">
            <v>5.1870999999999992</v>
          </cell>
          <cell r="D109">
            <v>4.4631000000000007</v>
          </cell>
          <cell r="E109">
            <v>5.607800000000001</v>
          </cell>
          <cell r="F109">
            <v>5.065900000000001</v>
          </cell>
          <cell r="G109">
            <v>5.5496999999999996</v>
          </cell>
          <cell r="H109">
            <v>5.4942999999999991</v>
          </cell>
          <cell r="I109">
            <v>5.4163999999999994</v>
          </cell>
          <cell r="J109">
            <v>5.3753000000000011</v>
          </cell>
          <cell r="K109">
            <v>5.3916000000000004</v>
          </cell>
          <cell r="L109">
            <v>4.8302000000000005</v>
          </cell>
          <cell r="M109">
            <v>4.9356000000000009</v>
          </cell>
          <cell r="N109">
            <v>4.7244000000000002</v>
          </cell>
          <cell r="O109">
            <v>4.7244000000000002</v>
          </cell>
        </row>
        <row r="110">
          <cell r="A110" t="str">
            <v>New Zealand</v>
          </cell>
          <cell r="B110">
            <v>4.4696999999999996</v>
          </cell>
          <cell r="C110">
            <v>4.0078000000000005</v>
          </cell>
          <cell r="D110">
            <v>4.6418999999999997</v>
          </cell>
          <cell r="E110">
            <v>4.1221999999999994</v>
          </cell>
          <cell r="F110">
            <v>4.0244999999999997</v>
          </cell>
          <cell r="G110">
            <v>4.3441000000000001</v>
          </cell>
          <cell r="H110">
            <v>4.0470000000000006</v>
          </cell>
          <cell r="I110">
            <v>4.6370000000000005</v>
          </cell>
          <cell r="J110">
            <v>4.3167999999999997</v>
          </cell>
          <cell r="K110">
            <v>4.2541000000000002</v>
          </cell>
          <cell r="L110">
            <v>4.4770000000000003</v>
          </cell>
          <cell r="M110">
            <v>4.9367000000000001</v>
          </cell>
          <cell r="N110">
            <v>4.5231000000000003</v>
          </cell>
          <cell r="O110">
            <v>4.5231000000000003</v>
          </cell>
        </row>
        <row r="111">
          <cell r="A111" t="str">
            <v>Nicaragua</v>
          </cell>
          <cell r="B111">
            <v>5.7638000000000007</v>
          </cell>
          <cell r="C111">
            <v>5.7441000000000004</v>
          </cell>
          <cell r="D111">
            <v>6.0577000000000005</v>
          </cell>
          <cell r="E111">
            <v>5.5775000000000006</v>
          </cell>
          <cell r="F111">
            <v>5.6404000000000005</v>
          </cell>
          <cell r="G111">
            <v>5.6530000000000005</v>
          </cell>
          <cell r="H111">
            <v>5.4984000000000002</v>
          </cell>
          <cell r="I111">
            <v>5.5176000000000007</v>
          </cell>
          <cell r="J111">
            <v>5.572000000000001</v>
          </cell>
          <cell r="K111">
            <v>5.7797999999999998</v>
          </cell>
          <cell r="L111">
            <v>5.4048000000000007</v>
          </cell>
          <cell r="M111">
            <v>5.3818999999999999</v>
          </cell>
          <cell r="N111">
            <v>5.7022000000000004</v>
          </cell>
          <cell r="O111">
            <v>5.7022000000000004</v>
          </cell>
        </row>
        <row r="112">
          <cell r="A112" t="str">
            <v>Niger</v>
          </cell>
          <cell r="B112">
            <v>6.7680999999999996</v>
          </cell>
          <cell r="C112">
            <v>6.2294999999999998</v>
          </cell>
          <cell r="D112">
            <v>6.2338999999999993</v>
          </cell>
          <cell r="E112">
            <v>6.4196999999999997</v>
          </cell>
          <cell r="F112">
            <v>6</v>
          </cell>
          <cell r="G112">
            <v>6.0062000000000006</v>
          </cell>
          <cell r="H112">
            <v>6.0286</v>
          </cell>
          <cell r="I112">
            <v>6.3071000000000002</v>
          </cell>
          <cell r="J112">
            <v>6.1175000000000006</v>
          </cell>
          <cell r="K112">
            <v>5.9352</v>
          </cell>
          <cell r="L112">
            <v>6.7341999999999995</v>
          </cell>
          <cell r="M112">
            <v>5.0452000000000004</v>
          </cell>
          <cell r="N112">
            <v>5.5064000000000002</v>
          </cell>
          <cell r="O112">
            <v>5.5064000000000002</v>
          </cell>
        </row>
        <row r="113">
          <cell r="A113" t="str">
            <v>Nigeria</v>
          </cell>
          <cell r="B113">
            <v>5.6113</v>
          </cell>
          <cell r="C113">
            <v>5.1477000000000004</v>
          </cell>
          <cell r="D113">
            <v>5.4818000000000007</v>
          </cell>
          <cell r="E113">
            <v>5.4593000000000007</v>
          </cell>
          <cell r="F113">
            <v>5.3135000000000012</v>
          </cell>
          <cell r="G113">
            <v>5.0302000000000007</v>
          </cell>
          <cell r="H113">
            <v>5.2113000000000005</v>
          </cell>
          <cell r="I113">
            <v>5.1652000000000005</v>
          </cell>
          <cell r="J113">
            <v>5.3700999999999999</v>
          </cell>
          <cell r="K113">
            <v>5.4629000000000003</v>
          </cell>
          <cell r="L113">
            <v>5.9620000000000006</v>
          </cell>
          <cell r="M113">
            <v>5.0580000000000007</v>
          </cell>
          <cell r="N113">
            <v>5.2176000000000009</v>
          </cell>
          <cell r="O113">
            <v>5.2176000000000009</v>
          </cell>
        </row>
        <row r="114">
          <cell r="A114" t="str">
            <v>North Macedonia</v>
          </cell>
          <cell r="B114">
            <v>5.7377000000000002</v>
          </cell>
          <cell r="C114">
            <v>6.1636999999999995</v>
          </cell>
          <cell r="D114">
            <v>6.2134999999999989</v>
          </cell>
          <cell r="E114">
            <v>5.9652999999999992</v>
          </cell>
          <cell r="F114">
            <v>5.6786000000000003</v>
          </cell>
          <cell r="G114">
            <v>5.5150999999999994</v>
          </cell>
          <cell r="H114">
            <v>5.3866000000000005</v>
          </cell>
          <cell r="I114">
            <v>5.7005999999999997</v>
          </cell>
          <cell r="J114">
            <v>5.9332000000000003</v>
          </cell>
          <cell r="K114">
            <v>5.4337</v>
          </cell>
          <cell r="L114">
            <v>5.2381000000000002</v>
          </cell>
          <cell r="M114">
            <v>4.8357999999999999</v>
          </cell>
          <cell r="N114">
            <v>5.1901999999999999</v>
          </cell>
          <cell r="O114">
            <v>4.9370000000000003</v>
          </cell>
        </row>
        <row r="115">
          <cell r="A115" t="str">
            <v>Norway</v>
          </cell>
          <cell r="B115">
            <v>4.1115000000000004</v>
          </cell>
          <cell r="C115">
            <v>3.7691000000000008</v>
          </cell>
          <cell r="D115">
            <v>3.3864000000000001</v>
          </cell>
          <cell r="E115">
            <v>4.1218000000000004</v>
          </cell>
          <cell r="F115">
            <v>3.9855999999999998</v>
          </cell>
          <cell r="G115">
            <v>3.9996</v>
          </cell>
          <cell r="H115">
            <v>3.9782999999999999</v>
          </cell>
          <cell r="I115">
            <v>3.9263000000000003</v>
          </cell>
          <cell r="J115">
            <v>3.4489000000000001</v>
          </cell>
          <cell r="K115">
            <v>4.3105000000000002</v>
          </cell>
          <cell r="L115">
            <v>3.8970000000000002</v>
          </cell>
          <cell r="M115">
            <v>4.3022999999999998</v>
          </cell>
          <cell r="N115">
            <v>3.6763000000000003</v>
          </cell>
          <cell r="O115">
            <v>3.6763000000000003</v>
          </cell>
        </row>
        <row r="116">
          <cell r="A116" t="str">
            <v>Oman</v>
          </cell>
          <cell r="B116">
            <v>4.8822000000000001</v>
          </cell>
          <cell r="C116">
            <v>4.9092000000000002</v>
          </cell>
          <cell r="D116">
            <v>4.4842000000000004</v>
          </cell>
          <cell r="E116">
            <v>4.4919000000000002</v>
          </cell>
          <cell r="F116">
            <v>4.9827000000000004</v>
          </cell>
          <cell r="G116">
            <v>4.5124000000000004</v>
          </cell>
          <cell r="H116">
            <v>5.2056000000000004</v>
          </cell>
          <cell r="I116">
            <v>5.0213999999999999</v>
          </cell>
          <cell r="J116">
            <v>4.4641999999999999</v>
          </cell>
          <cell r="K116">
            <v>4.4356</v>
          </cell>
          <cell r="L116">
            <v>5.1626000000000003</v>
          </cell>
          <cell r="M116">
            <v>5.8589000000000011</v>
          </cell>
          <cell r="N116">
            <v>5.6645000000000003</v>
          </cell>
          <cell r="O116">
            <v>5.6645000000000003</v>
          </cell>
        </row>
        <row r="117">
          <cell r="A117" t="str">
            <v>Pakistan</v>
          </cell>
          <cell r="B117">
            <v>5.2306000000000008</v>
          </cell>
          <cell r="C117">
            <v>4.4347000000000003</v>
          </cell>
          <cell r="D117">
            <v>4.9656000000000002</v>
          </cell>
          <cell r="E117">
            <v>4.4973000000000001</v>
          </cell>
          <cell r="F117">
            <v>4.3402000000000003</v>
          </cell>
          <cell r="G117">
            <v>4.8765000000000001</v>
          </cell>
          <cell r="H117">
            <v>5.1952000000000007</v>
          </cell>
          <cell r="I117">
            <v>5.2202000000000002</v>
          </cell>
          <cell r="J117">
            <v>4.591400000000001</v>
          </cell>
          <cell r="K117">
            <v>4.5525000000000002</v>
          </cell>
          <cell r="L117">
            <v>5.1509</v>
          </cell>
          <cell r="M117">
            <v>5.827</v>
          </cell>
          <cell r="N117">
            <v>5.3906000000000001</v>
          </cell>
          <cell r="O117">
            <v>5.3906000000000001</v>
          </cell>
        </row>
        <row r="118">
          <cell r="A118" t="str">
            <v>Panama</v>
          </cell>
          <cell r="B118">
            <v>5.8102000000000009</v>
          </cell>
          <cell r="C118">
            <v>5.9251000000000005</v>
          </cell>
          <cell r="D118">
            <v>6.008</v>
          </cell>
          <cell r="E118">
            <v>6.0858000000000008</v>
          </cell>
          <cell r="F118">
            <v>5.9718</v>
          </cell>
          <cell r="G118">
            <v>5.6547000000000009</v>
          </cell>
          <cell r="H118">
            <v>5.6123000000000003</v>
          </cell>
          <cell r="I118">
            <v>5.9265999999999996</v>
          </cell>
          <cell r="J118">
            <v>5.8315000000000001</v>
          </cell>
          <cell r="K118">
            <v>5.8462999999999994</v>
          </cell>
          <cell r="L118">
            <v>5.5213000000000001</v>
          </cell>
          <cell r="M118">
            <v>5.4500999999999999</v>
          </cell>
          <cell r="N118">
            <v>5.5653000000000006</v>
          </cell>
          <cell r="O118">
            <v>5.5653000000000006</v>
          </cell>
        </row>
        <row r="119">
          <cell r="A119" t="str">
            <v>Papua New Guinea</v>
          </cell>
          <cell r="B119">
            <v>5.6957000000000004</v>
          </cell>
          <cell r="C119">
            <v>5.6016000000000004</v>
          </cell>
          <cell r="D119">
            <v>5.988500000000001</v>
          </cell>
          <cell r="E119">
            <v>5.476700000000001</v>
          </cell>
          <cell r="F119">
            <v>5.3559000000000001</v>
          </cell>
          <cell r="G119">
            <v>5.595600000000001</v>
          </cell>
          <cell r="H119">
            <v>5.8145000000000007</v>
          </cell>
          <cell r="I119">
            <v>5.6959</v>
          </cell>
          <cell r="J119">
            <v>5.5037000000000003</v>
          </cell>
          <cell r="K119">
            <v>5.789200000000001</v>
          </cell>
          <cell r="L119">
            <v>6.0135000000000005</v>
          </cell>
          <cell r="M119">
            <v>6.0292000000000003</v>
          </cell>
          <cell r="N119">
            <v>5.4763999999999999</v>
          </cell>
          <cell r="O119">
            <v>5.4763999999999999</v>
          </cell>
        </row>
        <row r="120">
          <cell r="A120" t="str">
            <v>Paraguay</v>
          </cell>
          <cell r="B120">
            <v>4.9939</v>
          </cell>
          <cell r="C120">
            <v>4.7146999999999997</v>
          </cell>
          <cell r="D120">
            <v>4.0508999999999995</v>
          </cell>
          <cell r="E120">
            <v>4.8046999999999995</v>
          </cell>
          <cell r="F120">
            <v>4.7976999999999999</v>
          </cell>
          <cell r="G120">
            <v>4.2850000000000001</v>
          </cell>
          <cell r="H120">
            <v>4.8249000000000004</v>
          </cell>
          <cell r="I120">
            <v>4.2377000000000002</v>
          </cell>
          <cell r="J120">
            <v>4.2869000000000002</v>
          </cell>
          <cell r="K120">
            <v>4.2523</v>
          </cell>
          <cell r="L120">
            <v>4.0392999999999999</v>
          </cell>
          <cell r="M120">
            <v>4.0815999999999999</v>
          </cell>
          <cell r="N120">
            <v>4.6560000000000006</v>
          </cell>
          <cell r="O120">
            <v>4.6560000000000006</v>
          </cell>
        </row>
        <row r="121">
          <cell r="A121" t="str">
            <v>Peru</v>
          </cell>
          <cell r="B121">
            <v>6.0672999999999995</v>
          </cell>
          <cell r="C121">
            <v>6.0662000000000003</v>
          </cell>
          <cell r="D121">
            <v>5.6909000000000001</v>
          </cell>
          <cell r="E121">
            <v>5.8288000000000002</v>
          </cell>
          <cell r="F121">
            <v>5.9856000000000007</v>
          </cell>
          <cell r="G121">
            <v>5.9951000000000008</v>
          </cell>
          <cell r="H121">
            <v>5.6902000000000008</v>
          </cell>
          <cell r="I121">
            <v>5.5729000000000006</v>
          </cell>
          <cell r="J121">
            <v>5.7183000000000002</v>
          </cell>
          <cell r="K121">
            <v>5.8251000000000008</v>
          </cell>
          <cell r="L121">
            <v>5.5174000000000003</v>
          </cell>
          <cell r="M121">
            <v>5.697000000000001</v>
          </cell>
          <cell r="N121">
            <v>6.2450000000000001</v>
          </cell>
          <cell r="O121">
            <v>6.2450000000000001</v>
          </cell>
        </row>
        <row r="122">
          <cell r="A122" t="str">
            <v>Philippines</v>
          </cell>
          <cell r="B122">
            <v>6.0688000000000004</v>
          </cell>
          <cell r="C122">
            <v>6.3635000000000002</v>
          </cell>
          <cell r="D122">
            <v>6.4789000000000012</v>
          </cell>
          <cell r="E122">
            <v>6.208400000000001</v>
          </cell>
          <cell r="F122">
            <v>6.1494</v>
          </cell>
          <cell r="G122">
            <v>6.4295000000000009</v>
          </cell>
          <cell r="H122">
            <v>6.2249999999999996</v>
          </cell>
          <cell r="I122">
            <v>6.3078000000000003</v>
          </cell>
          <cell r="J122">
            <v>6.0541</v>
          </cell>
          <cell r="K122">
            <v>6.2587000000000002</v>
          </cell>
          <cell r="L122">
            <v>6.1802999999999999</v>
          </cell>
          <cell r="M122">
            <v>6.1390000000000002</v>
          </cell>
          <cell r="N122">
            <v>6.003400000000001</v>
          </cell>
          <cell r="O122">
            <v>6.003400000000001</v>
          </cell>
        </row>
        <row r="123">
          <cell r="A123" t="str">
            <v>Poland</v>
          </cell>
          <cell r="B123">
            <v>4.4189000000000007</v>
          </cell>
          <cell r="C123">
            <v>5.0468999999999991</v>
          </cell>
          <cell r="D123">
            <v>4.4253</v>
          </cell>
          <cell r="E123">
            <v>5.3132999999999999</v>
          </cell>
          <cell r="F123">
            <v>5.4183000000000003</v>
          </cell>
          <cell r="G123">
            <v>5.3407</v>
          </cell>
          <cell r="H123">
            <v>4.9925999999999995</v>
          </cell>
          <cell r="I123">
            <v>5.3260000000000005</v>
          </cell>
          <cell r="J123">
            <v>5.5550999999999995</v>
          </cell>
          <cell r="K123">
            <v>5.5055999999999994</v>
          </cell>
          <cell r="L123">
            <v>5.1144999999999996</v>
          </cell>
          <cell r="M123">
            <v>5.8123000000000005</v>
          </cell>
          <cell r="N123">
            <v>5.8194999999999997</v>
          </cell>
          <cell r="O123">
            <v>5.8194999999999997</v>
          </cell>
        </row>
        <row r="124">
          <cell r="A124" t="str">
            <v>Portugal</v>
          </cell>
          <cell r="B124">
            <v>4.4321000000000002</v>
          </cell>
          <cell r="C124">
            <v>3.8656999999999999</v>
          </cell>
          <cell r="D124">
            <v>3.8252000000000002</v>
          </cell>
          <cell r="E124">
            <v>4.2404000000000002</v>
          </cell>
          <cell r="F124">
            <v>4.1120000000000001</v>
          </cell>
          <cell r="G124">
            <v>4.2065999999999999</v>
          </cell>
          <cell r="H124">
            <v>4.6394000000000002</v>
          </cell>
          <cell r="I124">
            <v>3.7333000000000003</v>
          </cell>
          <cell r="J124">
            <v>3.7757000000000001</v>
          </cell>
          <cell r="K124">
            <v>4.3365</v>
          </cell>
          <cell r="L124">
            <v>3.6467999999999998</v>
          </cell>
          <cell r="M124">
            <v>4.8379000000000003</v>
          </cell>
          <cell r="N124">
            <v>4.5686999999999998</v>
          </cell>
          <cell r="O124">
            <v>4.8219000000000003</v>
          </cell>
        </row>
        <row r="125">
          <cell r="A125" t="str">
            <v>Qatar</v>
          </cell>
          <cell r="B125">
            <v>4.4124999999999996</v>
          </cell>
          <cell r="C125">
            <v>4.2777000000000003</v>
          </cell>
          <cell r="D125">
            <v>4.1790000000000003</v>
          </cell>
          <cell r="E125">
            <v>4.1959999999999997</v>
          </cell>
          <cell r="F125">
            <v>4.2903000000000002</v>
          </cell>
          <cell r="G125">
            <v>3.9617</v>
          </cell>
          <cell r="H125">
            <v>4.3851999999999993</v>
          </cell>
          <cell r="I125">
            <v>4.1704000000000008</v>
          </cell>
          <cell r="J125">
            <v>4.1879000000000008</v>
          </cell>
          <cell r="K125">
            <v>4.0769000000000002</v>
          </cell>
          <cell r="L125">
            <v>4.5629</v>
          </cell>
          <cell r="M125">
            <v>4.4761000000000006</v>
          </cell>
          <cell r="N125">
            <v>4.5081000000000007</v>
          </cell>
          <cell r="O125">
            <v>4.4649000000000001</v>
          </cell>
        </row>
        <row r="126">
          <cell r="A126" t="str">
            <v>South Korea</v>
          </cell>
          <cell r="B126">
            <v>5.3383000000000003</v>
          </cell>
          <cell r="C126">
            <v>5.622300000000001</v>
          </cell>
          <cell r="D126">
            <v>5.5485000000000007</v>
          </cell>
          <cell r="E126">
            <v>6.3352000000000004</v>
          </cell>
          <cell r="F126">
            <v>6.027000000000001</v>
          </cell>
          <cell r="G126">
            <v>6.0716999999999999</v>
          </cell>
          <cell r="H126">
            <v>6.3749000000000002</v>
          </cell>
          <cell r="I126">
            <v>5.5012000000000008</v>
          </cell>
          <cell r="J126">
            <v>5.5900999999999996</v>
          </cell>
          <cell r="K126">
            <v>5.484</v>
          </cell>
          <cell r="L126">
            <v>5.4184999999999999</v>
          </cell>
          <cell r="M126">
            <v>6.0058000000000007</v>
          </cell>
          <cell r="N126">
            <v>6.0521999999999991</v>
          </cell>
          <cell r="O126">
            <v>6.0521999999999991</v>
          </cell>
        </row>
        <row r="127">
          <cell r="A127" t="str">
            <v>Moldova</v>
          </cell>
          <cell r="B127">
            <v>5.5684000000000005</v>
          </cell>
          <cell r="C127">
            <v>6.7187999999999999</v>
          </cell>
          <cell r="D127">
            <v>6.4112999999999998</v>
          </cell>
          <cell r="E127">
            <v>6.3969000000000005</v>
          </cell>
          <cell r="F127">
            <v>6.6258999999999997</v>
          </cell>
          <cell r="G127">
            <v>6.673</v>
          </cell>
          <cell r="H127">
            <v>6.1321000000000003</v>
          </cell>
          <cell r="I127">
            <v>6.1925999999999997</v>
          </cell>
          <cell r="J127">
            <v>6.4783999999999997</v>
          </cell>
          <cell r="K127">
            <v>6.5268000000000006</v>
          </cell>
          <cell r="L127">
            <v>5.8935000000000004</v>
          </cell>
          <cell r="M127">
            <v>6.0782999999999996</v>
          </cell>
          <cell r="N127">
            <v>6.3387000000000002</v>
          </cell>
          <cell r="O127">
            <v>6.3387000000000002</v>
          </cell>
        </row>
        <row r="128">
          <cell r="A128" t="str">
            <v>Romania</v>
          </cell>
          <cell r="B128">
            <v>3.7329000000000003</v>
          </cell>
          <cell r="C128">
            <v>4.6731999999999996</v>
          </cell>
          <cell r="D128">
            <v>4.4852000000000007</v>
          </cell>
          <cell r="E128">
            <v>4.3712</v>
          </cell>
          <cell r="F128">
            <v>4.3797999999999995</v>
          </cell>
          <cell r="G128">
            <v>4.4073000000000002</v>
          </cell>
          <cell r="H128">
            <v>3.8143999999999996</v>
          </cell>
          <cell r="I128">
            <v>4.3389000000000006</v>
          </cell>
          <cell r="J128">
            <v>4.4001000000000001</v>
          </cell>
          <cell r="K128">
            <v>4.3945000000000007</v>
          </cell>
          <cell r="L128">
            <v>4.2453000000000003</v>
          </cell>
          <cell r="M128">
            <v>4.0078999999999994</v>
          </cell>
          <cell r="N128">
            <v>4.4741</v>
          </cell>
          <cell r="O128">
            <v>4.4813000000000009</v>
          </cell>
        </row>
        <row r="129">
          <cell r="A129" t="str">
            <v>Russia</v>
          </cell>
          <cell r="B129">
            <v>5.1870000000000003</v>
          </cell>
          <cell r="C129">
            <v>5.2188999999999997</v>
          </cell>
          <cell r="D129">
            <v>4.8845000000000001</v>
          </cell>
          <cell r="E129">
            <v>5.0544000000000002</v>
          </cell>
          <cell r="F129">
            <v>5.2307000000000006</v>
          </cell>
          <cell r="G129">
            <v>5.2998000000000003</v>
          </cell>
          <cell r="H129">
            <v>5.2519</v>
          </cell>
          <cell r="I129">
            <v>4.976</v>
          </cell>
          <cell r="J129">
            <v>5.1751000000000005</v>
          </cell>
          <cell r="K129">
            <v>5.3301999999999996</v>
          </cell>
          <cell r="L129">
            <v>4.8952</v>
          </cell>
          <cell r="M129">
            <v>5.9723000000000006</v>
          </cell>
          <cell r="N129">
            <v>5.9931000000000001</v>
          </cell>
          <cell r="O129">
            <v>5.9931000000000001</v>
          </cell>
        </row>
        <row r="130">
          <cell r="A130" t="str">
            <v>Rwanda</v>
          </cell>
          <cell r="B130">
            <v>5.5508000000000006</v>
          </cell>
          <cell r="C130">
            <v>5.3612000000000002</v>
          </cell>
          <cell r="D130">
            <v>5.3784000000000001</v>
          </cell>
          <cell r="E130">
            <v>5.2981999999999996</v>
          </cell>
          <cell r="F130">
            <v>5.0565000000000007</v>
          </cell>
          <cell r="G130">
            <v>5.0165000000000006</v>
          </cell>
          <cell r="H130">
            <v>5.0293999999999999</v>
          </cell>
          <cell r="I130">
            <v>4.931</v>
          </cell>
          <cell r="J130">
            <v>4.9750000000000005</v>
          </cell>
          <cell r="K130">
            <v>4.8352000000000004</v>
          </cell>
          <cell r="L130">
            <v>5.3518000000000008</v>
          </cell>
          <cell r="M130">
            <v>4.7318000000000007</v>
          </cell>
          <cell r="N130">
            <v>4.9842000000000004</v>
          </cell>
          <cell r="O130">
            <v>4.7310000000000008</v>
          </cell>
        </row>
        <row r="131">
          <cell r="A131" t="str">
            <v>Saudi Arabia</v>
          </cell>
          <cell r="B131">
            <v>4.9379000000000008</v>
          </cell>
          <cell r="C131">
            <v>5.1303999999999998</v>
          </cell>
          <cell r="D131">
            <v>5.2172000000000001</v>
          </cell>
          <cell r="E131">
            <v>5.0404</v>
          </cell>
          <cell r="F131">
            <v>5.2354000000000003</v>
          </cell>
          <cell r="G131">
            <v>4.9403000000000006</v>
          </cell>
          <cell r="H131">
            <v>5.3130000000000006</v>
          </cell>
          <cell r="I131">
            <v>5.1427000000000005</v>
          </cell>
          <cell r="J131">
            <v>5.1449999999999996</v>
          </cell>
          <cell r="K131">
            <v>4.9240000000000004</v>
          </cell>
          <cell r="L131">
            <v>5.4779999999999998</v>
          </cell>
          <cell r="M131">
            <v>6.0826999999999991</v>
          </cell>
          <cell r="N131">
            <v>5.9530999999999992</v>
          </cell>
          <cell r="O131">
            <v>5.9530999999999992</v>
          </cell>
        </row>
        <row r="132">
          <cell r="A132" t="str">
            <v>Senegal</v>
          </cell>
          <cell r="B132">
            <v>6.5665000000000004</v>
          </cell>
          <cell r="C132">
            <v>6.0655000000000001</v>
          </cell>
          <cell r="D132">
            <v>6.6074000000000002</v>
          </cell>
          <cell r="E132">
            <v>6.3388</v>
          </cell>
          <cell r="F132">
            <v>6.1483000000000008</v>
          </cell>
          <cell r="G132">
            <v>6.2309000000000001</v>
          </cell>
          <cell r="H132">
            <v>6.6170000000000009</v>
          </cell>
          <cell r="I132">
            <v>5.9034000000000013</v>
          </cell>
          <cell r="J132">
            <v>6.0389000000000008</v>
          </cell>
          <cell r="K132">
            <v>6.0854000000000008</v>
          </cell>
          <cell r="L132">
            <v>6.2901000000000007</v>
          </cell>
          <cell r="M132">
            <v>5.5379000000000005</v>
          </cell>
          <cell r="N132">
            <v>5.6099000000000006</v>
          </cell>
          <cell r="O132">
            <v>5.6099000000000006</v>
          </cell>
        </row>
        <row r="133">
          <cell r="A133" t="str">
            <v>Serbia</v>
          </cell>
          <cell r="B133">
            <v>5.4911000000000003</v>
          </cell>
          <cell r="C133">
            <v>6.3576000000000006</v>
          </cell>
          <cell r="D133">
            <v>6.3631000000000002</v>
          </cell>
          <cell r="E133">
            <v>6.1726999999999999</v>
          </cell>
          <cell r="F133">
            <v>6.2237</v>
          </cell>
          <cell r="G133">
            <v>6.0507999999999997</v>
          </cell>
          <cell r="H133">
            <v>5.8325000000000005</v>
          </cell>
          <cell r="I133">
            <v>6.1397000000000004</v>
          </cell>
          <cell r="J133">
            <v>5.8205</v>
          </cell>
          <cell r="K133">
            <v>5.6715999999999998</v>
          </cell>
          <cell r="L133">
            <v>5.4822999999999995</v>
          </cell>
          <cell r="M133">
            <v>5.2374000000000009</v>
          </cell>
          <cell r="N133">
            <v>5.3110000000000008</v>
          </cell>
          <cell r="O133">
            <v>5.3182</v>
          </cell>
        </row>
        <row r="134">
          <cell r="A134" t="str">
            <v>Sierra Leone</v>
          </cell>
          <cell r="B134">
            <v>5.7064000000000004</v>
          </cell>
          <cell r="C134">
            <v>5.141700000000001</v>
          </cell>
          <cell r="D134">
            <v>5.5911000000000008</v>
          </cell>
          <cell r="E134">
            <v>5.4105000000000008</v>
          </cell>
          <cell r="F134">
            <v>5.1332000000000004</v>
          </cell>
          <cell r="G134">
            <v>4.9021999999999997</v>
          </cell>
          <cell r="H134">
            <v>5.8028000000000004</v>
          </cell>
          <cell r="I134">
            <v>5.5526</v>
          </cell>
          <cell r="J134">
            <v>5.3798000000000004</v>
          </cell>
          <cell r="K134">
            <v>5.3687000000000005</v>
          </cell>
          <cell r="L134">
            <v>5.6187000000000005</v>
          </cell>
          <cell r="M134">
            <v>5.3087999999999997</v>
          </cell>
          <cell r="N134">
            <v>5.0811999999999999</v>
          </cell>
          <cell r="O134">
            <v>4.8280000000000003</v>
          </cell>
        </row>
        <row r="135">
          <cell r="A135" t="str">
            <v>Singapore</v>
          </cell>
          <cell r="B135">
            <v>3.7084000000000001</v>
          </cell>
          <cell r="C135">
            <v>4.0343</v>
          </cell>
          <cell r="D135">
            <v>3.8090000000000002</v>
          </cell>
          <cell r="E135">
            <v>4.0219000000000005</v>
          </cell>
          <cell r="F135">
            <v>4.1068999999999996</v>
          </cell>
          <cell r="G135">
            <v>4.133</v>
          </cell>
          <cell r="H135">
            <v>3.7608999999999999</v>
          </cell>
          <cell r="I135">
            <v>3.7696999999999998</v>
          </cell>
          <cell r="J135">
            <v>4.2227999999999994</v>
          </cell>
          <cell r="K135">
            <v>4.0082000000000004</v>
          </cell>
          <cell r="L135">
            <v>4.1858000000000004</v>
          </cell>
          <cell r="M135">
            <v>4.0658999999999992</v>
          </cell>
          <cell r="N135">
            <v>4.1082999999999998</v>
          </cell>
          <cell r="O135">
            <v>4.1082999999999998</v>
          </cell>
        </row>
        <row r="136">
          <cell r="A136" t="str">
            <v>Slovakia</v>
          </cell>
          <cell r="B136">
            <v>4.6195000000000004</v>
          </cell>
          <cell r="C136">
            <v>5.085</v>
          </cell>
          <cell r="D136">
            <v>4.5190000000000001</v>
          </cell>
          <cell r="E136">
            <v>5.0192000000000005</v>
          </cell>
          <cell r="F136">
            <v>5.117</v>
          </cell>
          <cell r="G136">
            <v>4.9543999999999997</v>
          </cell>
          <cell r="H136">
            <v>4.4892000000000003</v>
          </cell>
          <cell r="I136">
            <v>5.1175999999999995</v>
          </cell>
          <cell r="J136">
            <v>4.9926000000000004</v>
          </cell>
          <cell r="K136">
            <v>4.8093000000000004</v>
          </cell>
          <cell r="L136">
            <v>4.5034999999999998</v>
          </cell>
          <cell r="M136">
            <v>4.5699999999999994</v>
          </cell>
          <cell r="N136">
            <v>4.6139999999999999</v>
          </cell>
          <cell r="O136">
            <v>4.6139999999999999</v>
          </cell>
        </row>
        <row r="137">
          <cell r="A137" t="str">
            <v>Slovenia</v>
          </cell>
          <cell r="B137">
            <v>4.6145999999999994</v>
          </cell>
          <cell r="C137">
            <v>4.7703000000000007</v>
          </cell>
          <cell r="D137">
            <v>4.5783000000000005</v>
          </cell>
          <cell r="E137">
            <v>4.6383000000000001</v>
          </cell>
          <cell r="F137">
            <v>4.681</v>
          </cell>
          <cell r="G137">
            <v>4.6973000000000003</v>
          </cell>
          <cell r="H137">
            <v>4.6370000000000005</v>
          </cell>
          <cell r="I137">
            <v>4.8098000000000001</v>
          </cell>
          <cell r="J137">
            <v>4.7353000000000005</v>
          </cell>
          <cell r="K137">
            <v>4.6107999999999993</v>
          </cell>
          <cell r="L137">
            <v>4.4459999999999997</v>
          </cell>
          <cell r="M137">
            <v>4.7382</v>
          </cell>
          <cell r="N137">
            <v>4.68</v>
          </cell>
          <cell r="O137">
            <v>4.6943999999999999</v>
          </cell>
        </row>
        <row r="138">
          <cell r="A138" t="str">
            <v>Solomon Islands</v>
          </cell>
          <cell r="B138">
            <v>5.8045000000000009</v>
          </cell>
          <cell r="C138">
            <v>5.9111000000000002</v>
          </cell>
          <cell r="D138">
            <v>5.8553999999999995</v>
          </cell>
          <cell r="E138">
            <v>6.0112000000000005</v>
          </cell>
          <cell r="F138">
            <v>5.8195000000000006</v>
          </cell>
          <cell r="G138">
            <v>5.9483000000000006</v>
          </cell>
          <cell r="H138">
            <v>5.9045000000000005</v>
          </cell>
          <cell r="I138">
            <v>6.0437000000000012</v>
          </cell>
          <cell r="J138">
            <v>6.0491000000000001</v>
          </cell>
          <cell r="K138">
            <v>6.0811999999999999</v>
          </cell>
          <cell r="L138">
            <v>6.2119</v>
          </cell>
          <cell r="M138">
            <v>6.1585999999999999</v>
          </cell>
          <cell r="N138">
            <v>6.0022000000000002</v>
          </cell>
          <cell r="O138">
            <v>6.0022000000000002</v>
          </cell>
        </row>
        <row r="139">
          <cell r="A139" t="str">
            <v>South Africa</v>
          </cell>
          <cell r="B139">
            <v>4.8089000000000004</v>
          </cell>
          <cell r="C139">
            <v>5.0037000000000003</v>
          </cell>
          <cell r="D139">
            <v>4.9337</v>
          </cell>
          <cell r="E139">
            <v>5.1025</v>
          </cell>
          <cell r="F139">
            <v>5.4002000000000008</v>
          </cell>
          <cell r="G139">
            <v>5.4211999999999998</v>
          </cell>
          <cell r="H139">
            <v>5.2026000000000003</v>
          </cell>
          <cell r="I139">
            <v>5.1923000000000004</v>
          </cell>
          <cell r="J139">
            <v>5.8211000000000004</v>
          </cell>
          <cell r="K139">
            <v>5.0663</v>
          </cell>
          <cell r="L139">
            <v>5.0119999999999996</v>
          </cell>
          <cell r="M139">
            <v>5.5661000000000005</v>
          </cell>
          <cell r="N139">
            <v>5.2984999999999998</v>
          </cell>
          <cell r="O139">
            <v>5.2984999999999998</v>
          </cell>
        </row>
        <row r="140">
          <cell r="A140" t="str">
            <v>Spain</v>
          </cell>
          <cell r="B140">
            <v>4.4132999999999996</v>
          </cell>
          <cell r="C140">
            <v>3.9796999999999998</v>
          </cell>
          <cell r="D140">
            <v>3.7079</v>
          </cell>
          <cell r="E140">
            <v>4.2391000000000005</v>
          </cell>
          <cell r="F140">
            <v>4.1006</v>
          </cell>
          <cell r="G140">
            <v>4.0142000000000007</v>
          </cell>
          <cell r="H140">
            <v>4.3927000000000005</v>
          </cell>
          <cell r="I140">
            <v>3.6478999999999995</v>
          </cell>
          <cell r="J140">
            <v>3.9725000000000001</v>
          </cell>
          <cell r="K140">
            <v>4.2960000000000003</v>
          </cell>
          <cell r="L140">
            <v>3.8475999999999995</v>
          </cell>
          <cell r="M140">
            <v>4.9154</v>
          </cell>
          <cell r="N140">
            <v>4.8815000000000008</v>
          </cell>
          <cell r="O140">
            <v>4.8815000000000008</v>
          </cell>
        </row>
        <row r="141">
          <cell r="A141" t="str">
            <v>Sri Lanka</v>
          </cell>
          <cell r="B141">
            <v>5.0374000000000008</v>
          </cell>
          <cell r="C141">
            <v>5.2649000000000008</v>
          </cell>
          <cell r="D141">
            <v>4.8614000000000006</v>
          </cell>
          <cell r="E141">
            <v>5.0098000000000003</v>
          </cell>
          <cell r="F141">
            <v>4.6494999999999997</v>
          </cell>
          <cell r="G141">
            <v>4.8776999999999999</v>
          </cell>
          <cell r="H141">
            <v>4.8701000000000008</v>
          </cell>
          <cell r="I141">
            <v>4.7277000000000005</v>
          </cell>
          <cell r="J141">
            <v>4.9505000000000008</v>
          </cell>
          <cell r="K141">
            <v>4.9472000000000005</v>
          </cell>
          <cell r="L141">
            <v>4.4927000000000001</v>
          </cell>
          <cell r="M141">
            <v>4.821600000000001</v>
          </cell>
          <cell r="N141">
            <v>4.6908000000000012</v>
          </cell>
          <cell r="O141">
            <v>4.6908000000000012</v>
          </cell>
        </row>
        <row r="142">
          <cell r="A142" t="str">
            <v>Sudan</v>
          </cell>
          <cell r="B142">
            <v>5.6420999999999992</v>
          </cell>
          <cell r="C142">
            <v>5.8006000000000011</v>
          </cell>
          <cell r="D142">
            <v>5.8215000000000003</v>
          </cell>
          <cell r="E142">
            <v>5.5089000000000006</v>
          </cell>
          <cell r="F142">
            <v>5.9705000000000013</v>
          </cell>
          <cell r="G142">
            <v>5.4331000000000005</v>
          </cell>
          <cell r="H142">
            <v>5.8147000000000002</v>
          </cell>
          <cell r="I142">
            <v>6.0129000000000001</v>
          </cell>
          <cell r="J142">
            <v>5.2403000000000004</v>
          </cell>
          <cell r="K142">
            <v>5.1202000000000005</v>
          </cell>
          <cell r="L142">
            <v>5.5337000000000005</v>
          </cell>
          <cell r="M142">
            <v>5.3703000000000003</v>
          </cell>
          <cell r="N142">
            <v>5.7210999999999999</v>
          </cell>
          <cell r="O142">
            <v>5.7210999999999999</v>
          </cell>
        </row>
        <row r="143">
          <cell r="A143" t="str">
            <v>Suriname</v>
          </cell>
          <cell r="B143">
            <v>5.2924999999999995</v>
          </cell>
          <cell r="C143">
            <v>5.1378000000000004</v>
          </cell>
          <cell r="D143">
            <v>5.4637000000000002</v>
          </cell>
          <cell r="E143">
            <v>5.6049000000000007</v>
          </cell>
          <cell r="F143">
            <v>5.4187000000000012</v>
          </cell>
          <cell r="G143">
            <v>5.5110999999999999</v>
          </cell>
          <cell r="H143">
            <v>5.3426</v>
          </cell>
          <cell r="I143">
            <v>5.0899000000000001</v>
          </cell>
          <cell r="J143">
            <v>5.0080999999999998</v>
          </cell>
          <cell r="K143">
            <v>5.3009000000000004</v>
          </cell>
          <cell r="L143">
            <v>5.0190999999999999</v>
          </cell>
          <cell r="M143">
            <v>5.0266999999999999</v>
          </cell>
          <cell r="N143">
            <v>5.065100000000001</v>
          </cell>
          <cell r="O143">
            <v>5.065100000000001</v>
          </cell>
        </row>
        <row r="144">
          <cell r="A144" t="str">
            <v>Sweden</v>
          </cell>
          <cell r="B144">
            <v>3.7988</v>
          </cell>
          <cell r="C144">
            <v>3.7905000000000002</v>
          </cell>
          <cell r="D144">
            <v>3.2860999999999998</v>
          </cell>
          <cell r="E144">
            <v>3.9483000000000001</v>
          </cell>
          <cell r="F144">
            <v>3.8537000000000003</v>
          </cell>
          <cell r="G144">
            <v>3.7286999999999999</v>
          </cell>
          <cell r="H144">
            <v>3.7144000000000004</v>
          </cell>
          <cell r="I144">
            <v>3.7353999999999998</v>
          </cell>
          <cell r="J144">
            <v>3.6903000000000001</v>
          </cell>
          <cell r="K144">
            <v>4.0338000000000003</v>
          </cell>
          <cell r="L144">
            <v>3.8040000000000003</v>
          </cell>
          <cell r="M144">
            <v>4.16</v>
          </cell>
          <cell r="N144">
            <v>3.6072000000000002</v>
          </cell>
          <cell r="O144">
            <v>3.6072000000000002</v>
          </cell>
        </row>
        <row r="145">
          <cell r="A145" t="str">
            <v>Switzerland</v>
          </cell>
          <cell r="B145">
            <v>4.2348999999999997</v>
          </cell>
          <cell r="C145">
            <v>4.2174999999999994</v>
          </cell>
          <cell r="D145">
            <v>3.5362</v>
          </cell>
          <cell r="E145">
            <v>4.1536</v>
          </cell>
          <cell r="F145">
            <v>4.1807999999999996</v>
          </cell>
          <cell r="G145">
            <v>4.0975999999999999</v>
          </cell>
          <cell r="H145">
            <v>4.2256</v>
          </cell>
          <cell r="I145">
            <v>4.1809000000000003</v>
          </cell>
          <cell r="J145">
            <v>4.0286999999999997</v>
          </cell>
          <cell r="K145">
            <v>4.0866999999999996</v>
          </cell>
          <cell r="L145">
            <v>3.5351999999999997</v>
          </cell>
          <cell r="M145">
            <v>4.1434999999999995</v>
          </cell>
          <cell r="N145">
            <v>4.1925999999999997</v>
          </cell>
          <cell r="O145">
            <v>4.1925999999999997</v>
          </cell>
        </row>
        <row r="146">
          <cell r="A146" t="str">
            <v>Syrian Arab Republic</v>
          </cell>
          <cell r="B146">
            <v>4.6352000000000002</v>
          </cell>
          <cell r="C146">
            <v>4.9403000000000006</v>
          </cell>
          <cell r="D146">
            <v>5.3182000000000009</v>
          </cell>
          <cell r="E146">
            <v>5.2350999999999992</v>
          </cell>
          <cell r="F146">
            <v>5.2088000000000001</v>
          </cell>
          <cell r="G146">
            <v>5.6144999999999996</v>
          </cell>
          <cell r="H146">
            <v>5.2509999999999994</v>
          </cell>
          <cell r="I146">
            <v>5.9124999999999996</v>
          </cell>
          <cell r="J146">
            <v>5.5699000000000005</v>
          </cell>
          <cell r="K146">
            <v>5.6508000000000003</v>
          </cell>
          <cell r="L146">
            <v>6.7308000000000003</v>
          </cell>
          <cell r="M146">
            <v>6.8468999999999998</v>
          </cell>
          <cell r="N146">
            <v>6.9221000000000004</v>
          </cell>
          <cell r="O146">
            <v>6.9221000000000004</v>
          </cell>
        </row>
        <row r="147">
          <cell r="A147" t="str">
            <v>Tajikistan</v>
          </cell>
          <cell r="B147">
            <v>6.1825000000000001</v>
          </cell>
          <cell r="C147">
            <v>5.1059000000000001</v>
          </cell>
          <cell r="D147">
            <v>6.0050999999999997</v>
          </cell>
          <cell r="E147">
            <v>5.2233000000000001</v>
          </cell>
          <cell r="F147">
            <v>5.4441000000000006</v>
          </cell>
          <cell r="G147">
            <v>5.6162000000000001</v>
          </cell>
          <cell r="H147">
            <v>5.4687000000000001</v>
          </cell>
          <cell r="I147">
            <v>5.5480999999999998</v>
          </cell>
          <cell r="J147">
            <v>4.9778000000000002</v>
          </cell>
          <cell r="K147">
            <v>4.6558999999999999</v>
          </cell>
          <cell r="L147">
            <v>4.8753000000000002</v>
          </cell>
          <cell r="M147">
            <v>5.4471000000000007</v>
          </cell>
          <cell r="N147">
            <v>5.1264000000000003</v>
          </cell>
          <cell r="O147">
            <v>5.1336000000000004</v>
          </cell>
        </row>
        <row r="148">
          <cell r="A148" t="str">
            <v>Thailand</v>
          </cell>
          <cell r="B148">
            <v>4.3438000000000008</v>
          </cell>
          <cell r="C148">
            <v>4.8186</v>
          </cell>
          <cell r="D148">
            <v>4.9710000000000001</v>
          </cell>
          <cell r="E148">
            <v>4.4131</v>
          </cell>
          <cell r="F148">
            <v>4.5576000000000008</v>
          </cell>
          <cell r="G148">
            <v>4.6974</v>
          </cell>
          <cell r="H148">
            <v>4.4327000000000005</v>
          </cell>
          <cell r="I148">
            <v>4.3123000000000005</v>
          </cell>
          <cell r="J148">
            <v>4.8725000000000005</v>
          </cell>
          <cell r="K148">
            <v>4.6747000000000005</v>
          </cell>
          <cell r="L148">
            <v>4.4173</v>
          </cell>
          <cell r="M148">
            <v>4.7084000000000001</v>
          </cell>
          <cell r="N148">
            <v>4.8078000000000003</v>
          </cell>
          <cell r="O148">
            <v>4.8078000000000003</v>
          </cell>
        </row>
        <row r="149">
          <cell r="A149" t="str">
            <v>Timor-Leste</v>
          </cell>
          <cell r="B149">
            <v>6.2324999999999999</v>
          </cell>
          <cell r="C149">
            <v>6.6272000000000002</v>
          </cell>
          <cell r="D149">
            <v>6.5719000000000012</v>
          </cell>
          <cell r="E149">
            <v>6.4464000000000006</v>
          </cell>
          <cell r="F149">
            <v>5.4852000000000007</v>
          </cell>
          <cell r="G149">
            <v>5.9448000000000008</v>
          </cell>
          <cell r="H149">
            <v>5.5015999999999998</v>
          </cell>
          <cell r="I149">
            <v>5.4515999999999991</v>
          </cell>
          <cell r="J149">
            <v>5.3659999999999997</v>
          </cell>
          <cell r="K149">
            <v>5.9258000000000006</v>
          </cell>
          <cell r="L149">
            <v>5.5286000000000008</v>
          </cell>
          <cell r="M149">
            <v>5.3285</v>
          </cell>
          <cell r="N149">
            <v>5.1877000000000013</v>
          </cell>
          <cell r="O149">
            <v>5.1877000000000013</v>
          </cell>
        </row>
        <row r="150">
          <cell r="A150" t="str">
            <v>Togo</v>
          </cell>
          <cell r="B150">
            <v>5.753400000000001</v>
          </cell>
          <cell r="C150">
            <v>5.375</v>
          </cell>
          <cell r="D150">
            <v>5.5058000000000007</v>
          </cell>
          <cell r="E150">
            <v>5.4951000000000008</v>
          </cell>
          <cell r="F150">
            <v>5.5181000000000004</v>
          </cell>
          <cell r="G150">
            <v>5.4701000000000004</v>
          </cell>
          <cell r="H150">
            <v>5.7977000000000007</v>
          </cell>
          <cell r="I150">
            <v>5.6067</v>
          </cell>
          <cell r="J150">
            <v>5.6808999999999994</v>
          </cell>
          <cell r="K150">
            <v>5.5975000000000001</v>
          </cell>
          <cell r="L150">
            <v>6.0025999999999993</v>
          </cell>
          <cell r="M150">
            <v>4.7175000000000002</v>
          </cell>
          <cell r="N150">
            <v>4.7239000000000004</v>
          </cell>
          <cell r="O150">
            <v>4.7239000000000004</v>
          </cell>
        </row>
        <row r="151">
          <cell r="A151" t="str">
            <v>Tonga</v>
          </cell>
          <cell r="B151">
            <v>5.2119</v>
          </cell>
          <cell r="C151">
            <v>5.3445</v>
          </cell>
          <cell r="D151">
            <v>5.3018000000000001</v>
          </cell>
          <cell r="E151">
            <v>5.1874000000000002</v>
          </cell>
          <cell r="F151">
            <v>5.1750000000000007</v>
          </cell>
          <cell r="G151">
            <v>5.4651000000000005</v>
          </cell>
          <cell r="H151">
            <v>5.301000000000001</v>
          </cell>
          <cell r="I151">
            <v>5.2140000000000004</v>
          </cell>
          <cell r="J151">
            <v>5.4333000000000009</v>
          </cell>
          <cell r="K151">
            <v>5.4620000000000006</v>
          </cell>
          <cell r="L151">
            <v>5.2802000000000007</v>
          </cell>
          <cell r="M151">
            <v>4.8647000000000009</v>
          </cell>
          <cell r="N151">
            <v>4.9007000000000005</v>
          </cell>
          <cell r="O151">
            <v>4.9007000000000005</v>
          </cell>
        </row>
        <row r="152">
          <cell r="A152" t="str">
            <v>Trinidad and Tobago</v>
          </cell>
          <cell r="B152">
            <v>4.5984000000000007</v>
          </cell>
          <cell r="C152">
            <v>4.6776999999999997</v>
          </cell>
          <cell r="D152">
            <v>4.6446000000000005</v>
          </cell>
          <cell r="E152">
            <v>4.6036000000000001</v>
          </cell>
          <cell r="F152">
            <v>4.5787000000000004</v>
          </cell>
          <cell r="G152">
            <v>4.6040000000000001</v>
          </cell>
          <cell r="H152">
            <v>4.9141000000000004</v>
          </cell>
          <cell r="I152">
            <v>4.4661</v>
          </cell>
          <cell r="J152">
            <v>4.7815000000000003</v>
          </cell>
          <cell r="K152">
            <v>5.100200000000001</v>
          </cell>
          <cell r="L152">
            <v>4.9536000000000007</v>
          </cell>
          <cell r="M152">
            <v>4.3141999999999996</v>
          </cell>
          <cell r="N152">
            <v>4.4181999999999997</v>
          </cell>
          <cell r="O152">
            <v>4.4325999999999999</v>
          </cell>
        </row>
        <row r="153">
          <cell r="A153" t="str">
            <v>Tunisia</v>
          </cell>
          <cell r="B153">
            <v>5.3992000000000004</v>
          </cell>
          <cell r="C153">
            <v>5.585</v>
          </cell>
          <cell r="D153">
            <v>5.7116000000000007</v>
          </cell>
          <cell r="E153">
            <v>5.5236999999999998</v>
          </cell>
          <cell r="F153">
            <v>5.0090000000000003</v>
          </cell>
          <cell r="G153">
            <v>5.5403000000000002</v>
          </cell>
          <cell r="H153">
            <v>5.2244000000000002</v>
          </cell>
          <cell r="I153">
            <v>5.2165999999999997</v>
          </cell>
          <cell r="J153">
            <v>4.9304000000000006</v>
          </cell>
          <cell r="K153">
            <v>5.4382999999999999</v>
          </cell>
          <cell r="L153">
            <v>5.6097000000000001</v>
          </cell>
          <cell r="M153">
            <v>5.6960999999999995</v>
          </cell>
          <cell r="N153">
            <v>5.6849000000000007</v>
          </cell>
          <cell r="O153">
            <v>5.6849000000000007</v>
          </cell>
        </row>
        <row r="154">
          <cell r="A154" t="str">
            <v>Turkey</v>
          </cell>
          <cell r="B154">
            <v>4.0388000000000002</v>
          </cell>
          <cell r="C154">
            <v>4.7472999999999992</v>
          </cell>
          <cell r="D154">
            <v>5.0581999999999994</v>
          </cell>
          <cell r="E154">
            <v>5.0149000000000008</v>
          </cell>
          <cell r="F154">
            <v>4.2374000000000009</v>
          </cell>
          <cell r="G154">
            <v>4.7985000000000007</v>
          </cell>
          <cell r="H154">
            <v>4.2424999999999997</v>
          </cell>
          <cell r="I154">
            <v>5.240499999999999</v>
          </cell>
          <cell r="J154">
            <v>4.8371999999999993</v>
          </cell>
          <cell r="K154">
            <v>4.9186999999999994</v>
          </cell>
          <cell r="L154">
            <v>5.0913000000000004</v>
          </cell>
          <cell r="M154">
            <v>5.0839999999999996</v>
          </cell>
          <cell r="N154">
            <v>5.3081999999999994</v>
          </cell>
          <cell r="O154">
            <v>5.3081999999999994</v>
          </cell>
        </row>
        <row r="155">
          <cell r="A155" t="str">
            <v>Turkmenistan</v>
          </cell>
          <cell r="B155">
            <v>6.0891000000000002</v>
          </cell>
          <cell r="C155">
            <v>5.6113</v>
          </cell>
          <cell r="D155">
            <v>6.2470999999999997</v>
          </cell>
          <cell r="E155">
            <v>5.3725000000000005</v>
          </cell>
          <cell r="F155">
            <v>5.8911999999999995</v>
          </cell>
          <cell r="G155">
            <v>6.3765000000000009</v>
          </cell>
          <cell r="H155">
            <v>6.1595000000000004</v>
          </cell>
          <cell r="I155">
            <v>5.8630000000000004</v>
          </cell>
          <cell r="J155">
            <v>5.8011999999999997</v>
          </cell>
          <cell r="K155">
            <v>6.4013999999999998</v>
          </cell>
          <cell r="L155">
            <v>6.6272000000000002</v>
          </cell>
          <cell r="M155">
            <v>6.6277999999999997</v>
          </cell>
          <cell r="N155">
            <v>6.5054000000000007</v>
          </cell>
          <cell r="O155">
            <v>6.5125999999999999</v>
          </cell>
        </row>
        <row r="156">
          <cell r="A156" t="str">
            <v>Uganda</v>
          </cell>
          <cell r="B156">
            <v>6.1478999999999999</v>
          </cell>
          <cell r="C156">
            <v>5.7989000000000006</v>
          </cell>
          <cell r="D156">
            <v>5.5856000000000003</v>
          </cell>
          <cell r="E156">
            <v>5.6063000000000009</v>
          </cell>
          <cell r="F156">
            <v>5.2875000000000005</v>
          </cell>
          <cell r="G156">
            <v>5.1818</v>
          </cell>
          <cell r="H156">
            <v>5.8863999999999992</v>
          </cell>
          <cell r="I156">
            <v>5.3151000000000002</v>
          </cell>
          <cell r="J156">
            <v>5.8077000000000005</v>
          </cell>
          <cell r="K156">
            <v>5.3811999999999998</v>
          </cell>
          <cell r="L156">
            <v>5.8076999999999996</v>
          </cell>
          <cell r="M156">
            <v>5.4621000000000004</v>
          </cell>
          <cell r="N156">
            <v>5.2272999999999996</v>
          </cell>
          <cell r="O156">
            <v>5.2344999999999997</v>
          </cell>
        </row>
        <row r="157">
          <cell r="A157" t="str">
            <v>Ukraine</v>
          </cell>
          <cell r="B157">
            <v>4.1878000000000002</v>
          </cell>
          <cell r="C157">
            <v>5.2713000000000001</v>
          </cell>
          <cell r="D157">
            <v>5.2989000000000015</v>
          </cell>
          <cell r="E157">
            <v>5.2188999999999997</v>
          </cell>
          <cell r="F157">
            <v>5.313600000000001</v>
          </cell>
          <cell r="G157">
            <v>5.4420999999999999</v>
          </cell>
          <cell r="H157">
            <v>4.9497999999999998</v>
          </cell>
          <cell r="I157">
            <v>5.2963000000000005</v>
          </cell>
          <cell r="J157">
            <v>5.5306999999999995</v>
          </cell>
          <cell r="K157">
            <v>5.6873000000000005</v>
          </cell>
          <cell r="L157">
            <v>4.8576999999999995</v>
          </cell>
          <cell r="M157">
            <v>5.4459999999999997</v>
          </cell>
          <cell r="N157">
            <v>5.7901000000000007</v>
          </cell>
          <cell r="O157">
            <v>5.8045000000000009</v>
          </cell>
        </row>
        <row r="158">
          <cell r="A158" t="str">
            <v>United Arab Emirates</v>
          </cell>
          <cell r="B158">
            <v>5.2706</v>
          </cell>
          <cell r="C158">
            <v>4.9028000000000009</v>
          </cell>
          <cell r="D158">
            <v>4.5305999999999997</v>
          </cell>
          <cell r="E158">
            <v>4.7543000000000006</v>
          </cell>
          <cell r="F158">
            <v>5.1473999999999993</v>
          </cell>
          <cell r="G158">
            <v>4.6249000000000002</v>
          </cell>
          <cell r="H158">
            <v>5.3635999999999999</v>
          </cell>
          <cell r="I158">
            <v>5.2424999999999997</v>
          </cell>
          <cell r="J158">
            <v>5.0735999999999999</v>
          </cell>
          <cell r="K158">
            <v>5.0472000000000001</v>
          </cell>
          <cell r="L158">
            <v>5.4458000000000002</v>
          </cell>
          <cell r="M158">
            <v>5.8934999999999995</v>
          </cell>
          <cell r="N158">
            <v>5.735100000000001</v>
          </cell>
          <cell r="O158">
            <v>5.735100000000001</v>
          </cell>
        </row>
        <row r="159">
          <cell r="A159" t="str">
            <v>United Kingdom</v>
          </cell>
          <cell r="B159">
            <v>4.0099</v>
          </cell>
          <cell r="C159">
            <v>3.7493000000000003</v>
          </cell>
          <cell r="D159">
            <v>3.4925999999999999</v>
          </cell>
          <cell r="E159">
            <v>4.3624999999999998</v>
          </cell>
          <cell r="F159">
            <v>3.3351999999999999</v>
          </cell>
          <cell r="G159">
            <v>3.4878999999999998</v>
          </cell>
          <cell r="H159">
            <v>3.9573</v>
          </cell>
          <cell r="I159">
            <v>3.6594000000000002</v>
          </cell>
          <cell r="J159">
            <v>3.6057000000000001</v>
          </cell>
          <cell r="K159">
            <v>3.8058999999999998</v>
          </cell>
          <cell r="L159">
            <v>3.5944000000000003</v>
          </cell>
          <cell r="M159">
            <v>4.4547000000000008</v>
          </cell>
          <cell r="N159">
            <v>3.9922999999999997</v>
          </cell>
          <cell r="O159">
            <v>3.9922999999999997</v>
          </cell>
        </row>
        <row r="160">
          <cell r="A160" t="str">
            <v>United States</v>
          </cell>
          <cell r="B160">
            <v>3.9955000000000007</v>
          </cell>
          <cell r="C160">
            <v>4.7430000000000003</v>
          </cell>
          <cell r="D160">
            <v>3.9215</v>
          </cell>
          <cell r="E160">
            <v>3.8125</v>
          </cell>
          <cell r="F160">
            <v>4.6033999999999997</v>
          </cell>
          <cell r="G160">
            <v>4.8609999999999998</v>
          </cell>
          <cell r="H160">
            <v>4.4365000000000006</v>
          </cell>
          <cell r="I160">
            <v>4.3914</v>
          </cell>
          <cell r="J160">
            <v>3.8594000000000008</v>
          </cell>
          <cell r="K160">
            <v>4.1648999999999994</v>
          </cell>
          <cell r="L160">
            <v>4.0037000000000003</v>
          </cell>
          <cell r="M160">
            <v>4.6840999999999999</v>
          </cell>
          <cell r="N160">
            <v>4.4125000000000005</v>
          </cell>
          <cell r="O160">
            <v>4.4125000000000005</v>
          </cell>
        </row>
        <row r="161">
          <cell r="A161" t="str">
            <v>Uruguay</v>
          </cell>
          <cell r="B161">
            <v>3.7412000000000001</v>
          </cell>
          <cell r="C161">
            <v>4.2267999999999999</v>
          </cell>
          <cell r="D161">
            <v>3.5015999999999998</v>
          </cell>
          <cell r="E161">
            <v>4.2261000000000006</v>
          </cell>
          <cell r="F161">
            <v>3.7011999999999996</v>
          </cell>
          <cell r="G161">
            <v>3.3237999999999999</v>
          </cell>
          <cell r="H161">
            <v>4.2153999999999998</v>
          </cell>
          <cell r="I161">
            <v>3.8561000000000001</v>
          </cell>
          <cell r="J161">
            <v>4.0583</v>
          </cell>
          <cell r="K161">
            <v>4.1356999999999999</v>
          </cell>
          <cell r="L161">
            <v>4.4101000000000008</v>
          </cell>
          <cell r="M161">
            <v>3.7145000000000001</v>
          </cell>
          <cell r="N161">
            <v>4.1433999999999997</v>
          </cell>
          <cell r="O161">
            <v>4.1433999999999997</v>
          </cell>
        </row>
        <row r="162">
          <cell r="A162" t="str">
            <v>Uzbekistan</v>
          </cell>
          <cell r="B162">
            <v>6.3431999999999995</v>
          </cell>
          <cell r="C162">
            <v>5.7697000000000003</v>
          </cell>
          <cell r="D162">
            <v>6.4520999999999997</v>
          </cell>
          <cell r="E162">
            <v>5.2763999999999998</v>
          </cell>
          <cell r="F162">
            <v>5.9598000000000004</v>
          </cell>
          <cell r="G162">
            <v>6.3689999999999998</v>
          </cell>
          <cell r="H162">
            <v>6.2096999999999998</v>
          </cell>
          <cell r="I162">
            <v>5.4746000000000006</v>
          </cell>
          <cell r="J162">
            <v>5.9582000000000006</v>
          </cell>
          <cell r="K162">
            <v>5.7783999999999995</v>
          </cell>
          <cell r="L162">
            <v>5.6948999999999996</v>
          </cell>
          <cell r="M162">
            <v>5.4631999999999996</v>
          </cell>
          <cell r="N162">
            <v>5.3029999999999999</v>
          </cell>
          <cell r="O162">
            <v>5.3102</v>
          </cell>
        </row>
        <row r="163">
          <cell r="A163" t="str">
            <v>Vanuatu</v>
          </cell>
          <cell r="B163">
            <v>6.1907000000000005</v>
          </cell>
          <cell r="C163">
            <v>6.0340000000000007</v>
          </cell>
          <cell r="D163">
            <v>6.0349000000000004</v>
          </cell>
          <cell r="E163">
            <v>5.5886000000000005</v>
          </cell>
          <cell r="F163">
            <v>5.3126000000000007</v>
          </cell>
          <cell r="G163">
            <v>5.5460000000000003</v>
          </cell>
          <cell r="H163">
            <v>6.0430999999999999</v>
          </cell>
          <cell r="I163">
            <v>5.8567</v>
          </cell>
          <cell r="J163">
            <v>5.8962000000000003</v>
          </cell>
          <cell r="K163">
            <v>6.0864000000000011</v>
          </cell>
          <cell r="L163">
            <v>6.1178000000000008</v>
          </cell>
          <cell r="M163">
            <v>6.2922000000000002</v>
          </cell>
          <cell r="N163">
            <v>5.8024000000000004</v>
          </cell>
          <cell r="O163">
            <v>5.8024000000000004</v>
          </cell>
        </row>
        <row r="164">
          <cell r="A164" t="str">
            <v>Venezuela</v>
          </cell>
          <cell r="B164">
            <v>4.8365</v>
          </cell>
          <cell r="C164">
            <v>5.0052000000000003</v>
          </cell>
          <cell r="D164">
            <v>5.2563000000000004</v>
          </cell>
          <cell r="E164">
            <v>5.2037000000000004</v>
          </cell>
          <cell r="F164">
            <v>6.2617000000000012</v>
          </cell>
          <cell r="G164">
            <v>6.2552000000000003</v>
          </cell>
          <cell r="H164">
            <v>6.1693000000000007</v>
          </cell>
          <cell r="I164">
            <v>6.4050000000000002</v>
          </cell>
          <cell r="J164">
            <v>6.5420000000000007</v>
          </cell>
          <cell r="K164">
            <v>6.5541</v>
          </cell>
          <cell r="L164">
            <v>6.0895000000000001</v>
          </cell>
          <cell r="M164">
            <v>6.422600000000001</v>
          </cell>
          <cell r="N164">
            <v>6.5548999999999999</v>
          </cell>
          <cell r="O164">
            <v>6.5548999999999999</v>
          </cell>
        </row>
        <row r="165">
          <cell r="A165" t="str">
            <v>Vietnam</v>
          </cell>
          <cell r="B165">
            <v>4.6662999999999997</v>
          </cell>
          <cell r="C165">
            <v>5.0900999999999996</v>
          </cell>
          <cell r="D165">
            <v>5.1567000000000007</v>
          </cell>
          <cell r="E165">
            <v>4.7429000000000006</v>
          </cell>
          <cell r="F165">
            <v>5.0965000000000007</v>
          </cell>
          <cell r="G165">
            <v>4.8946000000000005</v>
          </cell>
          <cell r="H165">
            <v>4.9750999999999994</v>
          </cell>
          <cell r="I165">
            <v>4.8271999999999995</v>
          </cell>
          <cell r="J165">
            <v>5.4893999999999998</v>
          </cell>
          <cell r="K165">
            <v>5.2119999999999997</v>
          </cell>
          <cell r="L165">
            <v>4.9172000000000002</v>
          </cell>
          <cell r="M165">
            <v>4.8920999999999992</v>
          </cell>
          <cell r="N165">
            <v>4.9712999999999994</v>
          </cell>
          <cell r="O165">
            <v>4.9712999999999994</v>
          </cell>
        </row>
        <row r="166">
          <cell r="A166" t="str">
            <v>Yemen</v>
          </cell>
          <cell r="B166">
            <v>5.0604000000000005</v>
          </cell>
          <cell r="C166">
            <v>4.9996000000000009</v>
          </cell>
          <cell r="D166">
            <v>4.991200000000001</v>
          </cell>
          <cell r="E166">
            <v>4.9837000000000007</v>
          </cell>
          <cell r="F166">
            <v>5.2638000000000007</v>
          </cell>
          <cell r="G166">
            <v>5.3344000000000014</v>
          </cell>
          <cell r="H166">
            <v>5.2103999999999999</v>
          </cell>
          <cell r="I166">
            <v>4.9714999999999998</v>
          </cell>
          <cell r="J166">
            <v>5.6530000000000005</v>
          </cell>
          <cell r="K166">
            <v>5.6374000000000004</v>
          </cell>
          <cell r="L166">
            <v>5.6856000000000009</v>
          </cell>
          <cell r="M166">
            <v>6.4972000000000012</v>
          </cell>
          <cell r="N166">
            <v>6.4868000000000006</v>
          </cell>
          <cell r="O166">
            <v>6.4868000000000006</v>
          </cell>
        </row>
        <row r="167">
          <cell r="A167" t="str">
            <v>Zambia</v>
          </cell>
          <cell r="B167">
            <v>5.6521999999999997</v>
          </cell>
          <cell r="C167">
            <v>5.6153000000000004</v>
          </cell>
          <cell r="D167">
            <v>5.6326000000000001</v>
          </cell>
          <cell r="E167">
            <v>5.4161000000000001</v>
          </cell>
          <cell r="F167">
            <v>5.8647999999999998</v>
          </cell>
          <cell r="G167">
            <v>5.5252999999999997</v>
          </cell>
          <cell r="H167">
            <v>4.8028000000000004</v>
          </cell>
          <cell r="I167">
            <v>5.0960000000000001</v>
          </cell>
          <cell r="J167">
            <v>5.3191999999999995</v>
          </cell>
          <cell r="K167">
            <v>5.202</v>
          </cell>
          <cell r="L167">
            <v>5.1867000000000001</v>
          </cell>
          <cell r="M167">
            <v>4.8532999999999999</v>
          </cell>
          <cell r="N167">
            <v>4.9325000000000001</v>
          </cell>
          <cell r="O167">
            <v>4.7309000000000001</v>
          </cell>
        </row>
        <row r="168">
          <cell r="A168" t="str">
            <v>Zimbabwe</v>
          </cell>
          <cell r="B168">
            <v>5.6825999999999999</v>
          </cell>
          <cell r="C168">
            <v>5.9016999999999999</v>
          </cell>
          <cell r="D168">
            <v>5.8365</v>
          </cell>
          <cell r="E168">
            <v>5.7767999999999997</v>
          </cell>
          <cell r="F168">
            <v>5.9714</v>
          </cell>
          <cell r="G168">
            <v>6.1800000000000006</v>
          </cell>
          <cell r="H168">
            <v>5.6928999999999998</v>
          </cell>
          <cell r="I168">
            <v>5.9327999999999994</v>
          </cell>
          <cell r="J168">
            <v>5.9150999999999998</v>
          </cell>
          <cell r="K168">
            <v>5.55</v>
          </cell>
          <cell r="L168">
            <v>5.4574000000000007</v>
          </cell>
          <cell r="M168">
            <v>4.9808000000000003</v>
          </cell>
          <cell r="N168">
            <v>5.0520000000000005</v>
          </cell>
          <cell r="O168">
            <v>5.0592000000000006</v>
          </cell>
        </row>
      </sheetData>
      <sheetData sheetId="11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</row>
        <row r="2">
          <cell r="A2" t="str">
            <v>Afghanistan</v>
          </cell>
          <cell r="B2">
            <v>5.875</v>
          </cell>
          <cell r="C2">
            <v>7.3125</v>
          </cell>
          <cell r="D2">
            <v>4.875</v>
          </cell>
          <cell r="E2">
            <v>4.6875</v>
          </cell>
          <cell r="F2">
            <v>4.5</v>
          </cell>
          <cell r="G2">
            <v>4.666666666666667</v>
          </cell>
          <cell r="H2">
            <v>4.666666666666667</v>
          </cell>
          <cell r="I2">
            <v>4.833333333333333</v>
          </cell>
          <cell r="J2">
            <v>5.05</v>
          </cell>
          <cell r="K2">
            <v>5.0625</v>
          </cell>
          <cell r="L2">
            <v>5.75</v>
          </cell>
          <cell r="M2">
            <v>5.95</v>
          </cell>
          <cell r="N2">
            <v>6.3</v>
          </cell>
          <cell r="O2">
            <v>4.875</v>
          </cell>
          <cell r="P2">
            <v>5.25</v>
          </cell>
          <cell r="Q2">
            <v>5.2481837063395904</v>
          </cell>
          <cell r="R2">
            <v>5.2475718351166032</v>
          </cell>
          <cell r="S2">
            <v>5.2475718351166032</v>
          </cell>
        </row>
        <row r="3">
          <cell r="A3" t="str">
            <v>Africa Eastern and Southern</v>
          </cell>
          <cell r="B3">
            <v>4.75</v>
          </cell>
          <cell r="C3">
            <v>5.25</v>
          </cell>
          <cell r="D3">
            <v>5.45</v>
          </cell>
          <cell r="E3">
            <v>4.7</v>
          </cell>
          <cell r="F3">
            <v>4.7</v>
          </cell>
          <cell r="G3">
            <v>5.05</v>
          </cell>
          <cell r="H3">
            <v>5.05</v>
          </cell>
          <cell r="I3">
            <v>5.2</v>
          </cell>
          <cell r="J3">
            <v>5.45</v>
          </cell>
          <cell r="K3">
            <v>5.05</v>
          </cell>
          <cell r="L3">
            <v>4.7</v>
          </cell>
          <cell r="M3">
            <v>4.8499999999999996</v>
          </cell>
          <cell r="N3">
            <v>4.95</v>
          </cell>
          <cell r="O3">
            <v>5.3125</v>
          </cell>
          <cell r="P3">
            <v>6</v>
          </cell>
          <cell r="Q3">
            <v>5.1875</v>
          </cell>
          <cell r="R3">
            <v>5.6875</v>
          </cell>
          <cell r="S3">
            <v>4.666666666666667</v>
          </cell>
        </row>
        <row r="4">
          <cell r="A4" t="str">
            <v>Africa Western and Central</v>
          </cell>
          <cell r="B4">
            <v>5.0625</v>
          </cell>
          <cell r="C4">
            <v>4.8499999999999996</v>
          </cell>
          <cell r="D4">
            <v>5.4</v>
          </cell>
          <cell r="E4">
            <v>5.0999999999999996</v>
          </cell>
          <cell r="F4">
            <v>5.45</v>
          </cell>
          <cell r="G4">
            <v>5.3</v>
          </cell>
          <cell r="H4">
            <v>4.9000000000000004</v>
          </cell>
          <cell r="I4">
            <v>4.5999999999999996</v>
          </cell>
          <cell r="J4">
            <v>4.9000000000000004</v>
          </cell>
          <cell r="K4">
            <v>4.95</v>
          </cell>
          <cell r="L4">
            <v>5.15</v>
          </cell>
          <cell r="M4">
            <v>5.05</v>
          </cell>
          <cell r="N4">
            <v>4.75</v>
          </cell>
          <cell r="O4">
            <v>5.0625</v>
          </cell>
          <cell r="P4">
            <v>5.125</v>
          </cell>
          <cell r="Q4">
            <v>2.5</v>
          </cell>
          <cell r="R4">
            <v>5.4375</v>
          </cell>
          <cell r="S4">
            <v>3.25</v>
          </cell>
        </row>
        <row r="5">
          <cell r="A5" t="str">
            <v>Albania</v>
          </cell>
          <cell r="B5">
            <v>6.0690131609760662</v>
          </cell>
          <cell r="C5">
            <v>6.9808994754740903</v>
          </cell>
          <cell r="D5">
            <v>6.3095679012345682</v>
          </cell>
          <cell r="E5">
            <v>6.2625457875457871</v>
          </cell>
          <cell r="F5">
            <v>6.3048205768794006</v>
          </cell>
          <cell r="G5">
            <v>6.2256809338521393</v>
          </cell>
          <cell r="H5">
            <v>6.2184701360975962</v>
          </cell>
          <cell r="I5">
            <v>4.4721476080839091</v>
          </cell>
          <cell r="J5">
            <v>5.7567166510465482</v>
          </cell>
          <cell r="K5">
            <v>5.8460838327211802</v>
          </cell>
          <cell r="L5">
            <v>4.993355747678514</v>
          </cell>
          <cell r="M5">
            <v>4.6583583208395796</v>
          </cell>
          <cell r="N5">
            <v>4.3325434439178512</v>
          </cell>
          <cell r="O5">
            <v>5.1530210713379025</v>
          </cell>
          <cell r="P5">
            <v>4.9459570957095709</v>
          </cell>
          <cell r="Q5">
            <v>4.3474842767295598</v>
          </cell>
          <cell r="R5">
            <v>5.1441244909831294</v>
          </cell>
          <cell r="S5">
            <v>5.9008726003490404</v>
          </cell>
        </row>
        <row r="6">
          <cell r="A6" t="str">
            <v>Algeria</v>
          </cell>
          <cell r="B6">
            <v>3.7735469064680811</v>
          </cell>
          <cell r="C6">
            <v>3.6444391607585449</v>
          </cell>
          <cell r="D6">
            <v>3.5708112874779538</v>
          </cell>
          <cell r="E6">
            <v>3.2739926739926744</v>
          </cell>
          <cell r="F6">
            <v>3.6666666666666665</v>
          </cell>
          <cell r="G6">
            <v>3.3369001297016858</v>
          </cell>
          <cell r="H6">
            <v>3.4497038290670616</v>
          </cell>
          <cell r="I6">
            <v>3.2559797902276792</v>
          </cell>
          <cell r="J6">
            <v>3.0387378944079977</v>
          </cell>
          <cell r="K6">
            <v>3.3057139635285773</v>
          </cell>
          <cell r="L6">
            <v>3.3464217098943325</v>
          </cell>
          <cell r="M6">
            <v>2.8363005997001496</v>
          </cell>
          <cell r="N6">
            <v>2.7377369668246443</v>
          </cell>
          <cell r="O6">
            <v>3.0307025894897182</v>
          </cell>
          <cell r="P6">
            <v>2.8824257425742572</v>
          </cell>
          <cell r="Q6">
            <v>3.0094339622641506</v>
          </cell>
          <cell r="R6">
            <v>3.0594458987783595</v>
          </cell>
          <cell r="S6">
            <v>3.050719895287958</v>
          </cell>
        </row>
        <row r="7">
          <cell r="A7" t="str">
            <v>Andorra</v>
          </cell>
          <cell r="B7">
            <v>1.8333333333333333</v>
          </cell>
          <cell r="C7">
            <v>3.1666666666666665</v>
          </cell>
          <cell r="D7">
            <v>2.9166666666666665</v>
          </cell>
          <cell r="E7">
            <v>2.5833333333333335</v>
          </cell>
          <cell r="F7">
            <v>2.4166666666666665</v>
          </cell>
          <cell r="G7">
            <v>2.6666666666666665</v>
          </cell>
          <cell r="H7">
            <v>2.5</v>
          </cell>
          <cell r="I7">
            <v>2.5833333333333335</v>
          </cell>
          <cell r="J7">
            <v>2.5</v>
          </cell>
          <cell r="K7">
            <v>2.25</v>
          </cell>
          <cell r="L7">
            <v>2.25</v>
          </cell>
          <cell r="M7">
            <v>2.3333333333333335</v>
          </cell>
          <cell r="N7">
            <v>2.5833333333333335</v>
          </cell>
          <cell r="O7">
            <v>1.5</v>
          </cell>
          <cell r="P7">
            <v>2.1666666666666665</v>
          </cell>
          <cell r="Q7">
            <v>1.75</v>
          </cell>
          <cell r="R7">
            <v>1.8333333333333333</v>
          </cell>
          <cell r="S7">
            <v>8.5</v>
          </cell>
        </row>
        <row r="8">
          <cell r="A8" t="str">
            <v>Angola</v>
          </cell>
          <cell r="B8">
            <v>3.7916666666666665</v>
          </cell>
          <cell r="C8">
            <v>1.5833333333333333</v>
          </cell>
          <cell r="D8">
            <v>2.95</v>
          </cell>
          <cell r="E8">
            <v>2.7</v>
          </cell>
          <cell r="F8">
            <v>2.75</v>
          </cell>
          <cell r="G8">
            <v>3.8249027237354087</v>
          </cell>
          <cell r="H8">
            <v>3.6040300401946261</v>
          </cell>
          <cell r="I8">
            <v>3.9347979022767974</v>
          </cell>
          <cell r="J8">
            <v>4.2735473289597001</v>
          </cell>
          <cell r="K8">
            <v>2.9</v>
          </cell>
          <cell r="L8">
            <v>3.05</v>
          </cell>
          <cell r="M8">
            <v>3.25</v>
          </cell>
          <cell r="N8">
            <v>3</v>
          </cell>
          <cell r="O8">
            <v>3.5</v>
          </cell>
          <cell r="P8">
            <v>4.333333333333333</v>
          </cell>
          <cell r="Q8">
            <v>3.9693396226415092</v>
          </cell>
          <cell r="R8">
            <v>3.9166666666666665</v>
          </cell>
          <cell r="S8">
            <v>3.25</v>
          </cell>
        </row>
        <row r="9">
          <cell r="A9" t="str">
            <v>Antigua and Barbuda</v>
          </cell>
          <cell r="B9">
            <v>5.05</v>
          </cell>
          <cell r="C9">
            <v>5.75</v>
          </cell>
          <cell r="D9">
            <v>4.25</v>
          </cell>
          <cell r="E9">
            <v>4.5</v>
          </cell>
          <cell r="F9">
            <v>4.75</v>
          </cell>
          <cell r="G9">
            <v>4.3</v>
          </cell>
          <cell r="H9">
            <v>5.4</v>
          </cell>
          <cell r="I9">
            <v>5.15</v>
          </cell>
          <cell r="J9">
            <v>5.95</v>
          </cell>
          <cell r="K9">
            <v>5.3</v>
          </cell>
          <cell r="L9">
            <v>5.95</v>
          </cell>
          <cell r="M9">
            <v>4.5999999999999996</v>
          </cell>
          <cell r="N9">
            <v>4.8</v>
          </cell>
          <cell r="O9">
            <v>5.6</v>
          </cell>
          <cell r="P9">
            <v>4.8499999999999996</v>
          </cell>
          <cell r="Q9">
            <v>6.4375</v>
          </cell>
          <cell r="R9">
            <v>5.0848621078104133</v>
          </cell>
          <cell r="S9">
            <v>9.25</v>
          </cell>
        </row>
        <row r="10">
          <cell r="A10" t="str">
            <v>Arab World</v>
          </cell>
          <cell r="B10">
            <v>3.55</v>
          </cell>
          <cell r="C10">
            <v>2.95</v>
          </cell>
          <cell r="D10">
            <v>2.85</v>
          </cell>
          <cell r="E10">
            <v>2.8</v>
          </cell>
          <cell r="F10">
            <v>2.7</v>
          </cell>
          <cell r="G10">
            <v>2.75</v>
          </cell>
          <cell r="H10">
            <v>2.75</v>
          </cell>
          <cell r="I10">
            <v>2.65</v>
          </cell>
          <cell r="J10">
            <v>2.9</v>
          </cell>
          <cell r="K10">
            <v>3.25</v>
          </cell>
          <cell r="L10">
            <v>2.9</v>
          </cell>
          <cell r="M10">
            <v>3.35</v>
          </cell>
          <cell r="N10">
            <v>2.25</v>
          </cell>
          <cell r="O10">
            <v>3.35</v>
          </cell>
          <cell r="P10">
            <v>3.35</v>
          </cell>
          <cell r="Q10">
            <v>3</v>
          </cell>
          <cell r="R10">
            <v>3.625</v>
          </cell>
          <cell r="S10">
            <v>4</v>
          </cell>
        </row>
        <row r="11">
          <cell r="A11" t="str">
            <v>Argentina</v>
          </cell>
          <cell r="B11">
            <v>4.5731230387335486</v>
          </cell>
          <cell r="C11">
            <v>4.4282883739696812</v>
          </cell>
          <cell r="D11">
            <v>4.4845679012345672</v>
          </cell>
          <cell r="E11">
            <v>4.4821428571428568</v>
          </cell>
          <cell r="F11">
            <v>4.2856291165114691</v>
          </cell>
          <cell r="G11">
            <v>4.3876459143968871</v>
          </cell>
          <cell r="H11">
            <v>4.1033601297510751</v>
          </cell>
          <cell r="I11">
            <v>4.0731325147096449</v>
          </cell>
          <cell r="J11">
            <v>4.1038347391440171</v>
          </cell>
          <cell r="K11">
            <v>3.9111572910625689</v>
          </cell>
          <cell r="L11">
            <v>4.1844780659622156</v>
          </cell>
          <cell r="M11">
            <v>4.4290979510244872</v>
          </cell>
          <cell r="N11">
            <v>4.198341232227488</v>
          </cell>
          <cell r="O11">
            <v>4.3229563340949477</v>
          </cell>
          <cell r="P11">
            <v>4.0532178217821784</v>
          </cell>
          <cell r="Q11">
            <v>4.4237421383647799</v>
          </cell>
          <cell r="R11">
            <v>4.4851657940663179</v>
          </cell>
          <cell r="S11">
            <v>4.0704624781849912</v>
          </cell>
        </row>
        <row r="12">
          <cell r="A12" t="str">
            <v>Armenia</v>
          </cell>
          <cell r="B12">
            <v>6.3309037047445083</v>
          </cell>
          <cell r="C12">
            <v>6.5371851403539116</v>
          </cell>
          <cell r="D12">
            <v>6.5395061728395065</v>
          </cell>
          <cell r="E12">
            <v>6.5663003663003652</v>
          </cell>
          <cell r="F12">
            <v>6.6249621470209705</v>
          </cell>
          <cell r="G12">
            <v>6.3844033722438391</v>
          </cell>
          <cell r="H12">
            <v>6.1891615541922294</v>
          </cell>
          <cell r="I12">
            <v>6.2933934510104885</v>
          </cell>
          <cell r="J12">
            <v>6.3848016244923462</v>
          </cell>
          <cell r="K12">
            <v>6.544952960886655</v>
          </cell>
          <cell r="L12">
            <v>6.1092699327569635</v>
          </cell>
          <cell r="M12">
            <v>5.8616316841579206</v>
          </cell>
          <cell r="N12">
            <v>6.0092022116903641</v>
          </cell>
          <cell r="O12">
            <v>5.7695163747143949</v>
          </cell>
          <cell r="P12">
            <v>6.1670792079207919</v>
          </cell>
          <cell r="Q12">
            <v>6.0699685534591197</v>
          </cell>
          <cell r="R12">
            <v>5.151832460732984</v>
          </cell>
          <cell r="S12">
            <v>4.3698371146015127</v>
          </cell>
        </row>
        <row r="13">
          <cell r="A13" t="str">
            <v>Aruba</v>
          </cell>
          <cell r="B13">
            <v>3.6666666666666665</v>
          </cell>
          <cell r="C13">
            <v>4.083333333333333</v>
          </cell>
          <cell r="D13">
            <v>2.375</v>
          </cell>
          <cell r="E13">
            <v>4.625</v>
          </cell>
          <cell r="F13">
            <v>4.875</v>
          </cell>
          <cell r="G13">
            <v>2.5625</v>
          </cell>
          <cell r="H13">
            <v>4.75</v>
          </cell>
          <cell r="I13">
            <v>4.5625</v>
          </cell>
          <cell r="J13">
            <v>2.75</v>
          </cell>
          <cell r="K13">
            <v>3.5</v>
          </cell>
          <cell r="L13">
            <v>5.1875</v>
          </cell>
          <cell r="M13">
            <v>4.625</v>
          </cell>
          <cell r="N13">
            <v>2.6875</v>
          </cell>
          <cell r="O13">
            <v>4.8125</v>
          </cell>
          <cell r="P13">
            <v>4.3125</v>
          </cell>
          <cell r="Q13">
            <v>5.0625</v>
          </cell>
          <cell r="R13">
            <v>3</v>
          </cell>
          <cell r="S13">
            <v>5</v>
          </cell>
        </row>
        <row r="14">
          <cell r="A14" t="str">
            <v>Australia</v>
          </cell>
          <cell r="B14">
            <v>5.0287831951665023</v>
          </cell>
          <cell r="C14">
            <v>4.4320508386650532</v>
          </cell>
          <cell r="D14">
            <v>4.4088359788359792</v>
          </cell>
          <cell r="E14">
            <v>4.1746153846153842</v>
          </cell>
          <cell r="F14">
            <v>4.6845673404496937</v>
          </cell>
          <cell r="G14">
            <v>4.5842412451361865</v>
          </cell>
          <cell r="H14">
            <v>4.4720330019039558</v>
          </cell>
          <cell r="I14">
            <v>4.7249040675364551</v>
          </cell>
          <cell r="J14">
            <v>4.7403467666354269</v>
          </cell>
          <cell r="K14">
            <v>4.760728784071139</v>
          </cell>
          <cell r="L14">
            <v>4.8094140249759842</v>
          </cell>
          <cell r="M14">
            <v>5.0654422788605702</v>
          </cell>
          <cell r="N14">
            <v>4.3907582938388625</v>
          </cell>
          <cell r="O14">
            <v>3.8751713632901756</v>
          </cell>
          <cell r="P14">
            <v>3.5811881188118817</v>
          </cell>
          <cell r="Q14">
            <v>4.7603773584905662</v>
          </cell>
          <cell r="R14">
            <v>4.1247818499127398</v>
          </cell>
          <cell r="S14">
            <v>4.6271378708551483</v>
          </cell>
        </row>
        <row r="15">
          <cell r="A15" t="str">
            <v>Austria</v>
          </cell>
          <cell r="B15">
            <v>5.261662217226359</v>
          </cell>
          <cell r="C15">
            <v>3.1724191596057407</v>
          </cell>
          <cell r="D15">
            <v>4.0665079365079366</v>
          </cell>
          <cell r="E15">
            <v>3.0260439560439556</v>
          </cell>
          <cell r="F15">
            <v>4.3436861230978874</v>
          </cell>
          <cell r="G15">
            <v>3.2375486381322958</v>
          </cell>
          <cell r="H15">
            <v>3.0728051618362597</v>
          </cell>
          <cell r="I15">
            <v>2.9363008442056797</v>
          </cell>
          <cell r="J15">
            <v>2.7834582942830366</v>
          </cell>
          <cell r="K15">
            <v>2.7769669437463755</v>
          </cell>
          <cell r="L15">
            <v>3.9606147934678191</v>
          </cell>
          <cell r="M15">
            <v>2.8401799100449776</v>
          </cell>
          <cell r="N15">
            <v>2.9180094786729858</v>
          </cell>
          <cell r="O15">
            <v>2.8573876618431071</v>
          </cell>
          <cell r="P15">
            <v>3.9282178217821779</v>
          </cell>
          <cell r="Q15">
            <v>3.7933962264150942</v>
          </cell>
          <cell r="R15">
            <v>3.1526178010471204</v>
          </cell>
          <cell r="S15">
            <v>4.7504363001745205</v>
          </cell>
        </row>
        <row r="16">
          <cell r="A16" t="str">
            <v>Azerbaijan</v>
          </cell>
          <cell r="B16">
            <v>4.6187707835698566</v>
          </cell>
          <cell r="C16">
            <v>3.7360582742521182</v>
          </cell>
          <cell r="D16">
            <v>3.6891975308641975</v>
          </cell>
          <cell r="E16">
            <v>3.9139194139194138</v>
          </cell>
          <cell r="F16">
            <v>3.936605723370429</v>
          </cell>
          <cell r="G16">
            <v>4.1840142671854732</v>
          </cell>
          <cell r="H16">
            <v>3.5340508426768209</v>
          </cell>
          <cell r="I16">
            <v>3.7916346891788186</v>
          </cell>
          <cell r="J16">
            <v>4.1100437363323961</v>
          </cell>
          <cell r="K16">
            <v>4.388821766866422</v>
          </cell>
          <cell r="L16">
            <v>4.4382804995196929</v>
          </cell>
          <cell r="M16">
            <v>3.8598200899550221</v>
          </cell>
          <cell r="N16">
            <v>3.878317535545023</v>
          </cell>
          <cell r="O16">
            <v>4.066197004315816</v>
          </cell>
          <cell r="P16">
            <v>3.3910891089108905</v>
          </cell>
          <cell r="Q16">
            <v>3.4386792452830188</v>
          </cell>
          <cell r="R16">
            <v>3.1635398487492723</v>
          </cell>
          <cell r="S16">
            <v>3.0521378708551481</v>
          </cell>
        </row>
        <row r="17">
          <cell r="A17" t="str">
            <v>Bahamas, The</v>
          </cell>
          <cell r="B17">
            <v>5.5625</v>
          </cell>
          <cell r="C17">
            <v>6.0625</v>
          </cell>
          <cell r="D17">
            <v>5.8125</v>
          </cell>
          <cell r="E17">
            <v>6.25</v>
          </cell>
          <cell r="F17">
            <v>5.6875</v>
          </cell>
          <cell r="G17">
            <v>5.1875</v>
          </cell>
          <cell r="H17">
            <v>5</v>
          </cell>
          <cell r="I17">
            <v>4.5</v>
          </cell>
          <cell r="J17">
            <v>4.25</v>
          </cell>
          <cell r="K17">
            <v>5.25</v>
          </cell>
          <cell r="L17">
            <v>5.125</v>
          </cell>
          <cell r="M17">
            <v>5.9375</v>
          </cell>
          <cell r="N17">
            <v>5.6875</v>
          </cell>
          <cell r="O17">
            <v>6.1875</v>
          </cell>
          <cell r="P17">
            <v>6</v>
          </cell>
          <cell r="Q17">
            <v>6.3125</v>
          </cell>
          <cell r="R17">
            <v>7.166666666666667</v>
          </cell>
          <cell r="S17">
            <v>6</v>
          </cell>
        </row>
        <row r="18">
          <cell r="A18" t="str">
            <v>Bahrain</v>
          </cell>
          <cell r="B18">
            <v>4.375</v>
          </cell>
          <cell r="C18">
            <v>4.5238889849559047</v>
          </cell>
          <cell r="D18">
            <v>3.5196825396825395</v>
          </cell>
          <cell r="E18">
            <v>3.391428571428571</v>
          </cell>
          <cell r="F18">
            <v>4.1319214172155352</v>
          </cell>
          <cell r="G18">
            <v>4.804474708171206</v>
          </cell>
          <cell r="H18">
            <v>5.3387666596149774</v>
          </cell>
          <cell r="I18">
            <v>4.794397544128933</v>
          </cell>
          <cell r="J18">
            <v>3.4982661668228681</v>
          </cell>
          <cell r="K18">
            <v>3.6407983761840326</v>
          </cell>
          <cell r="L18">
            <v>4.7187800192122955</v>
          </cell>
          <cell r="M18">
            <v>5.0244377811094454</v>
          </cell>
          <cell r="N18">
            <v>4.6202369668246446</v>
          </cell>
          <cell r="O18">
            <v>4.9360243716679362</v>
          </cell>
          <cell r="P18">
            <v>4.2534653465346537</v>
          </cell>
          <cell r="Q18">
            <v>4.6311320754716974</v>
          </cell>
          <cell r="R18">
            <v>5.0438045375218152</v>
          </cell>
          <cell r="S18">
            <v>5.6544502617801058</v>
          </cell>
        </row>
        <row r="19">
          <cell r="A19" t="str">
            <v>Bangladesh</v>
          </cell>
          <cell r="B19">
            <v>5.0949896960329726</v>
          </cell>
          <cell r="C19">
            <v>4.6956164620439216</v>
          </cell>
          <cell r="D19">
            <v>4.6124779541446204</v>
          </cell>
          <cell r="E19">
            <v>4.4702380952380949</v>
          </cell>
          <cell r="F19">
            <v>4.3956677265500792</v>
          </cell>
          <cell r="G19">
            <v>4.3234435797665371</v>
          </cell>
          <cell r="H19">
            <v>4.6083227558000139</v>
          </cell>
          <cell r="I19">
            <v>5.0017747505755947</v>
          </cell>
          <cell r="J19">
            <v>4.39300218681662</v>
          </cell>
          <cell r="K19">
            <v>4.7233955151749463</v>
          </cell>
          <cell r="L19">
            <v>4.861911623439001</v>
          </cell>
          <cell r="M19">
            <v>4.6867503748125934</v>
          </cell>
          <cell r="N19">
            <v>4.7069905213270138</v>
          </cell>
          <cell r="O19">
            <v>4.9873857578065497</v>
          </cell>
          <cell r="P19">
            <v>5.1175742574257423</v>
          </cell>
          <cell r="Q19">
            <v>4.9929245283018862</v>
          </cell>
          <cell r="R19">
            <v>4.9430628272251305</v>
          </cell>
          <cell r="S19">
            <v>4.9241928446771386</v>
          </cell>
        </row>
        <row r="20">
          <cell r="A20" t="str">
            <v>Barbados</v>
          </cell>
          <cell r="B20">
            <v>5.5915530888482978</v>
          </cell>
          <cell r="C20">
            <v>5.1799815551328612</v>
          </cell>
          <cell r="D20">
            <v>4.9219576719576716</v>
          </cell>
          <cell r="E20">
            <v>4.5182234432234436</v>
          </cell>
          <cell r="F20">
            <v>5.8125</v>
          </cell>
          <cell r="G20">
            <v>6.125</v>
          </cell>
          <cell r="H20">
            <v>4.9047175798603764</v>
          </cell>
          <cell r="I20">
            <v>5.7709516500383726</v>
          </cell>
          <cell r="J20">
            <v>5.7183223992502343</v>
          </cell>
          <cell r="K20">
            <v>5.6875</v>
          </cell>
          <cell r="L20">
            <v>4.375</v>
          </cell>
          <cell r="M20">
            <v>5.6875</v>
          </cell>
          <cell r="N20">
            <v>5.8125</v>
          </cell>
          <cell r="O20">
            <v>6</v>
          </cell>
          <cell r="P20">
            <v>5.8125</v>
          </cell>
          <cell r="Q20">
            <v>6</v>
          </cell>
          <cell r="R20">
            <v>6.3125</v>
          </cell>
          <cell r="S20">
            <v>6.8450261780104711</v>
          </cell>
        </row>
        <row r="21">
          <cell r="A21" t="str">
            <v>Belarus</v>
          </cell>
          <cell r="B21">
            <v>4.0999999999999996</v>
          </cell>
          <cell r="C21">
            <v>3.85</v>
          </cell>
          <cell r="D21">
            <v>4.5999999999999996</v>
          </cell>
          <cell r="E21">
            <v>4.8</v>
          </cell>
          <cell r="F21">
            <v>4.75</v>
          </cell>
          <cell r="G21">
            <v>4.7696173800259407</v>
          </cell>
          <cell r="H21">
            <v>5.210545800719272</v>
          </cell>
          <cell r="I21">
            <v>4.8851368636479924</v>
          </cell>
          <cell r="J21">
            <v>5.1893939393939394</v>
          </cell>
          <cell r="K21">
            <v>5.197991172111605</v>
          </cell>
          <cell r="L21">
            <v>5.2908261287223821</v>
          </cell>
          <cell r="M21">
            <v>5.6363693153423284</v>
          </cell>
          <cell r="N21">
            <v>5.6112164296998417</v>
          </cell>
          <cell r="O21">
            <v>5.7713252094440222</v>
          </cell>
          <cell r="P21">
            <v>5.1691419141914192</v>
          </cell>
          <cell r="Q21">
            <v>5.375</v>
          </cell>
          <cell r="R21">
            <v>5.5926047120418847</v>
          </cell>
          <cell r="S21">
            <v>5.4516797556719023</v>
          </cell>
        </row>
        <row r="22">
          <cell r="A22" t="str">
            <v>Belgium</v>
          </cell>
          <cell r="B22">
            <v>5.400681466910215</v>
          </cell>
          <cell r="C22">
            <v>5.1860539512363832</v>
          </cell>
          <cell r="D22">
            <v>4.9698941798941805</v>
          </cell>
          <cell r="E22">
            <v>5.5026373626373628</v>
          </cell>
          <cell r="F22">
            <v>5.6709062003179653</v>
          </cell>
          <cell r="G22">
            <v>4.5408560311284045</v>
          </cell>
          <cell r="H22">
            <v>3.7465728792045696</v>
          </cell>
          <cell r="I22">
            <v>3.6023023791250965</v>
          </cell>
          <cell r="J22">
            <v>3.751921274601687</v>
          </cell>
          <cell r="K22">
            <v>5.3032572975062831</v>
          </cell>
          <cell r="L22">
            <v>3.5354947166186355</v>
          </cell>
          <cell r="M22">
            <v>3.670914542728636</v>
          </cell>
          <cell r="N22">
            <v>3.4968246445497626</v>
          </cell>
          <cell r="O22">
            <v>3.5454683929931456</v>
          </cell>
          <cell r="P22">
            <v>5.1455445544554452</v>
          </cell>
          <cell r="Q22">
            <v>4.5179245283018865</v>
          </cell>
          <cell r="R22">
            <v>3.8178010471204189</v>
          </cell>
          <cell r="S22">
            <v>4.1410994764397904</v>
          </cell>
        </row>
        <row r="23">
          <cell r="A23" t="str">
            <v>Belize</v>
          </cell>
          <cell r="B23">
            <v>5.75</v>
          </cell>
          <cell r="C23">
            <v>6.05</v>
          </cell>
          <cell r="D23">
            <v>5.9</v>
          </cell>
          <cell r="E23">
            <v>5.85</v>
          </cell>
          <cell r="F23">
            <v>6</v>
          </cell>
          <cell r="G23">
            <v>6.1992542153047987</v>
          </cell>
          <cell r="H23">
            <v>6.1658116493900286</v>
          </cell>
          <cell r="I23">
            <v>5.85</v>
          </cell>
          <cell r="J23">
            <v>5.15</v>
          </cell>
          <cell r="K23">
            <v>5.0999999999999996</v>
          </cell>
          <cell r="L23">
            <v>4.9000000000000004</v>
          </cell>
          <cell r="M23">
            <v>5.65</v>
          </cell>
          <cell r="N23">
            <v>5.45</v>
          </cell>
          <cell r="O23">
            <v>5.2</v>
          </cell>
          <cell r="P23">
            <v>5.35</v>
          </cell>
          <cell r="Q23">
            <v>4.6500000000000004</v>
          </cell>
          <cell r="R23">
            <v>4.25</v>
          </cell>
          <cell r="S23">
            <v>4.8499999999999996</v>
          </cell>
        </row>
        <row r="24">
          <cell r="A24" t="str">
            <v>Benin</v>
          </cell>
          <cell r="B24">
            <v>5.6</v>
          </cell>
          <cell r="C24">
            <v>5.5867989509481815</v>
          </cell>
          <cell r="D24">
            <v>5.8512345679012343</v>
          </cell>
          <cell r="E24">
            <v>5.9873626373626365</v>
          </cell>
          <cell r="F24">
            <v>5.6811643576349455</v>
          </cell>
          <cell r="G24">
            <v>5.7535667963683528</v>
          </cell>
          <cell r="H24">
            <v>5.7962061913828364</v>
          </cell>
          <cell r="I24">
            <v>5.7139933486825276</v>
          </cell>
          <cell r="J24">
            <v>5.15</v>
          </cell>
          <cell r="K24">
            <v>5.7519170049616593</v>
          </cell>
          <cell r="L24">
            <v>5.8047150176112714</v>
          </cell>
          <cell r="M24">
            <v>5.7843578210894551</v>
          </cell>
          <cell r="N24">
            <v>6.1459715639810426</v>
          </cell>
          <cell r="O24">
            <v>6.3133092155369388</v>
          </cell>
          <cell r="P24">
            <v>6.1509900990099</v>
          </cell>
          <cell r="Q24">
            <v>6.3223270440251573</v>
          </cell>
          <cell r="R24">
            <v>6.6675392670157061</v>
          </cell>
          <cell r="S24">
            <v>7.6184991273996499</v>
          </cell>
        </row>
        <row r="25">
          <cell r="A25" t="str">
            <v>Bermuda</v>
          </cell>
          <cell r="B25">
            <v>7.5</v>
          </cell>
          <cell r="C25">
            <v>2.5</v>
          </cell>
          <cell r="D25">
            <v>0</v>
          </cell>
          <cell r="E25">
            <v>5.5</v>
          </cell>
          <cell r="F25">
            <v>0</v>
          </cell>
          <cell r="G25">
            <v>2.4375</v>
          </cell>
          <cell r="H25">
            <v>1.6666666666666667</v>
          </cell>
          <cell r="I25">
            <v>2.4166666666666665</v>
          </cell>
          <cell r="J25">
            <v>2.25</v>
          </cell>
          <cell r="K25">
            <v>2.4375</v>
          </cell>
          <cell r="L25">
            <v>2.1875</v>
          </cell>
          <cell r="M25">
            <v>2.6875</v>
          </cell>
          <cell r="N25">
            <v>1.8125</v>
          </cell>
          <cell r="O25">
            <v>3.9375</v>
          </cell>
          <cell r="P25">
            <v>1.875</v>
          </cell>
          <cell r="Q25">
            <v>1.75</v>
          </cell>
          <cell r="R25">
            <v>2.9375</v>
          </cell>
          <cell r="S25">
            <v>3.5</v>
          </cell>
        </row>
        <row r="26">
          <cell r="A26" t="str">
            <v>Bhutan</v>
          </cell>
          <cell r="B26">
            <v>6.6</v>
          </cell>
          <cell r="C26">
            <v>6.35</v>
          </cell>
          <cell r="D26">
            <v>5.95</v>
          </cell>
          <cell r="E26">
            <v>5.3</v>
          </cell>
          <cell r="F26">
            <v>4.9000000000000004</v>
          </cell>
          <cell r="G26">
            <v>6.45</v>
          </cell>
          <cell r="H26">
            <v>6.75</v>
          </cell>
          <cell r="I26">
            <v>6.6073164492197494</v>
          </cell>
          <cell r="J26">
            <v>6.8058419243986252</v>
          </cell>
          <cell r="K26">
            <v>5.974386236226561</v>
          </cell>
          <cell r="L26">
            <v>5.875</v>
          </cell>
          <cell r="M26">
            <v>6</v>
          </cell>
          <cell r="N26">
            <v>6.5</v>
          </cell>
          <cell r="O26">
            <v>6.25</v>
          </cell>
          <cell r="P26">
            <v>5.625</v>
          </cell>
          <cell r="Q26">
            <v>5.8778436737209478</v>
          </cell>
          <cell r="R26">
            <v>5.9797406003428133</v>
          </cell>
          <cell r="S26">
            <v>5.9797406003428133</v>
          </cell>
        </row>
        <row r="27">
          <cell r="A27" t="str">
            <v>Bolivia</v>
          </cell>
          <cell r="B27">
            <v>6.0507646011896403</v>
          </cell>
          <cell r="C27">
            <v>5.8847195803792722</v>
          </cell>
          <cell r="D27">
            <v>5.9294532627865957</v>
          </cell>
          <cell r="E27">
            <v>5.686813186813187</v>
          </cell>
          <cell r="F27">
            <v>5.3694640018169428</v>
          </cell>
          <cell r="G27">
            <v>5.2498378728923472</v>
          </cell>
          <cell r="H27">
            <v>5.3148490938579789</v>
          </cell>
          <cell r="I27">
            <v>4.767139933486825</v>
          </cell>
          <cell r="J27">
            <v>4.9075288972196196</v>
          </cell>
          <cell r="K27">
            <v>5.0305834783169017</v>
          </cell>
          <cell r="L27">
            <v>5.0964617355107267</v>
          </cell>
          <cell r="M27">
            <v>4.8384557721139432</v>
          </cell>
          <cell r="N27">
            <v>4.7171800947867295</v>
          </cell>
          <cell r="O27">
            <v>4.8858212744351359</v>
          </cell>
          <cell r="P27">
            <v>5.0144389438943895</v>
          </cell>
          <cell r="Q27">
            <v>4.0999999999999996</v>
          </cell>
          <cell r="R27">
            <v>4.45</v>
          </cell>
          <cell r="S27">
            <v>5.1674665503199533</v>
          </cell>
        </row>
        <row r="28">
          <cell r="A28" t="str">
            <v>Bosnia and Herzegovina</v>
          </cell>
          <cell r="B28">
            <v>6.7969650133483208</v>
          </cell>
          <cell r="C28">
            <v>6.5145397429246641</v>
          </cell>
          <cell r="D28">
            <v>6.3360229276895943</v>
          </cell>
          <cell r="E28">
            <v>6.7252747252747254</v>
          </cell>
          <cell r="F28">
            <v>6.4983912483912478</v>
          </cell>
          <cell r="G28">
            <v>6.1857976653696491</v>
          </cell>
          <cell r="H28">
            <v>6.0700937874620964</v>
          </cell>
          <cell r="I28">
            <v>6.2428050652340756</v>
          </cell>
          <cell r="J28">
            <v>6.0826694782880351</v>
          </cell>
          <cell r="K28">
            <v>6.0144661382821054</v>
          </cell>
          <cell r="L28">
            <v>6.1994876721101493</v>
          </cell>
          <cell r="M28">
            <v>5.9153548225887063</v>
          </cell>
          <cell r="N28">
            <v>5.7570695102685621</v>
          </cell>
          <cell r="O28">
            <v>5.8020119319624266</v>
          </cell>
          <cell r="P28">
            <v>5.8514851485148514</v>
          </cell>
          <cell r="Q28">
            <v>5.6768867924528301</v>
          </cell>
          <cell r="R28">
            <v>5.719677137870856</v>
          </cell>
          <cell r="S28">
            <v>5.5159685863874346</v>
          </cell>
        </row>
        <row r="29">
          <cell r="A29" t="str">
            <v>Botswana</v>
          </cell>
          <cell r="B29">
            <v>3.3</v>
          </cell>
          <cell r="C29">
            <v>4.3529021845639519</v>
          </cell>
          <cell r="D29">
            <v>3.9548941798941804</v>
          </cell>
          <cell r="E29">
            <v>4.1325091575091575</v>
          </cell>
          <cell r="F29">
            <v>3.7192160648043</v>
          </cell>
          <cell r="G29">
            <v>3.4432555123216599</v>
          </cell>
          <cell r="H29">
            <v>3.5415785205556727</v>
          </cell>
          <cell r="I29">
            <v>3.5843566129444873</v>
          </cell>
          <cell r="J29">
            <v>3.8895267104029991</v>
          </cell>
          <cell r="K29">
            <v>3.160730394999677</v>
          </cell>
          <cell r="L29">
            <v>3.2078130003202054</v>
          </cell>
          <cell r="M29">
            <v>3.0068715642178909</v>
          </cell>
          <cell r="N29">
            <v>2.7578199052132697</v>
          </cell>
          <cell r="O29">
            <v>2.9149847677075402</v>
          </cell>
          <cell r="P29">
            <v>2.6976072607260719</v>
          </cell>
          <cell r="Q29">
            <v>3.0298742138364774</v>
          </cell>
          <cell r="R29">
            <v>4.0423938336242005</v>
          </cell>
          <cell r="S29">
            <v>4.5621727748691105</v>
          </cell>
        </row>
        <row r="30">
          <cell r="A30" t="str">
            <v>Brazil</v>
          </cell>
          <cell r="B30">
            <v>4.9052152124022292</v>
          </cell>
          <cell r="C30">
            <v>4.6416508156089691</v>
          </cell>
          <cell r="D30">
            <v>4.7336860670194003</v>
          </cell>
          <cell r="E30">
            <v>5.0705128205128203</v>
          </cell>
          <cell r="F30">
            <v>4.8201604966310851</v>
          </cell>
          <cell r="G30">
            <v>4.8996433203631646</v>
          </cell>
          <cell r="H30">
            <v>4.983587194132995</v>
          </cell>
          <cell r="I30">
            <v>4.9527052954719872</v>
          </cell>
          <cell r="J30">
            <v>5.3751952514839116</v>
          </cell>
          <cell r="K30">
            <v>5.2744458405825121</v>
          </cell>
          <cell r="L30">
            <v>5.1492555235350626</v>
          </cell>
          <cell r="M30">
            <v>5.3419540229885056</v>
          </cell>
          <cell r="N30">
            <v>5.3059241706161133</v>
          </cell>
          <cell r="O30">
            <v>5.2083968012185835</v>
          </cell>
          <cell r="P30">
            <v>5.1580033003300327</v>
          </cell>
          <cell r="Q30">
            <v>5.2594339622641506</v>
          </cell>
          <cell r="R30">
            <v>5.0722803955788249</v>
          </cell>
          <cell r="S30">
            <v>5.2205497382198951</v>
          </cell>
        </row>
        <row r="31">
          <cell r="A31" t="str">
            <v>Brunei Darussalam</v>
          </cell>
          <cell r="B31">
            <v>2.5625</v>
          </cell>
          <cell r="C31">
            <v>2.25</v>
          </cell>
          <cell r="D31">
            <v>3.0625</v>
          </cell>
          <cell r="E31">
            <v>4.0148351648351648</v>
          </cell>
          <cell r="F31">
            <v>3.9439813763343166</v>
          </cell>
          <cell r="G31">
            <v>3.7367704280155634</v>
          </cell>
          <cell r="H31">
            <v>3.9641527395811296</v>
          </cell>
          <cell r="I31">
            <v>3.7705295471987719</v>
          </cell>
          <cell r="J31">
            <v>2.3125</v>
          </cell>
          <cell r="K31">
            <v>1.9375</v>
          </cell>
          <cell r="L31">
            <v>3.8871757925072048</v>
          </cell>
          <cell r="M31">
            <v>3.8328335832083953</v>
          </cell>
          <cell r="N31">
            <v>3.5228436018957345</v>
          </cell>
          <cell r="O31">
            <v>4.0308073115003804</v>
          </cell>
          <cell r="P31">
            <v>3.027227722772277</v>
          </cell>
          <cell r="Q31">
            <v>2.6499999999999995</v>
          </cell>
          <cell r="R31">
            <v>2.6892670157068062</v>
          </cell>
          <cell r="S31">
            <v>2.3252617801047122</v>
          </cell>
        </row>
        <row r="32">
          <cell r="A32" t="str">
            <v>Bulgaria</v>
          </cell>
          <cell r="B32">
            <v>6.7734789939581272</v>
          </cell>
          <cell r="C32">
            <v>6.550657098391838</v>
          </cell>
          <cell r="D32">
            <v>6.4693650793650788</v>
          </cell>
          <cell r="E32">
            <v>6.271868131868132</v>
          </cell>
          <cell r="F32">
            <v>5.9537588008176243</v>
          </cell>
          <cell r="G32">
            <v>6.0200389105058365</v>
          </cell>
          <cell r="H32">
            <v>6.0687539665749952</v>
          </cell>
          <cell r="I32">
            <v>5.6224865694551038</v>
          </cell>
          <cell r="J32">
            <v>5.829943767572634</v>
          </cell>
          <cell r="K32">
            <v>5.5611444036342546</v>
          </cell>
          <cell r="L32">
            <v>5.604851104707012</v>
          </cell>
          <cell r="M32">
            <v>5.4651424287856072</v>
          </cell>
          <cell r="N32">
            <v>5.669526066350711</v>
          </cell>
          <cell r="O32">
            <v>5.543907083015994</v>
          </cell>
          <cell r="P32">
            <v>5.1648514851485148</v>
          </cell>
          <cell r="Q32">
            <v>5.5471698113207548</v>
          </cell>
          <cell r="R32">
            <v>5.6482547993019194</v>
          </cell>
          <cell r="S32">
            <v>5.5152705061082026</v>
          </cell>
        </row>
        <row r="33">
          <cell r="A33" t="str">
            <v>Burkina Faso</v>
          </cell>
          <cell r="B33">
            <v>6.2358613179710547</v>
          </cell>
          <cell r="C33">
            <v>6.3448253501642746</v>
          </cell>
          <cell r="D33">
            <v>6.1805996472663134</v>
          </cell>
          <cell r="E33">
            <v>5.869413919413919</v>
          </cell>
          <cell r="F33">
            <v>5.7065258535846768</v>
          </cell>
          <cell r="G33">
            <v>5.9137483787289229</v>
          </cell>
          <cell r="H33">
            <v>6.3531573936957892</v>
          </cell>
          <cell r="I33">
            <v>6.4620427219237655</v>
          </cell>
          <cell r="J33">
            <v>6.6127382068103708</v>
          </cell>
          <cell r="K33">
            <v>6.7072459565693663</v>
          </cell>
          <cell r="L33">
            <v>6.3424991994876718</v>
          </cell>
          <cell r="M33">
            <v>6.7528735632183903</v>
          </cell>
          <cell r="N33">
            <v>6.0549763033175354</v>
          </cell>
          <cell r="O33">
            <v>5.6289667428281289</v>
          </cell>
          <cell r="P33">
            <v>5.8184818481848195</v>
          </cell>
          <cell r="Q33">
            <v>6.1336477987421389</v>
          </cell>
          <cell r="R33">
            <v>6.1278359511343803</v>
          </cell>
          <cell r="S33">
            <v>5.9660413030831876</v>
          </cell>
        </row>
        <row r="34">
          <cell r="A34" t="str">
            <v>Burundi</v>
          </cell>
          <cell r="B34">
            <v>6.55</v>
          </cell>
          <cell r="C34">
            <v>6.166666666666667</v>
          </cell>
          <cell r="D34">
            <v>6</v>
          </cell>
          <cell r="E34">
            <v>6.020146520146521</v>
          </cell>
          <cell r="F34">
            <v>6</v>
          </cell>
          <cell r="G34">
            <v>6.0050259403372239</v>
          </cell>
          <cell r="H34">
            <v>5.7</v>
          </cell>
          <cell r="I34">
            <v>5.895913277052955</v>
          </cell>
          <cell r="J34">
            <v>6.1430802874101849</v>
          </cell>
          <cell r="K34">
            <v>6.0444455183968033</v>
          </cell>
          <cell r="L34">
            <v>5.9017771373679153</v>
          </cell>
          <cell r="M34">
            <v>5.2</v>
          </cell>
          <cell r="N34">
            <v>5.9001579778830964</v>
          </cell>
          <cell r="O34">
            <v>5.3</v>
          </cell>
          <cell r="P34">
            <v>5.3</v>
          </cell>
          <cell r="Q34">
            <v>6.1446540880503138</v>
          </cell>
          <cell r="R34">
            <v>7.6220186154741123</v>
          </cell>
          <cell r="S34">
            <v>7.2421465968586389</v>
          </cell>
        </row>
        <row r="35">
          <cell r="A35" t="str">
            <v>Cabo Verde</v>
          </cell>
          <cell r="B35">
            <v>5</v>
          </cell>
          <cell r="C35">
            <v>7.75</v>
          </cell>
          <cell r="D35">
            <v>5.35</v>
          </cell>
          <cell r="E35">
            <v>5.6</v>
          </cell>
          <cell r="F35">
            <v>5.65</v>
          </cell>
          <cell r="G35">
            <v>5.55</v>
          </cell>
          <cell r="H35">
            <v>6.8112439179183415</v>
          </cell>
          <cell r="I35">
            <v>6.7811588641596314</v>
          </cell>
          <cell r="J35">
            <v>6.8886597938144316</v>
          </cell>
          <cell r="K35">
            <v>6.4375</v>
          </cell>
          <cell r="L35">
            <v>6.5</v>
          </cell>
          <cell r="M35">
            <v>6.0625</v>
          </cell>
          <cell r="N35">
            <v>6.625</v>
          </cell>
          <cell r="O35">
            <v>6.7077684691546082</v>
          </cell>
          <cell r="P35">
            <v>8.2202970297029694</v>
          </cell>
          <cell r="Q35">
            <v>6.375</v>
          </cell>
          <cell r="R35">
            <v>6.4962478184991266</v>
          </cell>
          <cell r="S35">
            <v>8.0970767888307158</v>
          </cell>
        </row>
        <row r="36">
          <cell r="A36" t="str">
            <v>Cambodia</v>
          </cell>
          <cell r="B36">
            <v>5.0077841787269914</v>
          </cell>
          <cell r="C36">
            <v>4.2388466194016949</v>
          </cell>
          <cell r="D36">
            <v>5.2604232804232804</v>
          </cell>
          <cell r="E36">
            <v>4.3724358974358974</v>
          </cell>
          <cell r="F36">
            <v>5.3424483306836237</v>
          </cell>
          <cell r="G36">
            <v>4.7859922178988326</v>
          </cell>
          <cell r="H36">
            <v>4.733155278189126</v>
          </cell>
          <cell r="I36">
            <v>4.4883601944231266</v>
          </cell>
          <cell r="J36">
            <v>4.2272336769759455</v>
          </cell>
          <cell r="K36">
            <v>4.4019266705328954</v>
          </cell>
          <cell r="L36">
            <v>4.6346461735510731</v>
          </cell>
          <cell r="M36">
            <v>4.6361194402798604</v>
          </cell>
          <cell r="N36">
            <v>4.5760268562401265</v>
          </cell>
          <cell r="O36">
            <v>5.2909685199289163</v>
          </cell>
          <cell r="P36">
            <v>5.4925742574257432</v>
          </cell>
          <cell r="Q36">
            <v>4.9284591194968552</v>
          </cell>
          <cell r="R36">
            <v>6.5335078534031412</v>
          </cell>
          <cell r="S36">
            <v>6.6392888307155324</v>
          </cell>
        </row>
        <row r="37">
          <cell r="A37" t="str">
            <v>Cameroon</v>
          </cell>
          <cell r="B37">
            <v>6.1811156386117743</v>
          </cell>
          <cell r="C37">
            <v>5.3015951928065022</v>
          </cell>
          <cell r="D37">
            <v>5.8003527336860676</v>
          </cell>
          <cell r="E37">
            <v>5.8685897435897436</v>
          </cell>
          <cell r="F37">
            <v>5.4373060034824734</v>
          </cell>
          <cell r="G37">
            <v>5.525778210116731</v>
          </cell>
          <cell r="H37">
            <v>5.6496985403004016</v>
          </cell>
          <cell r="I37">
            <v>5.6081478639038123</v>
          </cell>
          <cell r="J37">
            <v>5.8485629490784135</v>
          </cell>
          <cell r="K37">
            <v>6.0252190862813322</v>
          </cell>
          <cell r="L37">
            <v>6.3611111111111116</v>
          </cell>
          <cell r="M37">
            <v>6.1414917541229386</v>
          </cell>
          <cell r="N37">
            <v>6.2443522906793048</v>
          </cell>
          <cell r="O37">
            <v>6.0879347550139622</v>
          </cell>
          <cell r="P37">
            <v>5.9282178217821775</v>
          </cell>
          <cell r="Q37">
            <v>5.147405660377359</v>
          </cell>
          <cell r="R37">
            <v>4.9693499127399647</v>
          </cell>
          <cell r="S37">
            <v>5.0042539267015709</v>
          </cell>
        </row>
        <row r="38">
          <cell r="A38" t="str">
            <v>Canada</v>
          </cell>
          <cell r="B38">
            <v>5.0649501194323445</v>
          </cell>
          <cell r="C38">
            <v>4.1245460833477434</v>
          </cell>
          <cell r="D38">
            <v>3.6866137566137569</v>
          </cell>
          <cell r="E38">
            <v>3.6268131868131865</v>
          </cell>
          <cell r="F38">
            <v>3.8402225755166932</v>
          </cell>
          <cell r="G38">
            <v>4.089688715953308</v>
          </cell>
          <cell r="H38">
            <v>4.330368098159509</v>
          </cell>
          <cell r="I38">
            <v>4.5319263238679968</v>
          </cell>
          <cell r="J38">
            <v>4.7712277413308346</v>
          </cell>
          <cell r="K38">
            <v>4.2973226367678325</v>
          </cell>
          <cell r="L38">
            <v>4.0894812680115269</v>
          </cell>
          <cell r="M38">
            <v>4.5779610194902549</v>
          </cell>
          <cell r="N38">
            <v>4.4565402843601891</v>
          </cell>
          <cell r="O38">
            <v>4.5762757044935265</v>
          </cell>
          <cell r="P38">
            <v>4.641089108910891</v>
          </cell>
          <cell r="Q38">
            <v>4.5207547169811324</v>
          </cell>
          <cell r="R38">
            <v>4.3316753926701574</v>
          </cell>
          <cell r="S38">
            <v>4.8095986038394418</v>
          </cell>
        </row>
        <row r="39">
          <cell r="A39" t="str">
            <v>Caribbean small states</v>
          </cell>
          <cell r="B39">
            <v>5.5</v>
          </cell>
          <cell r="C39">
            <v>4.95</v>
          </cell>
          <cell r="D39">
            <v>5.0999999999999996</v>
          </cell>
          <cell r="E39">
            <v>4.95</v>
          </cell>
          <cell r="F39">
            <v>4.3499999999999996</v>
          </cell>
          <cell r="G39">
            <v>3.3</v>
          </cell>
          <cell r="H39">
            <v>3.95</v>
          </cell>
          <cell r="I39">
            <v>5</v>
          </cell>
          <cell r="J39">
            <v>4.6500000000000004</v>
          </cell>
          <cell r="K39">
            <v>4.75</v>
          </cell>
          <cell r="L39">
            <v>4.3</v>
          </cell>
          <cell r="M39">
            <v>4.8499999999999996</v>
          </cell>
          <cell r="N39">
            <v>5.3</v>
          </cell>
          <cell r="O39">
            <v>5.25</v>
          </cell>
          <cell r="P39">
            <v>4.9000000000000004</v>
          </cell>
          <cell r="Q39">
            <v>4.5625</v>
          </cell>
          <cell r="R39">
            <v>4.875</v>
          </cell>
          <cell r="S39">
            <v>6.5625</v>
          </cell>
        </row>
        <row r="40">
          <cell r="A40" t="str">
            <v>Cayman Islands</v>
          </cell>
          <cell r="B40">
            <v>9.5</v>
          </cell>
          <cell r="C40">
            <v>10</v>
          </cell>
          <cell r="D40">
            <v>9.5</v>
          </cell>
          <cell r="E40">
            <v>9.5</v>
          </cell>
          <cell r="F40">
            <v>10</v>
          </cell>
          <cell r="G40">
            <v>9.5</v>
          </cell>
          <cell r="H40">
            <v>10</v>
          </cell>
          <cell r="I40">
            <v>10</v>
          </cell>
          <cell r="J40">
            <v>10</v>
          </cell>
          <cell r="K40">
            <v>9.5</v>
          </cell>
          <cell r="L40">
            <v>9.5</v>
          </cell>
          <cell r="M40">
            <v>6</v>
          </cell>
          <cell r="N40">
            <v>9.5</v>
          </cell>
          <cell r="O40">
            <v>5.625</v>
          </cell>
          <cell r="P40">
            <v>2.8125</v>
          </cell>
          <cell r="Q40">
            <v>10</v>
          </cell>
          <cell r="R40">
            <v>6.375</v>
          </cell>
          <cell r="S40">
            <v>4.5</v>
          </cell>
        </row>
        <row r="41">
          <cell r="A41" t="str">
            <v>Central African Republic</v>
          </cell>
          <cell r="B41">
            <v>7</v>
          </cell>
          <cell r="C41">
            <v>6.25</v>
          </cell>
          <cell r="D41">
            <v>7.125</v>
          </cell>
          <cell r="E41">
            <v>7</v>
          </cell>
          <cell r="F41">
            <v>5.3</v>
          </cell>
          <cell r="G41">
            <v>5.35</v>
          </cell>
          <cell r="H41">
            <v>5.5</v>
          </cell>
          <cell r="I41">
            <v>5.5625</v>
          </cell>
          <cell r="J41">
            <v>3.75</v>
          </cell>
          <cell r="K41">
            <v>3.9</v>
          </cell>
          <cell r="L41">
            <v>4.25</v>
          </cell>
          <cell r="M41">
            <v>4.95</v>
          </cell>
          <cell r="N41">
            <v>4.6500000000000004</v>
          </cell>
          <cell r="O41">
            <v>5</v>
          </cell>
          <cell r="P41">
            <v>6.0625</v>
          </cell>
          <cell r="Q41">
            <v>5.6875</v>
          </cell>
          <cell r="R41">
            <v>5.2</v>
          </cell>
          <cell r="S41">
            <v>5.5</v>
          </cell>
        </row>
        <row r="42">
          <cell r="A42" t="str">
            <v>Central Europe and the Baltics</v>
          </cell>
          <cell r="B42">
            <v>3.85</v>
          </cell>
          <cell r="C42">
            <v>3.65</v>
          </cell>
          <cell r="D42">
            <v>3.15</v>
          </cell>
          <cell r="E42">
            <v>2.75</v>
          </cell>
          <cell r="F42">
            <v>4</v>
          </cell>
          <cell r="G42">
            <v>4.25</v>
          </cell>
          <cell r="H42">
            <v>3.3125</v>
          </cell>
          <cell r="I42">
            <v>4.5</v>
          </cell>
          <cell r="J42">
            <v>3.4375</v>
          </cell>
          <cell r="K42">
            <v>4.6875</v>
          </cell>
          <cell r="L42">
            <v>3.75</v>
          </cell>
          <cell r="M42">
            <v>2.6875</v>
          </cell>
          <cell r="N42">
            <v>4.9375</v>
          </cell>
          <cell r="O42">
            <v>4.8125</v>
          </cell>
          <cell r="P42">
            <v>4.75</v>
          </cell>
          <cell r="Q42">
            <v>4.4375</v>
          </cell>
          <cell r="R42">
            <v>2.9375</v>
          </cell>
          <cell r="S42">
            <v>2.9375</v>
          </cell>
        </row>
        <row r="43">
          <cell r="A43" t="str">
            <v>Chad</v>
          </cell>
          <cell r="B43">
            <v>2.6666666666666665</v>
          </cell>
          <cell r="C43">
            <v>3.5833333333333335</v>
          </cell>
          <cell r="D43">
            <v>4</v>
          </cell>
          <cell r="E43">
            <v>4.6854395604395602</v>
          </cell>
          <cell r="F43">
            <v>3.3333333333333335</v>
          </cell>
          <cell r="G43">
            <v>4.083333333333333</v>
          </cell>
          <cell r="H43">
            <v>4</v>
          </cell>
          <cell r="I43">
            <v>3.875</v>
          </cell>
          <cell r="J43">
            <v>6.375</v>
          </cell>
          <cell r="K43">
            <v>5.75</v>
          </cell>
          <cell r="L43">
            <v>4.583333333333333</v>
          </cell>
          <cell r="M43">
            <v>4.666666666666667</v>
          </cell>
          <cell r="N43">
            <v>4.416666666666667</v>
          </cell>
          <cell r="O43">
            <v>4.583333333333333</v>
          </cell>
          <cell r="P43">
            <v>4.166666666666667</v>
          </cell>
          <cell r="Q43">
            <v>4.166666666666667</v>
          </cell>
          <cell r="R43">
            <v>4.25</v>
          </cell>
          <cell r="S43">
            <v>4</v>
          </cell>
        </row>
        <row r="44">
          <cell r="A44" t="str">
            <v>Chile</v>
          </cell>
          <cell r="B44">
            <v>5.622880661327339</v>
          </cell>
          <cell r="C44">
            <v>5.8501930947028642</v>
          </cell>
          <cell r="D44">
            <v>5.8373456790123468</v>
          </cell>
          <cell r="E44">
            <v>5.629945054945054</v>
          </cell>
          <cell r="F44">
            <v>5.6539007494889839</v>
          </cell>
          <cell r="G44">
            <v>5.618514915693904</v>
          </cell>
          <cell r="H44">
            <v>5.7504054721105708</v>
          </cell>
          <cell r="I44">
            <v>5.8136032233307757</v>
          </cell>
          <cell r="J44">
            <v>5.6799437675726336</v>
          </cell>
          <cell r="K44">
            <v>5.6479315677556547</v>
          </cell>
          <cell r="L44">
            <v>5.0532740954210693</v>
          </cell>
          <cell r="M44">
            <v>6.3473013493253374</v>
          </cell>
          <cell r="N44">
            <v>6.8601895734597154</v>
          </cell>
          <cell r="O44">
            <v>6.9269611576542278</v>
          </cell>
          <cell r="P44">
            <v>6.8039603960396047</v>
          </cell>
          <cell r="Q44">
            <v>7.1547169811320757</v>
          </cell>
          <cell r="R44">
            <v>7.1972076788830721</v>
          </cell>
          <cell r="S44">
            <v>6.8976876090750441</v>
          </cell>
        </row>
        <row r="45">
          <cell r="A45" t="str">
            <v>China</v>
          </cell>
          <cell r="B45">
            <v>3.0942930073532851</v>
          </cell>
          <cell r="C45">
            <v>3.0615741541299211</v>
          </cell>
          <cell r="D45">
            <v>3.1558641975308639</v>
          </cell>
          <cell r="E45">
            <v>3.4399267399267401</v>
          </cell>
          <cell r="F45">
            <v>3.0332633053221287</v>
          </cell>
          <cell r="G45">
            <v>3.0309662775616082</v>
          </cell>
          <cell r="H45">
            <v>3.0232176856357094</v>
          </cell>
          <cell r="I45">
            <v>2.9156433870555127</v>
          </cell>
          <cell r="J45">
            <v>2.8590674789128396</v>
          </cell>
          <cell r="K45">
            <v>2.5478204136864488</v>
          </cell>
          <cell r="L45">
            <v>2.5267771373679153</v>
          </cell>
          <cell r="M45">
            <v>2.6874687656171914</v>
          </cell>
          <cell r="N45">
            <v>2.6007503949447077</v>
          </cell>
          <cell r="O45">
            <v>2.7395277989337394</v>
          </cell>
          <cell r="P45">
            <v>2.5614686468646863</v>
          </cell>
          <cell r="Q45">
            <v>2.4174528301886791</v>
          </cell>
          <cell r="R45">
            <v>2.4827661431064572</v>
          </cell>
          <cell r="S45">
            <v>1.4909249563699827</v>
          </cell>
        </row>
        <row r="46">
          <cell r="A46" t="str">
            <v>Colombia</v>
          </cell>
          <cell r="B46">
            <v>4.7046625450798558</v>
          </cell>
          <cell r="C46">
            <v>4.5468254654446945</v>
          </cell>
          <cell r="D46">
            <v>4.7493827160493831</v>
          </cell>
          <cell r="E46">
            <v>4.2820512820512819</v>
          </cell>
          <cell r="F46">
            <v>4.2340355060943295</v>
          </cell>
          <cell r="G46">
            <v>4.0186446173800254</v>
          </cell>
          <cell r="H46">
            <v>4.1132324941823564</v>
          </cell>
          <cell r="I46">
            <v>4.2696341775390119</v>
          </cell>
          <cell r="J46">
            <v>4.78791783817557</v>
          </cell>
          <cell r="K46">
            <v>4.9931938269218383</v>
          </cell>
          <cell r="L46">
            <v>4.7204610951008652</v>
          </cell>
          <cell r="M46">
            <v>4.8313343328335829</v>
          </cell>
          <cell r="N46">
            <v>4.8318325434439178</v>
          </cell>
          <cell r="O46">
            <v>5.2433041381061178</v>
          </cell>
          <cell r="P46">
            <v>5.115511551155115</v>
          </cell>
          <cell r="Q46">
            <v>5.2798742138364778</v>
          </cell>
          <cell r="R46">
            <v>5.2777777777777777</v>
          </cell>
          <cell r="S46">
            <v>4.5368237347294933</v>
          </cell>
        </row>
        <row r="47">
          <cell r="A47" t="str">
            <v>Comoros</v>
          </cell>
          <cell r="B47">
            <v>5.75</v>
          </cell>
          <cell r="C47">
            <v>4.6875</v>
          </cell>
          <cell r="D47">
            <v>4.05</v>
          </cell>
          <cell r="E47">
            <v>4.0999999999999996</v>
          </cell>
          <cell r="F47">
            <v>4.2</v>
          </cell>
          <cell r="G47">
            <v>4.05</v>
          </cell>
          <cell r="H47">
            <v>3.55</v>
          </cell>
          <cell r="I47">
            <v>3.5</v>
          </cell>
          <cell r="J47">
            <v>3.55</v>
          </cell>
          <cell r="K47">
            <v>4.5625</v>
          </cell>
          <cell r="L47">
            <v>3.95</v>
          </cell>
          <cell r="M47">
            <v>3.65</v>
          </cell>
          <cell r="N47">
            <v>3.6</v>
          </cell>
          <cell r="O47">
            <v>4.1500000000000004</v>
          </cell>
          <cell r="P47">
            <v>5.6</v>
          </cell>
          <cell r="Q47">
            <v>5.125</v>
          </cell>
          <cell r="R47">
            <v>5.25</v>
          </cell>
          <cell r="S47">
            <v>5.125</v>
          </cell>
        </row>
        <row r="48">
          <cell r="A48" t="str">
            <v>Congo, Dem. Rep.</v>
          </cell>
          <cell r="B48">
            <v>6.583333333333333</v>
          </cell>
          <cell r="C48">
            <v>6.666666666666667</v>
          </cell>
          <cell r="D48">
            <v>5.583333333333333</v>
          </cell>
          <cell r="E48">
            <v>6.5</v>
          </cell>
          <cell r="F48">
            <v>5.916666666666667</v>
          </cell>
          <cell r="G48">
            <v>5.916666666666667</v>
          </cell>
          <cell r="H48">
            <v>5.583333333333333</v>
          </cell>
          <cell r="I48">
            <v>5.25</v>
          </cell>
          <cell r="J48">
            <v>4.0999999999999996</v>
          </cell>
          <cell r="K48">
            <v>4</v>
          </cell>
          <cell r="L48">
            <v>3.95</v>
          </cell>
          <cell r="M48">
            <v>3.7</v>
          </cell>
          <cell r="N48">
            <v>3.7</v>
          </cell>
          <cell r="O48">
            <v>3.7</v>
          </cell>
          <cell r="P48">
            <v>3.75</v>
          </cell>
          <cell r="Q48">
            <v>3.95</v>
          </cell>
          <cell r="R48">
            <v>4.25</v>
          </cell>
          <cell r="S48">
            <v>4.75</v>
          </cell>
        </row>
        <row r="49">
          <cell r="A49" t="str">
            <v>Congo, Rep.</v>
          </cell>
          <cell r="B49">
            <v>4</v>
          </cell>
          <cell r="C49">
            <v>4.25</v>
          </cell>
          <cell r="D49">
            <v>3.9</v>
          </cell>
          <cell r="E49">
            <v>3.9</v>
          </cell>
          <cell r="F49">
            <v>2.2999999999999998</v>
          </cell>
          <cell r="G49">
            <v>2</v>
          </cell>
          <cell r="H49">
            <v>2.85</v>
          </cell>
          <cell r="I49">
            <v>2.8</v>
          </cell>
          <cell r="J49">
            <v>3.15</v>
          </cell>
          <cell r="K49">
            <v>2.25</v>
          </cell>
          <cell r="L49">
            <v>4.0999999999999996</v>
          </cell>
          <cell r="M49">
            <v>4.2</v>
          </cell>
          <cell r="N49">
            <v>4.4000000000000004</v>
          </cell>
          <cell r="O49">
            <v>4.6500000000000004</v>
          </cell>
          <cell r="P49">
            <v>4.75</v>
          </cell>
          <cell r="Q49">
            <v>4.333333333333333</v>
          </cell>
          <cell r="R49">
            <v>4.583333333333333</v>
          </cell>
          <cell r="S49">
            <v>4.333333333333333</v>
          </cell>
        </row>
        <row r="50">
          <cell r="A50" t="str">
            <v>Costa Rica</v>
          </cell>
          <cell r="B50">
            <v>5.0171361997096158</v>
          </cell>
          <cell r="C50">
            <v>4.9238068476569259</v>
          </cell>
          <cell r="D50">
            <v>4.2412257495590824</v>
          </cell>
          <cell r="E50">
            <v>4.796611721611721</v>
          </cell>
          <cell r="F50">
            <v>4.647437353319706</v>
          </cell>
          <cell r="G50">
            <v>4.8260376134889755</v>
          </cell>
          <cell r="H50">
            <v>4.6748906988223675</v>
          </cell>
          <cell r="I50">
            <v>4.7954080327449473</v>
          </cell>
          <cell r="J50">
            <v>5.0114807872539826</v>
          </cell>
          <cell r="K50">
            <v>4.8982537534634965</v>
          </cell>
          <cell r="L50">
            <v>4.8964937560038422</v>
          </cell>
          <cell r="M50">
            <v>4.9790729635182407</v>
          </cell>
          <cell r="N50">
            <v>4.6912717219589259</v>
          </cell>
          <cell r="O50">
            <v>4.7835745112972843</v>
          </cell>
          <cell r="P50">
            <v>4.8564356435643568</v>
          </cell>
          <cell r="Q50">
            <v>5.3789308176100619</v>
          </cell>
          <cell r="R50">
            <v>5.321407795229784</v>
          </cell>
          <cell r="S50">
            <v>6.668237347294939</v>
          </cell>
        </row>
        <row r="51">
          <cell r="A51" t="str">
            <v>Cote d'Ivoire</v>
          </cell>
          <cell r="B51">
            <v>5.55</v>
          </cell>
          <cell r="C51">
            <v>5.45</v>
          </cell>
          <cell r="D51">
            <v>6.3</v>
          </cell>
          <cell r="E51">
            <v>6.0258241758241757</v>
          </cell>
          <cell r="F51">
            <v>6.5042773866303278</v>
          </cell>
          <cell r="G51">
            <v>6.6035992217898825</v>
          </cell>
          <cell r="H51">
            <v>6.105440377970524</v>
          </cell>
          <cell r="I51">
            <v>5.5408032744947562</v>
          </cell>
          <cell r="J51">
            <v>5.4518900343642613</v>
          </cell>
          <cell r="K51">
            <v>5.4708744120110824</v>
          </cell>
          <cell r="L51">
            <v>5.7335894972782571</v>
          </cell>
          <cell r="M51">
            <v>5.8879935032483752</v>
          </cell>
          <cell r="N51">
            <v>5.9005529225908377</v>
          </cell>
          <cell r="O51">
            <v>6.1312833206397563</v>
          </cell>
          <cell r="P51">
            <v>6.0103135313531348</v>
          </cell>
          <cell r="Q51">
            <v>6.5133647798742134</v>
          </cell>
          <cell r="R51">
            <v>6</v>
          </cell>
          <cell r="S51">
            <v>6.5952006980802791</v>
          </cell>
        </row>
        <row r="52">
          <cell r="A52" t="str">
            <v>Croatia</v>
          </cell>
          <cell r="B52">
            <v>5.37786871809283</v>
          </cell>
          <cell r="C52">
            <v>5.2890872672776528</v>
          </cell>
          <cell r="D52">
            <v>5.3322310405643742</v>
          </cell>
          <cell r="E52">
            <v>4.7144688644688646</v>
          </cell>
          <cell r="F52">
            <v>5.1237451737451734</v>
          </cell>
          <cell r="G52">
            <v>5.420038910505836</v>
          </cell>
          <cell r="H52">
            <v>5.0425216839433045</v>
          </cell>
          <cell r="I52">
            <v>5.9721028396009208</v>
          </cell>
          <cell r="J52">
            <v>4.5471883786316774</v>
          </cell>
          <cell r="K52">
            <v>4.88215735549971</v>
          </cell>
          <cell r="L52">
            <v>4.7716618635926995</v>
          </cell>
          <cell r="M52">
            <v>5.3371064467766116</v>
          </cell>
          <cell r="N52">
            <v>6.3154502369668242</v>
          </cell>
          <cell r="O52">
            <v>5.747105864432597</v>
          </cell>
          <cell r="P52">
            <v>6.3668316831683169</v>
          </cell>
          <cell r="Q52">
            <v>6.5443396226415107</v>
          </cell>
          <cell r="R52">
            <v>6.2645724258289706</v>
          </cell>
          <cell r="S52">
            <v>6.4862565445026181</v>
          </cell>
        </row>
        <row r="53">
          <cell r="A53" t="str">
            <v>Cuba</v>
          </cell>
          <cell r="B53">
            <v>4.25</v>
          </cell>
          <cell r="C53">
            <v>4.75</v>
          </cell>
          <cell r="D53">
            <v>4.5</v>
          </cell>
          <cell r="E53">
            <v>5</v>
          </cell>
          <cell r="F53">
            <v>4.5</v>
          </cell>
          <cell r="G53">
            <v>4.75</v>
          </cell>
          <cell r="H53">
            <v>4.5</v>
          </cell>
          <cell r="I53">
            <v>5</v>
          </cell>
          <cell r="J53">
            <v>5.5</v>
          </cell>
          <cell r="K53">
            <v>6.5</v>
          </cell>
          <cell r="L53">
            <v>5.1875</v>
          </cell>
          <cell r="M53">
            <v>5.4375</v>
          </cell>
          <cell r="N53">
            <v>5.25</v>
          </cell>
          <cell r="O53">
            <v>5.1851638254613697</v>
          </cell>
          <cell r="P53">
            <v>5.1572175481657077</v>
          </cell>
          <cell r="Q53">
            <v>5.1451718897004515</v>
          </cell>
          <cell r="R53">
            <v>5.1399798604964717</v>
          </cell>
          <cell r="S53">
            <v>8</v>
          </cell>
        </row>
        <row r="54">
          <cell r="A54" t="str">
            <v>Curacao</v>
          </cell>
          <cell r="B54">
            <v>9.5</v>
          </cell>
          <cell r="C54">
            <v>9.5</v>
          </cell>
          <cell r="D54">
            <v>9.5</v>
          </cell>
          <cell r="E54">
            <v>9.5</v>
          </cell>
          <cell r="F54">
            <v>6.5</v>
          </cell>
          <cell r="G54">
            <v>6.5</v>
          </cell>
          <cell r="H54">
            <v>4.75</v>
          </cell>
          <cell r="I54">
            <v>6.75</v>
          </cell>
          <cell r="J54">
            <v>8.25</v>
          </cell>
          <cell r="K54">
            <v>8.25</v>
          </cell>
          <cell r="L54">
            <v>8.75</v>
          </cell>
          <cell r="M54">
            <v>8.5</v>
          </cell>
          <cell r="N54">
            <v>8.5</v>
          </cell>
          <cell r="O54">
            <v>8.5</v>
          </cell>
          <cell r="P54">
            <v>7.5</v>
          </cell>
          <cell r="Q54">
            <v>8</v>
          </cell>
          <cell r="R54">
            <v>7.5</v>
          </cell>
          <cell r="S54">
            <v>7.5</v>
          </cell>
        </row>
        <row r="55">
          <cell r="A55" t="str">
            <v>Cyprus</v>
          </cell>
          <cell r="B55">
            <v>6.0879654348742447</v>
          </cell>
          <cell r="C55">
            <v>6.1893999654158742</v>
          </cell>
          <cell r="D55">
            <v>6.1052910052910052</v>
          </cell>
          <cell r="E55">
            <v>6.0656043956043959</v>
          </cell>
          <cell r="F55">
            <v>6.0890074948898469</v>
          </cell>
          <cell r="G55">
            <v>6.4898832684824894</v>
          </cell>
          <cell r="H55">
            <v>6.2306960016924053</v>
          </cell>
          <cell r="I55">
            <v>5.5775518035303149</v>
          </cell>
          <cell r="J55">
            <v>6.5293345829428304</v>
          </cell>
          <cell r="K55">
            <v>6.4209259617243379</v>
          </cell>
          <cell r="L55">
            <v>6.1511527377521613</v>
          </cell>
          <cell r="M55">
            <v>4.2709895052473765</v>
          </cell>
          <cell r="N55">
            <v>6.1665876777251185</v>
          </cell>
          <cell r="O55">
            <v>4.2772277227722766</v>
          </cell>
          <cell r="P55">
            <v>6.3445544554455449</v>
          </cell>
          <cell r="Q55">
            <v>5.2943396226415089</v>
          </cell>
          <cell r="R55">
            <v>4.343455497382199</v>
          </cell>
          <cell r="S55">
            <v>4.9773123909249559</v>
          </cell>
        </row>
        <row r="56">
          <cell r="A56" t="str">
            <v>Czech Republic</v>
          </cell>
          <cell r="B56">
            <v>3.4375</v>
          </cell>
          <cell r="C56">
            <v>3.0625</v>
          </cell>
          <cell r="D56">
            <v>3.125</v>
          </cell>
          <cell r="E56">
            <v>3.6875</v>
          </cell>
          <cell r="F56">
            <v>2.6003974562798091</v>
          </cell>
          <cell r="G56">
            <v>3.6198443579766533</v>
          </cell>
          <cell r="H56">
            <v>3.5213137296382486</v>
          </cell>
          <cell r="I56">
            <v>3.5587106676899465</v>
          </cell>
          <cell r="J56">
            <v>2.5365510777881908</v>
          </cell>
          <cell r="K56">
            <v>3.6026193698047555</v>
          </cell>
          <cell r="L56">
            <v>3.6420749279538911</v>
          </cell>
          <cell r="M56">
            <v>3.4365067466266863</v>
          </cell>
          <cell r="N56">
            <v>3.3252606635071089</v>
          </cell>
          <cell r="O56">
            <v>3.3255521706016751</v>
          </cell>
          <cell r="P56">
            <v>3.5034653465346537</v>
          </cell>
          <cell r="Q56">
            <v>3.6726415094339622</v>
          </cell>
          <cell r="R56">
            <v>3.0625</v>
          </cell>
          <cell r="S56">
            <v>3.5702443280977314</v>
          </cell>
        </row>
        <row r="57">
          <cell r="A57" t="str">
            <v>Denmark</v>
          </cell>
          <cell r="B57">
            <v>4.2163762821413515</v>
          </cell>
          <cell r="C57">
            <v>3.0399619574615251</v>
          </cell>
          <cell r="D57">
            <v>3.2553439153439157</v>
          </cell>
          <cell r="E57">
            <v>2.8524175824175826</v>
          </cell>
          <cell r="F57">
            <v>4.16160572337043</v>
          </cell>
          <cell r="G57">
            <v>3.07295719844358</v>
          </cell>
          <cell r="H57">
            <v>3.2990585995345882</v>
          </cell>
          <cell r="I57">
            <v>3.6785878741366078</v>
          </cell>
          <cell r="J57">
            <v>3.4473758200562323</v>
          </cell>
          <cell r="K57">
            <v>3.9027256910883432</v>
          </cell>
          <cell r="L57">
            <v>3.2954370797310277</v>
          </cell>
          <cell r="M57">
            <v>4.1251874062968517</v>
          </cell>
          <cell r="N57">
            <v>3.2836492890995261</v>
          </cell>
          <cell r="O57">
            <v>3.3255902513328253</v>
          </cell>
          <cell r="P57">
            <v>4.4747524752475254</v>
          </cell>
          <cell r="Q57">
            <v>5.1283018867924524</v>
          </cell>
          <cell r="R57">
            <v>3.8606457242582892</v>
          </cell>
          <cell r="S57">
            <v>4.663001745200698</v>
          </cell>
        </row>
        <row r="58">
          <cell r="A58" t="str">
            <v>Djibouti</v>
          </cell>
          <cell r="B58">
            <v>9</v>
          </cell>
          <cell r="C58">
            <v>9.125</v>
          </cell>
          <cell r="D58">
            <v>4.95</v>
          </cell>
          <cell r="E58">
            <v>7.625</v>
          </cell>
          <cell r="F58">
            <v>8.125</v>
          </cell>
          <cell r="G58">
            <v>8.125</v>
          </cell>
          <cell r="H58">
            <v>7.5</v>
          </cell>
          <cell r="I58">
            <v>7.25</v>
          </cell>
          <cell r="J58">
            <v>7.5</v>
          </cell>
          <cell r="K58">
            <v>7.75</v>
          </cell>
          <cell r="L58">
            <v>7.625</v>
          </cell>
          <cell r="M58">
            <v>8.25</v>
          </cell>
          <cell r="N58">
            <v>8.125</v>
          </cell>
          <cell r="O58">
            <v>7.625</v>
          </cell>
          <cell r="P58">
            <v>7.375</v>
          </cell>
          <cell r="Q58">
            <v>6.375</v>
          </cell>
          <cell r="R58">
            <v>4.5999999999999996</v>
          </cell>
          <cell r="S58">
            <v>5.5</v>
          </cell>
        </row>
        <row r="59">
          <cell r="A59" t="str">
            <v>Dominica</v>
          </cell>
          <cell r="B59">
            <v>5.7</v>
          </cell>
          <cell r="C59">
            <v>5.95</v>
          </cell>
          <cell r="D59">
            <v>6.05</v>
          </cell>
          <cell r="E59">
            <v>5.8</v>
          </cell>
          <cell r="F59">
            <v>7.25</v>
          </cell>
          <cell r="G59">
            <v>5.7</v>
          </cell>
          <cell r="H59">
            <v>5.5</v>
          </cell>
          <cell r="I59">
            <v>6</v>
          </cell>
          <cell r="J59">
            <v>4.875</v>
          </cell>
          <cell r="K59">
            <v>5.6</v>
          </cell>
          <cell r="L59">
            <v>5.7</v>
          </cell>
          <cell r="M59">
            <v>5.8</v>
          </cell>
          <cell r="N59">
            <v>5.4</v>
          </cell>
          <cell r="O59">
            <v>5.15</v>
          </cell>
          <cell r="P59">
            <v>5.25</v>
          </cell>
          <cell r="Q59">
            <v>7.625</v>
          </cell>
          <cell r="R59">
            <v>6.15</v>
          </cell>
          <cell r="S59">
            <v>8.625</v>
          </cell>
        </row>
        <row r="60">
          <cell r="A60" t="str">
            <v>Dominican Republic</v>
          </cell>
          <cell r="B60">
            <v>4.7449592524940281</v>
          </cell>
          <cell r="C60">
            <v>4.8848492708513458</v>
          </cell>
          <cell r="D60">
            <v>4.8972663139329802</v>
          </cell>
          <cell r="E60">
            <v>4.7929487179487182</v>
          </cell>
          <cell r="F60">
            <v>4.3499999999999996</v>
          </cell>
          <cell r="G60">
            <v>5.5844682230869003</v>
          </cell>
          <cell r="H60">
            <v>5.0494587828784994</v>
          </cell>
          <cell r="I60">
            <v>5.2056152468662065</v>
          </cell>
          <cell r="J60">
            <v>5.0944236176194941</v>
          </cell>
          <cell r="K60">
            <v>4.9011695341194663</v>
          </cell>
          <cell r="L60">
            <v>4.9610550752481588</v>
          </cell>
          <cell r="M60">
            <v>5.0536606696651676</v>
          </cell>
          <cell r="N60">
            <v>4.9721169036334913</v>
          </cell>
          <cell r="O60">
            <v>5.2587903021071343</v>
          </cell>
          <cell r="P60">
            <v>5.291666666666667</v>
          </cell>
          <cell r="Q60">
            <v>5.0676100628930811</v>
          </cell>
          <cell r="R60">
            <v>5.1897178592204769</v>
          </cell>
          <cell r="S60">
            <v>5.2333478766724841</v>
          </cell>
        </row>
        <row r="61">
          <cell r="A61" t="str">
            <v>Early-demographic dividend</v>
          </cell>
          <cell r="B61">
            <v>3.75</v>
          </cell>
          <cell r="C61">
            <v>3.85</v>
          </cell>
          <cell r="D61">
            <v>3.9</v>
          </cell>
          <cell r="E61">
            <v>3.8</v>
          </cell>
          <cell r="F61">
            <v>3.75</v>
          </cell>
          <cell r="G61">
            <v>3.8</v>
          </cell>
          <cell r="H61">
            <v>3.95</v>
          </cell>
          <cell r="I61">
            <v>3.95</v>
          </cell>
          <cell r="J61">
            <v>4.05</v>
          </cell>
          <cell r="K61">
            <v>4.2</v>
          </cell>
          <cell r="L61">
            <v>4.0999999999999996</v>
          </cell>
          <cell r="M61">
            <v>4.25</v>
          </cell>
          <cell r="N61">
            <v>3.95</v>
          </cell>
          <cell r="O61">
            <v>4.5</v>
          </cell>
          <cell r="P61">
            <v>4.2</v>
          </cell>
          <cell r="Q61">
            <v>4.875</v>
          </cell>
          <cell r="R61">
            <v>4.875</v>
          </cell>
          <cell r="S61">
            <v>4.833333333333333</v>
          </cell>
        </row>
        <row r="62">
          <cell r="A62" t="str">
            <v>East Asia &amp; Pacific</v>
          </cell>
          <cell r="B62">
            <v>3.1</v>
          </cell>
          <cell r="C62">
            <v>3</v>
          </cell>
          <cell r="D62">
            <v>2.95</v>
          </cell>
          <cell r="E62">
            <v>3.45</v>
          </cell>
          <cell r="F62">
            <v>3.25</v>
          </cell>
          <cell r="G62">
            <v>3</v>
          </cell>
          <cell r="H62">
            <v>3.4</v>
          </cell>
          <cell r="I62">
            <v>3.45</v>
          </cell>
          <cell r="J62">
            <v>3.3</v>
          </cell>
          <cell r="K62">
            <v>3.1</v>
          </cell>
          <cell r="L62">
            <v>3.25</v>
          </cell>
          <cell r="M62">
            <v>3.3</v>
          </cell>
          <cell r="N62">
            <v>3.15</v>
          </cell>
          <cell r="O62">
            <v>3.4</v>
          </cell>
          <cell r="P62">
            <v>3.2</v>
          </cell>
          <cell r="Q62">
            <v>3.25</v>
          </cell>
          <cell r="R62">
            <v>3.25</v>
          </cell>
          <cell r="S62">
            <v>2.625</v>
          </cell>
        </row>
        <row r="63">
          <cell r="A63" t="str">
            <v>East Asia &amp; Pacific (excluding high income)</v>
          </cell>
          <cell r="B63">
            <v>3.05</v>
          </cell>
          <cell r="C63">
            <v>2.95</v>
          </cell>
          <cell r="D63">
            <v>3.05</v>
          </cell>
          <cell r="E63">
            <v>3.2</v>
          </cell>
          <cell r="F63">
            <v>3.15</v>
          </cell>
          <cell r="G63">
            <v>3.2</v>
          </cell>
          <cell r="H63">
            <v>3.3</v>
          </cell>
          <cell r="I63">
            <v>3.2</v>
          </cell>
          <cell r="J63">
            <v>2.9</v>
          </cell>
          <cell r="K63">
            <v>2.8</v>
          </cell>
          <cell r="L63">
            <v>2.9</v>
          </cell>
          <cell r="M63">
            <v>3</v>
          </cell>
          <cell r="N63">
            <v>2.85</v>
          </cell>
          <cell r="O63">
            <v>3.1</v>
          </cell>
          <cell r="P63">
            <v>2.95</v>
          </cell>
          <cell r="Q63">
            <v>2.85</v>
          </cell>
          <cell r="R63">
            <v>2.85</v>
          </cell>
          <cell r="S63">
            <v>1.75</v>
          </cell>
        </row>
        <row r="64">
          <cell r="A64" t="str">
            <v>East Asia &amp; Pacific (IDA &amp; IBRD countries)</v>
          </cell>
          <cell r="B64">
            <v>3.4</v>
          </cell>
          <cell r="C64">
            <v>3.3</v>
          </cell>
          <cell r="D64">
            <v>3.4</v>
          </cell>
          <cell r="E64">
            <v>3.7</v>
          </cell>
          <cell r="F64">
            <v>3.45</v>
          </cell>
          <cell r="G64">
            <v>3.5</v>
          </cell>
          <cell r="H64">
            <v>3.6</v>
          </cell>
          <cell r="I64">
            <v>3.4</v>
          </cell>
          <cell r="J64">
            <v>3.3</v>
          </cell>
          <cell r="K64">
            <v>2.95</v>
          </cell>
          <cell r="L64">
            <v>3.1</v>
          </cell>
          <cell r="M64">
            <v>3.3</v>
          </cell>
          <cell r="N64">
            <v>3.2</v>
          </cell>
          <cell r="O64">
            <v>3.55</v>
          </cell>
          <cell r="P64">
            <v>3.25</v>
          </cell>
          <cell r="Q64">
            <v>3.6875</v>
          </cell>
          <cell r="R64">
            <v>3.625</v>
          </cell>
          <cell r="S64">
            <v>2.1666666666666665</v>
          </cell>
        </row>
        <row r="65">
          <cell r="A65" t="str">
            <v>Ecuador</v>
          </cell>
          <cell r="B65">
            <v>5.1796929886188003</v>
          </cell>
          <cell r="C65">
            <v>4.9410052452590927</v>
          </cell>
          <cell r="D65">
            <v>5.0111111111111111</v>
          </cell>
          <cell r="E65">
            <v>4.8168498168498166</v>
          </cell>
          <cell r="F65">
            <v>4.5775039745627977</v>
          </cell>
          <cell r="G65">
            <v>4.3706225680933848</v>
          </cell>
          <cell r="H65">
            <v>4.4403250828573446</v>
          </cell>
          <cell r="I65">
            <v>4.6087874136607825</v>
          </cell>
          <cell r="J65">
            <v>5.0859497032177439</v>
          </cell>
          <cell r="K65">
            <v>5.0536680842837809</v>
          </cell>
          <cell r="L65">
            <v>5.0260566762728152</v>
          </cell>
          <cell r="M65">
            <v>5.2576836581709143</v>
          </cell>
          <cell r="N65">
            <v>5.3686413902053713</v>
          </cell>
          <cell r="O65">
            <v>5.581873571972582</v>
          </cell>
          <cell r="P65">
            <v>5.4067656765676562</v>
          </cell>
          <cell r="Q65">
            <v>5.5597484276729565</v>
          </cell>
          <cell r="R65">
            <v>5.5783158813263514</v>
          </cell>
          <cell r="S65">
            <v>4.8323734729493895</v>
          </cell>
        </row>
        <row r="66">
          <cell r="A66" t="str">
            <v>Egypt</v>
          </cell>
          <cell r="B66">
            <v>5.9310629478712942</v>
          </cell>
          <cell r="C66">
            <v>5.8017248832785748</v>
          </cell>
          <cell r="D66">
            <v>5.15</v>
          </cell>
          <cell r="E66">
            <v>4.8</v>
          </cell>
          <cell r="F66">
            <v>4.9350916042092505</v>
          </cell>
          <cell r="G66">
            <v>5.2234111543450057</v>
          </cell>
          <cell r="H66">
            <v>5.3853659826528455</v>
          </cell>
          <cell r="I66">
            <v>5.1945510360706058</v>
          </cell>
          <cell r="J66">
            <v>5.3555529522024372</v>
          </cell>
          <cell r="K66">
            <v>5.4657194406856107</v>
          </cell>
          <cell r="L66">
            <v>5.2932676913224457</v>
          </cell>
          <cell r="M66">
            <v>5.8297726136931542</v>
          </cell>
          <cell r="N66">
            <v>5.6732227488151663</v>
          </cell>
          <cell r="O66">
            <v>5.4113988321909119</v>
          </cell>
          <cell r="P66">
            <v>5.541666666666667</v>
          </cell>
          <cell r="Q66">
            <v>5.9426100628930811</v>
          </cell>
          <cell r="R66">
            <v>5.9706951716114007</v>
          </cell>
          <cell r="S66">
            <v>5.828795811518324</v>
          </cell>
        </row>
        <row r="67">
          <cell r="A67" t="str">
            <v>El Salvador</v>
          </cell>
          <cell r="B67">
            <v>5.5419769565828298</v>
          </cell>
          <cell r="C67">
            <v>5.5324946682805924</v>
          </cell>
          <cell r="D67">
            <v>5.4421075837742512</v>
          </cell>
          <cell r="E67">
            <v>5.1987179487179489</v>
          </cell>
          <cell r="F67">
            <v>5.2710746460746458</v>
          </cell>
          <cell r="G67">
            <v>5.379863813229572</v>
          </cell>
          <cell r="H67">
            <v>4.9518986672308021</v>
          </cell>
          <cell r="I67">
            <v>4.9332629828600671</v>
          </cell>
          <cell r="J67">
            <v>4.9263901905654484</v>
          </cell>
          <cell r="K67">
            <v>5.0713882982150915</v>
          </cell>
          <cell r="L67">
            <v>5.1048270893371752</v>
          </cell>
          <cell r="M67">
            <v>5.3104697651174417</v>
          </cell>
          <cell r="N67">
            <v>5.5880726698262242</v>
          </cell>
          <cell r="O67">
            <v>5.5167237877633921</v>
          </cell>
          <cell r="P67">
            <v>5.336633663366336</v>
          </cell>
          <cell r="Q67">
            <v>5.5306603773584904</v>
          </cell>
          <cell r="R67">
            <v>5.8738365328679469</v>
          </cell>
          <cell r="S67">
            <v>6.1558318789994182</v>
          </cell>
        </row>
        <row r="68">
          <cell r="A68" t="str">
            <v>Equatorial Guinea</v>
          </cell>
          <cell r="B68">
            <v>3.3333333333333335</v>
          </cell>
          <cell r="C68">
            <v>0.66666666666666663</v>
          </cell>
          <cell r="D68">
            <v>3.6666666666666665</v>
          </cell>
          <cell r="E68">
            <v>4.166666666666667</v>
          </cell>
          <cell r="F68">
            <v>3.1666666666666665</v>
          </cell>
          <cell r="G68">
            <v>2.6666666666666665</v>
          </cell>
          <cell r="H68">
            <v>1.6666666666666667</v>
          </cell>
          <cell r="I68">
            <v>0.5</v>
          </cell>
          <cell r="J68">
            <v>1.3333333333333333</v>
          </cell>
          <cell r="K68">
            <v>0.5</v>
          </cell>
          <cell r="L68">
            <v>1.8333333333333333</v>
          </cell>
          <cell r="M68">
            <v>2.3333333333333335</v>
          </cell>
          <cell r="N68">
            <v>3.5</v>
          </cell>
          <cell r="O68">
            <v>2.8333333333333335</v>
          </cell>
          <cell r="P68">
            <v>2.6666666666666665</v>
          </cell>
          <cell r="Q68">
            <v>2.8333333333333335</v>
          </cell>
          <cell r="R68">
            <v>1.5</v>
          </cell>
          <cell r="S68">
            <v>1.6666666666666667</v>
          </cell>
        </row>
        <row r="69">
          <cell r="A69" t="str">
            <v>Eritrea</v>
          </cell>
          <cell r="B69">
            <v>6.25</v>
          </cell>
          <cell r="C69">
            <v>7.25</v>
          </cell>
          <cell r="D69">
            <v>7.25</v>
          </cell>
          <cell r="E69">
            <v>7.875</v>
          </cell>
          <cell r="F69">
            <v>6.125</v>
          </cell>
          <cell r="G69">
            <v>7.6956051873198845</v>
          </cell>
          <cell r="H69">
            <v>6.826567158601101</v>
          </cell>
          <cell r="I69">
            <v>7.3074181716097666</v>
          </cell>
          <cell r="J69">
            <v>7.0413565159969016</v>
          </cell>
          <cell r="K69">
            <v>7.1885721871141062</v>
          </cell>
          <cell r="L69">
            <v>7.1071156774469504</v>
          </cell>
          <cell r="M69">
            <v>7.1521867144962119</v>
          </cell>
          <cell r="N69">
            <v>7.1272482732470532</v>
          </cell>
          <cell r="O69">
            <v>7.1410470649468758</v>
          </cell>
          <cell r="P69">
            <v>7.1334119986461104</v>
          </cell>
          <cell r="Q69">
            <v>7.1376365886453801</v>
          </cell>
          <cell r="R69">
            <v>7.1352990633431901</v>
          </cell>
          <cell r="S69">
            <v>7.2299726141165559</v>
          </cell>
        </row>
        <row r="70">
          <cell r="A70" t="str">
            <v>Estonia</v>
          </cell>
          <cell r="B70">
            <v>5.7553042012083742</v>
          </cell>
          <cell r="C70">
            <v>5.3164793359847833</v>
          </cell>
          <cell r="D70">
            <v>5.7465608465608469</v>
          </cell>
          <cell r="E70">
            <v>5.7057142857142855</v>
          </cell>
          <cell r="F70">
            <v>4.915001135589371</v>
          </cell>
          <cell r="G70">
            <v>4.951945525291829</v>
          </cell>
          <cell r="H70">
            <v>4.726539031097948</v>
          </cell>
          <cell r="I70">
            <v>4.8580583269378357</v>
          </cell>
          <cell r="J70">
            <v>3.4306935332708526</v>
          </cell>
          <cell r="K70">
            <v>4.5625362458921321</v>
          </cell>
          <cell r="L70">
            <v>4.943996157540826</v>
          </cell>
          <cell r="M70">
            <v>4.7705397301349333</v>
          </cell>
          <cell r="N70">
            <v>5.0547867298578195</v>
          </cell>
          <cell r="O70">
            <v>5.1778370144706773</v>
          </cell>
          <cell r="P70">
            <v>5.0678217821782185</v>
          </cell>
          <cell r="Q70">
            <v>4.8933962264150939</v>
          </cell>
          <cell r="R70">
            <v>4.8456369982547987</v>
          </cell>
          <cell r="S70">
            <v>3.2305410122164049</v>
          </cell>
        </row>
        <row r="71">
          <cell r="A71" t="str">
            <v>Eswatini</v>
          </cell>
          <cell r="B71">
            <v>4.3499999999999996</v>
          </cell>
          <cell r="C71">
            <v>4.75</v>
          </cell>
          <cell r="D71">
            <v>4.3499999999999996</v>
          </cell>
          <cell r="E71">
            <v>4.5</v>
          </cell>
          <cell r="F71">
            <v>4.9157298054356877</v>
          </cell>
          <cell r="G71">
            <v>4.8821335927367056</v>
          </cell>
          <cell r="H71">
            <v>5.2208765249277205</v>
          </cell>
          <cell r="I71">
            <v>4.8865118956254792</v>
          </cell>
          <cell r="J71">
            <v>4.8828100593564514</v>
          </cell>
          <cell r="K71">
            <v>4.55</v>
          </cell>
          <cell r="L71">
            <v>4.3</v>
          </cell>
          <cell r="M71">
            <v>4.3499999999999996</v>
          </cell>
          <cell r="N71">
            <v>4.8</v>
          </cell>
          <cell r="O71">
            <v>4.75</v>
          </cell>
          <cell r="P71">
            <v>4.95</v>
          </cell>
          <cell r="Q71">
            <v>3.75</v>
          </cell>
          <cell r="R71">
            <v>4.7</v>
          </cell>
          <cell r="S71">
            <v>4.083333333333333</v>
          </cell>
        </row>
        <row r="72">
          <cell r="A72" t="str">
            <v>Ethiopia</v>
          </cell>
          <cell r="B72">
            <v>5.8047456793592813</v>
          </cell>
          <cell r="C72">
            <v>5.9713888408553801</v>
          </cell>
          <cell r="D72">
            <v>5.5047178130511467</v>
          </cell>
          <cell r="E72">
            <v>5.7152014652014644</v>
          </cell>
          <cell r="F72">
            <v>5.9663676281323346</v>
          </cell>
          <cell r="G72">
            <v>5.4142347600518805</v>
          </cell>
          <cell r="H72">
            <v>5.8067837247020657</v>
          </cell>
          <cell r="I72">
            <v>5.7188859043233569</v>
          </cell>
          <cell r="J72">
            <v>5.6286316776007501</v>
          </cell>
          <cell r="K72">
            <v>5.6687930923384231</v>
          </cell>
          <cell r="L72">
            <v>5.7271853986551386</v>
          </cell>
          <cell r="M72">
            <v>5.4</v>
          </cell>
          <cell r="N72">
            <v>6.1528041074249602</v>
          </cell>
          <cell r="O72">
            <v>6.1071972581873579</v>
          </cell>
          <cell r="P72">
            <v>6.0061881188118811</v>
          </cell>
          <cell r="Q72">
            <v>5.9355345911949682</v>
          </cell>
          <cell r="R72">
            <v>5.8419866201279804</v>
          </cell>
          <cell r="S72">
            <v>5.9083769633507854</v>
          </cell>
        </row>
        <row r="73">
          <cell r="A73" t="str">
            <v>Euro area</v>
          </cell>
          <cell r="B73">
            <v>5.125</v>
          </cell>
          <cell r="C73">
            <v>4.6875</v>
          </cell>
          <cell r="D73">
            <v>4.875</v>
          </cell>
          <cell r="E73">
            <v>4.9375</v>
          </cell>
          <cell r="F73">
            <v>5</v>
          </cell>
          <cell r="G73">
            <v>5.0625</v>
          </cell>
          <cell r="H73">
            <v>5.1875</v>
          </cell>
          <cell r="I73">
            <v>4.625</v>
          </cell>
          <cell r="J73">
            <v>5.375</v>
          </cell>
          <cell r="K73">
            <v>5.0625</v>
          </cell>
          <cell r="L73">
            <v>4.8125</v>
          </cell>
          <cell r="M73">
            <v>3.375</v>
          </cell>
          <cell r="N73">
            <v>4.5</v>
          </cell>
          <cell r="O73">
            <v>3.5</v>
          </cell>
          <cell r="P73">
            <v>4.375</v>
          </cell>
          <cell r="Q73">
            <v>3.5625</v>
          </cell>
          <cell r="R73">
            <v>3.4375</v>
          </cell>
          <cell r="S73">
            <v>4.625</v>
          </cell>
        </row>
        <row r="74">
          <cell r="A74" t="str">
            <v>Europe &amp; Central Asia</v>
          </cell>
          <cell r="B74">
            <v>3.8</v>
          </cell>
          <cell r="C74">
            <v>3.55</v>
          </cell>
          <cell r="D74">
            <v>3.55</v>
          </cell>
          <cell r="E74">
            <v>3.75</v>
          </cell>
          <cell r="F74">
            <v>3.8</v>
          </cell>
          <cell r="G74">
            <v>3.65</v>
          </cell>
          <cell r="H74">
            <v>3.6</v>
          </cell>
          <cell r="I74">
            <v>3.25</v>
          </cell>
          <cell r="J74">
            <v>3.8</v>
          </cell>
          <cell r="K74">
            <v>3.85</v>
          </cell>
          <cell r="L74">
            <v>3.65</v>
          </cell>
          <cell r="M74">
            <v>2.4</v>
          </cell>
          <cell r="N74">
            <v>3.25</v>
          </cell>
          <cell r="O74">
            <v>2.8</v>
          </cell>
          <cell r="P74">
            <v>3</v>
          </cell>
          <cell r="Q74">
            <v>2.9</v>
          </cell>
          <cell r="R74">
            <v>2.85</v>
          </cell>
          <cell r="S74">
            <v>3.2</v>
          </cell>
        </row>
        <row r="75">
          <cell r="A75" t="str">
            <v>Europe &amp; Central Asia (excluding high income)</v>
          </cell>
          <cell r="B75">
            <v>4.45</v>
          </cell>
          <cell r="C75">
            <v>4.1500000000000004</v>
          </cell>
          <cell r="D75">
            <v>4.5999999999999996</v>
          </cell>
          <cell r="E75">
            <v>4.3499999999999996</v>
          </cell>
          <cell r="F75">
            <v>4.1500000000000004</v>
          </cell>
          <cell r="G75">
            <v>4.3</v>
          </cell>
          <cell r="H75">
            <v>4.1500000000000004</v>
          </cell>
          <cell r="I75">
            <v>4.0999999999999996</v>
          </cell>
          <cell r="J75">
            <v>4.25</v>
          </cell>
          <cell r="K75">
            <v>4.7</v>
          </cell>
          <cell r="L75">
            <v>4.4000000000000004</v>
          </cell>
          <cell r="M75">
            <v>4.2</v>
          </cell>
          <cell r="N75">
            <v>4.3499999999999996</v>
          </cell>
          <cell r="O75">
            <v>4.3499999999999996</v>
          </cell>
          <cell r="P75">
            <v>4.3</v>
          </cell>
          <cell r="Q75">
            <v>2.9166666666666665</v>
          </cell>
          <cell r="R75">
            <v>5.3</v>
          </cell>
          <cell r="S75">
            <v>5.3125</v>
          </cell>
        </row>
        <row r="76">
          <cell r="A76" t="str">
            <v>Europe &amp; Central Asia (IDA &amp; IBRD countries)</v>
          </cell>
          <cell r="B76">
            <v>3.95</v>
          </cell>
          <cell r="C76">
            <v>3.85</v>
          </cell>
          <cell r="D76">
            <v>4.2</v>
          </cell>
          <cell r="E76">
            <v>3.85</v>
          </cell>
          <cell r="F76">
            <v>3.85</v>
          </cell>
          <cell r="G76">
            <v>3.65</v>
          </cell>
          <cell r="H76">
            <v>3.85</v>
          </cell>
          <cell r="I76">
            <v>3.85</v>
          </cell>
          <cell r="J76">
            <v>3.85</v>
          </cell>
          <cell r="K76">
            <v>4.1500000000000004</v>
          </cell>
          <cell r="L76">
            <v>3.9</v>
          </cell>
          <cell r="M76">
            <v>3.8</v>
          </cell>
          <cell r="N76">
            <v>4</v>
          </cell>
          <cell r="O76">
            <v>4.05</v>
          </cell>
          <cell r="P76">
            <v>4.25</v>
          </cell>
          <cell r="Q76">
            <v>1.75</v>
          </cell>
          <cell r="R76">
            <v>5.75</v>
          </cell>
          <cell r="S76">
            <v>5.25</v>
          </cell>
        </row>
        <row r="77">
          <cell r="A77" t="str">
            <v>European Union</v>
          </cell>
          <cell r="B77">
            <v>4.1500000000000004</v>
          </cell>
          <cell r="C77">
            <v>3.85</v>
          </cell>
          <cell r="D77">
            <v>3.7</v>
          </cell>
          <cell r="E77">
            <v>3.85</v>
          </cell>
          <cell r="F77">
            <v>5.0625</v>
          </cell>
          <cell r="G77">
            <v>4.8125</v>
          </cell>
          <cell r="H77">
            <v>5</v>
          </cell>
          <cell r="I77">
            <v>4.6875</v>
          </cell>
          <cell r="J77">
            <v>5.0625</v>
          </cell>
          <cell r="K77">
            <v>5</v>
          </cell>
          <cell r="L77">
            <v>4.75</v>
          </cell>
          <cell r="M77">
            <v>3.3125</v>
          </cell>
          <cell r="N77">
            <v>4.5625</v>
          </cell>
          <cell r="O77">
            <v>4.125</v>
          </cell>
          <cell r="P77">
            <v>4.6875</v>
          </cell>
          <cell r="Q77">
            <v>3.875</v>
          </cell>
          <cell r="R77">
            <v>3.25</v>
          </cell>
          <cell r="S77">
            <v>4.3125</v>
          </cell>
        </row>
        <row r="78">
          <cell r="A78" t="str">
            <v>Faroe Islands</v>
          </cell>
          <cell r="B78">
            <v>5.333333333333333</v>
          </cell>
          <cell r="C78">
            <v>5.583333333333333</v>
          </cell>
          <cell r="D78">
            <v>5.5</v>
          </cell>
          <cell r="E78">
            <v>5.5277777777777768</v>
          </cell>
          <cell r="F78">
            <v>5.5185185185185173</v>
          </cell>
          <cell r="G78">
            <v>5.5216049382716044</v>
          </cell>
          <cell r="H78">
            <v>5.5205761316872417</v>
          </cell>
          <cell r="I78">
            <v>5.5209190672153632</v>
          </cell>
          <cell r="J78">
            <v>5.520804755372656</v>
          </cell>
          <cell r="K78">
            <v>5.5208428593202257</v>
          </cell>
          <cell r="L78">
            <v>5.5208301580043697</v>
          </cell>
          <cell r="M78">
            <v>5.5208343917763223</v>
          </cell>
          <cell r="N78">
            <v>5.5208329805190051</v>
          </cell>
          <cell r="O78">
            <v>5.5208334509381096</v>
          </cell>
          <cell r="P78">
            <v>5.5208332941317417</v>
          </cell>
          <cell r="Q78">
            <v>5.5208333464005319</v>
          </cell>
          <cell r="R78">
            <v>5.5208333289776022</v>
          </cell>
          <cell r="S78">
            <v>5.1494870990115089</v>
          </cell>
        </row>
        <row r="79">
          <cell r="A79" t="str">
            <v>Fiji</v>
          </cell>
          <cell r="B79">
            <v>6</v>
          </cell>
          <cell r="C79">
            <v>5.9</v>
          </cell>
          <cell r="D79">
            <v>6.25</v>
          </cell>
          <cell r="E79">
            <v>6.3</v>
          </cell>
          <cell r="F79">
            <v>6.1</v>
          </cell>
          <cell r="G79">
            <v>6.5150778210116727</v>
          </cell>
          <cell r="H79">
            <v>6.1072209294125939</v>
          </cell>
          <cell r="I79">
            <v>5.9330391404451275</v>
          </cell>
          <cell r="J79">
            <v>6.32220399875039</v>
          </cell>
          <cell r="K79">
            <v>5.6</v>
          </cell>
          <cell r="L79">
            <v>5.25</v>
          </cell>
          <cell r="M79">
            <v>5.6</v>
          </cell>
          <cell r="N79">
            <v>5.5</v>
          </cell>
          <cell r="O79">
            <v>6.05</v>
          </cell>
          <cell r="P79">
            <v>6.45</v>
          </cell>
          <cell r="Q79">
            <v>6.25</v>
          </cell>
          <cell r="R79">
            <v>6.65</v>
          </cell>
          <cell r="S79">
            <v>8</v>
          </cell>
        </row>
        <row r="80">
          <cell r="A80" t="str">
            <v>Finland</v>
          </cell>
          <cell r="B80">
            <v>5.0133061683293523</v>
          </cell>
          <cell r="C80">
            <v>4.4591302092339618</v>
          </cell>
          <cell r="D80">
            <v>2.8688359788359792</v>
          </cell>
          <cell r="E80">
            <v>4.5463736263736267</v>
          </cell>
          <cell r="F80">
            <v>3.1870769929593457</v>
          </cell>
          <cell r="G80">
            <v>3.8490272373540861</v>
          </cell>
          <cell r="H80">
            <v>3.3495557436005923</v>
          </cell>
          <cell r="I80">
            <v>4.8077129700690708</v>
          </cell>
          <cell r="J80">
            <v>4.6622774133083409</v>
          </cell>
          <cell r="K80">
            <v>3.8466653779238356</v>
          </cell>
          <cell r="L80">
            <v>4.8535062439961578</v>
          </cell>
          <cell r="M80">
            <v>3.0787106446776611</v>
          </cell>
          <cell r="N80">
            <v>4.7809478672985772</v>
          </cell>
          <cell r="O80">
            <v>3.3450114242193449</v>
          </cell>
          <cell r="P80">
            <v>4.6811881188118809</v>
          </cell>
          <cell r="Q80">
            <v>4.7405660377358485</v>
          </cell>
          <cell r="R80">
            <v>3.1733856893542756</v>
          </cell>
          <cell r="S80">
            <v>4.3827225130890053</v>
          </cell>
        </row>
        <row r="81">
          <cell r="A81" t="str">
            <v>Fragile and conflict affected situations</v>
          </cell>
          <cell r="B81">
            <v>4.0625</v>
          </cell>
          <cell r="C81">
            <v>4.0999999999999996</v>
          </cell>
          <cell r="D81">
            <v>4.4000000000000004</v>
          </cell>
          <cell r="E81">
            <v>4.2</v>
          </cell>
          <cell r="F81">
            <v>5</v>
          </cell>
          <cell r="G81">
            <v>4.5625</v>
          </cell>
          <cell r="H81">
            <v>3</v>
          </cell>
          <cell r="I81">
            <v>3.95</v>
          </cell>
          <cell r="J81">
            <v>3.1666666666666665</v>
          </cell>
          <cell r="K81">
            <v>3.3333333333333335</v>
          </cell>
          <cell r="L81">
            <v>3.6666666666666665</v>
          </cell>
          <cell r="M81">
            <v>3.6666666666666665</v>
          </cell>
          <cell r="N81">
            <v>3.3333333333333335</v>
          </cell>
          <cell r="O81">
            <v>3.1666666666666665</v>
          </cell>
          <cell r="P81">
            <v>3.3333333333333335</v>
          </cell>
          <cell r="Q81">
            <v>1.5</v>
          </cell>
          <cell r="R81">
            <v>2.5</v>
          </cell>
          <cell r="S81">
            <v>2</v>
          </cell>
        </row>
        <row r="82">
          <cell r="A82" t="str">
            <v>France</v>
          </cell>
          <cell r="B82">
            <v>3.7432696360826192</v>
          </cell>
          <cell r="C82">
            <v>3.4360539512363828</v>
          </cell>
          <cell r="D82">
            <v>3.108835978835979</v>
          </cell>
          <cell r="E82">
            <v>3.1835164835164838</v>
          </cell>
          <cell r="F82">
            <v>3.4118214853508975</v>
          </cell>
          <cell r="G82">
            <v>3.3381322957198449</v>
          </cell>
          <cell r="H82">
            <v>3.3321874338904167</v>
          </cell>
          <cell r="I82">
            <v>2.8334996162701458</v>
          </cell>
          <cell r="J82">
            <v>3.3514526710402999</v>
          </cell>
          <cell r="K82">
            <v>3.0732263676783296</v>
          </cell>
          <cell r="L82">
            <v>3.1191162343900096</v>
          </cell>
          <cell r="M82">
            <v>3.9762368815592204</v>
          </cell>
          <cell r="N82">
            <v>3.5425118483412321</v>
          </cell>
          <cell r="O82">
            <v>3.222962680883473</v>
          </cell>
          <cell r="P82">
            <v>4.0658415841584157</v>
          </cell>
          <cell r="Q82">
            <v>4.3622641509433961</v>
          </cell>
          <cell r="R82">
            <v>3.0048865619546246</v>
          </cell>
          <cell r="S82">
            <v>4.2779232111692842</v>
          </cell>
        </row>
        <row r="83">
          <cell r="A83" t="str">
            <v>French Polynesia</v>
          </cell>
          <cell r="B83">
            <v>2.75</v>
          </cell>
          <cell r="C83">
            <v>2.75</v>
          </cell>
          <cell r="D83">
            <v>2.6875</v>
          </cell>
          <cell r="E83">
            <v>3.1875</v>
          </cell>
          <cell r="F83">
            <v>3.75</v>
          </cell>
          <cell r="G83">
            <v>4.25</v>
          </cell>
          <cell r="H83">
            <v>3.75</v>
          </cell>
          <cell r="I83">
            <v>3.25</v>
          </cell>
          <cell r="J83">
            <v>3.375</v>
          </cell>
          <cell r="K83">
            <v>2.875</v>
          </cell>
          <cell r="L83">
            <v>3.3125</v>
          </cell>
          <cell r="M83">
            <v>2.8125</v>
          </cell>
          <cell r="N83">
            <v>2.9375</v>
          </cell>
          <cell r="O83">
            <v>3.5</v>
          </cell>
          <cell r="P83">
            <v>3.125</v>
          </cell>
          <cell r="Q83">
            <v>3.25</v>
          </cell>
          <cell r="R83">
            <v>2.75</v>
          </cell>
          <cell r="S83">
            <v>3.25</v>
          </cell>
        </row>
        <row r="84">
          <cell r="A84" t="str">
            <v>Gabon</v>
          </cell>
          <cell r="B84">
            <v>4.5999999999999996</v>
          </cell>
          <cell r="C84">
            <v>3.95</v>
          </cell>
          <cell r="D84">
            <v>4.3499999999999996</v>
          </cell>
          <cell r="E84">
            <v>3.9</v>
          </cell>
          <cell r="F84">
            <v>4</v>
          </cell>
          <cell r="G84">
            <v>3.6021400778210118</v>
          </cell>
          <cell r="H84">
            <v>3.5258796981877158</v>
          </cell>
          <cell r="I84">
            <v>3</v>
          </cell>
          <cell r="J84">
            <v>2.5499999999999998</v>
          </cell>
          <cell r="K84">
            <v>3.5</v>
          </cell>
          <cell r="L84">
            <v>4.3499999999999996</v>
          </cell>
          <cell r="M84">
            <v>4.45</v>
          </cell>
          <cell r="N84">
            <v>4.3</v>
          </cell>
          <cell r="O84">
            <v>4.3</v>
          </cell>
          <cell r="P84">
            <v>4.45</v>
          </cell>
          <cell r="Q84">
            <v>3.0833333333333335</v>
          </cell>
          <cell r="R84">
            <v>4.5999999999999996</v>
          </cell>
          <cell r="S84">
            <v>3</v>
          </cell>
        </row>
        <row r="85">
          <cell r="A85" t="str">
            <v>Gambia</v>
          </cell>
          <cell r="B85">
            <v>6.9375</v>
          </cell>
          <cell r="C85">
            <v>6.1476958326128299</v>
          </cell>
          <cell r="D85">
            <v>6.0547178130511456</v>
          </cell>
          <cell r="E85">
            <v>5.7719780219780219</v>
          </cell>
          <cell r="F85">
            <v>6.15</v>
          </cell>
          <cell r="G85">
            <v>6.6642347600518805</v>
          </cell>
          <cell r="H85">
            <v>6.3757227981101465</v>
          </cell>
          <cell r="I85">
            <v>6.1431951905858275</v>
          </cell>
          <cell r="J85">
            <v>7.1915807560137459</v>
          </cell>
          <cell r="K85">
            <v>6.55</v>
          </cell>
          <cell r="L85">
            <v>7.2</v>
          </cell>
          <cell r="M85">
            <v>5.9</v>
          </cell>
          <cell r="N85">
            <v>6.55</v>
          </cell>
          <cell r="O85">
            <v>6.45</v>
          </cell>
          <cell r="P85">
            <v>6.9</v>
          </cell>
          <cell r="Q85">
            <v>8</v>
          </cell>
          <cell r="R85">
            <v>7.8125</v>
          </cell>
          <cell r="S85">
            <v>8.8333333333333339</v>
          </cell>
        </row>
        <row r="86">
          <cell r="A86" t="str">
            <v>Georgia</v>
          </cell>
          <cell r="B86">
            <v>6.7330687087255869</v>
          </cell>
          <cell r="C86">
            <v>6.864055565162257</v>
          </cell>
          <cell r="D86">
            <v>7.0130511463844796</v>
          </cell>
          <cell r="E86">
            <v>6.5725274725274723</v>
          </cell>
          <cell r="F86">
            <v>6.459402679990915</v>
          </cell>
          <cell r="G86">
            <v>6.474221789883269</v>
          </cell>
          <cell r="H86">
            <v>6.5107361963190185</v>
          </cell>
          <cell r="I86">
            <v>6.3839856740854444</v>
          </cell>
          <cell r="J86">
            <v>6.9518509840674794</v>
          </cell>
          <cell r="K86">
            <v>6.9195260648237644</v>
          </cell>
          <cell r="L86">
            <v>6.6079490874159461</v>
          </cell>
          <cell r="M86">
            <v>6.625</v>
          </cell>
          <cell r="N86">
            <v>6.2477488151658775</v>
          </cell>
          <cell r="O86">
            <v>6.6301408987052541</v>
          </cell>
          <cell r="P86">
            <v>6.5507425742574261</v>
          </cell>
          <cell r="Q86">
            <v>6.4040880503144644</v>
          </cell>
          <cell r="R86">
            <v>6.3465677719604416</v>
          </cell>
          <cell r="S86">
            <v>6.1207824316463055</v>
          </cell>
        </row>
        <row r="87">
          <cell r="A87" t="str">
            <v>Germany</v>
          </cell>
          <cell r="B87">
            <v>2.526303217647885</v>
          </cell>
          <cell r="C87">
            <v>2.3170413280304336</v>
          </cell>
          <cell r="D87">
            <v>2.6404761904761904</v>
          </cell>
          <cell r="E87">
            <v>3.2456043956043956</v>
          </cell>
          <cell r="F87">
            <v>3.1556325232795821</v>
          </cell>
          <cell r="G87">
            <v>3.0669260700389103</v>
          </cell>
          <cell r="H87">
            <v>3.0052570340596576</v>
          </cell>
          <cell r="I87">
            <v>2.4861473522640063</v>
          </cell>
          <cell r="J87">
            <v>2.87174320524836</v>
          </cell>
          <cell r="K87">
            <v>2.7724434564082738</v>
          </cell>
          <cell r="L87">
            <v>3.2573487031700288</v>
          </cell>
          <cell r="M87">
            <v>3.7386806596701647</v>
          </cell>
          <cell r="N87">
            <v>2.9431279620853079</v>
          </cell>
          <cell r="O87">
            <v>3.7629093678598631</v>
          </cell>
          <cell r="P87">
            <v>2.974752475247525</v>
          </cell>
          <cell r="Q87">
            <v>2.7792452830188674</v>
          </cell>
          <cell r="R87">
            <v>2.407155322862129</v>
          </cell>
          <cell r="S87">
            <v>2.6780977312390926</v>
          </cell>
        </row>
        <row r="88">
          <cell r="A88" t="str">
            <v>Ghana</v>
          </cell>
          <cell r="B88">
            <v>5.9</v>
          </cell>
          <cell r="C88">
            <v>6.1</v>
          </cell>
          <cell r="D88">
            <v>5.85</v>
          </cell>
          <cell r="E88">
            <v>6.3845238095238095</v>
          </cell>
          <cell r="F88">
            <v>6.3529790294496182</v>
          </cell>
          <cell r="G88">
            <v>6.001621271076524</v>
          </cell>
          <cell r="H88">
            <v>5.6856180805302872</v>
          </cell>
          <cell r="I88">
            <v>5.8121962138654384</v>
          </cell>
          <cell r="J88">
            <v>6.1327319587628866</v>
          </cell>
          <cell r="K88">
            <v>6.026499774470004</v>
          </cell>
          <cell r="L88">
            <v>5.3</v>
          </cell>
          <cell r="M88">
            <v>5.8288980509745123</v>
          </cell>
          <cell r="N88">
            <v>6.0343996840442342</v>
          </cell>
          <cell r="O88">
            <v>5.522420030464585</v>
          </cell>
          <cell r="P88">
            <v>5.3261138613861387</v>
          </cell>
          <cell r="Q88">
            <v>5.128537735849056</v>
          </cell>
          <cell r="R88">
            <v>5.471713205351949</v>
          </cell>
          <cell r="S88">
            <v>4.8224258289703315</v>
          </cell>
        </row>
        <row r="89">
          <cell r="A89" t="str">
            <v>Greece</v>
          </cell>
          <cell r="B89">
            <v>5.4565125755233943</v>
          </cell>
          <cell r="C89">
            <v>5.4159778661594329</v>
          </cell>
          <cell r="D89">
            <v>5.4495767195767204</v>
          </cell>
          <cell r="E89">
            <v>5.3073626373626377</v>
          </cell>
          <cell r="F89">
            <v>5.3963547581194629</v>
          </cell>
          <cell r="G89">
            <v>5.5301556420233471</v>
          </cell>
          <cell r="H89">
            <v>5.6719166490374437</v>
          </cell>
          <cell r="I89">
            <v>5.3911742133537981</v>
          </cell>
          <cell r="J89">
            <v>5.5004217432052487</v>
          </cell>
          <cell r="K89">
            <v>5.7257104194857913</v>
          </cell>
          <cell r="L89">
            <v>5.8081652257444762</v>
          </cell>
          <cell r="M89">
            <v>5.9045727136431783</v>
          </cell>
          <cell r="N89">
            <v>6.1745023696682466</v>
          </cell>
          <cell r="O89">
            <v>6.2653846153846153</v>
          </cell>
          <cell r="P89">
            <v>6.3564356435643568</v>
          </cell>
          <cell r="Q89">
            <v>6.4858490566037732</v>
          </cell>
          <cell r="R89">
            <v>6.0506108202443283</v>
          </cell>
          <cell r="S89">
            <v>6.4424956369982542</v>
          </cell>
        </row>
        <row r="90">
          <cell r="A90" t="str">
            <v>Greenland</v>
          </cell>
          <cell r="B90">
            <v>5.5</v>
          </cell>
          <cell r="C90">
            <v>5.583333333333333</v>
          </cell>
          <cell r="D90">
            <v>4.916666666666667</v>
          </cell>
          <cell r="E90">
            <v>4.416666666666667</v>
          </cell>
          <cell r="F90">
            <v>4.166666666666667</v>
          </cell>
          <cell r="G90">
            <v>4.333333333333333</v>
          </cell>
          <cell r="H90">
            <v>3.75</v>
          </cell>
          <cell r="I90">
            <v>3.75</v>
          </cell>
          <cell r="J90">
            <v>4</v>
          </cell>
          <cell r="K90">
            <v>3.4166666666666665</v>
          </cell>
          <cell r="L90">
            <v>4.083333333333333</v>
          </cell>
          <cell r="M90">
            <v>4</v>
          </cell>
          <cell r="N90">
            <v>3.9767194092827003</v>
          </cell>
          <cell r="O90">
            <v>3.9608326163008063</v>
          </cell>
          <cell r="P90">
            <v>3.9499913883305036</v>
          </cell>
          <cell r="Q90">
            <v>3.9425932794712759</v>
          </cell>
          <cell r="R90">
            <v>3.9375447725269592</v>
          </cell>
          <cell r="S90">
            <v>2.7887342447559771</v>
          </cell>
        </row>
        <row r="91">
          <cell r="A91" t="str">
            <v>Grenada</v>
          </cell>
          <cell r="B91">
            <v>5.05</v>
          </cell>
          <cell r="C91">
            <v>5.7</v>
          </cell>
          <cell r="D91">
            <v>8.125</v>
          </cell>
          <cell r="E91">
            <v>5.7</v>
          </cell>
          <cell r="F91">
            <v>5.35</v>
          </cell>
          <cell r="G91">
            <v>5.3</v>
          </cell>
          <cell r="H91">
            <v>5.0999999999999996</v>
          </cell>
          <cell r="I91">
            <v>5.6</v>
          </cell>
          <cell r="J91">
            <v>5.55</v>
          </cell>
          <cell r="K91">
            <v>5.75</v>
          </cell>
          <cell r="L91">
            <v>4.8499999999999996</v>
          </cell>
          <cell r="M91">
            <v>5.45</v>
          </cell>
          <cell r="N91">
            <v>4.95</v>
          </cell>
          <cell r="O91">
            <v>5.85</v>
          </cell>
          <cell r="P91">
            <v>5.85</v>
          </cell>
          <cell r="Q91">
            <v>4.5</v>
          </cell>
          <cell r="R91">
            <v>4.45</v>
          </cell>
          <cell r="S91">
            <v>5.833333333333333</v>
          </cell>
        </row>
        <row r="92">
          <cell r="A92" t="str">
            <v>Guatemala</v>
          </cell>
          <cell r="B92">
            <v>6.0092267341108148</v>
          </cell>
          <cell r="C92">
            <v>5.7888783215170898</v>
          </cell>
          <cell r="D92">
            <v>5.9901675485008816</v>
          </cell>
          <cell r="E92">
            <v>6.056227106227106</v>
          </cell>
          <cell r="F92">
            <v>5.8888825800590503</v>
          </cell>
          <cell r="G92">
            <v>5.7905317769130997</v>
          </cell>
          <cell r="H92">
            <v>5.9052958183484945</v>
          </cell>
          <cell r="I92">
            <v>5.7131939114863135</v>
          </cell>
          <cell r="J92">
            <v>5.6494064354889098</v>
          </cell>
          <cell r="K92">
            <v>5.4225465558347823</v>
          </cell>
          <cell r="L92">
            <v>5.3157620877361511</v>
          </cell>
          <cell r="M92">
            <v>5.2979760119940025</v>
          </cell>
          <cell r="N92">
            <v>5.3740521327014221</v>
          </cell>
          <cell r="O92">
            <v>5.3043919776593045</v>
          </cell>
          <cell r="P92">
            <v>5.6163366336633658</v>
          </cell>
          <cell r="Q92">
            <v>5.2633647798742134</v>
          </cell>
          <cell r="R92">
            <v>5.340023269342641</v>
          </cell>
          <cell r="S92">
            <v>5.7464223385689355</v>
          </cell>
        </row>
        <row r="93">
          <cell r="A93" t="str">
            <v>Guinea</v>
          </cell>
          <cell r="B93">
            <v>5.45</v>
          </cell>
          <cell r="C93">
            <v>5.85</v>
          </cell>
          <cell r="D93">
            <v>5.125</v>
          </cell>
          <cell r="E93">
            <v>6.25</v>
          </cell>
          <cell r="F93">
            <v>6.875</v>
          </cell>
          <cell r="G93">
            <v>6.375</v>
          </cell>
          <cell r="H93">
            <v>5.2750511247443761</v>
          </cell>
          <cell r="I93">
            <v>5.7156242005628037</v>
          </cell>
          <cell r="J93">
            <v>5.4727428928459858</v>
          </cell>
          <cell r="K93">
            <v>6.0799987112571685</v>
          </cell>
          <cell r="L93">
            <v>7.1366474543707978</v>
          </cell>
          <cell r="M93">
            <v>6.729135432283857</v>
          </cell>
          <cell r="N93">
            <v>5.7667456556082142</v>
          </cell>
          <cell r="O93">
            <v>6.1780274181264287</v>
          </cell>
          <cell r="P93">
            <v>5.887788778877888</v>
          </cell>
          <cell r="Q93">
            <v>6.416666666666667</v>
          </cell>
          <cell r="R93">
            <v>6.575479930191972</v>
          </cell>
          <cell r="S93">
            <v>5</v>
          </cell>
        </row>
        <row r="94">
          <cell r="A94" t="str">
            <v>Guinea-Bissau</v>
          </cell>
          <cell r="B94">
            <v>7.5</v>
          </cell>
          <cell r="C94">
            <v>7.125</v>
          </cell>
          <cell r="D94">
            <v>7.75</v>
          </cell>
          <cell r="E94">
            <v>7.875</v>
          </cell>
          <cell r="F94">
            <v>6.125</v>
          </cell>
          <cell r="G94">
            <v>5.25</v>
          </cell>
          <cell r="H94">
            <v>6</v>
          </cell>
          <cell r="I94">
            <v>7.583333333333333</v>
          </cell>
          <cell r="J94">
            <v>7.1</v>
          </cell>
          <cell r="K94">
            <v>7.333333333333333</v>
          </cell>
          <cell r="L94">
            <v>6.833333333333333</v>
          </cell>
          <cell r="M94">
            <v>7.6875</v>
          </cell>
          <cell r="N94">
            <v>7.375</v>
          </cell>
          <cell r="O94">
            <v>6.625</v>
          </cell>
          <cell r="P94">
            <v>6.25</v>
          </cell>
          <cell r="Q94">
            <v>6.375</v>
          </cell>
          <cell r="R94">
            <v>6.375</v>
          </cell>
          <cell r="S94">
            <v>6.625</v>
          </cell>
        </row>
        <row r="95">
          <cell r="A95" t="str">
            <v>Guyana</v>
          </cell>
          <cell r="B95">
            <v>6.75392838742916</v>
          </cell>
          <cell r="C95">
            <v>6.9538518070205777</v>
          </cell>
          <cell r="D95">
            <v>7.0238977072310407</v>
          </cell>
          <cell r="E95">
            <v>6.8736263736263732</v>
          </cell>
          <cell r="F95">
            <v>6.5973578620637445</v>
          </cell>
          <cell r="G95">
            <v>6.160343709468223</v>
          </cell>
          <cell r="H95">
            <v>6.3030463295959391</v>
          </cell>
          <cell r="I95">
            <v>6.7828728575083135</v>
          </cell>
          <cell r="J95">
            <v>5.9230709153389567</v>
          </cell>
          <cell r="K95">
            <v>5.45</v>
          </cell>
          <cell r="L95">
            <v>5.35</v>
          </cell>
          <cell r="M95">
            <v>5.65</v>
          </cell>
          <cell r="N95">
            <v>4.8499999999999996</v>
          </cell>
          <cell r="O95">
            <v>4.9000000000000004</v>
          </cell>
          <cell r="P95">
            <v>4.3</v>
          </cell>
          <cell r="Q95">
            <v>3.7</v>
          </cell>
          <cell r="R95">
            <v>3.15</v>
          </cell>
          <cell r="S95">
            <v>3.85</v>
          </cell>
        </row>
        <row r="96">
          <cell r="A96" t="str">
            <v>Haiti</v>
          </cell>
          <cell r="B96">
            <v>4.25</v>
          </cell>
          <cell r="C96">
            <v>4.5</v>
          </cell>
          <cell r="D96">
            <v>4.375</v>
          </cell>
          <cell r="E96">
            <v>5.25</v>
          </cell>
          <cell r="F96">
            <v>4.5</v>
          </cell>
          <cell r="G96">
            <v>4.375</v>
          </cell>
          <cell r="H96">
            <v>4.125</v>
          </cell>
          <cell r="I96">
            <v>4.125</v>
          </cell>
          <cell r="J96">
            <v>4.5</v>
          </cell>
          <cell r="K96">
            <v>4.375</v>
          </cell>
          <cell r="L96">
            <v>5.125</v>
          </cell>
          <cell r="M96">
            <v>4.5</v>
          </cell>
          <cell r="N96">
            <v>3.875</v>
          </cell>
          <cell r="O96">
            <v>3.625</v>
          </cell>
          <cell r="P96">
            <v>3.5</v>
          </cell>
          <cell r="Q96">
            <v>3.625</v>
          </cell>
          <cell r="R96">
            <v>3.5</v>
          </cell>
          <cell r="S96">
            <v>3.375</v>
          </cell>
        </row>
        <row r="97">
          <cell r="A97" t="str">
            <v>Heavily indebted poor countries (HIPC)</v>
          </cell>
          <cell r="B97">
            <v>6.95</v>
          </cell>
          <cell r="C97">
            <v>7.15</v>
          </cell>
          <cell r="D97">
            <v>7.3</v>
          </cell>
          <cell r="E97">
            <v>7.45</v>
          </cell>
          <cell r="F97">
            <v>7</v>
          </cell>
          <cell r="G97">
            <v>6.95</v>
          </cell>
          <cell r="H97">
            <v>7</v>
          </cell>
          <cell r="I97">
            <v>6.9</v>
          </cell>
          <cell r="J97">
            <v>6.9</v>
          </cell>
          <cell r="K97">
            <v>6.65</v>
          </cell>
          <cell r="L97">
            <v>6.7</v>
          </cell>
          <cell r="M97">
            <v>7</v>
          </cell>
          <cell r="N97">
            <v>6.8</v>
          </cell>
          <cell r="O97">
            <v>6.8</v>
          </cell>
          <cell r="P97">
            <v>6.75</v>
          </cell>
          <cell r="Q97">
            <v>4.5</v>
          </cell>
          <cell r="R97">
            <v>6.8125</v>
          </cell>
          <cell r="S97">
            <v>5</v>
          </cell>
        </row>
        <row r="98">
          <cell r="A98" t="str">
            <v>High income</v>
          </cell>
          <cell r="B98">
            <v>3.35</v>
          </cell>
          <cell r="C98">
            <v>3.1</v>
          </cell>
          <cell r="D98">
            <v>2.9</v>
          </cell>
          <cell r="E98">
            <v>3.15</v>
          </cell>
          <cell r="F98">
            <v>3.05</v>
          </cell>
          <cell r="G98">
            <v>3.15</v>
          </cell>
          <cell r="H98">
            <v>3</v>
          </cell>
          <cell r="I98">
            <v>3.1</v>
          </cell>
          <cell r="J98">
            <v>3.5</v>
          </cell>
          <cell r="K98">
            <v>3.4</v>
          </cell>
          <cell r="L98">
            <v>3.2</v>
          </cell>
          <cell r="M98">
            <v>2.2000000000000002</v>
          </cell>
          <cell r="N98">
            <v>2.8</v>
          </cell>
          <cell r="O98">
            <v>2.5499999999999998</v>
          </cell>
          <cell r="P98">
            <v>2.9</v>
          </cell>
          <cell r="Q98">
            <v>2.9</v>
          </cell>
          <cell r="R98">
            <v>2.4500000000000002</v>
          </cell>
          <cell r="S98">
            <v>3.05</v>
          </cell>
        </row>
        <row r="99">
          <cell r="A99" t="str">
            <v>Honduras</v>
          </cell>
          <cell r="B99">
            <v>6.5170074001217744</v>
          </cell>
          <cell r="C99">
            <v>6.503166609026457</v>
          </cell>
          <cell r="D99">
            <v>6.1055996472663141</v>
          </cell>
          <cell r="E99">
            <v>6.242399267399267</v>
          </cell>
          <cell r="F99">
            <v>6.0297524415171466</v>
          </cell>
          <cell r="G99">
            <v>6.1919584954604403</v>
          </cell>
          <cell r="H99">
            <v>7.0611249206685001</v>
          </cell>
          <cell r="I99">
            <v>6.2584100793041699</v>
          </cell>
          <cell r="J99">
            <v>5.9418931583880044</v>
          </cell>
          <cell r="K99">
            <v>5.6841452413170943</v>
          </cell>
          <cell r="L99">
            <v>5.9067403138008325</v>
          </cell>
          <cell r="M99">
            <v>6.2321339330334835</v>
          </cell>
          <cell r="N99">
            <v>5.9860979462875195</v>
          </cell>
          <cell r="O99">
            <v>5.9103516120842849</v>
          </cell>
          <cell r="P99">
            <v>5.8675742574257432</v>
          </cell>
          <cell r="Q99">
            <v>6.6686320754716979</v>
          </cell>
          <cell r="R99">
            <v>6.063845258871436</v>
          </cell>
          <cell r="S99">
            <v>7.2231239092495629</v>
          </cell>
        </row>
        <row r="100">
          <cell r="A100" t="str">
            <v>Hong Kong SAR, China</v>
          </cell>
          <cell r="B100">
            <v>4.3125</v>
          </cell>
          <cell r="C100">
            <v>4.5</v>
          </cell>
          <cell r="D100">
            <v>4.25</v>
          </cell>
          <cell r="E100">
            <v>4.5625</v>
          </cell>
          <cell r="F100">
            <v>3.9280263456734046</v>
          </cell>
          <cell r="G100">
            <v>3.819649805447471</v>
          </cell>
          <cell r="H100">
            <v>3.7529405542627456</v>
          </cell>
          <cell r="I100">
            <v>4.0054489639293935</v>
          </cell>
          <cell r="J100">
            <v>4.0149953139643859</v>
          </cell>
          <cell r="K100">
            <v>3.6094335975256144</v>
          </cell>
          <cell r="L100">
            <v>3.5306436119116227</v>
          </cell>
          <cell r="M100">
            <v>3.5164917541229386</v>
          </cell>
          <cell r="N100">
            <v>3.4936018957345971</v>
          </cell>
          <cell r="O100">
            <v>3.5008758568164509</v>
          </cell>
          <cell r="P100">
            <v>3.667326732673267</v>
          </cell>
          <cell r="Q100">
            <v>3.533018867924528</v>
          </cell>
          <cell r="R100">
            <v>3.8125</v>
          </cell>
          <cell r="S100">
            <v>5.5091623036649215</v>
          </cell>
        </row>
        <row r="101">
          <cell r="A101" t="str">
            <v>Hungary</v>
          </cell>
          <cell r="B101">
            <v>4.6677111142335255</v>
          </cell>
          <cell r="C101">
            <v>4.4681047899014352</v>
          </cell>
          <cell r="D101">
            <v>2.4476190476190474</v>
          </cell>
          <cell r="E101">
            <v>2.517032967032967</v>
          </cell>
          <cell r="F101">
            <v>3.9131501249148308</v>
          </cell>
          <cell r="G101">
            <v>4.2943579766536963</v>
          </cell>
          <cell r="H101">
            <v>2.4318172202242438</v>
          </cell>
          <cell r="I101">
            <v>4.1739831158864167</v>
          </cell>
          <cell r="J101">
            <v>2.4484536082474229</v>
          </cell>
          <cell r="K101">
            <v>4.2339454861782331</v>
          </cell>
          <cell r="L101">
            <v>2.5971181556195964</v>
          </cell>
          <cell r="M101">
            <v>2.4293103448275866</v>
          </cell>
          <cell r="N101">
            <v>4.3118009478672992</v>
          </cell>
          <cell r="O101">
            <v>4.384881949733435</v>
          </cell>
          <cell r="P101">
            <v>4.3029702970297032</v>
          </cell>
          <cell r="Q101">
            <v>2.6858490566037738</v>
          </cell>
          <cell r="R101">
            <v>2.5179755671902266</v>
          </cell>
          <cell r="S101">
            <v>2.5738219895287959</v>
          </cell>
        </row>
        <row r="102">
          <cell r="A102" t="str">
            <v>IBRD only</v>
          </cell>
          <cell r="B102">
            <v>3.8</v>
          </cell>
          <cell r="C102">
            <v>4</v>
          </cell>
          <cell r="D102">
            <v>3.9</v>
          </cell>
          <cell r="E102">
            <v>4</v>
          </cell>
          <cell r="F102">
            <v>3.7</v>
          </cell>
          <cell r="G102">
            <v>3.85</v>
          </cell>
          <cell r="H102">
            <v>3.75</v>
          </cell>
          <cell r="I102">
            <v>3.9</v>
          </cell>
          <cell r="J102">
            <v>3.7</v>
          </cell>
          <cell r="K102">
            <v>3.65</v>
          </cell>
          <cell r="L102">
            <v>3.65</v>
          </cell>
          <cell r="M102">
            <v>3.75</v>
          </cell>
          <cell r="N102">
            <v>3.6</v>
          </cell>
          <cell r="O102">
            <v>3.9</v>
          </cell>
          <cell r="P102">
            <v>3.7</v>
          </cell>
          <cell r="Q102">
            <v>4.25</v>
          </cell>
          <cell r="R102">
            <v>4.1875</v>
          </cell>
          <cell r="S102">
            <v>3.1666666666666665</v>
          </cell>
        </row>
        <row r="103">
          <cell r="A103" t="str">
            <v>Iceland</v>
          </cell>
          <cell r="B103">
            <v>5.7023886469017846</v>
          </cell>
          <cell r="C103">
            <v>4.6915874113781779</v>
          </cell>
          <cell r="D103">
            <v>3.7794179894179898</v>
          </cell>
          <cell r="E103">
            <v>3.55</v>
          </cell>
          <cell r="F103">
            <v>5.0460935725641605</v>
          </cell>
          <cell r="G103">
            <v>4.9863813229571985</v>
          </cell>
          <cell r="H103">
            <v>4.6811402580918129</v>
          </cell>
          <cell r="I103">
            <v>4.9617421335379897</v>
          </cell>
          <cell r="J103">
            <v>5.2228678537956892</v>
          </cell>
          <cell r="K103">
            <v>3.4978349120433014</v>
          </cell>
          <cell r="L103">
            <v>3.4084053794428435</v>
          </cell>
          <cell r="M103">
            <v>3.893178410794603</v>
          </cell>
          <cell r="N103">
            <v>3.6956398104265404</v>
          </cell>
          <cell r="O103">
            <v>3.4916603198781417</v>
          </cell>
          <cell r="P103">
            <v>3.9925742574257428</v>
          </cell>
          <cell r="Q103">
            <v>5.3198113207547166</v>
          </cell>
          <cell r="R103">
            <v>5.3398778359511336</v>
          </cell>
          <cell r="S103">
            <v>5.4631762652705067</v>
          </cell>
        </row>
        <row r="104">
          <cell r="A104" t="str">
            <v>IDA &amp; IBRD total</v>
          </cell>
          <cell r="B104">
            <v>4.1500000000000004</v>
          </cell>
          <cell r="C104">
            <v>4.2</v>
          </cell>
          <cell r="D104">
            <v>4.3</v>
          </cell>
          <cell r="E104">
            <v>4.4000000000000004</v>
          </cell>
          <cell r="F104">
            <v>4.2</v>
          </cell>
          <cell r="G104">
            <v>4.1500000000000004</v>
          </cell>
          <cell r="H104">
            <v>4.0999999999999996</v>
          </cell>
          <cell r="I104">
            <v>4.05</v>
          </cell>
          <cell r="J104">
            <v>4.0999999999999996</v>
          </cell>
          <cell r="K104">
            <v>3.95</v>
          </cell>
          <cell r="L104">
            <v>4</v>
          </cell>
          <cell r="M104">
            <v>3.95</v>
          </cell>
          <cell r="N104">
            <v>3.95</v>
          </cell>
          <cell r="O104">
            <v>4.3499999999999996</v>
          </cell>
          <cell r="P104">
            <v>4</v>
          </cell>
          <cell r="Q104">
            <v>4.5</v>
          </cell>
          <cell r="R104">
            <v>4.375</v>
          </cell>
          <cell r="S104">
            <v>3.1666666666666665</v>
          </cell>
        </row>
        <row r="105">
          <cell r="A105" t="str">
            <v>IDA blend</v>
          </cell>
          <cell r="B105">
            <v>4.5625</v>
          </cell>
          <cell r="C105">
            <v>4.3499999999999996</v>
          </cell>
          <cell r="D105">
            <v>4.9000000000000004</v>
          </cell>
          <cell r="E105">
            <v>4.5</v>
          </cell>
          <cell r="F105">
            <v>4.95</v>
          </cell>
          <cell r="G105">
            <v>4.5999999999999996</v>
          </cell>
          <cell r="H105">
            <v>4.5</v>
          </cell>
          <cell r="I105">
            <v>4.05</v>
          </cell>
          <cell r="J105">
            <v>4.25</v>
          </cell>
          <cell r="K105">
            <v>4.2</v>
          </cell>
          <cell r="L105">
            <v>4.5</v>
          </cell>
          <cell r="M105">
            <v>4.3499999999999996</v>
          </cell>
          <cell r="N105">
            <v>4.45</v>
          </cell>
          <cell r="O105">
            <v>4.5999999999999996</v>
          </cell>
          <cell r="P105">
            <v>4.6500000000000004</v>
          </cell>
          <cell r="Q105">
            <v>4.5625</v>
          </cell>
          <cell r="R105">
            <v>5.1875</v>
          </cell>
          <cell r="S105">
            <v>4.666666666666667</v>
          </cell>
        </row>
        <row r="106">
          <cell r="A106" t="str">
            <v>IDA only</v>
          </cell>
          <cell r="B106">
            <v>6</v>
          </cell>
          <cell r="C106">
            <v>5.95</v>
          </cell>
          <cell r="D106">
            <v>5.9</v>
          </cell>
          <cell r="E106">
            <v>5.85</v>
          </cell>
          <cell r="F106">
            <v>6.3</v>
          </cell>
          <cell r="G106">
            <v>6.3</v>
          </cell>
          <cell r="H106">
            <v>6.25</v>
          </cell>
          <cell r="I106">
            <v>6.65</v>
          </cell>
          <cell r="J106">
            <v>6.25</v>
          </cell>
          <cell r="K106">
            <v>6.3</v>
          </cell>
          <cell r="L106">
            <v>6.3</v>
          </cell>
          <cell r="M106">
            <v>5.583333333333333</v>
          </cell>
          <cell r="N106">
            <v>6.5</v>
          </cell>
          <cell r="O106">
            <v>5.333333333333333</v>
          </cell>
          <cell r="P106">
            <v>5.333333333333333</v>
          </cell>
          <cell r="Q106">
            <v>4.75</v>
          </cell>
          <cell r="R106">
            <v>4.375</v>
          </cell>
          <cell r="S106">
            <v>5</v>
          </cell>
        </row>
        <row r="107">
          <cell r="A107" t="str">
            <v>IDA total</v>
          </cell>
          <cell r="B107">
            <v>5.5</v>
          </cell>
          <cell r="C107">
            <v>5.5</v>
          </cell>
          <cell r="D107">
            <v>5.75</v>
          </cell>
          <cell r="E107">
            <v>5.6</v>
          </cell>
          <cell r="F107">
            <v>5.95</v>
          </cell>
          <cell r="G107">
            <v>5.75</v>
          </cell>
          <cell r="H107">
            <v>5.75</v>
          </cell>
          <cell r="I107">
            <v>5.55</v>
          </cell>
          <cell r="J107">
            <v>5.75</v>
          </cell>
          <cell r="K107">
            <v>5.95</v>
          </cell>
          <cell r="L107">
            <v>5.8</v>
          </cell>
          <cell r="M107">
            <v>5.9</v>
          </cell>
          <cell r="N107">
            <v>5.85</v>
          </cell>
          <cell r="O107">
            <v>5.95</v>
          </cell>
          <cell r="P107">
            <v>5.8</v>
          </cell>
          <cell r="Q107">
            <v>3.75</v>
          </cell>
          <cell r="R107">
            <v>6.1875</v>
          </cell>
          <cell r="S107">
            <v>5</v>
          </cell>
        </row>
        <row r="108">
          <cell r="A108" t="str">
            <v>India</v>
          </cell>
          <cell r="B108">
            <v>3.7037843660718468</v>
          </cell>
          <cell r="C108">
            <v>4.0086244163928759</v>
          </cell>
          <cell r="D108">
            <v>3.8481922398589066</v>
          </cell>
          <cell r="E108">
            <v>3.9493589743589745</v>
          </cell>
          <cell r="F108">
            <v>3.9840922855628733</v>
          </cell>
          <cell r="G108">
            <v>4.0954928664072634</v>
          </cell>
          <cell r="H108">
            <v>4.2808952119032506</v>
          </cell>
          <cell r="I108">
            <v>4.2021936556664103</v>
          </cell>
          <cell r="J108">
            <v>4.3088097469540765</v>
          </cell>
          <cell r="K108">
            <v>4.052580707519815</v>
          </cell>
          <cell r="L108">
            <v>4.073366954851104</v>
          </cell>
          <cell r="M108">
            <v>3.8709395302348821</v>
          </cell>
          <cell r="N108">
            <v>3.760387045813586</v>
          </cell>
          <cell r="O108">
            <v>4.092567910637217</v>
          </cell>
          <cell r="P108">
            <v>3.6270627062706269</v>
          </cell>
          <cell r="Q108">
            <v>3.7555031446540874</v>
          </cell>
          <cell r="R108">
            <v>3.4830570098894706</v>
          </cell>
          <cell r="S108">
            <v>2.919197207678883</v>
          </cell>
        </row>
        <row r="109">
          <cell r="A109" t="str">
            <v>Indonesia</v>
          </cell>
          <cell r="B109">
            <v>5.0810325043323497</v>
          </cell>
          <cell r="C109">
            <v>4.6784180644417548</v>
          </cell>
          <cell r="D109">
            <v>4.6951940035273365</v>
          </cell>
          <cell r="E109">
            <v>4.9159340659340662</v>
          </cell>
          <cell r="F109">
            <v>4.8225546975546969</v>
          </cell>
          <cell r="G109">
            <v>4.8419260700389106</v>
          </cell>
          <cell r="H109">
            <v>4.7213525139270853</v>
          </cell>
          <cell r="I109">
            <v>4.7209644410335123</v>
          </cell>
          <cell r="J109">
            <v>4.8697282099343964</v>
          </cell>
          <cell r="K109">
            <v>4.6155196855467491</v>
          </cell>
          <cell r="L109">
            <v>4.995317002881845</v>
          </cell>
          <cell r="M109">
            <v>4.9556471764117944</v>
          </cell>
          <cell r="N109">
            <v>4.6854660347551338</v>
          </cell>
          <cell r="O109">
            <v>5.0063467885250068</v>
          </cell>
          <cell r="P109">
            <v>4.8089933993399336</v>
          </cell>
          <cell r="Q109">
            <v>4.9040880503144644</v>
          </cell>
          <cell r="R109">
            <v>4.7099331006399074</v>
          </cell>
          <cell r="S109">
            <v>3.437958115183247</v>
          </cell>
        </row>
        <row r="110">
          <cell r="A110" t="str">
            <v>Iran</v>
          </cell>
          <cell r="B110">
            <v>0.91666666666666663</v>
          </cell>
          <cell r="C110">
            <v>0.91666666666666663</v>
          </cell>
          <cell r="D110">
            <v>1</v>
          </cell>
          <cell r="E110">
            <v>2.7</v>
          </cell>
          <cell r="F110">
            <v>3.3403739874328107</v>
          </cell>
          <cell r="G110">
            <v>2.8642996108949417</v>
          </cell>
          <cell r="H110">
            <v>4.1769709470418164</v>
          </cell>
          <cell r="I110">
            <v>3.8606101304681508</v>
          </cell>
          <cell r="J110">
            <v>3.9974226804123707</v>
          </cell>
          <cell r="K110">
            <v>3.6938027579096588</v>
          </cell>
          <cell r="L110">
            <v>3.7649295549151454</v>
          </cell>
          <cell r="M110">
            <v>3.9252873563218387</v>
          </cell>
          <cell r="N110">
            <v>4.3283175355450227</v>
          </cell>
          <cell r="O110">
            <v>4.4083841076415338</v>
          </cell>
          <cell r="P110">
            <v>4.1592409240924093</v>
          </cell>
          <cell r="Q110">
            <v>2.3702830188679238</v>
          </cell>
          <cell r="R110">
            <v>1.25</v>
          </cell>
          <cell r="S110">
            <v>2.5591186736474691</v>
          </cell>
        </row>
        <row r="111">
          <cell r="A111" t="str">
            <v>Iraq</v>
          </cell>
          <cell r="B111">
            <v>3.7</v>
          </cell>
          <cell r="C111">
            <v>2.85</v>
          </cell>
          <cell r="D111">
            <v>2.5</v>
          </cell>
          <cell r="E111">
            <v>2.1666666666666665</v>
          </cell>
          <cell r="F111">
            <v>1.5</v>
          </cell>
          <cell r="G111">
            <v>2</v>
          </cell>
          <cell r="H111">
            <v>1.3333333333333333</v>
          </cell>
          <cell r="I111">
            <v>1.75</v>
          </cell>
          <cell r="J111">
            <v>1.3333333333333333</v>
          </cell>
          <cell r="K111">
            <v>1.5</v>
          </cell>
          <cell r="L111">
            <v>1.5833333333333333</v>
          </cell>
          <cell r="M111">
            <v>1.4166666666666667</v>
          </cell>
          <cell r="N111">
            <v>1.25</v>
          </cell>
          <cell r="O111">
            <v>1.5</v>
          </cell>
          <cell r="P111">
            <v>1.1666666666666667</v>
          </cell>
          <cell r="Q111">
            <v>3.2983490566037732</v>
          </cell>
          <cell r="R111">
            <v>1.0833333333333333</v>
          </cell>
          <cell r="S111">
            <v>1</v>
          </cell>
        </row>
        <row r="112">
          <cell r="A112" t="str">
            <v>Ireland</v>
          </cell>
          <cell r="B112">
            <v>4.8023886469017842</v>
          </cell>
          <cell r="C112">
            <v>4.064758775721943</v>
          </cell>
          <cell r="D112">
            <v>4.3016402116402119</v>
          </cell>
          <cell r="E112">
            <v>4.2320879120879118</v>
          </cell>
          <cell r="F112">
            <v>4.2915171473995004</v>
          </cell>
          <cell r="G112">
            <v>4.3696498054474713</v>
          </cell>
          <cell r="H112">
            <v>4.4672519568436639</v>
          </cell>
          <cell r="I112">
            <v>4.2612049117421336</v>
          </cell>
          <cell r="J112">
            <v>4.1437675726335517</v>
          </cell>
          <cell r="K112">
            <v>3.8803015658225406</v>
          </cell>
          <cell r="L112">
            <v>3.9673390970220934</v>
          </cell>
          <cell r="M112">
            <v>3.9701649175412301</v>
          </cell>
          <cell r="N112">
            <v>2.0223696682464452</v>
          </cell>
          <cell r="O112">
            <v>3.7461919268849959</v>
          </cell>
          <cell r="P112">
            <v>3.9861386138613861</v>
          </cell>
          <cell r="Q112">
            <v>2.1575471698113207</v>
          </cell>
          <cell r="R112">
            <v>2.000349040139616</v>
          </cell>
          <cell r="S112">
            <v>2.2608202443280976</v>
          </cell>
        </row>
        <row r="113">
          <cell r="A113" t="str">
            <v>Israel</v>
          </cell>
          <cell r="B113">
            <v>3.542834059294647</v>
          </cell>
          <cell r="C113">
            <v>3.4398063288950369</v>
          </cell>
          <cell r="D113">
            <v>2.9540740740740743</v>
          </cell>
          <cell r="E113">
            <v>3.1994505494505496</v>
          </cell>
          <cell r="F113">
            <v>2.9946967976379737</v>
          </cell>
          <cell r="G113">
            <v>3.2747081712062256</v>
          </cell>
          <cell r="H113">
            <v>3.3989105140681195</v>
          </cell>
          <cell r="I113">
            <v>2.4076362240982347</v>
          </cell>
          <cell r="J113">
            <v>3.3033270852858481</v>
          </cell>
          <cell r="K113">
            <v>3.2912719891745601</v>
          </cell>
          <cell r="L113">
            <v>3.4806436119116229</v>
          </cell>
          <cell r="M113">
            <v>3.6351574212893554</v>
          </cell>
          <cell r="N113">
            <v>3.321943127962085</v>
          </cell>
          <cell r="O113">
            <v>3.8771515613099772</v>
          </cell>
          <cell r="P113">
            <v>3.3292079207920793</v>
          </cell>
          <cell r="Q113">
            <v>3.1933962264150941</v>
          </cell>
          <cell r="R113">
            <v>3.0642233856893539</v>
          </cell>
          <cell r="S113">
            <v>2.6665794066317625</v>
          </cell>
        </row>
        <row r="114">
          <cell r="A114" t="str">
            <v>Italy</v>
          </cell>
          <cell r="B114">
            <v>4.1866938316706479</v>
          </cell>
          <cell r="C114">
            <v>3.5393048590696869</v>
          </cell>
          <cell r="D114">
            <v>3.8629629629629632</v>
          </cell>
          <cell r="E114">
            <v>3.818021978021978</v>
          </cell>
          <cell r="F114">
            <v>4.0006472859414028</v>
          </cell>
          <cell r="G114">
            <v>3.6221789883268487</v>
          </cell>
          <cell r="H114">
            <v>3.8428918976094777</v>
          </cell>
          <cell r="I114">
            <v>3.7340752110514197</v>
          </cell>
          <cell r="J114">
            <v>3.7709934395501405</v>
          </cell>
          <cell r="K114">
            <v>3.8388362652232741</v>
          </cell>
          <cell r="L114">
            <v>3.5465417867435156</v>
          </cell>
          <cell r="M114">
            <v>4.3775862068965514</v>
          </cell>
          <cell r="N114">
            <v>4.0939336492890996</v>
          </cell>
          <cell r="O114">
            <v>3.4745620715917744</v>
          </cell>
          <cell r="P114">
            <v>3.9341584158415843</v>
          </cell>
          <cell r="Q114">
            <v>4.8481132075471693</v>
          </cell>
          <cell r="R114">
            <v>4.332984293193717</v>
          </cell>
          <cell r="S114">
            <v>4.2248691099476439</v>
          </cell>
        </row>
        <row r="115">
          <cell r="A115" t="str">
            <v>Jamaica</v>
          </cell>
          <cell r="B115">
            <v>5.9455119198164015</v>
          </cell>
          <cell r="C115">
            <v>6.3755475819931986</v>
          </cell>
          <cell r="D115">
            <v>6.6904761904761898</v>
          </cell>
          <cell r="E115">
            <v>6.2909340659340662</v>
          </cell>
          <cell r="F115">
            <v>5.9892497539556357</v>
          </cell>
          <cell r="G115">
            <v>6.1488326848249031</v>
          </cell>
          <cell r="H115">
            <v>6.4382095761934979</v>
          </cell>
          <cell r="I115">
            <v>6.3684446149910459</v>
          </cell>
          <cell r="J115">
            <v>6.3230631052796005</v>
          </cell>
          <cell r="K115">
            <v>6.3687415426251688</v>
          </cell>
          <cell r="L115">
            <v>6.4453250080051232</v>
          </cell>
          <cell r="M115">
            <v>6.478885557221389</v>
          </cell>
          <cell r="N115">
            <v>6.5680094786729866</v>
          </cell>
          <cell r="O115">
            <v>6.46518786494034</v>
          </cell>
          <cell r="P115">
            <v>6.3514851485148514</v>
          </cell>
          <cell r="Q115">
            <v>6.4103773584905666</v>
          </cell>
          <cell r="R115">
            <v>6.303010471204189</v>
          </cell>
          <cell r="S115">
            <v>6.1987347294938919</v>
          </cell>
        </row>
        <row r="116">
          <cell r="A116" t="str">
            <v>Japan</v>
          </cell>
          <cell r="B116">
            <v>3.3182380216383307</v>
          </cell>
          <cell r="C116">
            <v>3.0631333218052914</v>
          </cell>
          <cell r="D116">
            <v>2.9471957671957676</v>
          </cell>
          <cell r="E116">
            <v>2.7637362637362637</v>
          </cell>
          <cell r="F116">
            <v>3.2132182602770838</v>
          </cell>
          <cell r="G116">
            <v>3.1420233463035019</v>
          </cell>
          <cell r="H116">
            <v>3.2075735138565689</v>
          </cell>
          <cell r="I116">
            <v>3.1246738296239451</v>
          </cell>
          <cell r="J116">
            <v>3.0372071227741331</v>
          </cell>
          <cell r="K116">
            <v>3.2546684709066307</v>
          </cell>
          <cell r="L116">
            <v>2.9983669548511047</v>
          </cell>
          <cell r="M116">
            <v>3.1541229385307346</v>
          </cell>
          <cell r="N116">
            <v>3.2262085308056867</v>
          </cell>
          <cell r="O116">
            <v>3.7095201827875095</v>
          </cell>
          <cell r="P116">
            <v>3.1856435643564356</v>
          </cell>
          <cell r="Q116">
            <v>3.4650943396226408</v>
          </cell>
          <cell r="R116">
            <v>3.2037521815008723</v>
          </cell>
          <cell r="S116">
            <v>3.3677137870855147</v>
          </cell>
        </row>
        <row r="117">
          <cell r="A117" t="str">
            <v>Jordan</v>
          </cell>
          <cell r="B117">
            <v>6.5368074094890174</v>
          </cell>
          <cell r="C117">
            <v>6.3098809729667416</v>
          </cell>
          <cell r="D117">
            <v>6.1030423280423278</v>
          </cell>
          <cell r="E117">
            <v>6.1281135531135531</v>
          </cell>
          <cell r="F117">
            <v>6.0860871375577261</v>
          </cell>
          <cell r="G117">
            <v>6.2167639429312587</v>
          </cell>
          <cell r="H117">
            <v>6.2410531697341511</v>
          </cell>
          <cell r="I117">
            <v>6.4552634944998717</v>
          </cell>
          <cell r="J117">
            <v>6.3700796626054368</v>
          </cell>
          <cell r="K117">
            <v>6.5009343385527423</v>
          </cell>
          <cell r="L117">
            <v>6.5235350624399615</v>
          </cell>
          <cell r="M117">
            <v>6.2170164917541229</v>
          </cell>
          <cell r="N117">
            <v>6.1056082148499202</v>
          </cell>
          <cell r="O117">
            <v>6.1734259964457978</v>
          </cell>
          <cell r="P117">
            <v>5.9777227722772279</v>
          </cell>
          <cell r="Q117">
            <v>6.1281446540880502</v>
          </cell>
          <cell r="R117">
            <v>5.9376817917393829</v>
          </cell>
          <cell r="S117">
            <v>7.6202006980802794</v>
          </cell>
        </row>
        <row r="118">
          <cell r="A118" t="str">
            <v>Kazakhstan</v>
          </cell>
          <cell r="B118">
            <v>4.8907662404571211</v>
          </cell>
          <cell r="C118">
            <v>4.6672142486598647</v>
          </cell>
          <cell r="D118">
            <v>4.6195326278659614</v>
          </cell>
          <cell r="E118">
            <v>4.3547619047619044</v>
          </cell>
          <cell r="F118">
            <v>4.5180747974865625</v>
          </cell>
          <cell r="G118">
            <v>4.3853761348897535</v>
          </cell>
          <cell r="H118">
            <v>4.1521842606304213</v>
          </cell>
          <cell r="I118">
            <v>3.9825722691225374</v>
          </cell>
          <cell r="J118">
            <v>4.1574507966260548</v>
          </cell>
          <cell r="K118">
            <v>4.5369063728333012</v>
          </cell>
          <cell r="L118">
            <v>4.3254883125200125</v>
          </cell>
          <cell r="M118">
            <v>3.9050474762618688</v>
          </cell>
          <cell r="N118">
            <v>4.102409162717219</v>
          </cell>
          <cell r="O118">
            <v>4.398990860624524</v>
          </cell>
          <cell r="P118">
            <v>4.259488448844885</v>
          </cell>
          <cell r="Q118">
            <v>4.4213836477987423</v>
          </cell>
          <cell r="R118">
            <v>4.0646451425247241</v>
          </cell>
          <cell r="S118">
            <v>2.9589877835951137</v>
          </cell>
        </row>
        <row r="119">
          <cell r="A119" t="str">
            <v>Kenya</v>
          </cell>
          <cell r="B119">
            <v>6.1890251042105753</v>
          </cell>
          <cell r="C119">
            <v>5.686235517897285</v>
          </cell>
          <cell r="D119">
            <v>5.8179012345679011</v>
          </cell>
          <cell r="E119">
            <v>5.6496336996336991</v>
          </cell>
          <cell r="F119">
            <v>6.0935441744265262</v>
          </cell>
          <cell r="G119">
            <v>5.7864785992217893</v>
          </cell>
          <cell r="H119">
            <v>6.0719007827374654</v>
          </cell>
          <cell r="I119">
            <v>5.329528012279356</v>
          </cell>
          <cell r="J119">
            <v>5.9822321149640736</v>
          </cell>
          <cell r="K119">
            <v>5.8656243959017971</v>
          </cell>
          <cell r="L119">
            <v>5.926432917066923</v>
          </cell>
          <cell r="M119">
            <v>5.8326461769115445</v>
          </cell>
          <cell r="N119">
            <v>5.8909162717219585</v>
          </cell>
          <cell r="O119">
            <v>6.0177710078700173</v>
          </cell>
          <cell r="P119">
            <v>5.8374587458745877</v>
          </cell>
          <cell r="Q119">
            <v>6.0676100628930811</v>
          </cell>
          <cell r="R119">
            <v>6.224621873182083</v>
          </cell>
          <cell r="S119">
            <v>5.8730366492146597</v>
          </cell>
        </row>
        <row r="120">
          <cell r="A120" t="str">
            <v>Kiribati</v>
          </cell>
          <cell r="B120">
            <v>5.0999999999999996</v>
          </cell>
          <cell r="C120">
            <v>5.2</v>
          </cell>
          <cell r="D120">
            <v>7.25</v>
          </cell>
          <cell r="E120">
            <v>5.125</v>
          </cell>
          <cell r="F120">
            <v>5.7</v>
          </cell>
          <cell r="G120">
            <v>4.0999999999999996</v>
          </cell>
          <cell r="H120">
            <v>6.6</v>
          </cell>
          <cell r="I120">
            <v>5.6</v>
          </cell>
          <cell r="J120">
            <v>4.75</v>
          </cell>
          <cell r="K120">
            <v>6.05</v>
          </cell>
          <cell r="L120">
            <v>5.4</v>
          </cell>
          <cell r="M120">
            <v>6</v>
          </cell>
          <cell r="N120">
            <v>4.75</v>
          </cell>
          <cell r="O120">
            <v>5.95</v>
          </cell>
          <cell r="P120">
            <v>4.75</v>
          </cell>
          <cell r="Q120">
            <v>6</v>
          </cell>
          <cell r="R120">
            <v>7</v>
          </cell>
          <cell r="S120">
            <v>7.5</v>
          </cell>
        </row>
        <row r="121">
          <cell r="A121" t="str">
            <v>South Korea</v>
          </cell>
          <cell r="B121">
            <v>3.25</v>
          </cell>
          <cell r="C121">
            <v>3.375</v>
          </cell>
          <cell r="D121">
            <v>3.625</v>
          </cell>
          <cell r="E121">
            <v>3.2040659340659339</v>
          </cell>
          <cell r="F121">
            <v>3.210595048830343</v>
          </cell>
          <cell r="G121">
            <v>3.3564202334630351</v>
          </cell>
          <cell r="H121">
            <v>3.461878569917495</v>
          </cell>
          <cell r="I121">
            <v>3.164927091327705</v>
          </cell>
          <cell r="J121">
            <v>3.0513589503280225</v>
          </cell>
          <cell r="K121">
            <v>3.1529866615116955</v>
          </cell>
          <cell r="L121">
            <v>3.2338616714697408</v>
          </cell>
          <cell r="M121">
            <v>3.2411544227886053</v>
          </cell>
          <cell r="N121">
            <v>3.2053080568720373</v>
          </cell>
          <cell r="O121">
            <v>3.2296648895658797</v>
          </cell>
          <cell r="P121">
            <v>3.0955445544554459</v>
          </cell>
          <cell r="Q121">
            <v>3.1566037735849055</v>
          </cell>
          <cell r="R121">
            <v>3.8125</v>
          </cell>
          <cell r="S121">
            <v>3.0379581151832462</v>
          </cell>
        </row>
        <row r="122">
          <cell r="A122" t="str">
            <v>Kosovo</v>
          </cell>
          <cell r="B122">
            <v>4.5</v>
          </cell>
          <cell r="C122">
            <v>4.5</v>
          </cell>
          <cell r="D122">
            <v>7.75</v>
          </cell>
          <cell r="E122">
            <v>7</v>
          </cell>
          <cell r="F122">
            <v>7</v>
          </cell>
          <cell r="G122">
            <v>7</v>
          </cell>
          <cell r="H122">
            <v>7.125</v>
          </cell>
          <cell r="I122">
            <v>6.375</v>
          </cell>
          <cell r="J122">
            <v>6.875</v>
          </cell>
          <cell r="K122">
            <v>6.125</v>
          </cell>
          <cell r="L122">
            <v>6.375</v>
          </cell>
          <cell r="M122">
            <v>5.875</v>
          </cell>
          <cell r="N122">
            <v>5.625</v>
          </cell>
          <cell r="O122">
            <v>6.375</v>
          </cell>
          <cell r="P122">
            <v>5.875</v>
          </cell>
          <cell r="Q122">
            <v>6.25</v>
          </cell>
          <cell r="R122">
            <v>6.625</v>
          </cell>
          <cell r="S122">
            <v>6.5</v>
          </cell>
        </row>
        <row r="123">
          <cell r="A123" t="str">
            <v>Kuwait</v>
          </cell>
          <cell r="B123">
            <v>3.7957496136012367</v>
          </cell>
          <cell r="C123">
            <v>3.5837713989278925</v>
          </cell>
          <cell r="D123">
            <v>2.2130511463844798</v>
          </cell>
          <cell r="E123">
            <v>2.7520879120879118</v>
          </cell>
          <cell r="F123">
            <v>3.5846127640245284</v>
          </cell>
          <cell r="G123">
            <v>2.843709468223087</v>
          </cell>
          <cell r="H123">
            <v>2.7741802411677599</v>
          </cell>
          <cell r="I123">
            <v>2.7854566385264774</v>
          </cell>
          <cell r="J123">
            <v>2.965838800374883</v>
          </cell>
          <cell r="K123">
            <v>2.7630968490237775</v>
          </cell>
          <cell r="L123">
            <v>2.7138328530259366</v>
          </cell>
          <cell r="M123">
            <v>3.0232383808095946</v>
          </cell>
          <cell r="N123">
            <v>2.9894312796208533</v>
          </cell>
          <cell r="O123">
            <v>3.3348819497334348</v>
          </cell>
          <cell r="P123">
            <v>3.0599009900990097</v>
          </cell>
          <cell r="Q123">
            <v>3.3858490566037731</v>
          </cell>
          <cell r="R123">
            <v>3.5658813263525304</v>
          </cell>
          <cell r="S123">
            <v>2.5940226876090753</v>
          </cell>
        </row>
        <row r="124">
          <cell r="A124" t="str">
            <v>Kyrgyz Republic</v>
          </cell>
          <cell r="B124">
            <v>7.2434078029132118</v>
          </cell>
          <cell r="C124">
            <v>6.4070767767594674</v>
          </cell>
          <cell r="D124">
            <v>5.8</v>
          </cell>
          <cell r="E124">
            <v>6.7</v>
          </cell>
          <cell r="F124">
            <v>6.829803543038838</v>
          </cell>
          <cell r="G124">
            <v>6.8553826199740593</v>
          </cell>
          <cell r="H124">
            <v>6.8965869825823276</v>
          </cell>
          <cell r="I124">
            <v>6.892459708365311</v>
          </cell>
          <cell r="J124">
            <v>6.6352311777569506</v>
          </cell>
          <cell r="K124">
            <v>6.4444551839680386</v>
          </cell>
          <cell r="L124">
            <v>5.895573166826769</v>
          </cell>
          <cell r="M124">
            <v>6.317278860569715</v>
          </cell>
          <cell r="N124">
            <v>6.5611374407582943</v>
          </cell>
          <cell r="O124">
            <v>5.8608466615892354</v>
          </cell>
          <cell r="P124">
            <v>6.1864686468646868</v>
          </cell>
          <cell r="Q124">
            <v>6.0762578616352201</v>
          </cell>
          <cell r="R124">
            <v>5.7537085514834203</v>
          </cell>
          <cell r="S124">
            <v>6.4939790575916216</v>
          </cell>
        </row>
        <row r="125">
          <cell r="A125" t="str">
            <v>Laos</v>
          </cell>
          <cell r="B125">
            <v>6.916666666666667</v>
          </cell>
          <cell r="C125">
            <v>6.75</v>
          </cell>
          <cell r="D125">
            <v>7.083333333333333</v>
          </cell>
          <cell r="E125">
            <v>6.4</v>
          </cell>
          <cell r="F125">
            <v>5.65</v>
          </cell>
          <cell r="G125">
            <v>6.6397535667963679</v>
          </cell>
          <cell r="H125">
            <v>5.65</v>
          </cell>
          <cell r="I125">
            <v>6</v>
          </cell>
          <cell r="J125">
            <v>6.4</v>
          </cell>
          <cell r="K125">
            <v>6.1</v>
          </cell>
          <cell r="L125">
            <v>6.6</v>
          </cell>
          <cell r="M125">
            <v>6.75</v>
          </cell>
          <cell r="N125">
            <v>6.75</v>
          </cell>
          <cell r="O125">
            <v>7.1083396801218584</v>
          </cell>
          <cell r="P125">
            <v>6.8700495049504946</v>
          </cell>
          <cell r="Q125">
            <v>6.4139150943396217</v>
          </cell>
          <cell r="R125">
            <v>5.75</v>
          </cell>
          <cell r="S125">
            <v>6.355911867364747</v>
          </cell>
        </row>
        <row r="126">
          <cell r="A126" t="str">
            <v>Late-demographic dividend</v>
          </cell>
          <cell r="B126">
            <v>3.6</v>
          </cell>
          <cell r="C126">
            <v>3.7</v>
          </cell>
          <cell r="D126">
            <v>4</v>
          </cell>
          <cell r="E126">
            <v>3.9</v>
          </cell>
          <cell r="F126">
            <v>3.7</v>
          </cell>
          <cell r="G126">
            <v>3.7</v>
          </cell>
          <cell r="H126">
            <v>3.6</v>
          </cell>
          <cell r="I126">
            <v>3.75</v>
          </cell>
          <cell r="J126">
            <v>3.8</v>
          </cell>
          <cell r="K126">
            <v>3.6</v>
          </cell>
          <cell r="L126">
            <v>3.4</v>
          </cell>
          <cell r="M126">
            <v>3.45</v>
          </cell>
          <cell r="N126">
            <v>3.2</v>
          </cell>
          <cell r="O126">
            <v>3.5</v>
          </cell>
          <cell r="P126">
            <v>3.5</v>
          </cell>
          <cell r="Q126">
            <v>3.9375</v>
          </cell>
          <cell r="R126">
            <v>3.4375</v>
          </cell>
          <cell r="S126">
            <v>2.1666666666666665</v>
          </cell>
        </row>
        <row r="127">
          <cell r="A127" t="str">
            <v>Latin America &amp; Caribbean</v>
          </cell>
          <cell r="B127">
            <v>4.3499999999999996</v>
          </cell>
          <cell r="C127">
            <v>4.45</v>
          </cell>
          <cell r="D127">
            <v>4.6500000000000004</v>
          </cell>
          <cell r="E127">
            <v>4.75</v>
          </cell>
          <cell r="F127">
            <v>4.7</v>
          </cell>
          <cell r="G127">
            <v>4.5999999999999996</v>
          </cell>
          <cell r="H127">
            <v>4.8499999999999996</v>
          </cell>
          <cell r="I127">
            <v>4.75</v>
          </cell>
          <cell r="J127">
            <v>4.8</v>
          </cell>
          <cell r="K127">
            <v>4.6500000000000004</v>
          </cell>
          <cell r="L127">
            <v>4.75</v>
          </cell>
          <cell r="M127">
            <v>4.8499999999999996</v>
          </cell>
          <cell r="N127">
            <v>4.8</v>
          </cell>
          <cell r="O127">
            <v>4.8499999999999996</v>
          </cell>
          <cell r="P127">
            <v>4.7</v>
          </cell>
          <cell r="Q127">
            <v>5.05</v>
          </cell>
          <cell r="R127">
            <v>4.8499999999999996</v>
          </cell>
          <cell r="S127">
            <v>4</v>
          </cell>
        </row>
        <row r="128">
          <cell r="A128" t="str">
            <v>Latin America &amp; Caribbean (excluding high income)</v>
          </cell>
          <cell r="B128">
            <v>3.9</v>
          </cell>
          <cell r="C128">
            <v>4.05</v>
          </cell>
          <cell r="D128">
            <v>3.95</v>
          </cell>
          <cell r="E128">
            <v>4.2</v>
          </cell>
          <cell r="F128">
            <v>3.95</v>
          </cell>
          <cell r="G128">
            <v>4.0999999999999996</v>
          </cell>
          <cell r="H128">
            <v>4.1500000000000004</v>
          </cell>
          <cell r="I128">
            <v>4.1500000000000004</v>
          </cell>
          <cell r="J128">
            <v>4.25</v>
          </cell>
          <cell r="K128">
            <v>4.3</v>
          </cell>
          <cell r="L128">
            <v>4.1500000000000004</v>
          </cell>
          <cell r="M128">
            <v>4.5</v>
          </cell>
          <cell r="N128">
            <v>4.3499999999999996</v>
          </cell>
          <cell r="O128">
            <v>4.5</v>
          </cell>
          <cell r="P128">
            <v>4.25</v>
          </cell>
          <cell r="Q128">
            <v>4.3499999999999996</v>
          </cell>
          <cell r="R128">
            <v>4.25</v>
          </cell>
          <cell r="S128">
            <v>3.75</v>
          </cell>
        </row>
        <row r="129">
          <cell r="A129" t="str">
            <v>Latin America &amp; the Caribbean (IDA &amp; IBRD countries)</v>
          </cell>
          <cell r="B129">
            <v>4.05</v>
          </cell>
          <cell r="C129">
            <v>4.3499999999999996</v>
          </cell>
          <cell r="D129">
            <v>4.3</v>
          </cell>
          <cell r="E129">
            <v>4.6500000000000004</v>
          </cell>
          <cell r="F129">
            <v>4.45</v>
          </cell>
          <cell r="G129">
            <v>4.5</v>
          </cell>
          <cell r="H129">
            <v>4.55</v>
          </cell>
          <cell r="I129">
            <v>4.45</v>
          </cell>
          <cell r="J129">
            <v>4.55</v>
          </cell>
          <cell r="K129">
            <v>4.5</v>
          </cell>
          <cell r="L129">
            <v>4.5999999999999996</v>
          </cell>
          <cell r="M129">
            <v>4.8499999999999996</v>
          </cell>
          <cell r="N129">
            <v>4.8499999999999996</v>
          </cell>
          <cell r="O129">
            <v>4.75</v>
          </cell>
          <cell r="P129">
            <v>4.5999999999999996</v>
          </cell>
          <cell r="Q129">
            <v>5.8125</v>
          </cell>
          <cell r="R129">
            <v>5.5625</v>
          </cell>
          <cell r="S129">
            <v>4.833333333333333</v>
          </cell>
        </row>
        <row r="130">
          <cell r="A130" t="str">
            <v>Latvia</v>
          </cell>
          <cell r="B130">
            <v>6.2160671631305329</v>
          </cell>
          <cell r="C130">
            <v>5.8064412934463077</v>
          </cell>
          <cell r="D130">
            <v>4.9207407407407411</v>
          </cell>
          <cell r="E130">
            <v>5.2998901098901099</v>
          </cell>
          <cell r="F130">
            <v>6.0910742675448564</v>
          </cell>
          <cell r="G130">
            <v>5.6749027237354088</v>
          </cell>
          <cell r="H130">
            <v>5.6533213454622384</v>
          </cell>
          <cell r="I130">
            <v>5.4663085188027631</v>
          </cell>
          <cell r="J130">
            <v>5.4543580131209</v>
          </cell>
          <cell r="K130">
            <v>4.7486371544558281</v>
          </cell>
          <cell r="L130">
            <v>5.4868395773294907</v>
          </cell>
          <cell r="M130">
            <v>4.6952773613193397</v>
          </cell>
          <cell r="N130">
            <v>5.4103317535545026</v>
          </cell>
          <cell r="O130">
            <v>5.6008758568164509</v>
          </cell>
          <cell r="P130">
            <v>6.0599009900990097</v>
          </cell>
          <cell r="Q130">
            <v>5.8603773584905658</v>
          </cell>
          <cell r="R130">
            <v>5.9238219895287951</v>
          </cell>
          <cell r="S130">
            <v>5.9355148342059341</v>
          </cell>
        </row>
        <row r="131">
          <cell r="A131" t="str">
            <v>Least developed countries: UN classification</v>
          </cell>
          <cell r="B131">
            <v>5.75</v>
          </cell>
          <cell r="C131">
            <v>4.333333333333333</v>
          </cell>
          <cell r="D131">
            <v>5.85</v>
          </cell>
          <cell r="E131">
            <v>5.7</v>
          </cell>
          <cell r="F131">
            <v>5.95</v>
          </cell>
          <cell r="G131">
            <v>5.9</v>
          </cell>
          <cell r="H131">
            <v>5.8</v>
          </cell>
          <cell r="I131">
            <v>5</v>
          </cell>
          <cell r="J131">
            <v>6.3</v>
          </cell>
          <cell r="K131">
            <v>6.3</v>
          </cell>
          <cell r="L131">
            <v>5.75</v>
          </cell>
          <cell r="M131">
            <v>5.85</v>
          </cell>
          <cell r="N131">
            <v>5.95</v>
          </cell>
          <cell r="O131">
            <v>4.833333333333333</v>
          </cell>
          <cell r="P131">
            <v>4.333333333333333</v>
          </cell>
          <cell r="Q131">
            <v>3.25</v>
          </cell>
          <cell r="R131">
            <v>4.25</v>
          </cell>
          <cell r="S131">
            <v>4</v>
          </cell>
        </row>
        <row r="132">
          <cell r="A132" t="str">
            <v>Lebanon</v>
          </cell>
          <cell r="B132">
            <v>6.15</v>
          </cell>
          <cell r="C132">
            <v>5.95</v>
          </cell>
          <cell r="D132">
            <v>5.4</v>
          </cell>
          <cell r="E132">
            <v>5.0999999999999996</v>
          </cell>
          <cell r="F132">
            <v>5.3027197365432661</v>
          </cell>
          <cell r="G132">
            <v>5.6209468223086896</v>
          </cell>
          <cell r="H132">
            <v>6.2639094563147877</v>
          </cell>
          <cell r="I132">
            <v>5.4970580711179338</v>
          </cell>
          <cell r="J132">
            <v>5.9104967197750709</v>
          </cell>
          <cell r="K132">
            <v>5.8318996069334359</v>
          </cell>
          <cell r="L132">
            <v>5.9780259365994235</v>
          </cell>
          <cell r="M132">
            <v>6.5883308345827087</v>
          </cell>
          <cell r="N132">
            <v>6.3894154818325433</v>
          </cell>
          <cell r="O132">
            <v>6.6879284082254387</v>
          </cell>
          <cell r="P132">
            <v>6.875</v>
          </cell>
          <cell r="Q132">
            <v>6.416666666666667</v>
          </cell>
          <cell r="R132">
            <v>6.4996727748691097</v>
          </cell>
          <cell r="S132">
            <v>8.0093077370564281</v>
          </cell>
        </row>
        <row r="133">
          <cell r="A133" t="str">
            <v>Lesotho</v>
          </cell>
          <cell r="B133">
            <v>7.382909465598801</v>
          </cell>
          <cell r="C133">
            <v>5.2340264568563031</v>
          </cell>
          <cell r="D133">
            <v>5.6032627865961198</v>
          </cell>
          <cell r="E133">
            <v>5.0795787545787547</v>
          </cell>
          <cell r="F133">
            <v>4.75</v>
          </cell>
          <cell r="G133">
            <v>5.2947470817120621</v>
          </cell>
          <cell r="H133">
            <v>5.8375819758832241</v>
          </cell>
          <cell r="I133">
            <v>5.8744563827065734</v>
          </cell>
          <cell r="J133">
            <v>5.9994923461418308</v>
          </cell>
          <cell r="K133">
            <v>5</v>
          </cell>
          <cell r="L133">
            <v>4.8499999999999996</v>
          </cell>
          <cell r="M133">
            <v>4.4000000000000004</v>
          </cell>
          <cell r="N133">
            <v>4.5999999999999996</v>
          </cell>
          <cell r="O133">
            <v>4.95</v>
          </cell>
          <cell r="P133">
            <v>4.8</v>
          </cell>
          <cell r="Q133">
            <v>5.05</v>
          </cell>
          <cell r="R133">
            <v>5</v>
          </cell>
          <cell r="S133">
            <v>6.5</v>
          </cell>
        </row>
        <row r="134">
          <cell r="A134" t="str">
            <v>Liberia</v>
          </cell>
          <cell r="B134">
            <v>9.25</v>
          </cell>
          <cell r="C134">
            <v>9.75</v>
          </cell>
          <cell r="D134">
            <v>9.125</v>
          </cell>
          <cell r="E134">
            <v>7.875</v>
          </cell>
          <cell r="F134">
            <v>7.5</v>
          </cell>
          <cell r="G134">
            <v>7.125</v>
          </cell>
          <cell r="H134">
            <v>7.125</v>
          </cell>
          <cell r="I134">
            <v>7.5</v>
          </cell>
          <cell r="J134">
            <v>7.5</v>
          </cell>
          <cell r="K134">
            <v>7.625</v>
          </cell>
          <cell r="L134">
            <v>7.75</v>
          </cell>
          <cell r="M134">
            <v>7.125</v>
          </cell>
          <cell r="N134">
            <v>6.875</v>
          </cell>
          <cell r="O134">
            <v>8</v>
          </cell>
          <cell r="P134">
            <v>8.125</v>
          </cell>
          <cell r="Q134">
            <v>8.25</v>
          </cell>
          <cell r="R134">
            <v>7.1</v>
          </cell>
          <cell r="S134">
            <v>8.25</v>
          </cell>
        </row>
        <row r="135">
          <cell r="A135" t="str">
            <v>Libya</v>
          </cell>
          <cell r="B135">
            <v>3.2</v>
          </cell>
          <cell r="C135">
            <v>3.9713888408553806</v>
          </cell>
          <cell r="D135">
            <v>3.1986331569664905</v>
          </cell>
          <cell r="E135">
            <v>3.0990842490842492</v>
          </cell>
          <cell r="F135">
            <v>2.75</v>
          </cell>
          <cell r="G135">
            <v>1</v>
          </cell>
          <cell r="H135">
            <v>1.3333333333333333</v>
          </cell>
          <cell r="I135">
            <v>2</v>
          </cell>
          <cell r="J135">
            <v>1.75</v>
          </cell>
          <cell r="K135">
            <v>3.625</v>
          </cell>
          <cell r="L135">
            <v>3.625</v>
          </cell>
          <cell r="M135">
            <v>3.125</v>
          </cell>
          <cell r="N135">
            <v>3.0625</v>
          </cell>
          <cell r="O135">
            <v>2</v>
          </cell>
          <cell r="P135">
            <v>2</v>
          </cell>
          <cell r="Q135">
            <v>1.75</v>
          </cell>
          <cell r="R135">
            <v>1.75</v>
          </cell>
          <cell r="S135">
            <v>1.75</v>
          </cell>
        </row>
        <row r="136">
          <cell r="A136" t="str">
            <v>Liechtenstein</v>
          </cell>
          <cell r="B136">
            <v>10</v>
          </cell>
          <cell r="C136">
            <v>9.5</v>
          </cell>
          <cell r="D136">
            <v>10</v>
          </cell>
          <cell r="E136">
            <v>10</v>
          </cell>
          <cell r="F136">
            <v>9.5</v>
          </cell>
          <cell r="G136">
            <v>10</v>
          </cell>
          <cell r="H136">
            <v>9.5</v>
          </cell>
          <cell r="I136">
            <v>9.5</v>
          </cell>
          <cell r="J136">
            <v>9.5</v>
          </cell>
          <cell r="K136">
            <v>10</v>
          </cell>
          <cell r="L136">
            <v>10</v>
          </cell>
          <cell r="M136">
            <v>9.6999999999999993</v>
          </cell>
          <cell r="N136">
            <v>9.76</v>
          </cell>
          <cell r="O136">
            <v>9.7480000000000029</v>
          </cell>
          <cell r="P136">
            <v>9.7503999999999991</v>
          </cell>
          <cell r="Q136">
            <v>9.7499200000000013</v>
          </cell>
          <cell r="R136">
            <v>9.7500159999999987</v>
          </cell>
          <cell r="S136">
            <v>10</v>
          </cell>
        </row>
        <row r="137">
          <cell r="A137" t="str">
            <v>Lithuania</v>
          </cell>
          <cell r="B137">
            <v>6.2472390051988196</v>
          </cell>
          <cell r="C137">
            <v>5.3662286010721072</v>
          </cell>
          <cell r="D137">
            <v>4.6514285714285721</v>
          </cell>
          <cell r="E137">
            <v>5.84</v>
          </cell>
          <cell r="F137">
            <v>5.9505791505791503</v>
          </cell>
          <cell r="G137">
            <v>5.041634241245136</v>
          </cell>
          <cell r="H137">
            <v>5.2162153585783795</v>
          </cell>
          <cell r="I137">
            <v>4.8125095932463546</v>
          </cell>
          <cell r="J137">
            <v>5.6261949390815378</v>
          </cell>
          <cell r="K137">
            <v>5.6479992267543011</v>
          </cell>
          <cell r="L137">
            <v>5.7190201729106622</v>
          </cell>
          <cell r="M137">
            <v>5.6198650674662662</v>
          </cell>
          <cell r="N137">
            <v>6.3774407582938384</v>
          </cell>
          <cell r="O137">
            <v>6.3743716679360247</v>
          </cell>
          <cell r="P137">
            <v>6.1138613861386144</v>
          </cell>
          <cell r="Q137">
            <v>5.1801886792452834</v>
          </cell>
          <cell r="R137">
            <v>6.1435427574171033</v>
          </cell>
          <cell r="S137">
            <v>6.2063699825479928</v>
          </cell>
        </row>
        <row r="138">
          <cell r="A138" t="str">
            <v>Low &amp; middle income</v>
          </cell>
          <cell r="B138">
            <v>4.05</v>
          </cell>
          <cell r="C138">
            <v>4.0999999999999996</v>
          </cell>
          <cell r="D138">
            <v>4.2</v>
          </cell>
          <cell r="E138">
            <v>4.1500000000000004</v>
          </cell>
          <cell r="F138">
            <v>4.0999999999999996</v>
          </cell>
          <cell r="G138">
            <v>4.05</v>
          </cell>
          <cell r="H138">
            <v>4.0999999999999996</v>
          </cell>
          <cell r="I138">
            <v>4.05</v>
          </cell>
          <cell r="J138">
            <v>4</v>
          </cell>
          <cell r="K138">
            <v>4.0999999999999996</v>
          </cell>
          <cell r="L138">
            <v>4</v>
          </cell>
          <cell r="M138">
            <v>3.95</v>
          </cell>
          <cell r="N138">
            <v>4</v>
          </cell>
          <cell r="O138">
            <v>4.1500000000000004</v>
          </cell>
          <cell r="P138">
            <v>3.95</v>
          </cell>
          <cell r="Q138">
            <v>4</v>
          </cell>
          <cell r="R138">
            <v>3.95</v>
          </cell>
          <cell r="S138">
            <v>2.875</v>
          </cell>
        </row>
        <row r="139">
          <cell r="A139" t="str">
            <v>Low income</v>
          </cell>
          <cell r="B139">
            <v>3.9166666666666665</v>
          </cell>
          <cell r="C139">
            <v>3.9166666666666665</v>
          </cell>
          <cell r="D139">
            <v>3.9166666666666665</v>
          </cell>
          <cell r="E139">
            <v>4</v>
          </cell>
          <cell r="F139">
            <v>5.083333333333333</v>
          </cell>
          <cell r="G139">
            <v>5.333333333333333</v>
          </cell>
          <cell r="H139">
            <v>5.583333333333333</v>
          </cell>
          <cell r="I139">
            <v>5.416666666666667</v>
          </cell>
          <cell r="J139">
            <v>5.5</v>
          </cell>
          <cell r="K139">
            <v>5.5</v>
          </cell>
          <cell r="L139">
            <v>5.333333333333333</v>
          </cell>
          <cell r="M139">
            <v>6</v>
          </cell>
          <cell r="N139">
            <v>5.916666666666667</v>
          </cell>
          <cell r="O139">
            <v>5.916666666666667</v>
          </cell>
          <cell r="P139">
            <v>5.833333333333333</v>
          </cell>
          <cell r="Q139">
            <v>5.75</v>
          </cell>
          <cell r="R139">
            <v>5.333333333333333</v>
          </cell>
          <cell r="S139">
            <v>5.916666666666667</v>
          </cell>
        </row>
        <row r="140">
          <cell r="A140" t="str">
            <v>Lower middle income</v>
          </cell>
          <cell r="B140">
            <v>4.6500000000000004</v>
          </cell>
          <cell r="C140">
            <v>4.7</v>
          </cell>
          <cell r="D140">
            <v>4.6500000000000004</v>
          </cell>
          <cell r="E140">
            <v>4.5</v>
          </cell>
          <cell r="F140">
            <v>4.5999999999999996</v>
          </cell>
          <cell r="G140">
            <v>4.75</v>
          </cell>
          <cell r="H140">
            <v>4.6500000000000004</v>
          </cell>
          <cell r="I140">
            <v>4.75</v>
          </cell>
          <cell r="J140">
            <v>4.8499999999999996</v>
          </cell>
          <cell r="K140">
            <v>4.55</v>
          </cell>
          <cell r="L140">
            <v>4.5</v>
          </cell>
          <cell r="M140">
            <v>4.6500000000000004</v>
          </cell>
          <cell r="N140">
            <v>4.6500000000000004</v>
          </cell>
          <cell r="O140">
            <v>4.8499999999999996</v>
          </cell>
          <cell r="P140">
            <v>4.55</v>
          </cell>
          <cell r="Q140">
            <v>4.6500000000000004</v>
          </cell>
          <cell r="R140">
            <v>4.7</v>
          </cell>
          <cell r="S140">
            <v>3.9166666666666665</v>
          </cell>
        </row>
        <row r="141">
          <cell r="A141" t="str">
            <v>Luxembourg</v>
          </cell>
          <cell r="B141">
            <v>3.5742869186454969</v>
          </cell>
          <cell r="C141">
            <v>4.7742953484350679</v>
          </cell>
          <cell r="D141">
            <v>5.0881481481481483</v>
          </cell>
          <cell r="E141">
            <v>5.401648351648352</v>
          </cell>
          <cell r="F141">
            <v>5.5073813309107429</v>
          </cell>
          <cell r="G141">
            <v>4.908560311284047</v>
          </cell>
          <cell r="H141">
            <v>5.4239475354347366</v>
          </cell>
          <cell r="I141">
            <v>5.4039140445126632</v>
          </cell>
          <cell r="J141">
            <v>5.3978912839737578</v>
          </cell>
          <cell r="K141">
            <v>5.2545331529093371</v>
          </cell>
          <cell r="L141">
            <v>3.6838136407300675</v>
          </cell>
          <cell r="M141">
            <v>3.6198650674662671</v>
          </cell>
          <cell r="N141">
            <v>5.5220853080568713</v>
          </cell>
          <cell r="O141">
            <v>5.2803503427265799</v>
          </cell>
          <cell r="P141">
            <v>5.5034653465346537</v>
          </cell>
          <cell r="Q141">
            <v>3.4084905660377358</v>
          </cell>
          <cell r="R141">
            <v>3.5933682373472946</v>
          </cell>
          <cell r="S141">
            <v>6.8027923211169288</v>
          </cell>
        </row>
        <row r="142">
          <cell r="A142" t="str">
            <v>Macao SAR, China</v>
          </cell>
          <cell r="B142">
            <v>3.0625</v>
          </cell>
          <cell r="C142">
            <v>3.125</v>
          </cell>
          <cell r="D142">
            <v>1.625</v>
          </cell>
          <cell r="E142">
            <v>3.125</v>
          </cell>
          <cell r="F142">
            <v>3.625</v>
          </cell>
          <cell r="G142">
            <v>4.125</v>
          </cell>
          <cell r="H142">
            <v>4.125</v>
          </cell>
          <cell r="I142">
            <v>4.8125</v>
          </cell>
          <cell r="J142">
            <v>1.5</v>
          </cell>
          <cell r="K142">
            <v>3</v>
          </cell>
          <cell r="L142">
            <v>4.75</v>
          </cell>
          <cell r="M142">
            <v>5.0625</v>
          </cell>
          <cell r="N142">
            <v>5.875</v>
          </cell>
          <cell r="O142">
            <v>1.625</v>
          </cell>
          <cell r="P142">
            <v>5.666666666666667</v>
          </cell>
          <cell r="Q142">
            <v>5</v>
          </cell>
          <cell r="R142">
            <v>6.25</v>
          </cell>
          <cell r="S142">
            <v>6.75</v>
          </cell>
        </row>
        <row r="143">
          <cell r="A143" t="str">
            <v>Madagascar</v>
          </cell>
          <cell r="B143">
            <v>6.05</v>
          </cell>
          <cell r="C143">
            <v>5.8255158798778028</v>
          </cell>
          <cell r="D143">
            <v>6.1361111111111102</v>
          </cell>
          <cell r="E143">
            <v>6.3877289377289372</v>
          </cell>
          <cell r="F143">
            <v>6.4539329245211592</v>
          </cell>
          <cell r="G143">
            <v>6.8017185473411148</v>
          </cell>
          <cell r="H143">
            <v>6.8303451801706503</v>
          </cell>
          <cell r="I143">
            <v>6.3394090560245582</v>
          </cell>
          <cell r="J143">
            <v>6.6208216182442987</v>
          </cell>
          <cell r="K143">
            <v>6.7950818351697917</v>
          </cell>
          <cell r="L143">
            <v>6.6858389369196276</v>
          </cell>
          <cell r="M143">
            <v>6.7800474762618679</v>
          </cell>
          <cell r="N143">
            <v>6.7923775671406004</v>
          </cell>
          <cell r="O143">
            <v>6.9079398324447823</v>
          </cell>
          <cell r="P143">
            <v>6.4608085808580853</v>
          </cell>
          <cell r="Q143">
            <v>6.7382075471698117</v>
          </cell>
          <cell r="R143">
            <v>6.8690372309482255</v>
          </cell>
          <cell r="S143">
            <v>7.1353984874927283</v>
          </cell>
        </row>
        <row r="144">
          <cell r="A144" t="str">
            <v>Malawi</v>
          </cell>
          <cell r="B144">
            <v>4.8</v>
          </cell>
          <cell r="C144">
            <v>4.8</v>
          </cell>
          <cell r="D144">
            <v>4.6500000000000004</v>
          </cell>
          <cell r="E144">
            <v>5.5328754578754582</v>
          </cell>
          <cell r="F144">
            <v>6.058113786054963</v>
          </cell>
          <cell r="G144">
            <v>5.8878080415045391</v>
          </cell>
          <cell r="H144">
            <v>6.6554015936816855</v>
          </cell>
          <cell r="I144">
            <v>5.8969365566641088</v>
          </cell>
          <cell r="J144">
            <v>5.6222274289284586</v>
          </cell>
          <cell r="K144">
            <v>5.6738352986661509</v>
          </cell>
          <cell r="L144">
            <v>5.4165866154338778</v>
          </cell>
          <cell r="M144">
            <v>5.373563218390804</v>
          </cell>
          <cell r="N144">
            <v>5.2727883096366508</v>
          </cell>
          <cell r="O144">
            <v>5.7499365321147495</v>
          </cell>
          <cell r="P144">
            <v>5.2392739273927385</v>
          </cell>
          <cell r="Q144">
            <v>5.45</v>
          </cell>
          <cell r="R144">
            <v>5.8</v>
          </cell>
          <cell r="S144">
            <v>7.833333333333333</v>
          </cell>
        </row>
        <row r="145">
          <cell r="A145" t="str">
            <v>Malaysia</v>
          </cell>
          <cell r="B145">
            <v>3.8676584234930451</v>
          </cell>
          <cell r="C145">
            <v>3.6692460660556807</v>
          </cell>
          <cell r="D145">
            <v>2.9273368606701937</v>
          </cell>
          <cell r="E145">
            <v>3.956868131868132</v>
          </cell>
          <cell r="F145">
            <v>4.2483533954122192</v>
          </cell>
          <cell r="G145">
            <v>4.0147535667963687</v>
          </cell>
          <cell r="H145">
            <v>4.0268669346308439</v>
          </cell>
          <cell r="I145">
            <v>3.8633282169352774</v>
          </cell>
          <cell r="J145">
            <v>4.0306154326772878</v>
          </cell>
          <cell r="K145">
            <v>4.1967829757071975</v>
          </cell>
          <cell r="L145">
            <v>3.9662183797630486</v>
          </cell>
          <cell r="M145">
            <v>3.7883558220889557</v>
          </cell>
          <cell r="N145">
            <v>3.8593206951026855</v>
          </cell>
          <cell r="O145">
            <v>3.7091584158415842</v>
          </cell>
          <cell r="P145">
            <v>4.487211221122112</v>
          </cell>
          <cell r="Q145">
            <v>4.2311320754716979</v>
          </cell>
          <cell r="R145">
            <v>3.6516143106457242</v>
          </cell>
          <cell r="S145">
            <v>4.3686736474694596</v>
          </cell>
        </row>
        <row r="146">
          <cell r="A146" t="str">
            <v>Maldives</v>
          </cell>
          <cell r="B146">
            <v>6.375</v>
          </cell>
          <cell r="C146">
            <v>5.85</v>
          </cell>
          <cell r="D146">
            <v>5.65</v>
          </cell>
          <cell r="E146">
            <v>5.95</v>
          </cell>
          <cell r="F146">
            <v>5.4</v>
          </cell>
          <cell r="G146">
            <v>5.85</v>
          </cell>
          <cell r="H146">
            <v>5.4</v>
          </cell>
          <cell r="I146">
            <v>5.35</v>
          </cell>
          <cell r="J146">
            <v>4.8499999999999996</v>
          </cell>
          <cell r="K146">
            <v>4.6500000000000004</v>
          </cell>
          <cell r="L146">
            <v>5.0999999999999996</v>
          </cell>
          <cell r="M146">
            <v>5.75</v>
          </cell>
          <cell r="N146">
            <v>5.55</v>
          </cell>
          <cell r="O146">
            <v>8.125</v>
          </cell>
          <cell r="P146">
            <v>5.85</v>
          </cell>
          <cell r="Q146">
            <v>5.85</v>
          </cell>
          <cell r="R146">
            <v>5.9</v>
          </cell>
          <cell r="S146">
            <v>7.583333333333333</v>
          </cell>
        </row>
        <row r="147">
          <cell r="A147" t="str">
            <v>Mali</v>
          </cell>
          <cell r="B147">
            <v>4.8499999999999996</v>
          </cell>
          <cell r="C147">
            <v>5.1878782638768799</v>
          </cell>
          <cell r="D147">
            <v>7.0309523809523808</v>
          </cell>
          <cell r="E147">
            <v>5.4678571428571425</v>
          </cell>
          <cell r="F147">
            <v>5.7100177909001433</v>
          </cell>
          <cell r="G147">
            <v>5.6378080415045391</v>
          </cell>
          <cell r="H147">
            <v>6.7453458853395389</v>
          </cell>
          <cell r="I147">
            <v>6.1353287285750824</v>
          </cell>
          <cell r="J147">
            <v>6.4948453608247414</v>
          </cell>
          <cell r="K147">
            <v>5.7957262065854751</v>
          </cell>
          <cell r="L147">
            <v>6.1976464937560038</v>
          </cell>
          <cell r="M147">
            <v>5.9080459770114944</v>
          </cell>
          <cell r="N147">
            <v>6.0735781990521325</v>
          </cell>
          <cell r="O147">
            <v>7.1452145214521439</v>
          </cell>
          <cell r="P147">
            <v>7.1196369636963697</v>
          </cell>
          <cell r="Q147">
            <v>6.5031446540880493</v>
          </cell>
          <cell r="R147">
            <v>7.2654159394997082</v>
          </cell>
          <cell r="S147">
            <v>7.0735892961023863</v>
          </cell>
        </row>
        <row r="148">
          <cell r="A148" t="str">
            <v>Malta</v>
          </cell>
          <cell r="B148">
            <v>4.4458128424898131</v>
          </cell>
          <cell r="C148">
            <v>4.2529396507003288</v>
          </cell>
          <cell r="D148">
            <v>4.6066666666666665</v>
          </cell>
          <cell r="E148">
            <v>5.0202197802197803</v>
          </cell>
          <cell r="F148">
            <v>5</v>
          </cell>
          <cell r="G148">
            <v>4.5208171206225689</v>
          </cell>
          <cell r="H148">
            <v>4.4261899724984133</v>
          </cell>
          <cell r="I148">
            <v>3.1502686108979279</v>
          </cell>
          <cell r="J148">
            <v>4.9680412371134022</v>
          </cell>
          <cell r="K148">
            <v>4.7624105934660736</v>
          </cell>
          <cell r="L148">
            <v>5.0566762728146015</v>
          </cell>
          <cell r="M148">
            <v>5.1287856071964022</v>
          </cell>
          <cell r="N148">
            <v>4.8911848341232229</v>
          </cell>
          <cell r="O148">
            <v>5.0998095963442491</v>
          </cell>
          <cell r="P148">
            <v>5.078712871287129</v>
          </cell>
          <cell r="Q148">
            <v>4.8311320754716975</v>
          </cell>
          <cell r="R148">
            <v>4.7457242582897035</v>
          </cell>
          <cell r="S148">
            <v>6.8654013961605589</v>
          </cell>
        </row>
        <row r="149">
          <cell r="A149" t="str">
            <v>Marshall Islands</v>
          </cell>
          <cell r="B149">
            <v>7.25</v>
          </cell>
          <cell r="C149">
            <v>7.25</v>
          </cell>
          <cell r="D149">
            <v>9</v>
          </cell>
          <cell r="E149">
            <v>4.25</v>
          </cell>
          <cell r="F149">
            <v>4.75</v>
          </cell>
          <cell r="G149">
            <v>9.25</v>
          </cell>
          <cell r="H149">
            <v>9.25</v>
          </cell>
          <cell r="I149">
            <v>8.5</v>
          </cell>
          <cell r="J149">
            <v>4.75</v>
          </cell>
          <cell r="K149">
            <v>3.75</v>
          </cell>
          <cell r="L149">
            <v>7.25</v>
          </cell>
          <cell r="M149">
            <v>8.5</v>
          </cell>
          <cell r="N149">
            <v>7</v>
          </cell>
          <cell r="O149">
            <v>6.5</v>
          </cell>
          <cell r="P149">
            <v>5</v>
          </cell>
          <cell r="Q149">
            <v>5.75</v>
          </cell>
          <cell r="R149">
            <v>6</v>
          </cell>
          <cell r="S149">
            <v>5.5</v>
          </cell>
        </row>
        <row r="150">
          <cell r="A150" t="str">
            <v>Mauritania</v>
          </cell>
          <cell r="B150">
            <v>6.55</v>
          </cell>
          <cell r="C150">
            <v>7.2455184736872447</v>
          </cell>
          <cell r="D150">
            <v>6.4056878306878309</v>
          </cell>
          <cell r="E150">
            <v>6.3396520146520148</v>
          </cell>
          <cell r="F150">
            <v>5.85</v>
          </cell>
          <cell r="G150">
            <v>6.75</v>
          </cell>
          <cell r="H150">
            <v>5.5</v>
          </cell>
          <cell r="I150">
            <v>5.9</v>
          </cell>
          <cell r="J150">
            <v>6.55</v>
          </cell>
          <cell r="K150">
            <v>6.625</v>
          </cell>
          <cell r="L150">
            <v>6.75</v>
          </cell>
          <cell r="M150">
            <v>7.25</v>
          </cell>
          <cell r="N150">
            <v>6</v>
          </cell>
          <cell r="O150">
            <v>7</v>
          </cell>
          <cell r="P150">
            <v>6.4</v>
          </cell>
          <cell r="Q150">
            <v>7.1415094339622636</v>
          </cell>
          <cell r="R150">
            <v>6.8652559627690515</v>
          </cell>
          <cell r="S150">
            <v>7.5566099476439792</v>
          </cell>
        </row>
        <row r="151">
          <cell r="A151" t="str">
            <v>Mauritius</v>
          </cell>
          <cell r="B151">
            <v>5.2203526766896164</v>
          </cell>
          <cell r="C151">
            <v>5.1190846734682109</v>
          </cell>
          <cell r="D151">
            <v>5.3755291005290999</v>
          </cell>
          <cell r="E151">
            <v>5.2613553113553113</v>
          </cell>
          <cell r="F151">
            <v>5.2852789764554471</v>
          </cell>
          <cell r="G151">
            <v>5.1070038910505833</v>
          </cell>
          <cell r="H151">
            <v>4.966372258655948</v>
          </cell>
          <cell r="I151">
            <v>4.4706766436428751</v>
          </cell>
          <cell r="J151">
            <v>4.5331537019681347</v>
          </cell>
          <cell r="K151">
            <v>4.646755589922031</v>
          </cell>
          <cell r="L151">
            <v>5.0108469420429076</v>
          </cell>
          <cell r="M151">
            <v>5.200149925037481</v>
          </cell>
          <cell r="N151">
            <v>5.1573459715639807</v>
          </cell>
          <cell r="O151">
            <v>5.7985846661589235</v>
          </cell>
          <cell r="P151">
            <v>5.5</v>
          </cell>
          <cell r="Q151">
            <v>5.3246855345911941</v>
          </cell>
          <cell r="R151">
            <v>5.6159104130308322</v>
          </cell>
          <cell r="S151">
            <v>6.6099476439790585</v>
          </cell>
        </row>
        <row r="152">
          <cell r="A152" t="str">
            <v>Mexico</v>
          </cell>
          <cell r="B152">
            <v>2.806425928527938</v>
          </cell>
          <cell r="C152">
            <v>2.8580105481583953</v>
          </cell>
          <cell r="D152">
            <v>2.9175925925925927</v>
          </cell>
          <cell r="E152">
            <v>3.2013736263736265</v>
          </cell>
          <cell r="F152">
            <v>3.2631539102127332</v>
          </cell>
          <cell r="G152">
            <v>2.9362840466926072</v>
          </cell>
          <cell r="H152">
            <v>3.2579772230449193</v>
          </cell>
          <cell r="I152">
            <v>2.7530058838577638</v>
          </cell>
          <cell r="J152">
            <v>2.8206419868791008</v>
          </cell>
          <cell r="K152">
            <v>3.0636397319414912</v>
          </cell>
          <cell r="L152">
            <v>3.063120397054115</v>
          </cell>
          <cell r="M152">
            <v>3.3242753623188404</v>
          </cell>
          <cell r="N152">
            <v>3.1101500789889411</v>
          </cell>
          <cell r="O152">
            <v>3.1973851231276975</v>
          </cell>
          <cell r="P152">
            <v>2.9814356435643568</v>
          </cell>
          <cell r="Q152">
            <v>3.0149371069182389</v>
          </cell>
          <cell r="R152">
            <v>2.6895724258289704</v>
          </cell>
          <cell r="S152">
            <v>3.1449389179755669</v>
          </cell>
        </row>
        <row r="153">
          <cell r="A153" t="str">
            <v>Micronesia</v>
          </cell>
          <cell r="B153">
            <v>7</v>
          </cell>
          <cell r="C153">
            <v>6.916666666666667</v>
          </cell>
          <cell r="D153">
            <v>7.083333333333333</v>
          </cell>
          <cell r="E153">
            <v>6.666666666666667</v>
          </cell>
          <cell r="F153">
            <v>7</v>
          </cell>
          <cell r="G153">
            <v>7.333333333333333</v>
          </cell>
          <cell r="H153">
            <v>6.666666666666667</v>
          </cell>
          <cell r="I153">
            <v>8.75</v>
          </cell>
          <cell r="J153">
            <v>9</v>
          </cell>
          <cell r="K153">
            <v>9</v>
          </cell>
          <cell r="L153">
            <v>9.5</v>
          </cell>
          <cell r="M153">
            <v>9.5</v>
          </cell>
          <cell r="N153">
            <v>9.5</v>
          </cell>
          <cell r="O153">
            <v>9.5</v>
          </cell>
          <cell r="P153">
            <v>9.5</v>
          </cell>
          <cell r="Q153">
            <v>9.5</v>
          </cell>
          <cell r="R153">
            <v>9.5</v>
          </cell>
          <cell r="S153">
            <v>9.5</v>
          </cell>
        </row>
        <row r="154">
          <cell r="A154" t="str">
            <v>Middle East &amp; North Africa</v>
          </cell>
          <cell r="B154">
            <v>3.55</v>
          </cell>
          <cell r="C154">
            <v>3</v>
          </cell>
          <cell r="D154">
            <v>2.65</v>
          </cell>
          <cell r="E154">
            <v>2.85</v>
          </cell>
          <cell r="F154">
            <v>2.5</v>
          </cell>
          <cell r="G154">
            <v>2.5499999999999998</v>
          </cell>
          <cell r="H154">
            <v>2.85</v>
          </cell>
          <cell r="I154">
            <v>2.9</v>
          </cell>
          <cell r="J154">
            <v>2.8</v>
          </cell>
          <cell r="K154">
            <v>3.35</v>
          </cell>
          <cell r="L154">
            <v>3.2</v>
          </cell>
          <cell r="M154">
            <v>3.5</v>
          </cell>
          <cell r="N154">
            <v>3.25</v>
          </cell>
          <cell r="O154">
            <v>3.85</v>
          </cell>
          <cell r="P154">
            <v>3.45</v>
          </cell>
          <cell r="Q154">
            <v>3</v>
          </cell>
          <cell r="R154">
            <v>3.9</v>
          </cell>
          <cell r="S154">
            <v>3.5</v>
          </cell>
        </row>
        <row r="155">
          <cell r="A155" t="str">
            <v>Middle East &amp; North Africa (excluding high income)</v>
          </cell>
          <cell r="B155">
            <v>3.95</v>
          </cell>
          <cell r="C155">
            <v>3.85</v>
          </cell>
          <cell r="D155">
            <v>3.8</v>
          </cell>
          <cell r="E155">
            <v>3.6</v>
          </cell>
          <cell r="F155">
            <v>3.55</v>
          </cell>
          <cell r="G155">
            <v>2.25</v>
          </cell>
          <cell r="H155">
            <v>3.8</v>
          </cell>
          <cell r="I155">
            <v>3.85</v>
          </cell>
          <cell r="J155">
            <v>4</v>
          </cell>
          <cell r="K155">
            <v>3.9</v>
          </cell>
          <cell r="L155">
            <v>4.05</v>
          </cell>
          <cell r="M155">
            <v>3</v>
          </cell>
          <cell r="N155">
            <v>3</v>
          </cell>
          <cell r="O155">
            <v>2.9166666666666665</v>
          </cell>
          <cell r="P155">
            <v>2.75</v>
          </cell>
          <cell r="Q155">
            <v>3</v>
          </cell>
          <cell r="R155">
            <v>2.9166666666666665</v>
          </cell>
          <cell r="S155">
            <v>3.25</v>
          </cell>
        </row>
        <row r="156">
          <cell r="A156" t="str">
            <v>Middle East &amp; North Africa (IDA &amp; IBRD countries)</v>
          </cell>
          <cell r="B156">
            <v>4.1500000000000004</v>
          </cell>
          <cell r="C156">
            <v>3.95</v>
          </cell>
          <cell r="D156">
            <v>4</v>
          </cell>
          <cell r="E156">
            <v>3.6</v>
          </cell>
          <cell r="F156">
            <v>3.5</v>
          </cell>
          <cell r="G156">
            <v>2.3333333333333335</v>
          </cell>
          <cell r="H156">
            <v>3.8</v>
          </cell>
          <cell r="I156">
            <v>3.7</v>
          </cell>
          <cell r="J156">
            <v>4</v>
          </cell>
          <cell r="K156">
            <v>3.9</v>
          </cell>
          <cell r="L156">
            <v>4.1500000000000004</v>
          </cell>
          <cell r="M156">
            <v>2.8333333333333335</v>
          </cell>
          <cell r="N156">
            <v>3</v>
          </cell>
          <cell r="O156">
            <v>3</v>
          </cell>
          <cell r="P156">
            <v>2.5</v>
          </cell>
          <cell r="Q156">
            <v>2</v>
          </cell>
          <cell r="R156">
            <v>2</v>
          </cell>
          <cell r="S156">
            <v>1.5</v>
          </cell>
        </row>
        <row r="157">
          <cell r="A157" t="str">
            <v>Middle income</v>
          </cell>
          <cell r="B157">
            <v>3.9</v>
          </cell>
          <cell r="C157">
            <v>3.9</v>
          </cell>
          <cell r="D157">
            <v>3.8</v>
          </cell>
          <cell r="E157">
            <v>3.95</v>
          </cell>
          <cell r="F157">
            <v>3.9</v>
          </cell>
          <cell r="G157">
            <v>3.8</v>
          </cell>
          <cell r="H157">
            <v>3.9</v>
          </cell>
          <cell r="I157">
            <v>3.8</v>
          </cell>
          <cell r="J157">
            <v>3.8</v>
          </cell>
          <cell r="K157">
            <v>3.8</v>
          </cell>
          <cell r="L157">
            <v>3.65</v>
          </cell>
          <cell r="M157">
            <v>3.75</v>
          </cell>
          <cell r="N157">
            <v>3.8</v>
          </cell>
          <cell r="O157">
            <v>3.7</v>
          </cell>
          <cell r="P157">
            <v>3.75</v>
          </cell>
          <cell r="Q157">
            <v>3.7</v>
          </cell>
          <cell r="R157">
            <v>3.75</v>
          </cell>
          <cell r="S157">
            <v>2.5</v>
          </cell>
        </row>
        <row r="158">
          <cell r="A158" t="str">
            <v>Moldova</v>
          </cell>
          <cell r="B158">
            <v>7.4402135731347485</v>
          </cell>
          <cell r="C158">
            <v>7.1411032336157705</v>
          </cell>
          <cell r="D158">
            <v>6.3</v>
          </cell>
          <cell r="E158">
            <v>6.5</v>
          </cell>
          <cell r="F158">
            <v>6.2023809523809526</v>
          </cell>
          <cell r="G158">
            <v>5.8570038910505842</v>
          </cell>
          <cell r="H158">
            <v>5.6543790987941618</v>
          </cell>
          <cell r="I158">
            <v>5.8520721412125853</v>
          </cell>
          <cell r="J158">
            <v>5.784208059981256</v>
          </cell>
          <cell r="K158">
            <v>5.7319092725046721</v>
          </cell>
          <cell r="L158">
            <v>5.4044988792827411</v>
          </cell>
          <cell r="M158">
            <v>5.6277486256871567</v>
          </cell>
          <cell r="N158">
            <v>5.7938783570300147</v>
          </cell>
          <cell r="O158">
            <v>5.5920601675552177</v>
          </cell>
          <cell r="P158">
            <v>5.9707095709570952</v>
          </cell>
          <cell r="Q158">
            <v>6.5951257861635213</v>
          </cell>
          <cell r="R158">
            <v>6.3</v>
          </cell>
          <cell r="S158">
            <v>6.2535631180919138</v>
          </cell>
        </row>
        <row r="159">
          <cell r="A159" t="str">
            <v>Mongolia</v>
          </cell>
          <cell r="B159">
            <v>6.3269226265748673</v>
          </cell>
          <cell r="C159">
            <v>6.0700436624589313</v>
          </cell>
          <cell r="D159">
            <v>6.344708994708995</v>
          </cell>
          <cell r="E159">
            <v>5.9668956043956047</v>
          </cell>
          <cell r="F159">
            <v>5.7272314331137855</v>
          </cell>
          <cell r="G159">
            <v>5.7397859922178984</v>
          </cell>
          <cell r="H159">
            <v>5.9199985896622236</v>
          </cell>
          <cell r="I159">
            <v>5.330039652084932</v>
          </cell>
          <cell r="J159">
            <v>5.16291783817557</v>
          </cell>
          <cell r="K159">
            <v>5.3172884850828011</v>
          </cell>
          <cell r="L159">
            <v>6.1868796029458855</v>
          </cell>
          <cell r="M159">
            <v>5.8484507746126937</v>
          </cell>
          <cell r="N159">
            <v>5.7695497630331758</v>
          </cell>
          <cell r="O159">
            <v>5.7867479055597864</v>
          </cell>
          <cell r="P159">
            <v>5.6163366336633658</v>
          </cell>
          <cell r="Q159">
            <v>5.9009433962264142</v>
          </cell>
          <cell r="R159">
            <v>5.3803446771378702</v>
          </cell>
          <cell r="S159">
            <v>5.3803446771378702</v>
          </cell>
        </row>
        <row r="160">
          <cell r="A160" t="str">
            <v>Montenegro</v>
          </cell>
          <cell r="B160">
            <v>6.3</v>
          </cell>
          <cell r="C160">
            <v>6.4763386938728447</v>
          </cell>
          <cell r="D160">
            <v>6.8042328042328037</v>
          </cell>
          <cell r="E160">
            <v>6.7947802197802192</v>
          </cell>
          <cell r="F160">
            <v>7.25</v>
          </cell>
          <cell r="G160">
            <v>6.9528210116731515</v>
          </cell>
          <cell r="H160">
            <v>6.9873598476835204</v>
          </cell>
          <cell r="I160">
            <v>6.971348170887695</v>
          </cell>
          <cell r="J160">
            <v>6.9290065604498592</v>
          </cell>
          <cell r="K160">
            <v>6.7234277337457309</v>
          </cell>
          <cell r="L160">
            <v>6.8651136727505602</v>
          </cell>
          <cell r="M160">
            <v>6.9550224887556213</v>
          </cell>
          <cell r="N160">
            <v>6.7249999999999988</v>
          </cell>
          <cell r="O160">
            <v>6.8905813658288908</v>
          </cell>
          <cell r="P160">
            <v>6.9517326732673261</v>
          </cell>
          <cell r="Q160">
            <v>7.0786163522012577</v>
          </cell>
          <cell r="R160">
            <v>6.9493164630599189</v>
          </cell>
          <cell r="S160">
            <v>7.0810791157649788</v>
          </cell>
        </row>
        <row r="161">
          <cell r="A161" t="str">
            <v>Morocco</v>
          </cell>
          <cell r="B161">
            <v>6.0183773593742673</v>
          </cell>
          <cell r="C161">
            <v>5.5854444060176389</v>
          </cell>
          <cell r="D161">
            <v>5.7786596119929454</v>
          </cell>
          <cell r="E161">
            <v>5.794139194139194</v>
          </cell>
          <cell r="F161">
            <v>5.8699277008100532</v>
          </cell>
          <cell r="G161">
            <v>5.9659533073929962</v>
          </cell>
          <cell r="H161">
            <v>6.0920597983216984</v>
          </cell>
          <cell r="I161">
            <v>5.9572141212586338</v>
          </cell>
          <cell r="J161">
            <v>5.8051780693533273</v>
          </cell>
          <cell r="K161">
            <v>5.3877424447451512</v>
          </cell>
          <cell r="L161">
            <v>5.5780899775856554</v>
          </cell>
          <cell r="M161">
            <v>5.3320214892553723</v>
          </cell>
          <cell r="N161">
            <v>5.0834518167456553</v>
          </cell>
          <cell r="O161">
            <v>5.4276466108149277</v>
          </cell>
          <cell r="P161">
            <v>4.9863861386138622</v>
          </cell>
          <cell r="Q161">
            <v>5.4174528301886795</v>
          </cell>
          <cell r="R161">
            <v>5.1818644560791158</v>
          </cell>
          <cell r="S161">
            <v>5.8759816753926701</v>
          </cell>
        </row>
        <row r="162">
          <cell r="A162" t="str">
            <v>Mozambique</v>
          </cell>
          <cell r="B162">
            <v>7.0090979345229734</v>
          </cell>
          <cell r="C162">
            <v>7.1907962994985297</v>
          </cell>
          <cell r="D162">
            <v>7.1361111111111102</v>
          </cell>
          <cell r="E162">
            <v>7.4495421245421243</v>
          </cell>
          <cell r="F162">
            <v>7.65</v>
          </cell>
          <cell r="G162">
            <v>7.5669584954604403</v>
          </cell>
          <cell r="H162">
            <v>7.5801777025597632</v>
          </cell>
          <cell r="I162">
            <v>7.2845037093885905</v>
          </cell>
          <cell r="J162">
            <v>7.3193142767885035</v>
          </cell>
          <cell r="K162">
            <v>7.0490447193762478</v>
          </cell>
          <cell r="L162">
            <v>7.2146974063400577</v>
          </cell>
          <cell r="M162">
            <v>7.1245002498750623</v>
          </cell>
          <cell r="N162">
            <v>7.48522906793049</v>
          </cell>
          <cell r="O162">
            <v>7.5452208682406701</v>
          </cell>
          <cell r="P162">
            <v>7.6365511551155114</v>
          </cell>
          <cell r="Q162">
            <v>7.1430817610062896</v>
          </cell>
          <cell r="R162">
            <v>7.2373472949389184</v>
          </cell>
          <cell r="S162">
            <v>7.0487783595113438</v>
          </cell>
        </row>
        <row r="163">
          <cell r="A163" t="str">
            <v>Myanmar</v>
          </cell>
          <cell r="B163">
            <v>3.8333333333333335</v>
          </cell>
          <cell r="C163">
            <v>3.5833333333333335</v>
          </cell>
          <cell r="D163">
            <v>3.5833333333333335</v>
          </cell>
          <cell r="E163">
            <v>3.9</v>
          </cell>
          <cell r="F163">
            <v>4.75</v>
          </cell>
          <cell r="G163">
            <v>4.8</v>
          </cell>
          <cell r="H163">
            <v>5.55</v>
          </cell>
          <cell r="I163">
            <v>5.6934638014837553</v>
          </cell>
          <cell r="J163">
            <v>5.6671352702280542</v>
          </cell>
          <cell r="K163">
            <v>5.0999999999999996</v>
          </cell>
          <cell r="L163">
            <v>5.15</v>
          </cell>
          <cell r="M163">
            <v>4.8</v>
          </cell>
          <cell r="N163">
            <v>4.8</v>
          </cell>
          <cell r="O163">
            <v>5.742352119827367</v>
          </cell>
          <cell r="P163">
            <v>5.6794554455445549</v>
          </cell>
          <cell r="Q163">
            <v>5.5990566037735841</v>
          </cell>
          <cell r="R163">
            <v>4.7</v>
          </cell>
          <cell r="S163">
            <v>5.5619546247818503</v>
          </cell>
        </row>
        <row r="164">
          <cell r="A164" t="str">
            <v>Namibia</v>
          </cell>
          <cell r="B164">
            <v>6.1511053346447468</v>
          </cell>
          <cell r="C164">
            <v>6.2007248256383649</v>
          </cell>
          <cell r="D164">
            <v>6.3852292768959442</v>
          </cell>
          <cell r="E164">
            <v>5.5320512820512819</v>
          </cell>
          <cell r="F164">
            <v>6.1271765462941934</v>
          </cell>
          <cell r="G164">
            <v>5.980706874189365</v>
          </cell>
          <cell r="H164">
            <v>6.2229303293138711</v>
          </cell>
          <cell r="I164">
            <v>5.5361025837810187</v>
          </cell>
          <cell r="J164">
            <v>6.2542955326460472</v>
          </cell>
          <cell r="K164">
            <v>5.8089277659643024</v>
          </cell>
          <cell r="L164">
            <v>5.6061479346781944</v>
          </cell>
          <cell r="M164">
            <v>5.3442653673163418</v>
          </cell>
          <cell r="N164">
            <v>5.0577409162717224</v>
          </cell>
          <cell r="O164">
            <v>5.132647880172633</v>
          </cell>
          <cell r="P164">
            <v>6.4014026402640267</v>
          </cell>
          <cell r="Q164">
            <v>7.091981132075472</v>
          </cell>
          <cell r="R164">
            <v>7.08216986620128</v>
          </cell>
          <cell r="S164">
            <v>7.5579406631762653</v>
          </cell>
        </row>
        <row r="165">
          <cell r="A165" t="str">
            <v>Nauru</v>
          </cell>
          <cell r="B165">
            <v>9.5</v>
          </cell>
          <cell r="C165">
            <v>9.5</v>
          </cell>
          <cell r="D165">
            <v>9.5</v>
          </cell>
          <cell r="E165">
            <v>9.5</v>
          </cell>
          <cell r="F165">
            <v>9.5</v>
          </cell>
          <cell r="G165">
            <v>9.5</v>
          </cell>
          <cell r="H165">
            <v>9.5</v>
          </cell>
          <cell r="I165">
            <v>9</v>
          </cell>
          <cell r="J165">
            <v>9.5</v>
          </cell>
          <cell r="K165">
            <v>9</v>
          </cell>
          <cell r="L165">
            <v>9</v>
          </cell>
          <cell r="M165">
            <v>9.5</v>
          </cell>
          <cell r="N165">
            <v>9.5</v>
          </cell>
          <cell r="O165">
            <v>8.5</v>
          </cell>
          <cell r="P165">
            <v>8.5</v>
          </cell>
          <cell r="Q165">
            <v>9</v>
          </cell>
          <cell r="R165">
            <v>9</v>
          </cell>
          <cell r="S165">
            <v>4.5</v>
          </cell>
        </row>
        <row r="166">
          <cell r="A166" t="str">
            <v>Nepal</v>
          </cell>
          <cell r="B166">
            <v>5.9100481242096388</v>
          </cell>
          <cell r="C166">
            <v>5.8344284973197302</v>
          </cell>
          <cell r="D166">
            <v>6.0216049382716053</v>
          </cell>
          <cell r="E166">
            <v>5.6572344322344321</v>
          </cell>
          <cell r="F166">
            <v>4.5999999999999996</v>
          </cell>
          <cell r="G166">
            <v>5.2850194552529182</v>
          </cell>
          <cell r="H166">
            <v>5.4674564558211687</v>
          </cell>
          <cell r="I166">
            <v>5.435757226912254</v>
          </cell>
          <cell r="J166">
            <v>5.641830677913152</v>
          </cell>
          <cell r="K166">
            <v>5.6402313293382305</v>
          </cell>
          <cell r="L166">
            <v>5.4342379122638489</v>
          </cell>
          <cell r="M166">
            <v>5.548163418290855</v>
          </cell>
          <cell r="N166">
            <v>5.5893364928909959</v>
          </cell>
          <cell r="O166">
            <v>5.6159240924092408</v>
          </cell>
          <cell r="P166">
            <v>5.2108085808580862</v>
          </cell>
          <cell r="Q166">
            <v>5.5613207547169807</v>
          </cell>
          <cell r="R166">
            <v>5.3166448516579408</v>
          </cell>
          <cell r="S166">
            <v>5.2803228621291449</v>
          </cell>
        </row>
        <row r="167">
          <cell r="A167" t="str">
            <v>Netherlands</v>
          </cell>
          <cell r="B167">
            <v>5.8478291414922019</v>
          </cell>
          <cell r="C167">
            <v>5.1686667819470866</v>
          </cell>
          <cell r="D167">
            <v>4.9082539682539679</v>
          </cell>
          <cell r="E167">
            <v>5.0258241758241757</v>
          </cell>
          <cell r="F167">
            <v>5.5411310470133994</v>
          </cell>
          <cell r="G167">
            <v>5.549610894941635</v>
          </cell>
          <cell r="H167">
            <v>5.4305902263592127</v>
          </cell>
          <cell r="I167">
            <v>5.3107828089025322</v>
          </cell>
          <cell r="J167">
            <v>5.5519212746016873</v>
          </cell>
          <cell r="K167">
            <v>5.6589116566789102</v>
          </cell>
          <cell r="L167">
            <v>5.4663784822286257</v>
          </cell>
          <cell r="M167">
            <v>3.6904047976011993</v>
          </cell>
          <cell r="N167">
            <v>3.669905213270142</v>
          </cell>
          <cell r="O167">
            <v>3.7287509520182787</v>
          </cell>
          <cell r="P167">
            <v>3.7232673267326732</v>
          </cell>
          <cell r="Q167">
            <v>3.8990566037735848</v>
          </cell>
          <cell r="R167">
            <v>4.5</v>
          </cell>
          <cell r="S167">
            <v>4.1536649214659693</v>
          </cell>
        </row>
        <row r="168">
          <cell r="A168" t="str">
            <v>New Caledonia</v>
          </cell>
          <cell r="B168">
            <v>3.1875</v>
          </cell>
          <cell r="C168">
            <v>4.5</v>
          </cell>
          <cell r="D168">
            <v>4.125</v>
          </cell>
          <cell r="E168">
            <v>4.0625</v>
          </cell>
          <cell r="F168">
            <v>4.0625</v>
          </cell>
          <cell r="G168">
            <v>4.625</v>
          </cell>
          <cell r="H168">
            <v>5.0625</v>
          </cell>
          <cell r="I168">
            <v>4.9375</v>
          </cell>
          <cell r="J168">
            <v>5.25</v>
          </cell>
          <cell r="K168">
            <v>8.5</v>
          </cell>
          <cell r="L168">
            <v>8</v>
          </cell>
          <cell r="M168">
            <v>6.5</v>
          </cell>
          <cell r="N168">
            <v>8.5</v>
          </cell>
          <cell r="O168">
            <v>8.5</v>
          </cell>
          <cell r="P168">
            <v>8.5</v>
          </cell>
          <cell r="Q168">
            <v>8.5</v>
          </cell>
          <cell r="R168">
            <v>8.3762293755295936</v>
          </cell>
          <cell r="S168">
            <v>8.5</v>
          </cell>
        </row>
        <row r="169">
          <cell r="A169" t="str">
            <v>New Zealand</v>
          </cell>
          <cell r="B169">
            <v>5.7473935647042298</v>
          </cell>
          <cell r="C169">
            <v>5.1549714680961438</v>
          </cell>
          <cell r="D169">
            <v>4.4016402116402116</v>
          </cell>
          <cell r="E169">
            <v>4.1403296703296704</v>
          </cell>
          <cell r="F169">
            <v>4.5055984555984558</v>
          </cell>
          <cell r="G169">
            <v>4.9013618677042796</v>
          </cell>
          <cell r="H169">
            <v>4.4632219166490374</v>
          </cell>
          <cell r="I169">
            <v>4.5937068303914046</v>
          </cell>
          <cell r="J169">
            <v>4.2141049671977502</v>
          </cell>
          <cell r="K169">
            <v>4.5658805335395325</v>
          </cell>
          <cell r="L169">
            <v>4.4694524495677239</v>
          </cell>
          <cell r="M169">
            <v>4.8913043478260869</v>
          </cell>
          <cell r="N169">
            <v>4.9207109004739333</v>
          </cell>
          <cell r="O169">
            <v>5.5761995430312261</v>
          </cell>
          <cell r="P169">
            <v>4.862871287128713</v>
          </cell>
          <cell r="Q169">
            <v>5.7066037735849049</v>
          </cell>
          <cell r="R169">
            <v>5.1829842931937176</v>
          </cell>
          <cell r="S169">
            <v>4.9039267015706809</v>
          </cell>
        </row>
        <row r="170">
          <cell r="A170" t="str">
            <v>Nicaragua</v>
          </cell>
          <cell r="B170">
            <v>6.6459884782914145</v>
          </cell>
          <cell r="C170">
            <v>6.3448253501642746</v>
          </cell>
          <cell r="D170">
            <v>6.6958112874779543</v>
          </cell>
          <cell r="E170">
            <v>6.5228021978021973</v>
          </cell>
          <cell r="F170">
            <v>6.7315939889469298</v>
          </cell>
          <cell r="G170">
            <v>6.3456549935149154</v>
          </cell>
          <cell r="H170">
            <v>6.3090226359213029</v>
          </cell>
          <cell r="I170">
            <v>6.1737017139933483</v>
          </cell>
          <cell r="J170">
            <v>6.150499843798813</v>
          </cell>
          <cell r="K170">
            <v>6.0591532959597911</v>
          </cell>
          <cell r="L170">
            <v>5.7</v>
          </cell>
          <cell r="M170">
            <v>5.65</v>
          </cell>
          <cell r="N170">
            <v>6.1203396524486564</v>
          </cell>
          <cell r="O170">
            <v>5.8</v>
          </cell>
          <cell r="P170">
            <v>6.25</v>
          </cell>
          <cell r="Q170">
            <v>6.8789308176100628</v>
          </cell>
          <cell r="R170">
            <v>6.5996945898778359</v>
          </cell>
          <cell r="S170">
            <v>8.1673647469458981</v>
          </cell>
        </row>
        <row r="171">
          <cell r="A171" t="str">
            <v>Niger</v>
          </cell>
          <cell r="B171">
            <v>5.95</v>
          </cell>
          <cell r="C171">
            <v>6.4</v>
          </cell>
          <cell r="D171">
            <v>6.25</v>
          </cell>
          <cell r="E171">
            <v>6.25</v>
          </cell>
          <cell r="F171">
            <v>6.480344840638959</v>
          </cell>
          <cell r="G171">
            <v>6.3166342412451364</v>
          </cell>
          <cell r="H171">
            <v>6.8755993935547552</v>
          </cell>
          <cell r="I171">
            <v>6.5037413660782804</v>
          </cell>
          <cell r="J171">
            <v>6.4707903780068721</v>
          </cell>
          <cell r="K171">
            <v>6.435232618081062</v>
          </cell>
          <cell r="L171">
            <v>6.5726064681396084</v>
          </cell>
          <cell r="M171">
            <v>6.4522738630684655</v>
          </cell>
          <cell r="N171">
            <v>7.009992101105845</v>
          </cell>
          <cell r="O171">
            <v>6.6981467377506982</v>
          </cell>
          <cell r="P171">
            <v>6.8659240924092408</v>
          </cell>
          <cell r="Q171">
            <v>7.0306603773584904</v>
          </cell>
          <cell r="R171">
            <v>6.4389179755671897</v>
          </cell>
          <cell r="S171">
            <v>6.3650959860383942</v>
          </cell>
        </row>
        <row r="172">
          <cell r="A172" t="str">
            <v>Nigeria</v>
          </cell>
          <cell r="B172">
            <v>4.0532246733174091</v>
          </cell>
          <cell r="C172">
            <v>3.0550608104213501</v>
          </cell>
          <cell r="D172">
            <v>3.5410493827160496</v>
          </cell>
          <cell r="E172">
            <v>3.4078754578754578</v>
          </cell>
          <cell r="F172">
            <v>4.6835490953138006</v>
          </cell>
          <cell r="G172">
            <v>4.6637483787289238</v>
          </cell>
          <cell r="H172">
            <v>4.4110429447852759</v>
          </cell>
          <cell r="I172">
            <v>3.3911806088513692</v>
          </cell>
          <cell r="J172">
            <v>3.5593564511090285</v>
          </cell>
          <cell r="K172">
            <v>3.3479202912558796</v>
          </cell>
          <cell r="L172">
            <v>3.7989113032340698</v>
          </cell>
          <cell r="M172">
            <v>3.3543853073463268</v>
          </cell>
          <cell r="N172">
            <v>3.1184044233807264</v>
          </cell>
          <cell r="O172">
            <v>3.4165079969535417</v>
          </cell>
          <cell r="P172">
            <v>3.540016501650165</v>
          </cell>
          <cell r="Q172">
            <v>3.4166666666666665</v>
          </cell>
          <cell r="R172">
            <v>3.6393979057591621</v>
          </cell>
          <cell r="S172">
            <v>3.7091623036649217</v>
          </cell>
        </row>
        <row r="173">
          <cell r="A173" t="str">
            <v>North America</v>
          </cell>
          <cell r="B173">
            <v>3</v>
          </cell>
          <cell r="C173">
            <v>3.05</v>
          </cell>
          <cell r="D173">
            <v>2.95</v>
          </cell>
          <cell r="E173">
            <v>3</v>
          </cell>
          <cell r="F173">
            <v>2.95</v>
          </cell>
          <cell r="G173">
            <v>2.95</v>
          </cell>
          <cell r="H173">
            <v>3</v>
          </cell>
          <cell r="I173">
            <v>2.9</v>
          </cell>
          <cell r="J173">
            <v>3.2</v>
          </cell>
          <cell r="K173">
            <v>3.2</v>
          </cell>
          <cell r="L173">
            <v>2.9</v>
          </cell>
          <cell r="M173">
            <v>2.5499999999999998</v>
          </cell>
          <cell r="N173">
            <v>2.7</v>
          </cell>
          <cell r="O173">
            <v>2.9</v>
          </cell>
          <cell r="P173">
            <v>3.2</v>
          </cell>
          <cell r="Q173">
            <v>3.15</v>
          </cell>
          <cell r="R173">
            <v>2.85</v>
          </cell>
          <cell r="S173">
            <v>2.85</v>
          </cell>
        </row>
        <row r="174">
          <cell r="A174" t="str">
            <v>North Macedonia</v>
          </cell>
          <cell r="B174">
            <v>5.6</v>
          </cell>
          <cell r="C174">
            <v>5.4</v>
          </cell>
          <cell r="D174">
            <v>5.4</v>
          </cell>
          <cell r="E174">
            <v>5.45</v>
          </cell>
          <cell r="F174">
            <v>5.6905045802104626</v>
          </cell>
          <cell r="G174">
            <v>5.6209468223086896</v>
          </cell>
          <cell r="H174">
            <v>5.3350257386644104</v>
          </cell>
          <cell r="I174">
            <v>4.7655730365822455</v>
          </cell>
          <cell r="J174">
            <v>5.1539753202124343</v>
          </cell>
          <cell r="K174">
            <v>5.3282427991494297</v>
          </cell>
          <cell r="L174">
            <v>5.1163144412423947</v>
          </cell>
          <cell r="M174">
            <v>5.3272113943028492</v>
          </cell>
          <cell r="N174">
            <v>5.0094786729857823</v>
          </cell>
          <cell r="O174">
            <v>4.5361132267072861</v>
          </cell>
          <cell r="P174">
            <v>5.2029702970297036</v>
          </cell>
          <cell r="Q174">
            <v>5.4174528301886795</v>
          </cell>
          <cell r="R174">
            <v>5.298065735892961</v>
          </cell>
          <cell r="S174">
            <v>5.6769924374636416</v>
          </cell>
        </row>
        <row r="175">
          <cell r="A175" t="str">
            <v>Norway</v>
          </cell>
          <cell r="B175">
            <v>4.3866938316706481</v>
          </cell>
          <cell r="C175">
            <v>3.4668856994639463</v>
          </cell>
          <cell r="D175">
            <v>3.1289417989417991</v>
          </cell>
          <cell r="E175">
            <v>3.8478021978021979</v>
          </cell>
          <cell r="F175">
            <v>3.25965250965251</v>
          </cell>
          <cell r="G175">
            <v>3.959143968871595</v>
          </cell>
          <cell r="H175">
            <v>2.7132959593822719</v>
          </cell>
          <cell r="I175">
            <v>2.9026477359938605</v>
          </cell>
          <cell r="J175">
            <v>3.543580131208997</v>
          </cell>
          <cell r="K175">
            <v>3.2517108061086413</v>
          </cell>
          <cell r="L175">
            <v>3.5090778097982707</v>
          </cell>
          <cell r="M175">
            <v>3.3910794602698653</v>
          </cell>
          <cell r="N175">
            <v>4.732748815165877</v>
          </cell>
          <cell r="O175">
            <v>3.5393754760091398</v>
          </cell>
          <cell r="P175">
            <v>3.998019801980198</v>
          </cell>
          <cell r="Q175">
            <v>3.6462264150943398</v>
          </cell>
          <cell r="R175">
            <v>4.2898778359511338</v>
          </cell>
          <cell r="S175">
            <v>4.2422338568935434</v>
          </cell>
        </row>
        <row r="176">
          <cell r="A176" t="str">
            <v>OECD members</v>
          </cell>
          <cell r="B176">
            <v>3.45</v>
          </cell>
          <cell r="C176">
            <v>3.3</v>
          </cell>
          <cell r="D176">
            <v>2.95</v>
          </cell>
          <cell r="E176">
            <v>3.05</v>
          </cell>
          <cell r="F176">
            <v>3.2</v>
          </cell>
          <cell r="G176">
            <v>3</v>
          </cell>
          <cell r="H176">
            <v>3.4</v>
          </cell>
          <cell r="I176">
            <v>3</v>
          </cell>
          <cell r="J176">
            <v>3.45</v>
          </cell>
          <cell r="K176">
            <v>3.5</v>
          </cell>
          <cell r="L176">
            <v>3.25</v>
          </cell>
          <cell r="M176">
            <v>2.4</v>
          </cell>
          <cell r="N176">
            <v>2.95</v>
          </cell>
          <cell r="O176">
            <v>2.7</v>
          </cell>
          <cell r="P176">
            <v>2.85</v>
          </cell>
          <cell r="Q176">
            <v>3.6875</v>
          </cell>
          <cell r="R176">
            <v>2.9375</v>
          </cell>
          <cell r="S176">
            <v>3.75</v>
          </cell>
        </row>
        <row r="177">
          <cell r="A177" t="str">
            <v>Oman</v>
          </cell>
          <cell r="B177">
            <v>3.55</v>
          </cell>
          <cell r="C177">
            <v>3.3594947835610118</v>
          </cell>
          <cell r="D177">
            <v>3.5137125220458554</v>
          </cell>
          <cell r="E177">
            <v>3.1172161172161168</v>
          </cell>
          <cell r="F177">
            <v>3.5859414035884627</v>
          </cell>
          <cell r="G177">
            <v>3.5167315175097271</v>
          </cell>
          <cell r="H177">
            <v>3.8606198434525067</v>
          </cell>
          <cell r="I177">
            <v>3.5861089792785874</v>
          </cell>
          <cell r="J177">
            <v>3.2483598875351456</v>
          </cell>
          <cell r="K177">
            <v>4.5672240479412327</v>
          </cell>
          <cell r="L177">
            <v>4.87790585975024</v>
          </cell>
          <cell r="M177">
            <v>5.234332833583208</v>
          </cell>
          <cell r="N177">
            <v>4.7247867298578203</v>
          </cell>
          <cell r="O177">
            <v>5.1572353389185075</v>
          </cell>
          <cell r="P177">
            <v>5.6797029702970292</v>
          </cell>
          <cell r="Q177">
            <v>5.4764150943396226</v>
          </cell>
          <cell r="R177">
            <v>5.3682373472949383</v>
          </cell>
          <cell r="S177">
            <v>5.516870273414777</v>
          </cell>
        </row>
        <row r="178">
          <cell r="A178" t="str">
            <v>Other small states</v>
          </cell>
          <cell r="B178">
            <v>4.9000000000000004</v>
          </cell>
          <cell r="C178">
            <v>4.95</v>
          </cell>
          <cell r="D178">
            <v>5.25</v>
          </cell>
          <cell r="E178">
            <v>5.15</v>
          </cell>
          <cell r="F178">
            <v>4.9000000000000004</v>
          </cell>
          <cell r="G178">
            <v>5.0999999999999996</v>
          </cell>
          <cell r="H178">
            <v>4.8499999999999996</v>
          </cell>
          <cell r="I178">
            <v>4.7</v>
          </cell>
          <cell r="J178">
            <v>4.9000000000000004</v>
          </cell>
          <cell r="K178">
            <v>4.5</v>
          </cell>
          <cell r="L178">
            <v>4.7</v>
          </cell>
          <cell r="M178">
            <v>4.05</v>
          </cell>
          <cell r="N178">
            <v>5.15</v>
          </cell>
          <cell r="O178">
            <v>3.2</v>
          </cell>
          <cell r="P178">
            <v>5.05</v>
          </cell>
          <cell r="Q178">
            <v>5</v>
          </cell>
          <cell r="R178">
            <v>6.75</v>
          </cell>
          <cell r="S178">
            <v>2.8333333333333335</v>
          </cell>
        </row>
        <row r="179">
          <cell r="A179" t="str">
            <v>Pacific island small states</v>
          </cell>
          <cell r="B179">
            <v>7.6875</v>
          </cell>
          <cell r="C179">
            <v>8</v>
          </cell>
          <cell r="D179">
            <v>6.95</v>
          </cell>
          <cell r="E179">
            <v>7</v>
          </cell>
          <cell r="F179">
            <v>6.7</v>
          </cell>
          <cell r="G179">
            <v>6.8</v>
          </cell>
          <cell r="H179">
            <v>6.75</v>
          </cell>
          <cell r="I179">
            <v>6.6</v>
          </cell>
          <cell r="J179">
            <v>6.65</v>
          </cell>
          <cell r="K179">
            <v>6.8</v>
          </cell>
          <cell r="L179">
            <v>6.9</v>
          </cell>
          <cell r="M179">
            <v>7.5625</v>
          </cell>
          <cell r="N179">
            <v>8</v>
          </cell>
          <cell r="O179">
            <v>7.75</v>
          </cell>
          <cell r="P179">
            <v>8.5</v>
          </cell>
          <cell r="Q179">
            <v>4</v>
          </cell>
          <cell r="R179">
            <v>5.5</v>
          </cell>
          <cell r="S179">
            <v>5.5</v>
          </cell>
        </row>
        <row r="180">
          <cell r="A180" t="str">
            <v>Pakistan</v>
          </cell>
          <cell r="B180">
            <v>5.0560629478712942</v>
          </cell>
          <cell r="C180">
            <v>5.3946481065191074</v>
          </cell>
          <cell r="D180">
            <v>5.3611992945326277</v>
          </cell>
          <cell r="E180">
            <v>5.6286630036630036</v>
          </cell>
          <cell r="F180">
            <v>5.5698765992883636</v>
          </cell>
          <cell r="G180">
            <v>5.3790531776913104</v>
          </cell>
          <cell r="H180">
            <v>5.2336136379662923</v>
          </cell>
          <cell r="I180">
            <v>5.3873752877973899</v>
          </cell>
          <cell r="J180">
            <v>5.2879959387691349</v>
          </cell>
          <cell r="K180">
            <v>5.1146739480636638</v>
          </cell>
          <cell r="L180">
            <v>5.1553794428434196</v>
          </cell>
          <cell r="M180">
            <v>5.0913918040979507</v>
          </cell>
          <cell r="N180">
            <v>5.1982227488151658</v>
          </cell>
          <cell r="O180">
            <v>5.5556613353643058</v>
          </cell>
          <cell r="P180">
            <v>5.3564356435643559</v>
          </cell>
          <cell r="Q180">
            <v>5.3081761006289305</v>
          </cell>
          <cell r="R180">
            <v>5.5385398487492727</v>
          </cell>
          <cell r="S180">
            <v>5.2381326352530539</v>
          </cell>
        </row>
        <row r="181">
          <cell r="A181" t="str">
            <v>Palau</v>
          </cell>
          <cell r="B181">
            <v>5</v>
          </cell>
          <cell r="C181">
            <v>5.5</v>
          </cell>
          <cell r="D181">
            <v>5.75</v>
          </cell>
          <cell r="E181">
            <v>5.25</v>
          </cell>
          <cell r="F181">
            <v>7.25</v>
          </cell>
          <cell r="G181">
            <v>6.85</v>
          </cell>
          <cell r="H181">
            <v>8.75</v>
          </cell>
          <cell r="I181">
            <v>7.5</v>
          </cell>
          <cell r="J181">
            <v>6.625</v>
          </cell>
          <cell r="K181">
            <v>5.7</v>
          </cell>
          <cell r="L181">
            <v>6.2</v>
          </cell>
          <cell r="M181">
            <v>7.6875</v>
          </cell>
          <cell r="N181">
            <v>8.5</v>
          </cell>
          <cell r="O181">
            <v>9.5</v>
          </cell>
          <cell r="P181">
            <v>9</v>
          </cell>
          <cell r="Q181">
            <v>8.6646440203078008</v>
          </cell>
          <cell r="R181">
            <v>9.5</v>
          </cell>
          <cell r="S181">
            <v>9.4470517463939956</v>
          </cell>
        </row>
        <row r="182">
          <cell r="A182" t="str">
            <v>Panama</v>
          </cell>
          <cell r="B182">
            <v>5.1330382651866424</v>
          </cell>
          <cell r="C182">
            <v>5.5406507579687592</v>
          </cell>
          <cell r="D182">
            <v>5.5690476190476188</v>
          </cell>
          <cell r="E182">
            <v>6.1830586080586079</v>
          </cell>
          <cell r="F182">
            <v>6.5843742902566431</v>
          </cell>
          <cell r="G182">
            <v>6.2511348897535663</v>
          </cell>
          <cell r="H182">
            <v>6.3092694450320854</v>
          </cell>
          <cell r="I182">
            <v>5.9717638782297264</v>
          </cell>
          <cell r="J182">
            <v>6.1507341455795066</v>
          </cell>
          <cell r="K182">
            <v>6.3064469360139173</v>
          </cell>
          <cell r="L182">
            <v>6.3807236631444129</v>
          </cell>
          <cell r="M182">
            <v>6.5003748125937024</v>
          </cell>
          <cell r="N182">
            <v>6.4622432859399686</v>
          </cell>
          <cell r="O182">
            <v>5.8004252348311764</v>
          </cell>
          <cell r="P182">
            <v>5.0292904290429048</v>
          </cell>
          <cell r="Q182">
            <v>5.7649371069182394</v>
          </cell>
          <cell r="R182">
            <v>5.6470331588132625</v>
          </cell>
          <cell r="S182">
            <v>6.6615764979639325</v>
          </cell>
        </row>
        <row r="183">
          <cell r="A183" t="str">
            <v>Papua New Guinea</v>
          </cell>
          <cell r="B183">
            <v>3.75</v>
          </cell>
          <cell r="C183">
            <v>3.125</v>
          </cell>
          <cell r="D183">
            <v>4.75</v>
          </cell>
          <cell r="E183">
            <v>4.75</v>
          </cell>
          <cell r="F183">
            <v>5.4</v>
          </cell>
          <cell r="G183">
            <v>5.45</v>
          </cell>
          <cell r="H183">
            <v>5.5</v>
          </cell>
          <cell r="I183">
            <v>5</v>
          </cell>
          <cell r="J183">
            <v>5.375</v>
          </cell>
          <cell r="K183">
            <v>5</v>
          </cell>
          <cell r="L183">
            <v>4.875</v>
          </cell>
          <cell r="M183">
            <v>5.875</v>
          </cell>
          <cell r="N183">
            <v>6.5</v>
          </cell>
          <cell r="O183">
            <v>6.65</v>
          </cell>
          <cell r="P183">
            <v>6.65</v>
          </cell>
          <cell r="Q183">
            <v>4.75</v>
          </cell>
          <cell r="R183">
            <v>4.25</v>
          </cell>
          <cell r="S183">
            <v>3.75</v>
          </cell>
        </row>
        <row r="184">
          <cell r="A184" t="str">
            <v>Paraguay</v>
          </cell>
          <cell r="B184">
            <v>5.6158493747365457</v>
          </cell>
          <cell r="C184">
            <v>5.3736454550694566</v>
          </cell>
          <cell r="D184">
            <v>5.5936948853615513</v>
          </cell>
          <cell r="E184">
            <v>5.5372710622710626</v>
          </cell>
          <cell r="F184">
            <v>4.8192330986448626</v>
          </cell>
          <cell r="G184">
            <v>5.1034370946822314</v>
          </cell>
          <cell r="H184">
            <v>4.8219007827374654</v>
          </cell>
          <cell r="I184">
            <v>4.6863328216935276</v>
          </cell>
          <cell r="J184">
            <v>4.8416119962511717</v>
          </cell>
          <cell r="K184">
            <v>5.0185498421290031</v>
          </cell>
          <cell r="L184">
            <v>4.7389129042587257</v>
          </cell>
          <cell r="M184">
            <v>4.824587706146926</v>
          </cell>
          <cell r="N184">
            <v>4.9352290679304893</v>
          </cell>
          <cell r="O184">
            <v>5.3309215536938312</v>
          </cell>
          <cell r="P184">
            <v>5.0404290429042904</v>
          </cell>
          <cell r="Q184">
            <v>5.4009433962264142</v>
          </cell>
          <cell r="R184">
            <v>5.3438045375218151</v>
          </cell>
          <cell r="S184">
            <v>5.534685863874345</v>
          </cell>
        </row>
        <row r="185">
          <cell r="A185" t="str">
            <v>Peru</v>
          </cell>
          <cell r="B185">
            <v>5.5132078122804558</v>
          </cell>
          <cell r="C185">
            <v>5.4699550406363473</v>
          </cell>
          <cell r="D185">
            <v>5.3563492063492069</v>
          </cell>
          <cell r="E185">
            <v>4.8945970695970695</v>
          </cell>
          <cell r="F185">
            <v>5.05898440457264</v>
          </cell>
          <cell r="G185">
            <v>4.939040207522698</v>
          </cell>
          <cell r="H185">
            <v>4.8716328185600446</v>
          </cell>
          <cell r="I185">
            <v>4.5442568431824002</v>
          </cell>
          <cell r="J185">
            <v>4.7943611371446417</v>
          </cell>
          <cell r="K185">
            <v>4.8380211353824345</v>
          </cell>
          <cell r="L185">
            <v>4.655659622158181</v>
          </cell>
          <cell r="M185">
            <v>4.9765117441279356</v>
          </cell>
          <cell r="N185">
            <v>4.7090442338072664</v>
          </cell>
          <cell r="O185">
            <v>4.3916920538207664</v>
          </cell>
          <cell r="P185">
            <v>4.9653465346534658</v>
          </cell>
          <cell r="Q185">
            <v>5.4913522012578611</v>
          </cell>
          <cell r="R185">
            <v>4.952225130890052</v>
          </cell>
          <cell r="S185">
            <v>4.7240837696335074</v>
          </cell>
        </row>
        <row r="186">
          <cell r="A186" t="str">
            <v>Philippines</v>
          </cell>
          <cell r="B186">
            <v>4.0014987588403352</v>
          </cell>
          <cell r="C186">
            <v>3.7247752031817392</v>
          </cell>
          <cell r="D186">
            <v>3.9171957671957673</v>
          </cell>
          <cell r="E186">
            <v>3.8275641025641023</v>
          </cell>
          <cell r="F186">
            <v>3.8604644560526911</v>
          </cell>
          <cell r="G186">
            <v>3.7294098573281453</v>
          </cell>
          <cell r="H186">
            <v>3.9151681827797753</v>
          </cell>
          <cell r="I186">
            <v>4.1163341007930416</v>
          </cell>
          <cell r="J186">
            <v>3.6220321774445488</v>
          </cell>
          <cell r="K186">
            <v>3.4432630968490243</v>
          </cell>
          <cell r="L186">
            <v>3.7107748959333975</v>
          </cell>
          <cell r="M186">
            <v>3.9423413293353327</v>
          </cell>
          <cell r="N186">
            <v>3.7730252764612953</v>
          </cell>
          <cell r="O186">
            <v>3.9385948210205637</v>
          </cell>
          <cell r="P186">
            <v>4.121699669966997</v>
          </cell>
          <cell r="Q186">
            <v>4.39937106918239</v>
          </cell>
          <cell r="R186">
            <v>4.1963350785340312</v>
          </cell>
          <cell r="S186">
            <v>4.7705061082024436</v>
          </cell>
        </row>
        <row r="187">
          <cell r="A187" t="str">
            <v>Poland</v>
          </cell>
          <cell r="B187">
            <v>4.9315441899676831</v>
          </cell>
          <cell r="C187">
            <v>4.0277364689607467</v>
          </cell>
          <cell r="D187">
            <v>4.7063492063492065</v>
          </cell>
          <cell r="E187">
            <v>4.9573626373626372</v>
          </cell>
          <cell r="F187">
            <v>4.6219282307517604</v>
          </cell>
          <cell r="G187">
            <v>4.0317120622568101</v>
          </cell>
          <cell r="H187">
            <v>3.7699492278400677</v>
          </cell>
          <cell r="I187">
            <v>4.6763238679969303</v>
          </cell>
          <cell r="J187">
            <v>4.7049203373945643</v>
          </cell>
          <cell r="K187">
            <v>4.6575391455635025</v>
          </cell>
          <cell r="L187">
            <v>4.2875120076849189</v>
          </cell>
          <cell r="M187">
            <v>4.7518740629685157</v>
          </cell>
          <cell r="N187">
            <v>4.5331279620853078</v>
          </cell>
          <cell r="O187">
            <v>4.7450495049504955</v>
          </cell>
          <cell r="P187">
            <v>4.9138613861386142</v>
          </cell>
          <cell r="Q187">
            <v>5.2726415094339618</v>
          </cell>
          <cell r="R187">
            <v>4.8936300174520069</v>
          </cell>
          <cell r="S187">
            <v>4.41457242582897</v>
          </cell>
        </row>
        <row r="188">
          <cell r="A188" t="str">
            <v>Portugal</v>
          </cell>
          <cell r="B188">
            <v>4.9769846845580998</v>
          </cell>
          <cell r="C188">
            <v>4.9316444751858892</v>
          </cell>
          <cell r="D188">
            <v>5.1379365079365078</v>
          </cell>
          <cell r="E188">
            <v>5.5020879120879114</v>
          </cell>
          <cell r="F188">
            <v>5.4729729729729728</v>
          </cell>
          <cell r="G188">
            <v>5.9410505836575878</v>
          </cell>
          <cell r="H188">
            <v>5.8592447641210068</v>
          </cell>
          <cell r="I188">
            <v>5.5348426707597849</v>
          </cell>
          <cell r="J188">
            <v>4.5631208997188377</v>
          </cell>
          <cell r="K188">
            <v>5.166673110380823</v>
          </cell>
          <cell r="L188">
            <v>5.5315081652257447</v>
          </cell>
          <cell r="M188">
            <v>5.300449775112444</v>
          </cell>
          <cell r="N188">
            <v>5.4064928909952608</v>
          </cell>
          <cell r="O188">
            <v>5.0094821020563591</v>
          </cell>
          <cell r="P188">
            <v>5.1935643564356431</v>
          </cell>
          <cell r="Q188">
            <v>5.6990566037735846</v>
          </cell>
          <cell r="R188">
            <v>5.3923211169284464</v>
          </cell>
          <cell r="S188">
            <v>5.6307155322862128</v>
          </cell>
        </row>
        <row r="189">
          <cell r="A189" t="str">
            <v>Post-demographic dividend</v>
          </cell>
          <cell r="B189">
            <v>3.35</v>
          </cell>
          <cell r="C189">
            <v>3.2</v>
          </cell>
          <cell r="D189">
            <v>2.95</v>
          </cell>
          <cell r="E189">
            <v>3.1</v>
          </cell>
          <cell r="F189">
            <v>3.2</v>
          </cell>
          <cell r="G189">
            <v>3.1</v>
          </cell>
          <cell r="H189">
            <v>3.15</v>
          </cell>
          <cell r="I189">
            <v>3</v>
          </cell>
          <cell r="J189">
            <v>3.45</v>
          </cell>
          <cell r="K189">
            <v>3.4</v>
          </cell>
          <cell r="L189">
            <v>3.25</v>
          </cell>
          <cell r="M189">
            <v>2.2999999999999998</v>
          </cell>
          <cell r="N189">
            <v>3</v>
          </cell>
          <cell r="O189">
            <v>2.65</v>
          </cell>
          <cell r="P189">
            <v>3</v>
          </cell>
          <cell r="Q189">
            <v>3.625</v>
          </cell>
          <cell r="R189">
            <v>2.875</v>
          </cell>
          <cell r="S189">
            <v>3.875</v>
          </cell>
        </row>
        <row r="190">
          <cell r="A190" t="str">
            <v>Pre-demographic dividend</v>
          </cell>
          <cell r="B190">
            <v>4.4375</v>
          </cell>
          <cell r="C190">
            <v>4.95</v>
          </cell>
          <cell r="D190">
            <v>5.2</v>
          </cell>
          <cell r="E190">
            <v>4.8</v>
          </cell>
          <cell r="F190">
            <v>3.6666666666666665</v>
          </cell>
          <cell r="G190">
            <v>4</v>
          </cell>
          <cell r="H190">
            <v>3.3333333333333335</v>
          </cell>
          <cell r="I190">
            <v>4.1500000000000004</v>
          </cell>
          <cell r="J190">
            <v>5.35</v>
          </cell>
          <cell r="K190">
            <v>4.7</v>
          </cell>
          <cell r="L190">
            <v>4.1500000000000004</v>
          </cell>
          <cell r="M190">
            <v>4.05</v>
          </cell>
          <cell r="N190">
            <v>4.1500000000000004</v>
          </cell>
          <cell r="O190">
            <v>3</v>
          </cell>
          <cell r="P190">
            <v>3</v>
          </cell>
          <cell r="Q190">
            <v>1.25</v>
          </cell>
          <cell r="R190">
            <v>4.25</v>
          </cell>
          <cell r="S190">
            <v>4.25</v>
          </cell>
        </row>
        <row r="191">
          <cell r="A191" t="str">
            <v>Qatar</v>
          </cell>
          <cell r="B191">
            <v>2.875</v>
          </cell>
          <cell r="C191">
            <v>2.5685111533805984</v>
          </cell>
          <cell r="D191">
            <v>3.9485008818342151</v>
          </cell>
          <cell r="E191">
            <v>3.4095604395604395</v>
          </cell>
          <cell r="F191">
            <v>1.3840184722537661</v>
          </cell>
          <cell r="G191">
            <v>2.4832684824902724</v>
          </cell>
          <cell r="H191">
            <v>2.5327163105563786</v>
          </cell>
          <cell r="I191">
            <v>2.5389869531849576</v>
          </cell>
          <cell r="J191">
            <v>2.8980318650421744</v>
          </cell>
          <cell r="K191">
            <v>2.8638604291513627</v>
          </cell>
          <cell r="L191">
            <v>3.0446685878962536</v>
          </cell>
          <cell r="M191">
            <v>2.8934032983508247</v>
          </cell>
          <cell r="N191">
            <v>2.8655924170616114</v>
          </cell>
          <cell r="O191">
            <v>2.8931073876618432</v>
          </cell>
          <cell r="P191">
            <v>2.9465346534653465</v>
          </cell>
          <cell r="Q191">
            <v>2.846226415094339</v>
          </cell>
          <cell r="R191">
            <v>2.8937172774869109</v>
          </cell>
          <cell r="S191">
            <v>1.8845986038394413</v>
          </cell>
        </row>
        <row r="192">
          <cell r="A192" t="str">
            <v>Romania</v>
          </cell>
          <cell r="B192">
            <v>4.723696782352115</v>
          </cell>
          <cell r="C192">
            <v>4.7601936711049628</v>
          </cell>
          <cell r="D192">
            <v>4.8587830687830689</v>
          </cell>
          <cell r="E192">
            <v>4.4013186813186813</v>
          </cell>
          <cell r="F192">
            <v>4.3759822848058141</v>
          </cell>
          <cell r="G192">
            <v>4.4828793774319067</v>
          </cell>
          <cell r="H192">
            <v>4.5610640998519143</v>
          </cell>
          <cell r="I192">
            <v>4.3245587106676897</v>
          </cell>
          <cell r="J192">
            <v>4.4283973758200563</v>
          </cell>
          <cell r="K192">
            <v>4.2472356466267156</v>
          </cell>
          <cell r="L192">
            <v>4.1962536023054753</v>
          </cell>
          <cell r="M192">
            <v>4.3547976011994001</v>
          </cell>
          <cell r="N192">
            <v>4.3556398104265401</v>
          </cell>
          <cell r="O192">
            <v>4.1973724295506472</v>
          </cell>
          <cell r="P192">
            <v>4.8341584158415838</v>
          </cell>
          <cell r="Q192">
            <v>5.1009433962264152</v>
          </cell>
          <cell r="R192">
            <v>4.5483420593368233</v>
          </cell>
          <cell r="S192">
            <v>4.9877835951134379</v>
          </cell>
        </row>
        <row r="193">
          <cell r="A193" t="str">
            <v>Russia</v>
          </cell>
          <cell r="B193">
            <v>4.5</v>
          </cell>
          <cell r="C193">
            <v>4.7043143697043055</v>
          </cell>
          <cell r="D193">
            <v>4.75</v>
          </cell>
          <cell r="E193">
            <v>4.125</v>
          </cell>
          <cell r="F193">
            <v>4.1204973881444475</v>
          </cell>
          <cell r="G193">
            <v>4.1789883268482493</v>
          </cell>
          <cell r="H193">
            <v>4.3934948170086736</v>
          </cell>
          <cell r="I193">
            <v>3.9838833461243284</v>
          </cell>
          <cell r="J193">
            <v>4.2864104967197747</v>
          </cell>
          <cell r="K193">
            <v>4.5740382756620921</v>
          </cell>
          <cell r="L193">
            <v>4.1116234390009607</v>
          </cell>
          <cell r="M193">
            <v>4.1431784107946026</v>
          </cell>
          <cell r="N193">
            <v>4.3230331753554498</v>
          </cell>
          <cell r="O193">
            <v>4.4595582635186597</v>
          </cell>
          <cell r="P193">
            <v>4.1445544554455447</v>
          </cell>
          <cell r="Q193">
            <v>2.4889937106918238</v>
          </cell>
          <cell r="R193">
            <v>0.75</v>
          </cell>
          <cell r="S193">
            <v>2.6989528795811517</v>
          </cell>
        </row>
        <row r="194">
          <cell r="A194" t="str">
            <v>Rwanda</v>
          </cell>
          <cell r="B194">
            <v>5.95</v>
          </cell>
          <cell r="C194">
            <v>5.95</v>
          </cell>
          <cell r="D194">
            <v>5.8</v>
          </cell>
          <cell r="E194">
            <v>6.35</v>
          </cell>
          <cell r="F194">
            <v>6.5618990839579077</v>
          </cell>
          <cell r="G194">
            <v>6.6817444876783396</v>
          </cell>
          <cell r="H194">
            <v>6.8316497426133553</v>
          </cell>
          <cell r="I194">
            <v>6.8425748273215659</v>
          </cell>
          <cell r="J194">
            <v>6.7770228053733206</v>
          </cell>
          <cell r="K194">
            <v>6.9618451575488107</v>
          </cell>
          <cell r="L194">
            <v>6.7497198206852387</v>
          </cell>
          <cell r="M194">
            <v>6.8491379310344831</v>
          </cell>
          <cell r="N194">
            <v>6.5510663507109008</v>
          </cell>
          <cell r="O194">
            <v>6.1350596598121356</v>
          </cell>
          <cell r="P194">
            <v>6.3729372937293727</v>
          </cell>
          <cell r="Q194">
            <v>6.6100628930817606</v>
          </cell>
          <cell r="R194">
            <v>6.8631108202443283</v>
          </cell>
          <cell r="S194">
            <v>6.9605148342059335</v>
          </cell>
        </row>
        <row r="195">
          <cell r="A195" t="str">
            <v>Samoa</v>
          </cell>
          <cell r="B195">
            <v>4.3499999999999996</v>
          </cell>
          <cell r="C195">
            <v>5.25</v>
          </cell>
          <cell r="D195">
            <v>5.15</v>
          </cell>
          <cell r="E195">
            <v>4.8499999999999996</v>
          </cell>
          <cell r="F195">
            <v>5.25</v>
          </cell>
          <cell r="G195">
            <v>5.5</v>
          </cell>
          <cell r="H195">
            <v>5.7</v>
          </cell>
          <cell r="I195">
            <v>5.8</v>
          </cell>
          <cell r="J195">
            <v>6.55</v>
          </cell>
          <cell r="K195">
            <v>6</v>
          </cell>
          <cell r="L195">
            <v>6.55</v>
          </cell>
          <cell r="M195">
            <v>6.8</v>
          </cell>
          <cell r="N195">
            <v>6.3</v>
          </cell>
          <cell r="O195">
            <v>6.375</v>
          </cell>
          <cell r="P195">
            <v>6.25</v>
          </cell>
          <cell r="Q195">
            <v>6.5</v>
          </cell>
          <cell r="R195">
            <v>6.45</v>
          </cell>
          <cell r="S195">
            <v>6.416666666666667</v>
          </cell>
        </row>
        <row r="196">
          <cell r="A196" t="str">
            <v>Sao Tome and Principe</v>
          </cell>
          <cell r="B196">
            <v>6.4</v>
          </cell>
          <cell r="C196">
            <v>6.35</v>
          </cell>
          <cell r="D196">
            <v>6</v>
          </cell>
          <cell r="E196">
            <v>7.3125</v>
          </cell>
          <cell r="F196">
            <v>6.1</v>
          </cell>
          <cell r="G196">
            <v>6.4</v>
          </cell>
          <cell r="H196">
            <v>7.375</v>
          </cell>
          <cell r="I196">
            <v>6.9375</v>
          </cell>
          <cell r="J196">
            <v>7.125</v>
          </cell>
          <cell r="K196">
            <v>7.25</v>
          </cell>
          <cell r="L196">
            <v>6.95</v>
          </cell>
          <cell r="M196">
            <v>6.3</v>
          </cell>
          <cell r="N196">
            <v>7</v>
          </cell>
          <cell r="O196">
            <v>6.875</v>
          </cell>
          <cell r="P196">
            <v>6.35</v>
          </cell>
          <cell r="Q196">
            <v>6.65</v>
          </cell>
          <cell r="R196">
            <v>6.5</v>
          </cell>
          <cell r="S196">
            <v>5.125</v>
          </cell>
        </row>
        <row r="197">
          <cell r="A197" t="str">
            <v>Saudi Arabia</v>
          </cell>
          <cell r="B197">
            <v>2.0499999999999998</v>
          </cell>
          <cell r="C197">
            <v>2.9393048590696873</v>
          </cell>
          <cell r="D197">
            <v>2.9259788359788361</v>
          </cell>
          <cell r="E197">
            <v>3.4527472527472525</v>
          </cell>
          <cell r="F197">
            <v>3.1936974789915964</v>
          </cell>
          <cell r="G197">
            <v>2.8745136186770428</v>
          </cell>
          <cell r="H197">
            <v>2.9238311825682248</v>
          </cell>
          <cell r="I197">
            <v>2.7391020721412125</v>
          </cell>
          <cell r="J197">
            <v>2.9865510777881914</v>
          </cell>
          <cell r="K197">
            <v>3.9530349893678718</v>
          </cell>
          <cell r="L197">
            <v>2.2111431316042269</v>
          </cell>
          <cell r="M197">
            <v>2.629235382308845</v>
          </cell>
          <cell r="N197">
            <v>2.2008530805687201</v>
          </cell>
          <cell r="O197">
            <v>2.4381568926123385</v>
          </cell>
          <cell r="P197">
            <v>3.9346534653465346</v>
          </cell>
          <cell r="Q197">
            <v>3.9622641509433953</v>
          </cell>
          <cell r="R197">
            <v>2.9553228621291447</v>
          </cell>
          <cell r="S197">
            <v>2.8409685863874343</v>
          </cell>
        </row>
        <row r="198">
          <cell r="A198" t="str">
            <v>Senegal</v>
          </cell>
          <cell r="B198">
            <v>6.05</v>
          </cell>
          <cell r="C198">
            <v>6.1253386362326365</v>
          </cell>
          <cell r="D198">
            <v>6.0607142857142859</v>
          </cell>
          <cell r="E198">
            <v>6.2595238095238095</v>
          </cell>
          <cell r="F198">
            <v>6.4142156862745097</v>
          </cell>
          <cell r="G198">
            <v>6.4442282749675748</v>
          </cell>
          <cell r="H198">
            <v>6.6898490938579789</v>
          </cell>
          <cell r="I198">
            <v>6.6935917114351495</v>
          </cell>
          <cell r="J198">
            <v>6.9168228678537957</v>
          </cell>
          <cell r="K198">
            <v>6.8765867646111216</v>
          </cell>
          <cell r="L198">
            <v>6.9243916106308037</v>
          </cell>
          <cell r="M198">
            <v>7.3077836081959022</v>
          </cell>
          <cell r="N198">
            <v>7.3184439178515008</v>
          </cell>
          <cell r="O198">
            <v>7.3849644579842604</v>
          </cell>
          <cell r="P198">
            <v>7.3510726072607255</v>
          </cell>
          <cell r="Q198">
            <v>7.6556603773584904</v>
          </cell>
          <cell r="R198">
            <v>7.5201425247236768</v>
          </cell>
          <cell r="S198">
            <v>7.7381326352530548</v>
          </cell>
        </row>
        <row r="199">
          <cell r="A199" t="str">
            <v>Serbia</v>
          </cell>
          <cell r="B199">
            <v>5.9</v>
          </cell>
          <cell r="C199">
            <v>6.7022739062770187</v>
          </cell>
          <cell r="D199">
            <v>6.7785714285714285</v>
          </cell>
          <cell r="E199">
            <v>6.6211538461538462</v>
          </cell>
          <cell r="F199">
            <v>6.4995031796502385</v>
          </cell>
          <cell r="G199">
            <v>5.9965953307393001</v>
          </cell>
          <cell r="H199">
            <v>6.0189337846414217</v>
          </cell>
          <cell r="I199">
            <v>5.6357444359171147</v>
          </cell>
          <cell r="J199">
            <v>5.9290651358950335</v>
          </cell>
          <cell r="K199">
            <v>6.2596051614150401</v>
          </cell>
          <cell r="L199">
            <v>6.6162944284341973</v>
          </cell>
          <cell r="M199">
            <v>6.2932908545727129</v>
          </cell>
          <cell r="N199">
            <v>5.9943127962085301</v>
          </cell>
          <cell r="O199">
            <v>5.6988290175171361</v>
          </cell>
          <cell r="P199">
            <v>5.8224009900990099</v>
          </cell>
          <cell r="Q199">
            <v>6.1485849056603774</v>
          </cell>
          <cell r="R199">
            <v>5.880235602094241</v>
          </cell>
          <cell r="S199">
            <v>5.9732766143106462</v>
          </cell>
        </row>
        <row r="200">
          <cell r="A200" t="str">
            <v>Seychelles</v>
          </cell>
          <cell r="B200">
            <v>5.3</v>
          </cell>
          <cell r="C200">
            <v>5.45</v>
          </cell>
          <cell r="D200">
            <v>6.15</v>
          </cell>
          <cell r="E200">
            <v>6.25</v>
          </cell>
          <cell r="F200">
            <v>5.75</v>
          </cell>
          <cell r="G200">
            <v>6</v>
          </cell>
          <cell r="H200">
            <v>4.9000000000000004</v>
          </cell>
          <cell r="I200">
            <v>5.4217830647224359</v>
          </cell>
          <cell r="J200">
            <v>5.0786472977194625</v>
          </cell>
          <cell r="K200">
            <v>4.25</v>
          </cell>
          <cell r="L200">
            <v>4.5</v>
          </cell>
          <cell r="M200">
            <v>5.4375</v>
          </cell>
          <cell r="N200">
            <v>5.375</v>
          </cell>
          <cell r="O200">
            <v>5.9375</v>
          </cell>
          <cell r="P200">
            <v>4.9375</v>
          </cell>
          <cell r="Q200">
            <v>9</v>
          </cell>
          <cell r="R200">
            <v>7.5</v>
          </cell>
          <cell r="S200">
            <v>9.25</v>
          </cell>
        </row>
        <row r="201">
          <cell r="A201" t="str">
            <v>Sierra Leone</v>
          </cell>
          <cell r="B201">
            <v>6.75</v>
          </cell>
          <cell r="C201">
            <v>5.875</v>
          </cell>
          <cell r="D201">
            <v>7.5</v>
          </cell>
          <cell r="E201">
            <v>8</v>
          </cell>
          <cell r="F201">
            <v>8.375</v>
          </cell>
          <cell r="G201">
            <v>8.125</v>
          </cell>
          <cell r="H201">
            <v>7.375</v>
          </cell>
          <cell r="I201">
            <v>5.6</v>
          </cell>
          <cell r="J201">
            <v>6.6</v>
          </cell>
          <cell r="K201">
            <v>7.25</v>
          </cell>
          <cell r="L201">
            <v>6.75</v>
          </cell>
          <cell r="M201">
            <v>6.55</v>
          </cell>
          <cell r="N201">
            <v>8.125</v>
          </cell>
          <cell r="O201">
            <v>7.75</v>
          </cell>
          <cell r="P201">
            <v>8</v>
          </cell>
          <cell r="Q201">
            <v>8.125</v>
          </cell>
          <cell r="R201">
            <v>6.75</v>
          </cell>
          <cell r="S201">
            <v>6</v>
          </cell>
        </row>
        <row r="202">
          <cell r="A202" t="str">
            <v>Singapore</v>
          </cell>
          <cell r="B202">
            <v>4.6461219615006319</v>
          </cell>
          <cell r="C202">
            <v>3.6207937056890884</v>
          </cell>
          <cell r="D202">
            <v>3.9375661375661379</v>
          </cell>
          <cell r="E202">
            <v>3.8538461538461539</v>
          </cell>
          <cell r="F202">
            <v>3.9898705428117198</v>
          </cell>
          <cell r="G202">
            <v>3.9828793774319067</v>
          </cell>
          <cell r="H202">
            <v>4.1037867569282849</v>
          </cell>
          <cell r="I202">
            <v>4.012586339217191</v>
          </cell>
          <cell r="J202">
            <v>4.1351452671040301</v>
          </cell>
          <cell r="K202">
            <v>4.0252754687802055</v>
          </cell>
          <cell r="L202">
            <v>4.1458213256484147</v>
          </cell>
          <cell r="M202">
            <v>4.0712143928035989</v>
          </cell>
          <cell r="N202">
            <v>3.9863033175355453</v>
          </cell>
          <cell r="O202">
            <v>3.9606245239908602</v>
          </cell>
          <cell r="P202">
            <v>3.9549504950495047</v>
          </cell>
          <cell r="Q202">
            <v>3.9254716981132076</v>
          </cell>
          <cell r="R202">
            <v>3.8629144851657942</v>
          </cell>
          <cell r="S202">
            <v>5.0248691099476437</v>
          </cell>
        </row>
        <row r="203">
          <cell r="A203" t="str">
            <v>Sint Maarten (Dutch part)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2</v>
          </cell>
          <cell r="H203">
            <v>7</v>
          </cell>
          <cell r="I203">
            <v>6.5</v>
          </cell>
          <cell r="J203">
            <v>3.5</v>
          </cell>
          <cell r="K203">
            <v>5</v>
          </cell>
          <cell r="L203">
            <v>7.5</v>
          </cell>
          <cell r="M203">
            <v>0</v>
          </cell>
          <cell r="N203">
            <v>8</v>
          </cell>
          <cell r="O203">
            <v>5</v>
          </cell>
          <cell r="P203">
            <v>3</v>
          </cell>
          <cell r="Q203">
            <v>2</v>
          </cell>
          <cell r="R203">
            <v>6.5</v>
          </cell>
          <cell r="S203">
            <v>4.5</v>
          </cell>
        </row>
        <row r="204">
          <cell r="A204" t="str">
            <v>Slovakia</v>
          </cell>
          <cell r="B204">
            <v>3.6875</v>
          </cell>
          <cell r="C204">
            <v>3.7738889849559052</v>
          </cell>
          <cell r="D204">
            <v>2.9375</v>
          </cell>
          <cell r="E204">
            <v>3.3125</v>
          </cell>
          <cell r="F204">
            <v>4.3251419486713605</v>
          </cell>
          <cell r="G204">
            <v>3.4928015564202335</v>
          </cell>
          <cell r="H204">
            <v>3.1298286439602285</v>
          </cell>
          <cell r="I204">
            <v>2.5783576362240983</v>
          </cell>
          <cell r="J204">
            <v>2.8988284910965323</v>
          </cell>
          <cell r="K204">
            <v>3.8503189638507633</v>
          </cell>
          <cell r="L204">
            <v>3.8821805955811719</v>
          </cell>
          <cell r="M204">
            <v>3.3565217391304345</v>
          </cell>
          <cell r="N204">
            <v>3.3550710900473932</v>
          </cell>
          <cell r="O204">
            <v>2.5045696877380044</v>
          </cell>
          <cell r="P204">
            <v>3.3519801980198016</v>
          </cell>
          <cell r="Q204">
            <v>4.2433962264150944</v>
          </cell>
          <cell r="R204">
            <v>2.6459860383944149</v>
          </cell>
          <cell r="S204">
            <v>5.0735165794066326</v>
          </cell>
        </row>
        <row r="205">
          <cell r="A205" t="str">
            <v>Slovenia</v>
          </cell>
          <cell r="B205">
            <v>4.400309119010819</v>
          </cell>
          <cell r="C205">
            <v>3.6238889849559053</v>
          </cell>
          <cell r="D205">
            <v>3.3177248677248676</v>
          </cell>
          <cell r="E205">
            <v>3.3762637362637364</v>
          </cell>
          <cell r="F205">
            <v>3.6016920281626161</v>
          </cell>
          <cell r="G205">
            <v>3.3120622568093387</v>
          </cell>
          <cell r="H205">
            <v>3.5153162682462451</v>
          </cell>
          <cell r="I205">
            <v>3.9734458940905606</v>
          </cell>
          <cell r="J205">
            <v>4.5926429240862223</v>
          </cell>
          <cell r="K205">
            <v>4.3352310071525224</v>
          </cell>
          <cell r="L205">
            <v>4.1411143131604229</v>
          </cell>
          <cell r="M205">
            <v>4.3069715142428793</v>
          </cell>
          <cell r="N205">
            <v>4.5837440758293839</v>
          </cell>
          <cell r="O205">
            <v>3.5823305407463826</v>
          </cell>
          <cell r="P205">
            <v>4.1975247524752479</v>
          </cell>
          <cell r="Q205">
            <v>4.4556603773584902</v>
          </cell>
          <cell r="R205">
            <v>3.7365619546247815</v>
          </cell>
          <cell r="S205">
            <v>4.3160994764397902</v>
          </cell>
        </row>
        <row r="206">
          <cell r="A206" t="str">
            <v>Small states</v>
          </cell>
          <cell r="B206">
            <v>5.8</v>
          </cell>
          <cell r="C206">
            <v>5</v>
          </cell>
          <cell r="D206">
            <v>5.45</v>
          </cell>
          <cell r="E206">
            <v>5.2</v>
          </cell>
          <cell r="F206">
            <v>5.0999999999999996</v>
          </cell>
          <cell r="G206">
            <v>5.15</v>
          </cell>
          <cell r="H206">
            <v>4.95</v>
          </cell>
          <cell r="I206">
            <v>5.0999999999999996</v>
          </cell>
          <cell r="J206">
            <v>5.2</v>
          </cell>
          <cell r="K206">
            <v>4.9000000000000004</v>
          </cell>
          <cell r="L206">
            <v>4.95</v>
          </cell>
          <cell r="M206">
            <v>4.55</v>
          </cell>
          <cell r="N206">
            <v>5.35</v>
          </cell>
          <cell r="O206">
            <v>3.65</v>
          </cell>
          <cell r="P206">
            <v>5.05</v>
          </cell>
          <cell r="Q206">
            <v>5.125</v>
          </cell>
          <cell r="R206">
            <v>6.875</v>
          </cell>
          <cell r="S206">
            <v>3.8333333333333335</v>
          </cell>
        </row>
        <row r="207">
          <cell r="A207" t="str">
            <v>Solomon Islands</v>
          </cell>
          <cell r="B207">
            <v>7.125</v>
          </cell>
          <cell r="C207">
            <v>7.1875</v>
          </cell>
          <cell r="D207">
            <v>6.3</v>
          </cell>
          <cell r="E207">
            <v>6.5</v>
          </cell>
          <cell r="F207">
            <v>6.1</v>
          </cell>
          <cell r="G207">
            <v>5.6</v>
          </cell>
          <cell r="H207">
            <v>6.05</v>
          </cell>
          <cell r="I207">
            <v>5.2</v>
          </cell>
          <cell r="J207">
            <v>5.15</v>
          </cell>
          <cell r="K207">
            <v>5.35</v>
          </cell>
          <cell r="L207">
            <v>5.55</v>
          </cell>
          <cell r="M207">
            <v>6</v>
          </cell>
          <cell r="N207">
            <v>5.75</v>
          </cell>
          <cell r="O207">
            <v>5.25</v>
          </cell>
          <cell r="P207">
            <v>5.625</v>
          </cell>
          <cell r="Q207">
            <v>6.5</v>
          </cell>
          <cell r="R207">
            <v>7.25</v>
          </cell>
          <cell r="S207">
            <v>6.5</v>
          </cell>
        </row>
        <row r="208">
          <cell r="A208" t="str">
            <v>Somalia</v>
          </cell>
          <cell r="B208">
            <v>8</v>
          </cell>
          <cell r="C208">
            <v>8</v>
          </cell>
          <cell r="D208">
            <v>8</v>
          </cell>
          <cell r="E208">
            <v>8</v>
          </cell>
          <cell r="F208">
            <v>8</v>
          </cell>
          <cell r="G208">
            <v>8</v>
          </cell>
          <cell r="H208">
            <v>8</v>
          </cell>
          <cell r="I208">
            <v>7.875</v>
          </cell>
          <cell r="J208">
            <v>7.625</v>
          </cell>
          <cell r="K208">
            <v>7.5</v>
          </cell>
          <cell r="L208">
            <v>7.5</v>
          </cell>
          <cell r="M208">
            <v>8.5</v>
          </cell>
          <cell r="N208">
            <v>8</v>
          </cell>
          <cell r="O208">
            <v>8</v>
          </cell>
          <cell r="P208">
            <v>7.75</v>
          </cell>
          <cell r="Q208">
            <v>7.875</v>
          </cell>
          <cell r="R208">
            <v>7.375</v>
          </cell>
          <cell r="S208">
            <v>9.5</v>
          </cell>
        </row>
        <row r="209">
          <cell r="A209" t="str">
            <v>South Africa</v>
          </cell>
          <cell r="B209">
            <v>3.8935061589621096</v>
          </cell>
          <cell r="C209">
            <v>4.0230344688454664</v>
          </cell>
          <cell r="D209">
            <v>4.5240740740740746</v>
          </cell>
          <cell r="E209">
            <v>4.0723443223443221</v>
          </cell>
          <cell r="F209">
            <v>4.0409285335755927</v>
          </cell>
          <cell r="G209">
            <v>4.0403696498054478</v>
          </cell>
          <cell r="H209">
            <v>4.2721423030815879</v>
          </cell>
          <cell r="I209">
            <v>4.1816960859554877</v>
          </cell>
          <cell r="J209">
            <v>4.0887613245860672</v>
          </cell>
          <cell r="K209">
            <v>4.3137444422965396</v>
          </cell>
          <cell r="L209">
            <v>4.3544668587896256</v>
          </cell>
          <cell r="M209">
            <v>4.3725012493753121</v>
          </cell>
          <cell r="N209">
            <v>4.3823064770932065</v>
          </cell>
          <cell r="O209">
            <v>4.3518976897689763</v>
          </cell>
          <cell r="P209">
            <v>4.4991749174917492</v>
          </cell>
          <cell r="Q209">
            <v>4.5526729559748427</v>
          </cell>
          <cell r="R209">
            <v>4.5403577661431065</v>
          </cell>
          <cell r="S209">
            <v>4.5985311227457828</v>
          </cell>
        </row>
        <row r="210">
          <cell r="A210" t="str">
            <v>South Asia</v>
          </cell>
          <cell r="B210">
            <v>4.25</v>
          </cell>
          <cell r="C210">
            <v>4.4000000000000004</v>
          </cell>
          <cell r="D210">
            <v>4.1500000000000004</v>
          </cell>
          <cell r="E210">
            <v>4.0999999999999996</v>
          </cell>
          <cell r="F210">
            <v>4</v>
          </cell>
          <cell r="G210">
            <v>4.3499999999999996</v>
          </cell>
          <cell r="H210">
            <v>4.3</v>
          </cell>
          <cell r="I210">
            <v>4.4000000000000004</v>
          </cell>
          <cell r="J210">
            <v>4.2</v>
          </cell>
          <cell r="K210">
            <v>4.0999999999999996</v>
          </cell>
          <cell r="L210">
            <v>3.95</v>
          </cell>
          <cell r="M210">
            <v>3.9</v>
          </cell>
          <cell r="N210">
            <v>3.85</v>
          </cell>
          <cell r="O210">
            <v>4.4000000000000004</v>
          </cell>
          <cell r="P210">
            <v>4</v>
          </cell>
          <cell r="Q210">
            <v>4.05</v>
          </cell>
          <cell r="R210">
            <v>3.95</v>
          </cell>
          <cell r="S210">
            <v>2.9375</v>
          </cell>
        </row>
        <row r="211">
          <cell r="A211" t="str">
            <v>South Asia (IDA &amp; IBRD)</v>
          </cell>
          <cell r="B211">
            <v>4.4000000000000004</v>
          </cell>
          <cell r="C211">
            <v>4.6500000000000004</v>
          </cell>
          <cell r="D211">
            <v>4.4000000000000004</v>
          </cell>
          <cell r="E211">
            <v>4.1500000000000004</v>
          </cell>
          <cell r="F211">
            <v>4</v>
          </cell>
          <cell r="G211">
            <v>4.2</v>
          </cell>
          <cell r="H211">
            <v>4.3</v>
          </cell>
          <cell r="I211">
            <v>4.4000000000000004</v>
          </cell>
          <cell r="J211">
            <v>4.3</v>
          </cell>
          <cell r="K211">
            <v>4.25</v>
          </cell>
          <cell r="L211">
            <v>4.0999999999999996</v>
          </cell>
          <cell r="M211">
            <v>4</v>
          </cell>
          <cell r="N211">
            <v>4</v>
          </cell>
          <cell r="O211">
            <v>4.8499999999999996</v>
          </cell>
          <cell r="P211">
            <v>4.0999999999999996</v>
          </cell>
          <cell r="Q211">
            <v>4.625</v>
          </cell>
          <cell r="R211">
            <v>4.5</v>
          </cell>
          <cell r="S211">
            <v>3.1666666666666665</v>
          </cell>
        </row>
        <row r="212">
          <cell r="A212" t="str">
            <v>South Sudan</v>
          </cell>
          <cell r="B212">
            <v>7</v>
          </cell>
          <cell r="C212">
            <v>7</v>
          </cell>
          <cell r="D212">
            <v>7</v>
          </cell>
          <cell r="E212">
            <v>7</v>
          </cell>
          <cell r="F212">
            <v>7</v>
          </cell>
          <cell r="G212">
            <v>3.8333333333333335</v>
          </cell>
          <cell r="H212">
            <v>2.6666666666666665</v>
          </cell>
          <cell r="I212">
            <v>3</v>
          </cell>
          <cell r="J212">
            <v>3.1666666666666665</v>
          </cell>
          <cell r="K212">
            <v>3.0202628024069753</v>
          </cell>
          <cell r="L212">
            <v>2.8941933076029769</v>
          </cell>
          <cell r="M212">
            <v>2.7856338949091741</v>
          </cell>
          <cell r="N212">
            <v>2.6921525487457272</v>
          </cell>
          <cell r="O212">
            <v>2.6116550417706468</v>
          </cell>
          <cell r="P212">
            <v>2.5423380186944744</v>
          </cell>
          <cell r="Q212">
            <v>2.4826485963918676</v>
          </cell>
          <cell r="R212">
            <v>2.4312495752466043</v>
          </cell>
          <cell r="S212">
            <v>0</v>
          </cell>
        </row>
        <row r="213">
          <cell r="A213" t="str">
            <v>Spain</v>
          </cell>
          <cell r="B213">
            <v>4.9833427005760855</v>
          </cell>
          <cell r="C213">
            <v>4.9973110842123472</v>
          </cell>
          <cell r="D213">
            <v>4.0614285714285714</v>
          </cell>
          <cell r="E213">
            <v>4.7702197802197803</v>
          </cell>
          <cell r="F213">
            <v>4.4089257324551436</v>
          </cell>
          <cell r="G213">
            <v>4.5171206225680933</v>
          </cell>
          <cell r="H213">
            <v>5.0268880896974828</v>
          </cell>
          <cell r="I213">
            <v>4.6951650038372978</v>
          </cell>
          <cell r="J213">
            <v>4.3708997188378635</v>
          </cell>
          <cell r="K213">
            <v>4.8607384496423744</v>
          </cell>
          <cell r="L213">
            <v>4.6754562920268974</v>
          </cell>
          <cell r="M213">
            <v>5.2391304347826084</v>
          </cell>
          <cell r="N213">
            <v>4.4851658767772511</v>
          </cell>
          <cell r="O213">
            <v>4.9798933739527795</v>
          </cell>
          <cell r="P213">
            <v>5.2960396039603967</v>
          </cell>
          <cell r="Q213">
            <v>5.3047169811320751</v>
          </cell>
          <cell r="R213">
            <v>4.907417102966841</v>
          </cell>
          <cell r="S213">
            <v>4.988830715532286</v>
          </cell>
        </row>
        <row r="214">
          <cell r="A214" t="str">
            <v>Sri Lanka</v>
          </cell>
          <cell r="B214">
            <v>5.5860205610978406</v>
          </cell>
          <cell r="C214">
            <v>5.2041904432532133</v>
          </cell>
          <cell r="D214">
            <v>5.0125661375661377</v>
          </cell>
          <cell r="E214">
            <v>5.220879120879121</v>
          </cell>
          <cell r="F214">
            <v>5.2248940116587166</v>
          </cell>
          <cell r="G214">
            <v>4.6845006485084308</v>
          </cell>
          <cell r="H214">
            <v>5.1909068471899014</v>
          </cell>
          <cell r="I214">
            <v>5.2281273983115888</v>
          </cell>
          <cell r="J214">
            <v>4.9634879725085916</v>
          </cell>
          <cell r="K214">
            <v>5.037019137831046</v>
          </cell>
          <cell r="L214">
            <v>4.711655459494076</v>
          </cell>
          <cell r="M214">
            <v>5.1118815592203894</v>
          </cell>
          <cell r="N214">
            <v>4.7672590837282778</v>
          </cell>
          <cell r="O214">
            <v>5.2590124397055087</v>
          </cell>
          <cell r="P214">
            <v>5.208333333333333</v>
          </cell>
          <cell r="Q214">
            <v>5.0204402515723272</v>
          </cell>
          <cell r="R214">
            <v>5.2052065154159388</v>
          </cell>
          <cell r="S214">
            <v>5.4671902268760908</v>
          </cell>
        </row>
        <row r="215">
          <cell r="A215" t="str">
            <v>St. Kitts and Nevis</v>
          </cell>
          <cell r="B215">
            <v>3.85</v>
          </cell>
          <cell r="C215">
            <v>4.8499999999999996</v>
          </cell>
          <cell r="D215">
            <v>3.9</v>
          </cell>
          <cell r="E215">
            <v>4.2</v>
          </cell>
          <cell r="F215">
            <v>4.2</v>
          </cell>
          <cell r="G215">
            <v>4.45</v>
          </cell>
          <cell r="H215">
            <v>4.55</v>
          </cell>
          <cell r="I215">
            <v>4.3125</v>
          </cell>
          <cell r="J215">
            <v>4.375</v>
          </cell>
          <cell r="K215">
            <v>4.1875</v>
          </cell>
          <cell r="L215">
            <v>3.6875</v>
          </cell>
          <cell r="M215">
            <v>7</v>
          </cell>
          <cell r="N215">
            <v>8</v>
          </cell>
          <cell r="O215">
            <v>1.5</v>
          </cell>
          <cell r="P215">
            <v>5</v>
          </cell>
          <cell r="Q215">
            <v>7.5</v>
          </cell>
          <cell r="R215">
            <v>6.5</v>
          </cell>
          <cell r="S215">
            <v>7</v>
          </cell>
        </row>
        <row r="216">
          <cell r="A216" t="str">
            <v>St. Lucia</v>
          </cell>
          <cell r="B216">
            <v>5.25</v>
          </cell>
          <cell r="C216">
            <v>5.65</v>
          </cell>
          <cell r="D216">
            <v>4.8499999999999996</v>
          </cell>
          <cell r="E216">
            <v>4.8</v>
          </cell>
          <cell r="F216">
            <v>4.55</v>
          </cell>
          <cell r="G216">
            <v>4.6500000000000004</v>
          </cell>
          <cell r="H216">
            <v>5.6</v>
          </cell>
          <cell r="I216">
            <v>5.15</v>
          </cell>
          <cell r="J216">
            <v>4.9000000000000004</v>
          </cell>
          <cell r="K216">
            <v>4.95</v>
          </cell>
          <cell r="L216">
            <v>4.5999999999999996</v>
          </cell>
          <cell r="M216">
            <v>4.3499999999999996</v>
          </cell>
          <cell r="N216">
            <v>4.9000000000000004</v>
          </cell>
          <cell r="O216">
            <v>6.15</v>
          </cell>
          <cell r="P216">
            <v>6.625</v>
          </cell>
          <cell r="Q216">
            <v>3.75</v>
          </cell>
          <cell r="R216">
            <v>5.375</v>
          </cell>
          <cell r="S216">
            <v>5.625</v>
          </cell>
        </row>
        <row r="217">
          <cell r="A217" t="str">
            <v>St. Vincent and the Grenadines</v>
          </cell>
          <cell r="B217">
            <v>5.45</v>
          </cell>
          <cell r="C217">
            <v>5.2</v>
          </cell>
          <cell r="D217">
            <v>5.5</v>
          </cell>
          <cell r="E217">
            <v>5.5</v>
          </cell>
          <cell r="F217">
            <v>5.45</v>
          </cell>
          <cell r="G217">
            <v>5.4</v>
          </cell>
          <cell r="H217">
            <v>4.7</v>
          </cell>
          <cell r="I217">
            <v>5.05</v>
          </cell>
          <cell r="J217">
            <v>5</v>
          </cell>
          <cell r="K217">
            <v>4.75</v>
          </cell>
          <cell r="L217">
            <v>4.7</v>
          </cell>
          <cell r="M217">
            <v>4.55</v>
          </cell>
          <cell r="N217">
            <v>5.35</v>
          </cell>
          <cell r="O217">
            <v>5.7</v>
          </cell>
          <cell r="P217">
            <v>6</v>
          </cell>
          <cell r="Q217">
            <v>5.625</v>
          </cell>
          <cell r="R217">
            <v>4.9000000000000004</v>
          </cell>
          <cell r="S217">
            <v>6.625</v>
          </cell>
        </row>
        <row r="218">
          <cell r="A218" t="str">
            <v>Sub-Saharan Africa</v>
          </cell>
          <cell r="B218">
            <v>5.0999999999999996</v>
          </cell>
          <cell r="C218">
            <v>5.3</v>
          </cell>
          <cell r="D218">
            <v>5.65</v>
          </cell>
          <cell r="E218">
            <v>5.25</v>
          </cell>
          <cell r="F218">
            <v>5.5</v>
          </cell>
          <cell r="G218">
            <v>5.35</v>
          </cell>
          <cell r="H218">
            <v>5.35</v>
          </cell>
          <cell r="I218">
            <v>5.3</v>
          </cell>
          <cell r="J218">
            <v>5.45</v>
          </cell>
          <cell r="K218">
            <v>5.45</v>
          </cell>
          <cell r="L218">
            <v>5.2</v>
          </cell>
          <cell r="M218">
            <v>5.35</v>
          </cell>
          <cell r="N218">
            <v>5.0999999999999996</v>
          </cell>
          <cell r="O218">
            <v>5.5</v>
          </cell>
          <cell r="P218">
            <v>6</v>
          </cell>
          <cell r="Q218">
            <v>5.6</v>
          </cell>
          <cell r="R218">
            <v>6</v>
          </cell>
          <cell r="S218">
            <v>5.25</v>
          </cell>
        </row>
        <row r="219">
          <cell r="A219" t="str">
            <v>Sub-Saharan Africa (excluding high income)</v>
          </cell>
          <cell r="B219">
            <v>5.15</v>
          </cell>
          <cell r="C219">
            <v>5.3</v>
          </cell>
          <cell r="D219">
            <v>5.35</v>
          </cell>
          <cell r="E219">
            <v>5.3</v>
          </cell>
          <cell r="F219">
            <v>5.5</v>
          </cell>
          <cell r="G219">
            <v>5.3</v>
          </cell>
          <cell r="H219">
            <v>5.2</v>
          </cell>
          <cell r="I219">
            <v>5.15</v>
          </cell>
          <cell r="J219">
            <v>5.2</v>
          </cell>
          <cell r="K219">
            <v>5.45</v>
          </cell>
          <cell r="L219">
            <v>5.35</v>
          </cell>
          <cell r="M219">
            <v>5.5</v>
          </cell>
          <cell r="N219">
            <v>5.4</v>
          </cell>
          <cell r="O219">
            <v>5.4</v>
          </cell>
          <cell r="P219">
            <v>5.75</v>
          </cell>
          <cell r="Q219">
            <v>5.6</v>
          </cell>
          <cell r="R219">
            <v>5.95</v>
          </cell>
          <cell r="S219">
            <v>5.375</v>
          </cell>
        </row>
        <row r="220">
          <cell r="A220" t="str">
            <v>Sub-Saharan Africa (IDA &amp; IBRD countries)</v>
          </cell>
          <cell r="B220">
            <v>5.05</v>
          </cell>
          <cell r="C220">
            <v>5.3</v>
          </cell>
          <cell r="D220">
            <v>5.75</v>
          </cell>
          <cell r="E220">
            <v>5.15</v>
          </cell>
          <cell r="F220">
            <v>5.5</v>
          </cell>
          <cell r="G220">
            <v>5.25</v>
          </cell>
          <cell r="H220">
            <v>5.35</v>
          </cell>
          <cell r="I220">
            <v>5.3</v>
          </cell>
          <cell r="J220">
            <v>5.45</v>
          </cell>
          <cell r="K220">
            <v>5.35</v>
          </cell>
          <cell r="L220">
            <v>5.0999999999999996</v>
          </cell>
          <cell r="M220">
            <v>5.15</v>
          </cell>
          <cell r="N220">
            <v>5.0999999999999996</v>
          </cell>
          <cell r="O220">
            <v>5.4</v>
          </cell>
          <cell r="P220">
            <v>5.95</v>
          </cell>
          <cell r="Q220">
            <v>5.5</v>
          </cell>
          <cell r="R220">
            <v>6</v>
          </cell>
          <cell r="S220">
            <v>5</v>
          </cell>
        </row>
        <row r="221">
          <cell r="A221" t="str">
            <v>Sudan</v>
          </cell>
          <cell r="B221">
            <v>3.6</v>
          </cell>
          <cell r="C221">
            <v>4</v>
          </cell>
          <cell r="D221">
            <v>4.5999999999999996</v>
          </cell>
          <cell r="E221">
            <v>4.4000000000000004</v>
          </cell>
          <cell r="F221">
            <v>5.1867571352865474</v>
          </cell>
          <cell r="G221">
            <v>5.9375</v>
          </cell>
          <cell r="H221">
            <v>5.9740850433678858</v>
          </cell>
          <cell r="I221">
            <v>5.3125</v>
          </cell>
          <cell r="J221">
            <v>5.25</v>
          </cell>
          <cell r="K221">
            <v>3.0833333333333335</v>
          </cell>
          <cell r="L221">
            <v>3.0833333333333335</v>
          </cell>
          <cell r="M221">
            <v>6.083333333333333</v>
          </cell>
          <cell r="N221">
            <v>6.083333333333333</v>
          </cell>
          <cell r="O221">
            <v>6.75</v>
          </cell>
          <cell r="P221">
            <v>6</v>
          </cell>
          <cell r="Q221">
            <v>4.833333333333333</v>
          </cell>
          <cell r="R221">
            <v>3.8333333333333335</v>
          </cell>
          <cell r="S221">
            <v>5.333333333333333</v>
          </cell>
        </row>
        <row r="222">
          <cell r="A222" t="str">
            <v>Suriname</v>
          </cell>
          <cell r="B222">
            <v>2.2999999999999998</v>
          </cell>
          <cell r="C222">
            <v>3.2743385785924262</v>
          </cell>
          <cell r="D222">
            <v>3.3428130511463845</v>
          </cell>
          <cell r="E222">
            <v>3.4708791208791205</v>
          </cell>
          <cell r="F222">
            <v>3.5</v>
          </cell>
          <cell r="G222">
            <v>3.15</v>
          </cell>
          <cell r="H222">
            <v>3.1</v>
          </cell>
          <cell r="I222">
            <v>2.2000000000000002</v>
          </cell>
          <cell r="J222">
            <v>3.2</v>
          </cell>
          <cell r="K222">
            <v>4.7</v>
          </cell>
          <cell r="L222">
            <v>3.8</v>
          </cell>
          <cell r="M222">
            <v>3.65</v>
          </cell>
          <cell r="N222">
            <v>3.65</v>
          </cell>
          <cell r="O222">
            <v>3.5</v>
          </cell>
          <cell r="P222">
            <v>3.75</v>
          </cell>
          <cell r="Q222">
            <v>3.75</v>
          </cell>
          <cell r="R222">
            <v>3.75</v>
          </cell>
          <cell r="S222">
            <v>3.6</v>
          </cell>
        </row>
        <row r="223">
          <cell r="A223" t="str">
            <v>Sweden</v>
          </cell>
          <cell r="B223">
            <v>4.7399817338766335</v>
          </cell>
          <cell r="C223">
            <v>4.1535016427459794</v>
          </cell>
          <cell r="D223">
            <v>3.2567195767195769</v>
          </cell>
          <cell r="E223">
            <v>2.5070329670329672</v>
          </cell>
          <cell r="F223">
            <v>2.7772200772200772</v>
          </cell>
          <cell r="G223">
            <v>2.732295719844358</v>
          </cell>
          <cell r="H223">
            <v>2.9212819970382911</v>
          </cell>
          <cell r="I223">
            <v>2.7455487336914812</v>
          </cell>
          <cell r="J223">
            <v>3.4711808809746953</v>
          </cell>
          <cell r="K223">
            <v>3.6547747921902185</v>
          </cell>
          <cell r="L223">
            <v>4.1487031700288188</v>
          </cell>
          <cell r="M223">
            <v>2.899400299850075</v>
          </cell>
          <cell r="N223">
            <v>3.8861137440758293</v>
          </cell>
          <cell r="O223">
            <v>4.0874714394516376</v>
          </cell>
          <cell r="P223">
            <v>4.2450495049504955</v>
          </cell>
          <cell r="Q223">
            <v>4.5632075471698119</v>
          </cell>
          <cell r="R223">
            <v>4.068673647469458</v>
          </cell>
          <cell r="S223">
            <v>4.3547120418848166</v>
          </cell>
        </row>
        <row r="224">
          <cell r="A224" t="str">
            <v>Switzerland</v>
          </cell>
          <cell r="B224">
            <v>3.7680202332443442</v>
          </cell>
          <cell r="C224">
            <v>1.766790593117759</v>
          </cell>
          <cell r="D224">
            <v>3.1058201058201056</v>
          </cell>
          <cell r="E224">
            <v>2.6290109890109887</v>
          </cell>
          <cell r="F224">
            <v>2.35</v>
          </cell>
          <cell r="G224">
            <v>2.6</v>
          </cell>
          <cell r="H224">
            <v>1.2</v>
          </cell>
          <cell r="I224">
            <v>2.25</v>
          </cell>
          <cell r="J224">
            <v>2.85</v>
          </cell>
          <cell r="K224">
            <v>3.05</v>
          </cell>
          <cell r="L224">
            <v>2.95</v>
          </cell>
          <cell r="M224">
            <v>1.1000000000000001</v>
          </cell>
          <cell r="N224">
            <v>1.5</v>
          </cell>
          <cell r="O224">
            <v>1.1000000000000001</v>
          </cell>
          <cell r="P224">
            <v>1.1000000000000001</v>
          </cell>
          <cell r="Q224">
            <v>1.05</v>
          </cell>
          <cell r="R224">
            <v>1</v>
          </cell>
          <cell r="S224">
            <v>0.9</v>
          </cell>
        </row>
        <row r="225">
          <cell r="A225" t="str">
            <v>Syrian Arab Republic</v>
          </cell>
          <cell r="B225">
            <v>3.65</v>
          </cell>
          <cell r="C225">
            <v>4.05</v>
          </cell>
          <cell r="D225">
            <v>4.3</v>
          </cell>
          <cell r="E225">
            <v>4.875</v>
          </cell>
          <cell r="F225">
            <v>3.8393992732228028</v>
          </cell>
          <cell r="G225">
            <v>5.0685797665369652</v>
          </cell>
          <cell r="H225">
            <v>6.7667653903109795</v>
          </cell>
          <cell r="I225">
            <v>6.5</v>
          </cell>
          <cell r="J225">
            <v>6.833333333333333</v>
          </cell>
          <cell r="K225">
            <v>7.333333333333333</v>
          </cell>
          <cell r="L225">
            <v>7</v>
          </cell>
          <cell r="M225">
            <v>6.5</v>
          </cell>
          <cell r="N225">
            <v>6.166666666666667</v>
          </cell>
          <cell r="O225">
            <v>7.333333333333333</v>
          </cell>
          <cell r="P225">
            <v>8</v>
          </cell>
          <cell r="Q225">
            <v>7.9425065185567707</v>
          </cell>
          <cell r="R225">
            <v>7.8943377754525175</v>
          </cell>
          <cell r="S225">
            <v>7.5</v>
          </cell>
        </row>
        <row r="226">
          <cell r="A226" t="str">
            <v>Tajikistan</v>
          </cell>
          <cell r="B226">
            <v>7.0666098777574824</v>
          </cell>
          <cell r="C226">
            <v>7.0434246930658828</v>
          </cell>
          <cell r="D226">
            <v>6.950529100529101</v>
          </cell>
          <cell r="E226">
            <v>6.5785714285714283</v>
          </cell>
          <cell r="F226">
            <v>6.6075687031569377</v>
          </cell>
          <cell r="G226">
            <v>6.7205739299610894</v>
          </cell>
          <cell r="H226">
            <v>6.4976597207531199</v>
          </cell>
          <cell r="I226">
            <v>6.7815138142747502</v>
          </cell>
          <cell r="J226">
            <v>7.0387769447047797</v>
          </cell>
          <cell r="K226">
            <v>6.7227994716154384</v>
          </cell>
          <cell r="L226">
            <v>6.5574367595260972</v>
          </cell>
          <cell r="M226">
            <v>6.7667416291854066</v>
          </cell>
          <cell r="N226">
            <v>6.6644154818325427</v>
          </cell>
          <cell r="O226">
            <v>7.0582000507743077</v>
          </cell>
          <cell r="P226">
            <v>6.5812706270627066</v>
          </cell>
          <cell r="Q226">
            <v>6.9402515723270435</v>
          </cell>
          <cell r="R226">
            <v>6.5173065735892957</v>
          </cell>
          <cell r="S226">
            <v>6.6335078534031418</v>
          </cell>
        </row>
        <row r="227">
          <cell r="A227" t="str">
            <v>Tanzania</v>
          </cell>
          <cell r="B227">
            <v>6.8868378530279601</v>
          </cell>
          <cell r="C227">
            <v>6.7166191134935724</v>
          </cell>
          <cell r="D227">
            <v>6.7394179894179898</v>
          </cell>
          <cell r="E227">
            <v>7.0328754578754582</v>
          </cell>
          <cell r="F227">
            <v>6.8149557120145348</v>
          </cell>
          <cell r="G227">
            <v>6.9364461738002587</v>
          </cell>
          <cell r="H227">
            <v>6.8771331358860444</v>
          </cell>
          <cell r="I227">
            <v>6.7112113072397035</v>
          </cell>
          <cell r="J227">
            <v>6.8735551390190563</v>
          </cell>
          <cell r="K227">
            <v>6.2864875314131057</v>
          </cell>
          <cell r="L227">
            <v>6.0218539865513927</v>
          </cell>
          <cell r="M227">
            <v>5.0930159920039983</v>
          </cell>
          <cell r="N227">
            <v>5.8247630331753557</v>
          </cell>
          <cell r="O227">
            <v>5.6605420157400355</v>
          </cell>
          <cell r="P227">
            <v>5.6918316831683171</v>
          </cell>
          <cell r="Q227">
            <v>6.0047169811320744</v>
          </cell>
          <cell r="R227">
            <v>5.7</v>
          </cell>
          <cell r="S227">
            <v>6.3219895287958119</v>
          </cell>
        </row>
        <row r="228">
          <cell r="A228" t="str">
            <v>Thailand</v>
          </cell>
          <cell r="B228">
            <v>4.0889419699311507</v>
          </cell>
          <cell r="C228">
            <v>3.9862672200126812</v>
          </cell>
          <cell r="D228">
            <v>4.2464726631393299</v>
          </cell>
          <cell r="E228">
            <v>4.4739010989010985</v>
          </cell>
          <cell r="F228">
            <v>3.9080361874479519</v>
          </cell>
          <cell r="G228">
            <v>4.3065823605706877</v>
          </cell>
          <cell r="H228">
            <v>4.2710845497496654</v>
          </cell>
          <cell r="I228">
            <v>4.0654259401381427</v>
          </cell>
          <cell r="J228">
            <v>3.9851218369259604</v>
          </cell>
          <cell r="K228">
            <v>3.9591468522456346</v>
          </cell>
          <cell r="L228">
            <v>4.1727905859750241</v>
          </cell>
          <cell r="M228">
            <v>4.2411919040479757</v>
          </cell>
          <cell r="N228">
            <v>3.8206161137440753</v>
          </cell>
          <cell r="O228">
            <v>3.7663112465092663</v>
          </cell>
          <cell r="P228">
            <v>4.3089933993399336</v>
          </cell>
          <cell r="Q228">
            <v>4.5589622641509431</v>
          </cell>
          <cell r="R228">
            <v>4.3038103548574753</v>
          </cell>
          <cell r="S228">
            <v>4.6817190226876093</v>
          </cell>
        </row>
        <row r="229">
          <cell r="A229" t="str">
            <v>Timor-Leste</v>
          </cell>
          <cell r="B229">
            <v>5</v>
          </cell>
          <cell r="C229">
            <v>8.0900051876188837</v>
          </cell>
          <cell r="D229">
            <v>8.2650793650793659</v>
          </cell>
          <cell r="E229">
            <v>7.1490842490842494</v>
          </cell>
          <cell r="F229">
            <v>7</v>
          </cell>
          <cell r="G229">
            <v>5.125</v>
          </cell>
          <cell r="H229">
            <v>5.8125</v>
          </cell>
          <cell r="I229">
            <v>5</v>
          </cell>
          <cell r="J229">
            <v>5.25</v>
          </cell>
          <cell r="K229">
            <v>4.375</v>
          </cell>
          <cell r="L229">
            <v>5.65</v>
          </cell>
          <cell r="M229">
            <v>6.15</v>
          </cell>
          <cell r="N229">
            <v>5</v>
          </cell>
          <cell r="O229">
            <v>4.8499999999999996</v>
          </cell>
          <cell r="P229">
            <v>4.95</v>
          </cell>
          <cell r="Q229">
            <v>5.0999999999999996</v>
          </cell>
          <cell r="R229">
            <v>4.8499999999999996</v>
          </cell>
          <cell r="S229">
            <v>6.125</v>
          </cell>
        </row>
        <row r="230">
          <cell r="A230" t="str">
            <v>Togo</v>
          </cell>
          <cell r="B230">
            <v>6.05</v>
          </cell>
          <cell r="C230">
            <v>6.4</v>
          </cell>
          <cell r="D230">
            <v>5.75</v>
          </cell>
          <cell r="E230">
            <v>5.4</v>
          </cell>
          <cell r="F230">
            <v>5.55</v>
          </cell>
          <cell r="G230">
            <v>5.9633592736705578</v>
          </cell>
          <cell r="H230">
            <v>6.535505253508215</v>
          </cell>
          <cell r="I230">
            <v>5.7570990023023789</v>
          </cell>
          <cell r="J230">
            <v>6.4746173070915338</v>
          </cell>
          <cell r="K230">
            <v>5.4586474643984788</v>
          </cell>
          <cell r="L230">
            <v>6.2863032340698055</v>
          </cell>
          <cell r="M230">
            <v>6.2541229385307346</v>
          </cell>
          <cell r="N230">
            <v>7.0387045813586093</v>
          </cell>
          <cell r="O230">
            <v>6.0086316323940094</v>
          </cell>
          <cell r="P230">
            <v>5.6914191419141913</v>
          </cell>
          <cell r="Q230">
            <v>5.9316037735849063</v>
          </cell>
          <cell r="R230">
            <v>6.0996945898778359</v>
          </cell>
          <cell r="S230">
            <v>6.634598603839442</v>
          </cell>
        </row>
        <row r="231">
          <cell r="A231" t="str">
            <v>Tonga</v>
          </cell>
          <cell r="B231">
            <v>5.875</v>
          </cell>
          <cell r="C231">
            <v>7.1</v>
          </cell>
          <cell r="D231">
            <v>5.8</v>
          </cell>
          <cell r="E231">
            <v>6.6875</v>
          </cell>
          <cell r="F231">
            <v>7.125</v>
          </cell>
          <cell r="G231">
            <v>5.9</v>
          </cell>
          <cell r="H231">
            <v>6.2</v>
          </cell>
          <cell r="I231">
            <v>6.9</v>
          </cell>
          <cell r="J231">
            <v>6.625</v>
          </cell>
          <cell r="K231">
            <v>7.75</v>
          </cell>
          <cell r="L231">
            <v>5.875</v>
          </cell>
          <cell r="M231">
            <v>7.625</v>
          </cell>
          <cell r="N231">
            <v>5.625</v>
          </cell>
          <cell r="O231">
            <v>6.375</v>
          </cell>
          <cell r="P231">
            <v>6.375</v>
          </cell>
          <cell r="Q231">
            <v>6.6516700169097636</v>
          </cell>
          <cell r="R231">
            <v>6.5065035740947801</v>
          </cell>
          <cell r="S231">
            <v>6.572853533402661</v>
          </cell>
        </row>
        <row r="232">
          <cell r="A232" t="str">
            <v>Trinidad and Tobago</v>
          </cell>
          <cell r="B232">
            <v>2.95</v>
          </cell>
          <cell r="C232">
            <v>3.9891852556343306</v>
          </cell>
          <cell r="D232">
            <v>3.6411375661375662</v>
          </cell>
          <cell r="E232">
            <v>3.1272893772893773</v>
          </cell>
          <cell r="F232">
            <v>2.9876561435384965</v>
          </cell>
          <cell r="G232">
            <v>2.8891050583657587</v>
          </cell>
          <cell r="H232">
            <v>2.9640046541146603</v>
          </cell>
          <cell r="I232">
            <v>3.5747505755947815</v>
          </cell>
          <cell r="J232">
            <v>3.4040768509840675</v>
          </cell>
          <cell r="K232">
            <v>2.5</v>
          </cell>
          <cell r="L232">
            <v>3.3578290105667628</v>
          </cell>
          <cell r="M232">
            <v>3.3535982008995502</v>
          </cell>
          <cell r="N232">
            <v>4.0347393364928905</v>
          </cell>
          <cell r="O232">
            <v>5.5971058644325975</v>
          </cell>
          <cell r="P232">
            <v>3.8618811881188124</v>
          </cell>
          <cell r="Q232">
            <v>3.9905660377358485</v>
          </cell>
          <cell r="R232">
            <v>3.836998254799302</v>
          </cell>
          <cell r="S232">
            <v>4.0637870855148339</v>
          </cell>
        </row>
        <row r="233">
          <cell r="A233" t="str">
            <v>Tunisia</v>
          </cell>
          <cell r="B233">
            <v>4.8635485457355623</v>
          </cell>
          <cell r="C233">
            <v>5.0006772724652722</v>
          </cell>
          <cell r="D233">
            <v>4.6751322751322748</v>
          </cell>
          <cell r="E233">
            <v>4.6880952380952374</v>
          </cell>
          <cell r="F233">
            <v>4.6329396623514265</v>
          </cell>
          <cell r="G233">
            <v>4.9862191958495456</v>
          </cell>
          <cell r="H233">
            <v>4.7515690007756861</v>
          </cell>
          <cell r="I233">
            <v>4.6848298797646457</v>
          </cell>
          <cell r="J233">
            <v>5.0461184004998438</v>
          </cell>
          <cell r="K233">
            <v>4.8595028674527994</v>
          </cell>
          <cell r="L233">
            <v>5.0915385846942049</v>
          </cell>
          <cell r="M233">
            <v>5.276736631684158</v>
          </cell>
          <cell r="N233">
            <v>5.2538704581358608</v>
          </cell>
          <cell r="O233">
            <v>5.2315625793348568</v>
          </cell>
          <cell r="P233">
            <v>5.1068481848184817</v>
          </cell>
          <cell r="Q233">
            <v>5.4040880503144644</v>
          </cell>
          <cell r="R233">
            <v>5.3921611401977891</v>
          </cell>
          <cell r="S233">
            <v>6.461823734729494</v>
          </cell>
        </row>
        <row r="234">
          <cell r="A234" t="str">
            <v>Turkey</v>
          </cell>
          <cell r="B234">
            <v>3.9820090393892555</v>
          </cell>
          <cell r="C234">
            <v>3.7298835667761829</v>
          </cell>
          <cell r="D234">
            <v>3.9808641975308645</v>
          </cell>
          <cell r="E234">
            <v>4.1413919413919409</v>
          </cell>
          <cell r="F234">
            <v>4.2912786736316146</v>
          </cell>
          <cell r="G234">
            <v>4.272373540856031</v>
          </cell>
          <cell r="H234">
            <v>4.3274980607855582</v>
          </cell>
          <cell r="I234">
            <v>4.224961627014582</v>
          </cell>
          <cell r="J234">
            <v>4.2025148391127773</v>
          </cell>
          <cell r="K234">
            <v>4.1279560538694504</v>
          </cell>
          <cell r="L234">
            <v>4.088536663464617</v>
          </cell>
          <cell r="M234">
            <v>4.2176411794102941</v>
          </cell>
          <cell r="N234">
            <v>4.0403633491311215</v>
          </cell>
          <cell r="O234">
            <v>3.9477976643818224</v>
          </cell>
          <cell r="P234">
            <v>3.9810231023102314</v>
          </cell>
          <cell r="Q234">
            <v>4.041666666666667</v>
          </cell>
          <cell r="R234">
            <v>3.7</v>
          </cell>
          <cell r="S234">
            <v>3.870636998254799</v>
          </cell>
        </row>
        <row r="235">
          <cell r="A235" t="str">
            <v>Turkmenistan</v>
          </cell>
          <cell r="B235">
            <v>1.9166666666666667</v>
          </cell>
          <cell r="C235">
            <v>1.75</v>
          </cell>
          <cell r="D235">
            <v>2.5833333333333335</v>
          </cell>
          <cell r="E235">
            <v>2.6666666666666665</v>
          </cell>
          <cell r="F235">
            <v>2.4166666666666665</v>
          </cell>
          <cell r="G235">
            <v>2.5833333333333335</v>
          </cell>
          <cell r="H235">
            <v>2.3333333333333335</v>
          </cell>
          <cell r="I235">
            <v>2.0833333333333335</v>
          </cell>
          <cell r="J235">
            <v>2.1666666666666665</v>
          </cell>
          <cell r="K235">
            <v>2.0833333333333335</v>
          </cell>
          <cell r="L235">
            <v>2.0833333333333335</v>
          </cell>
          <cell r="M235">
            <v>1.9166666666666667</v>
          </cell>
          <cell r="N235">
            <v>1.75</v>
          </cell>
          <cell r="O235">
            <v>1.6666666666666667</v>
          </cell>
          <cell r="P235">
            <v>1.4166666666666667</v>
          </cell>
          <cell r="Q235">
            <v>1.1666666666666667</v>
          </cell>
          <cell r="R235">
            <v>1.4166666666666667</v>
          </cell>
          <cell r="S235">
            <v>1.5</v>
          </cell>
        </row>
        <row r="236">
          <cell r="A236" t="str">
            <v>Turks and Caicos Islands</v>
          </cell>
          <cell r="B236">
            <v>3.25</v>
          </cell>
          <cell r="C236">
            <v>3.5</v>
          </cell>
          <cell r="D236">
            <v>3.6666666666666665</v>
          </cell>
          <cell r="E236">
            <v>3.7777777777777768</v>
          </cell>
          <cell r="F236">
            <v>4.5</v>
          </cell>
          <cell r="G236">
            <v>4.333333333333333</v>
          </cell>
          <cell r="H236">
            <v>4.3688379597231926</v>
          </cell>
          <cell r="I236">
            <v>0</v>
          </cell>
          <cell r="J236">
            <v>0</v>
          </cell>
          <cell r="K236">
            <v>2.5</v>
          </cell>
          <cell r="L236">
            <v>4</v>
          </cell>
          <cell r="M236">
            <v>7</v>
          </cell>
          <cell r="N236">
            <v>4.5</v>
          </cell>
          <cell r="O236">
            <v>7</v>
          </cell>
          <cell r="P236">
            <v>5</v>
          </cell>
          <cell r="Q236">
            <v>6</v>
          </cell>
          <cell r="R236">
            <v>5.5</v>
          </cell>
          <cell r="S236">
            <v>5.5</v>
          </cell>
        </row>
        <row r="237">
          <cell r="A237" t="str">
            <v>Tuvalu</v>
          </cell>
          <cell r="B237">
            <v>4.5</v>
          </cell>
          <cell r="C237">
            <v>7.75</v>
          </cell>
          <cell r="D237">
            <v>8.5</v>
          </cell>
          <cell r="E237">
            <v>5.75</v>
          </cell>
          <cell r="F237">
            <v>5</v>
          </cell>
          <cell r="G237">
            <v>7.75</v>
          </cell>
          <cell r="H237">
            <v>5.5</v>
          </cell>
          <cell r="I237">
            <v>5.75</v>
          </cell>
          <cell r="J237">
            <v>6</v>
          </cell>
          <cell r="K237">
            <v>5.25</v>
          </cell>
          <cell r="L237">
            <v>5.25</v>
          </cell>
          <cell r="M237">
            <v>5.5</v>
          </cell>
          <cell r="N237">
            <v>5.5</v>
          </cell>
          <cell r="O237">
            <v>5.5</v>
          </cell>
          <cell r="P237">
            <v>5.25</v>
          </cell>
          <cell r="Q237">
            <v>10</v>
          </cell>
          <cell r="R237">
            <v>5.5</v>
          </cell>
          <cell r="S237">
            <v>10</v>
          </cell>
        </row>
        <row r="238">
          <cell r="A238" t="str">
            <v>Uganda</v>
          </cell>
          <cell r="B238">
            <v>6.5052983466816547</v>
          </cell>
          <cell r="C238">
            <v>6.351209003400772</v>
          </cell>
          <cell r="D238">
            <v>6.1669312169312169</v>
          </cell>
          <cell r="E238">
            <v>6.0157509157509166</v>
          </cell>
          <cell r="F238">
            <v>6.0842607313195538</v>
          </cell>
          <cell r="G238">
            <v>6.089656290531777</v>
          </cell>
          <cell r="H238">
            <v>6.3724437627811854</v>
          </cell>
          <cell r="I238">
            <v>6.0340560245587112</v>
          </cell>
          <cell r="J238">
            <v>6.1032489846922831</v>
          </cell>
          <cell r="K238">
            <v>6.1777015271602549</v>
          </cell>
          <cell r="L238">
            <v>6.5538744796669874</v>
          </cell>
          <cell r="M238">
            <v>6.5122438780609686</v>
          </cell>
          <cell r="N238">
            <v>6.273973143759874</v>
          </cell>
          <cell r="O238">
            <v>6.3201637471439449</v>
          </cell>
          <cell r="P238">
            <v>6.5016501650165024</v>
          </cell>
          <cell r="Q238">
            <v>6.8691037735849054</v>
          </cell>
          <cell r="R238">
            <v>6.25087260034904</v>
          </cell>
          <cell r="S238">
            <v>6.835951134380454</v>
          </cell>
        </row>
        <row r="239">
          <cell r="A239" t="str">
            <v>Ukraine</v>
          </cell>
          <cell r="B239">
            <v>5.4310629478712942</v>
          </cell>
          <cell r="C239">
            <v>5.3305449881837568</v>
          </cell>
          <cell r="D239">
            <v>5.931657848324515</v>
          </cell>
          <cell r="E239">
            <v>5.7655677655677655</v>
          </cell>
          <cell r="F239">
            <v>5.5905443258384437</v>
          </cell>
          <cell r="G239">
            <v>5.4991893644617376</v>
          </cell>
          <cell r="H239">
            <v>5.4613126718849161</v>
          </cell>
          <cell r="I239">
            <v>5.6203312867741104</v>
          </cell>
          <cell r="J239">
            <v>5.9116682286785389</v>
          </cell>
          <cell r="K239">
            <v>6.3595995231651523</v>
          </cell>
          <cell r="L239">
            <v>6.1711895613192445</v>
          </cell>
          <cell r="M239">
            <v>6.0166166916541721</v>
          </cell>
          <cell r="N239">
            <v>5.9428120063191159</v>
          </cell>
          <cell r="O239">
            <v>5.6110687991876107</v>
          </cell>
          <cell r="P239">
            <v>5.9034653465346532</v>
          </cell>
          <cell r="Q239">
            <v>6.5149371069182394</v>
          </cell>
          <cell r="R239">
            <v>6.7622164048865621</v>
          </cell>
          <cell r="S239">
            <v>7.2763525305410131</v>
          </cell>
        </row>
        <row r="240">
          <cell r="A240" t="str">
            <v>United Arab Emirates</v>
          </cell>
          <cell r="B240">
            <v>2.875</v>
          </cell>
          <cell r="C240">
            <v>2.3435587065536918</v>
          </cell>
          <cell r="D240">
            <v>1.8132804232804234</v>
          </cell>
          <cell r="E240">
            <v>2.6943956043956043</v>
          </cell>
          <cell r="F240">
            <v>2.6415966386554617</v>
          </cell>
          <cell r="G240">
            <v>2.7260700389105059</v>
          </cell>
          <cell r="H240">
            <v>2.9459064946054578</v>
          </cell>
          <cell r="I240">
            <v>3.076170376055257</v>
          </cell>
          <cell r="J240">
            <v>3.258669165885661</v>
          </cell>
          <cell r="K240">
            <v>3.2911753334622076</v>
          </cell>
          <cell r="L240">
            <v>3.3394812680115273</v>
          </cell>
          <cell r="M240">
            <v>3.7177661169415295</v>
          </cell>
          <cell r="N240">
            <v>3.850521327014218</v>
          </cell>
          <cell r="O240">
            <v>3.9749809596344248</v>
          </cell>
          <cell r="P240">
            <v>3.7410891089108915</v>
          </cell>
          <cell r="Q240">
            <v>3.6490566037735848</v>
          </cell>
          <cell r="R240">
            <v>3.8016579406631763</v>
          </cell>
          <cell r="S240">
            <v>4.4368819080860966</v>
          </cell>
        </row>
        <row r="241">
          <cell r="A241" t="str">
            <v>United Kingdom</v>
          </cell>
          <cell r="B241">
            <v>3.8136785162287481</v>
          </cell>
          <cell r="C241">
            <v>3.8649144042884318</v>
          </cell>
          <cell r="D241">
            <v>2.4154497354497355</v>
          </cell>
          <cell r="E241">
            <v>3.1721978021978021</v>
          </cell>
          <cell r="F241">
            <v>2.6570292982057686</v>
          </cell>
          <cell r="G241">
            <v>2.8723735408560311</v>
          </cell>
          <cell r="H241">
            <v>3.075936111698752</v>
          </cell>
          <cell r="I241">
            <v>2.84247889485802</v>
          </cell>
          <cell r="J241">
            <v>2.5204311152764758</v>
          </cell>
          <cell r="K241">
            <v>3.6681809394935243</v>
          </cell>
          <cell r="L241">
            <v>3.6612872238232468</v>
          </cell>
          <cell r="M241">
            <v>2.3599700149925038</v>
          </cell>
          <cell r="N241">
            <v>2.3752132701421802</v>
          </cell>
          <cell r="O241">
            <v>3.8399086062452397</v>
          </cell>
          <cell r="P241">
            <v>2.4257425742574261</v>
          </cell>
          <cell r="Q241">
            <v>3.1349056603773584</v>
          </cell>
          <cell r="R241">
            <v>2.2315008726003489</v>
          </cell>
          <cell r="S241">
            <v>2.4268760907504361</v>
          </cell>
        </row>
        <row r="242">
          <cell r="A242" t="str">
            <v>United States</v>
          </cell>
          <cell r="B242">
            <v>2.65</v>
          </cell>
          <cell r="C242">
            <v>2.85</v>
          </cell>
          <cell r="D242">
            <v>2.7</v>
          </cell>
          <cell r="E242">
            <v>2.9623076923076921</v>
          </cell>
          <cell r="F242">
            <v>3.0293209175562117</v>
          </cell>
          <cell r="G242">
            <v>3.0085603112840467</v>
          </cell>
          <cell r="H242">
            <v>3.0157076369790565</v>
          </cell>
          <cell r="I242">
            <v>2.9299693016116652</v>
          </cell>
          <cell r="J242">
            <v>3.2074039362699152</v>
          </cell>
          <cell r="K242">
            <v>2.9886719505122756</v>
          </cell>
          <cell r="L242">
            <v>2.9416906820365036</v>
          </cell>
          <cell r="M242">
            <v>2.6719640179910042</v>
          </cell>
          <cell r="N242">
            <v>2.758909952606635</v>
          </cell>
          <cell r="O242">
            <v>2.7602056359482101</v>
          </cell>
          <cell r="P242">
            <v>3.1663366336633665</v>
          </cell>
          <cell r="Q242">
            <v>3.1056603773584905</v>
          </cell>
          <cell r="R242">
            <v>2.8431064572425826</v>
          </cell>
          <cell r="S242">
            <v>2.6780104712041886</v>
          </cell>
        </row>
        <row r="243">
          <cell r="A243" t="str">
            <v>Upper middle income</v>
          </cell>
          <cell r="B243">
            <v>3.55</v>
          </cell>
          <cell r="C243">
            <v>3.5</v>
          </cell>
          <cell r="D243">
            <v>3.45</v>
          </cell>
          <cell r="E243">
            <v>3.45</v>
          </cell>
          <cell r="F243">
            <v>3.5</v>
          </cell>
          <cell r="G243">
            <v>3.4</v>
          </cell>
          <cell r="H243">
            <v>3.5</v>
          </cell>
          <cell r="I243">
            <v>3.35</v>
          </cell>
          <cell r="J243">
            <v>3.4</v>
          </cell>
          <cell r="K243">
            <v>3.5</v>
          </cell>
          <cell r="L243">
            <v>3.35</v>
          </cell>
          <cell r="M243">
            <v>3.35</v>
          </cell>
          <cell r="N243">
            <v>3.2</v>
          </cell>
          <cell r="O243">
            <v>3.5</v>
          </cell>
          <cell r="P243">
            <v>3.3</v>
          </cell>
          <cell r="Q243">
            <v>3.25</v>
          </cell>
          <cell r="R243">
            <v>3.2</v>
          </cell>
          <cell r="S243">
            <v>1.875</v>
          </cell>
        </row>
        <row r="244">
          <cell r="A244" t="str">
            <v>Uruguay</v>
          </cell>
          <cell r="B244">
            <v>5.8804798370099762</v>
          </cell>
          <cell r="C244">
            <v>6.0388783215170898</v>
          </cell>
          <cell r="D244">
            <v>5.8578924162257495</v>
          </cell>
          <cell r="E244">
            <v>5.5731684981684984</v>
          </cell>
          <cell r="F244">
            <v>5.4969622984328863</v>
          </cell>
          <cell r="G244">
            <v>5.9899481193255513</v>
          </cell>
          <cell r="H244">
            <v>4.6302182497708202</v>
          </cell>
          <cell r="I244">
            <v>5.58496418521361</v>
          </cell>
          <cell r="J244">
            <v>5.2248906591690103</v>
          </cell>
          <cell r="K244">
            <v>4.0726609317610674</v>
          </cell>
          <cell r="L244">
            <v>5.3951328850464293</v>
          </cell>
          <cell r="M244">
            <v>5.9818590704647674</v>
          </cell>
          <cell r="N244">
            <v>5.9481516587677721</v>
          </cell>
          <cell r="O244">
            <v>5.7419649657273419</v>
          </cell>
          <cell r="P244">
            <v>6.8188118811881182</v>
          </cell>
          <cell r="Q244">
            <v>6.8358490566037728</v>
          </cell>
          <cell r="R244">
            <v>5.0623909249563699</v>
          </cell>
          <cell r="S244">
            <v>5.6753926701570681</v>
          </cell>
        </row>
        <row r="245">
          <cell r="A245" t="str">
            <v>Uzbekistan</v>
          </cell>
          <cell r="B245">
            <v>3.1666666666666665</v>
          </cell>
          <cell r="C245">
            <v>3.4382024900570638</v>
          </cell>
          <cell r="D245">
            <v>2.6666666666666665</v>
          </cell>
          <cell r="E245">
            <v>2.9166666666666665</v>
          </cell>
          <cell r="F245">
            <v>2.5833333333333335</v>
          </cell>
          <cell r="G245">
            <v>3.6546692607003886</v>
          </cell>
          <cell r="H245">
            <v>3.7593611169875181</v>
          </cell>
          <cell r="I245">
            <v>3.5235034535686873</v>
          </cell>
          <cell r="J245">
            <v>3.6748477038425493</v>
          </cell>
          <cell r="K245">
            <v>2.75</v>
          </cell>
          <cell r="L245">
            <v>4.5999999999999996</v>
          </cell>
          <cell r="M245">
            <v>4.45</v>
          </cell>
          <cell r="N245">
            <v>4.9000000000000004</v>
          </cell>
          <cell r="O245">
            <v>5.3182279766438185</v>
          </cell>
          <cell r="P245">
            <v>5.4657590759075907</v>
          </cell>
          <cell r="Q245">
            <v>5.6108490566037732</v>
          </cell>
          <cell r="R245">
            <v>4.9125218150087262</v>
          </cell>
          <cell r="S245">
            <v>5.4115764979639325</v>
          </cell>
        </row>
        <row r="246">
          <cell r="A246" t="str">
            <v>Vanuatu</v>
          </cell>
          <cell r="B246">
            <v>5.55</v>
          </cell>
          <cell r="C246">
            <v>7.125</v>
          </cell>
          <cell r="D246">
            <v>5.85</v>
          </cell>
          <cell r="E246">
            <v>5.7</v>
          </cell>
          <cell r="F246">
            <v>5.75</v>
          </cell>
          <cell r="G246">
            <v>7.375</v>
          </cell>
          <cell r="H246">
            <v>6.875</v>
          </cell>
          <cell r="I246">
            <v>5.75</v>
          </cell>
          <cell r="J246">
            <v>7.5</v>
          </cell>
          <cell r="K246">
            <v>7.625</v>
          </cell>
          <cell r="L246">
            <v>7.625</v>
          </cell>
          <cell r="M246">
            <v>7.75</v>
          </cell>
          <cell r="N246">
            <v>8</v>
          </cell>
          <cell r="O246">
            <v>7.375</v>
          </cell>
          <cell r="P246">
            <v>7.5</v>
          </cell>
          <cell r="Q246">
            <v>6</v>
          </cell>
          <cell r="R246">
            <v>6</v>
          </cell>
          <cell r="S246">
            <v>7</v>
          </cell>
        </row>
        <row r="247">
          <cell r="A247" t="str">
            <v>Venezuela</v>
          </cell>
          <cell r="B247">
            <v>1.4166666666666667</v>
          </cell>
          <cell r="C247">
            <v>2.35</v>
          </cell>
          <cell r="D247">
            <v>2.1</v>
          </cell>
          <cell r="E247">
            <v>3.5127289377289372</v>
          </cell>
          <cell r="F247">
            <v>3.4615602997955937</v>
          </cell>
          <cell r="G247">
            <v>3.5128080415045395</v>
          </cell>
          <cell r="H247">
            <v>3.5537338692616878</v>
          </cell>
          <cell r="I247">
            <v>2.6889389869531852</v>
          </cell>
          <cell r="J247">
            <v>4.5171040299906284</v>
          </cell>
          <cell r="K247">
            <v>4.4989851150202984</v>
          </cell>
          <cell r="L247">
            <v>4.0793867078057868</v>
          </cell>
          <cell r="M247">
            <v>3.8749210926672086</v>
          </cell>
          <cell r="N247">
            <v>3.7752872831598605</v>
          </cell>
          <cell r="O247">
            <v>3.7267368411199193</v>
          </cell>
          <cell r="P247">
            <v>3.7030787532285814</v>
          </cell>
          <cell r="Q247">
            <v>3.6915504313604952</v>
          </cell>
          <cell r="R247">
            <v>3.6859328089345151</v>
          </cell>
          <cell r="S247">
            <v>2.25</v>
          </cell>
        </row>
        <row r="248">
          <cell r="A248" t="str">
            <v>Vietnam</v>
          </cell>
          <cell r="B248">
            <v>5.7931654255070022</v>
          </cell>
          <cell r="C248">
            <v>5.5679073721828347</v>
          </cell>
          <cell r="D248">
            <v>5.571869488536155</v>
          </cell>
          <cell r="E248">
            <v>5.4576007326007323</v>
          </cell>
          <cell r="F248">
            <v>5.1928609281550457</v>
          </cell>
          <cell r="G248">
            <v>5.028858625162127</v>
          </cell>
          <cell r="H248">
            <v>4.7451607785064525</v>
          </cell>
          <cell r="I248">
            <v>4.6641404451266304</v>
          </cell>
          <cell r="J248">
            <v>4.5189784442361765</v>
          </cell>
          <cell r="K248">
            <v>4.4958760229396217</v>
          </cell>
          <cell r="L248">
            <v>4.5231348062760164</v>
          </cell>
          <cell r="M248">
            <v>4.4930659670164914</v>
          </cell>
          <cell r="N248">
            <v>4.0639810426540279</v>
          </cell>
          <cell r="O248">
            <v>3.7523483117542527</v>
          </cell>
          <cell r="P248">
            <v>3.6905940594059405</v>
          </cell>
          <cell r="Q248">
            <v>3.6226415094339619</v>
          </cell>
          <cell r="R248">
            <v>3.75</v>
          </cell>
          <cell r="S248">
            <v>4.0531195462478182</v>
          </cell>
        </row>
        <row r="249">
          <cell r="A249" t="str">
            <v>West Bank and Gaza</v>
          </cell>
          <cell r="B249">
            <v>5.85</v>
          </cell>
          <cell r="C249">
            <v>5.8</v>
          </cell>
          <cell r="D249">
            <v>6.75</v>
          </cell>
          <cell r="E249">
            <v>6.15</v>
          </cell>
          <cell r="F249">
            <v>5.9</v>
          </cell>
          <cell r="G249">
            <v>5.65</v>
          </cell>
          <cell r="H249">
            <v>6.3</v>
          </cell>
          <cell r="I249">
            <v>5.9</v>
          </cell>
          <cell r="J249">
            <v>5.35</v>
          </cell>
          <cell r="K249">
            <v>5.65</v>
          </cell>
          <cell r="L249">
            <v>5.15</v>
          </cell>
          <cell r="M249">
            <v>5.3</v>
          </cell>
          <cell r="N249">
            <v>5.0999999999999996</v>
          </cell>
          <cell r="O249">
            <v>5.4</v>
          </cell>
          <cell r="P249">
            <v>5.25</v>
          </cell>
          <cell r="Q249">
            <v>5.5</v>
          </cell>
          <cell r="R249">
            <v>5.35</v>
          </cell>
          <cell r="S249">
            <v>5.75</v>
          </cell>
        </row>
        <row r="250">
          <cell r="A250" t="str">
            <v>World</v>
          </cell>
          <cell r="B250">
            <v>3.8</v>
          </cell>
          <cell r="C250">
            <v>3.65</v>
          </cell>
          <cell r="D250">
            <v>3.5</v>
          </cell>
          <cell r="E250">
            <v>3.65</v>
          </cell>
          <cell r="F250">
            <v>3.7</v>
          </cell>
          <cell r="G250">
            <v>3.6</v>
          </cell>
          <cell r="H250">
            <v>3.65</v>
          </cell>
          <cell r="I250">
            <v>3.7</v>
          </cell>
          <cell r="J250">
            <v>3.9</v>
          </cell>
          <cell r="K250">
            <v>3.8</v>
          </cell>
          <cell r="L250">
            <v>3.75</v>
          </cell>
          <cell r="M250">
            <v>2.95</v>
          </cell>
          <cell r="N250">
            <v>3.3</v>
          </cell>
          <cell r="O250">
            <v>3.4</v>
          </cell>
          <cell r="P250">
            <v>3.55</v>
          </cell>
          <cell r="Q250">
            <v>3.45</v>
          </cell>
          <cell r="R250">
            <v>3.2</v>
          </cell>
          <cell r="S250">
            <v>2.75</v>
          </cell>
        </row>
        <row r="251">
          <cell r="A251" t="str">
            <v>Yemen</v>
          </cell>
          <cell r="B251">
            <v>3.95</v>
          </cell>
          <cell r="C251">
            <v>4.0999999999999996</v>
          </cell>
          <cell r="D251">
            <v>3.9</v>
          </cell>
          <cell r="E251">
            <v>3.8</v>
          </cell>
          <cell r="F251">
            <v>4.6314633961692779</v>
          </cell>
          <cell r="G251">
            <v>4.6721789883268485</v>
          </cell>
          <cell r="H251">
            <v>4.708333333333333</v>
          </cell>
          <cell r="I251">
            <v>5.1136479918137629</v>
          </cell>
          <cell r="J251">
            <v>4.8589112777257109</v>
          </cell>
          <cell r="K251">
            <v>6.4375</v>
          </cell>
          <cell r="L251">
            <v>5.6875</v>
          </cell>
          <cell r="M251">
            <v>6.041666666666667</v>
          </cell>
          <cell r="N251">
            <v>4.9000000000000004</v>
          </cell>
          <cell r="O251">
            <v>6.25</v>
          </cell>
          <cell r="P251">
            <v>5.9603960396039595</v>
          </cell>
          <cell r="Q251">
            <v>6.0424528301886786</v>
          </cell>
          <cell r="R251">
            <v>5.8323835081267097</v>
          </cell>
          <cell r="S251">
            <v>2.5</v>
          </cell>
        </row>
        <row r="252">
          <cell r="A252" t="str">
            <v>Zambia</v>
          </cell>
          <cell r="B252">
            <v>4.55</v>
          </cell>
          <cell r="C252">
            <v>5.0114127615424522</v>
          </cell>
          <cell r="D252">
            <v>5.6016313932980601</v>
          </cell>
          <cell r="E252">
            <v>4.9445054945054947</v>
          </cell>
          <cell r="F252">
            <v>5.0425656749186158</v>
          </cell>
          <cell r="G252">
            <v>5.6053826199740593</v>
          </cell>
          <cell r="H252">
            <v>5.2782860870178405</v>
          </cell>
          <cell r="I252">
            <v>5.1644282425172676</v>
          </cell>
          <cell r="J252">
            <v>5.8639487660106218</v>
          </cell>
          <cell r="K252">
            <v>5.9103196082221787</v>
          </cell>
          <cell r="L252">
            <v>5.6254803073967343</v>
          </cell>
          <cell r="M252">
            <v>5.1577961019490255</v>
          </cell>
          <cell r="N252">
            <v>5.6895339652448653</v>
          </cell>
          <cell r="O252">
            <v>5.3983244478293981</v>
          </cell>
          <cell r="P252">
            <v>5.2999174917491745</v>
          </cell>
          <cell r="Q252">
            <v>5.2845911949685531</v>
          </cell>
          <cell r="R252">
            <v>5.6559045956951719</v>
          </cell>
          <cell r="S252">
            <v>6.1580279232111694</v>
          </cell>
        </row>
        <row r="253">
          <cell r="A253" t="str">
            <v>Zimbabwe</v>
          </cell>
          <cell r="B253">
            <v>6.65</v>
          </cell>
          <cell r="C253">
            <v>7.2563836532364974</v>
          </cell>
          <cell r="D253">
            <v>6.8245149911816583</v>
          </cell>
          <cell r="E253">
            <v>6.8909340659340659</v>
          </cell>
          <cell r="F253">
            <v>6.8997179953062302</v>
          </cell>
          <cell r="G253">
            <v>6.8364137483787291</v>
          </cell>
          <cell r="H253">
            <v>6.8356956491079615</v>
          </cell>
          <cell r="I253">
            <v>6.710795599897672</v>
          </cell>
          <cell r="J253">
            <v>6.9718447360199933</v>
          </cell>
          <cell r="K253">
            <v>6.35</v>
          </cell>
          <cell r="L253">
            <v>6.6777537624079413</v>
          </cell>
          <cell r="M253">
            <v>6.2883558220889553</v>
          </cell>
          <cell r="N253">
            <v>6.169905213270142</v>
          </cell>
          <cell r="O253">
            <v>6.2549187611068797</v>
          </cell>
          <cell r="P253">
            <v>5.688943894389439</v>
          </cell>
          <cell r="Q253">
            <v>5.7122641509433967</v>
          </cell>
          <cell r="R253">
            <v>5.944662594531704</v>
          </cell>
          <cell r="S253">
            <v>5.9115183246073304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FF925C0-A398-D348-828E-E2E524854913}" name="Tabella26" displayName="Tabella26" ref="A1:G26" totalsRowShown="0" headerRowDxfId="227" dataDxfId="225" headerRowBorderDxfId="226" tableBorderDxfId="224" totalsRowBorderDxfId="223">
  <autoFilter ref="A1:G26" xr:uid="{7FF925C0-A398-D348-828E-E2E524854913}"/>
  <sortState xmlns:xlrd2="http://schemas.microsoft.com/office/spreadsheetml/2017/richdata2" ref="A2:D26">
    <sortCondition ref="A1:A26"/>
  </sortState>
  <tableColumns count="7">
    <tableColumn id="1" xr3:uid="{F0618E20-0375-2948-A1A1-3D12A3D4567B}" name="Company Name" dataDxfId="222"/>
    <tableColumn id="2" xr3:uid="{D8EFE919-50E5-BA4D-B6D4-69DEC545A837}" name="Component - Suppliers Distribution" dataDxfId="221"/>
    <tableColumn id="3" xr3:uid="{FC1FA266-BA54-1C49-88D2-A450B468DE55}" name="Component - Suppliers' Facilities Distribution" dataDxfId="220"/>
    <tableColumn id="4" xr3:uid="{ACF29A83-2AB4-9942-9402-B5A597E5F8FC}" name="Supply Chain Exposure - Intermediate Component" dataDxfId="219">
      <calculatedColumnFormula>0.5*Tabella26[[#This Row],[Component - Suppliers Distribution]]+0.5*Tabella26[[#This Row],[Component - Suppliers'' Facilities Distribution]]</calculatedColumnFormula>
    </tableColumn>
    <tableColumn id="5" xr3:uid="{99D65FA3-E3E6-694C-8AE1-4E62F0DEE70B}" name="HHI Index - Value" dataDxfId="218"/>
    <tableColumn id="6" xr3:uid="{3F98B65D-CBB5-6D46-8903-8E316662383C}" name="HHI Index - Submultiplier" dataDxfId="217">
      <calculatedColumnFormula>IF(E2&lt;0.15,0.9,
IF(E2&lt;0.25,1,
IF(E2&lt;0.4,1.1,
IF(E2&lt;0.6,1.25,
1.5))))</calculatedColumnFormula>
    </tableColumn>
    <tableColumn id="7" xr3:uid="{BB845530-4711-DD44-8475-1278DACB54CB}" name="Supply Chain Exposure - Final Component" dataDxfId="216">
      <calculatedColumnFormula>Tabella26[[#This Row],[Supply Chain Exposure - Intermediate Component]]*Tabella26[[#This Row],[HHI Index - Submultiplier]]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32B0E42-18C7-9744-B5EB-C8D0F8870280}" name="Tabella28" displayName="Tabella28" ref="A1:E26" totalsRowShown="0" headerRowDxfId="215" dataDxfId="213" headerRowBorderDxfId="214" tableBorderDxfId="212" totalsRowBorderDxfId="211">
  <autoFilter ref="A1:E26" xr:uid="{132B0E42-18C7-9744-B5EB-C8D0F8870280}"/>
  <tableColumns count="5">
    <tableColumn id="1" xr3:uid="{6CC2D88E-7467-9F42-838C-23CCD0626467}" name="Company Name" dataDxfId="210"/>
    <tableColumn id="2" xr3:uid="{74F76707-865E-924A-892C-C6F238EA1CAD}" name="HHI Index - Suppliers Distribution" dataDxfId="209"/>
    <tableColumn id="3" xr3:uid="{B1534EA6-6340-DF4A-B919-91163114DCA8}" name="HHI Index - Suppliers' Facilities Distribution" dataDxfId="208"/>
    <tableColumn id="4" xr3:uid="{EDF8B810-A54D-AD4B-B168-9712737587C3}" name="HHI Index - Value" dataDxfId="207">
      <calculatedColumnFormula>0.5*B2+0.5*C2</calculatedColumnFormula>
    </tableColumn>
    <tableColumn id="5" xr3:uid="{4D4EE129-B1B3-B946-9799-10D31AE5D823}" name="HHI Index - Submultiplier" dataDxfId="206">
      <calculatedColumnFormula>IF(D2&lt;0.15,0.9,
IF(D2&lt;0.25,1,
IF(D2&lt;0.4,1.1,
IF(D2&lt;0.6,1.25,
1.5))))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0D5AA-FA0F-B044-90D7-209EE744740C}" name="Tabella1" displayName="Tabella1" ref="A3:F151" totalsRowShown="0" headerRowDxfId="205" dataDxfId="204" tableBorderDxfId="203">
  <autoFilter ref="A3:F151" xr:uid="{6860D5AA-FA0F-B044-90D7-209EE744740C}"/>
  <tableColumns count="6">
    <tableColumn id="1" xr3:uid="{B14097AE-F4C5-A34E-8A22-13EA9BA25AC4}" name="Country of Supplier" dataDxfId="202"/>
    <tableColumn id="2" xr3:uid="{20123EB1-098F-654E-B1DD-2A22198CB8A3}" name="Country Geopolitical Risk Index" dataDxfId="201">
      <calculatedColumnFormula>0.25*INDEX('[1]Political Risk Index'!$B$2:$Q$171,MATCH($A4,'[1]Political Risk Index'!$A$2:$A$171,0),MATCH(B$1,'[1]Political Risk Index'!$B$1:$Q$1,0))+0.15*INDEX('[1]Govt Interference Index'!$B$2:$O$153,MATCH($A4,'[1]Govt Interference Index'!$A$2:$A$153,0),MATCH(B$1,'[1]Govt Interference Index'!$B$1:$O$1,0))+0.1*INDEX('[1]Globalization Index'!$B$2:$Q$217,MATCH($A4,'[1]Globalization Index'!$A$2:$A$217,0),MATCH(B$1,'[1]Globalization Index'!$B$1:$Q$1,0))+0.3*INDEX('[1]Conflict &amp; Unrest Index'!$B$2:$R$161,MATCH($A4,'[1]Conflict &amp; Unrest Index'!$A$2:$A$161,0),MATCH(B$1,'[1]Conflict &amp; Unrest Index'!$B$1:$R$1,0))+0.1*INDEX('[1]Geographical Risk Index'!$B$2:$O$168,MATCH($A4,'[1]Geographical Risk Index'!$A$2:$A$168,0),MATCH(B$1,'[1]Geographical Risk Index'!$B$1:$O$1,0))+0.1*INDEX('[1]Geoeconomic Dependency Index'!$B$2:$S$253,MATCH($A4,'[1]Geoeconomic Dependency Index'!$A$2:$A$253,0),MATCH(B$1,'[1]Geoeconomic Dependency Index'!$B$1:$S$1,0))</calculatedColumnFormula>
    </tableColumn>
    <tableColumn id="3" xr3:uid="{57E018D7-2550-1E40-903D-A7B499B47334}" name="Percentage of Suppliers - Raw" dataDxfId="200"/>
    <tableColumn id="5" xr3:uid="{98E91394-8A7E-4780-81F1-5830A24383C4}" name="Percentage of Suppliers - Standardized" dataDxfId="199">
      <calculatedColumnFormula>Tabella1[[#This Row],[Percentage of Suppliers - Raw]]/$C$151</calculatedColumnFormula>
    </tableColumn>
    <tableColumn id="6" xr3:uid="{F3BB25C0-14E8-445C-8EB6-DF259EB61429}" name="Percentage of Supplier's Facilities - Raw" dataDxfId="198"/>
    <tableColumn id="4" xr3:uid="{36AC35E0-A1EB-C44C-8D80-87310AD905D5}" name="Percentage of Supplier's Facilities - Standardize" dataDxfId="19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F0562-9F47-CD4A-B19A-13BB3F2B6DA5}" name="Tabella13" displayName="Tabella13" ref="A3:F151" totalsRowShown="0" headerRowDxfId="196" dataDxfId="195" tableBorderDxfId="194">
  <autoFilter ref="A3:F151" xr:uid="{BC8F0562-9F47-CD4A-B19A-13BB3F2B6DA5}"/>
  <tableColumns count="6">
    <tableColumn id="1" xr3:uid="{67C259E3-C2BE-2348-98AD-8FC823CF3F2C}" name="Country of Supplier" dataDxfId="193"/>
    <tableColumn id="2" xr3:uid="{1C78BFF9-D2CE-1D4E-A61C-60753EFD01F4}" name="Country Geopolitical Risk Index" dataDxfId="192"/>
    <tableColumn id="3" xr3:uid="{2A473DBA-4EEE-6848-9B66-64D30B86EE23}" name="Percentage of Suppliers - Raw" dataDxfId="191"/>
    <tableColumn id="5" xr3:uid="{12FD5EB9-0640-4391-BB2C-26B31BC2755F}" name="Percentage of Suppliers - Standardized" dataDxfId="190">
      <calculatedColumnFormula>Tabella13[[#This Row],[Percentage of Suppliers - Raw]]/$C$151</calculatedColumnFormula>
    </tableColumn>
    <tableColumn id="6" xr3:uid="{D0CD232C-E786-4FE3-AA42-2995A02E8026}" name="Percentage of Supplier's Facilities - Raw" dataDxfId="189"/>
    <tableColumn id="4" xr3:uid="{CA93C624-C89C-F945-BC46-D2856D19D514}" name="Percentage of Supplier's Facilities - Standardized" dataDxfId="18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D66DF-E209-3B40-9164-29212D9A0BA1}" name="Tabella14" displayName="Tabella14" ref="A3:F151" totalsRowShown="0" headerRowDxfId="187" dataDxfId="186" tableBorderDxfId="185">
  <autoFilter ref="A3:F151" xr:uid="{719D66DF-E209-3B40-9164-29212D9A0BA1}"/>
  <tableColumns count="6">
    <tableColumn id="1" xr3:uid="{C09F42A5-7C1E-AD47-8FA1-A708589F6977}" name="Country of Supplier" dataDxfId="184"/>
    <tableColumn id="2" xr3:uid="{6D25FDE5-D9D5-594A-B7DE-53D00C68150D}" name="Country Geopolitical Risk Index" dataDxfId="183"/>
    <tableColumn id="3" xr3:uid="{4A0D7459-9DB3-3441-874A-2CD95B0BF957}" name="Percentage of Suppliers - Raw" dataDxfId="182"/>
    <tableColumn id="5" xr3:uid="{CDD73585-D8B4-4DF9-9325-7A96CF7A9DFB}" name="Percentage of Suppliers - Standardized" dataDxfId="181">
      <calculatedColumnFormula>Tabella14[[#This Row],[Percentage of Suppliers - Raw]]/$C$151</calculatedColumnFormula>
    </tableColumn>
    <tableColumn id="6" xr3:uid="{D32D7182-8AA2-4624-AF2D-3F62A50091C1}" name="Percentage of Supplier's Facilities - Raw" dataDxfId="180"/>
    <tableColumn id="4" xr3:uid="{04E2E2E4-E06A-D241-813B-0808B5B5092B}" name="Percentage of Supplier's Facilities - Standardize" dataDxfId="17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097966-7799-6A49-8A12-DB55B361DF98}" name="Tabella15" displayName="Tabella15" ref="A3:F151" totalsRowShown="0" headerRowDxfId="178" dataDxfId="177" tableBorderDxfId="176">
  <autoFilter ref="A3:F151" xr:uid="{B9097966-7799-6A49-8A12-DB55B361DF98}"/>
  <tableColumns count="6">
    <tableColumn id="1" xr3:uid="{1F772B46-FF95-9144-A0EC-4AF88C65873B}" name="Country of Supplier" dataDxfId="175"/>
    <tableColumn id="2" xr3:uid="{913FA331-3333-9342-A0C2-ED9C892F7322}" name="Country Geopolitical Risk Index" dataDxfId="174"/>
    <tableColumn id="3" xr3:uid="{D26BFBD8-7171-E640-A32A-1751001BAD75}" name="Percentage of Suppliers - Raw" dataDxfId="173"/>
    <tableColumn id="5" xr3:uid="{29CF830C-DC7E-4F3F-BD14-83F14F232190}" name="Percentage of Suppliers - Standardized" dataDxfId="172">
      <calculatedColumnFormula>Tabella15[[#This Row],[Percentage of Suppliers - Raw]]/$C$151</calculatedColumnFormula>
    </tableColumn>
    <tableColumn id="6" xr3:uid="{775DCBD2-0867-40C6-A6E0-004570ABEDA7}" name="Percentage of Supplier's Facilities - Raw" dataDxfId="171"/>
    <tableColumn id="4" xr3:uid="{4C18CCCE-0ECF-2847-87FB-FE21884E9024}" name="Percentage of Supplier's Facilities - Standardized" dataDxfId="17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8451CF-B218-6643-AC69-CCFB5FD4132A}" name="Tabella16" displayName="Tabella16" ref="A3:F151" totalsRowShown="0" headerRowDxfId="169" dataDxfId="168" tableBorderDxfId="167">
  <autoFilter ref="A3:F151" xr:uid="{B18451CF-B218-6643-AC69-CCFB5FD4132A}"/>
  <tableColumns count="6">
    <tableColumn id="1" xr3:uid="{DBC12576-C41B-FC47-AE6D-42E950CFC64A}" name="Country of Supplier" dataDxfId="166"/>
    <tableColumn id="2" xr3:uid="{EF44E11F-5910-D440-B534-33BB4730083B}" name="Country Geopolitical Risk Index" dataDxfId="165"/>
    <tableColumn id="3" xr3:uid="{68D5AD04-60E2-024C-A71F-C8A434D11138}" name="Percentage of Suppliers - Raw" dataDxfId="164"/>
    <tableColumn id="5" xr3:uid="{CCDBC4A6-84F0-4F48-8978-DD8215AAD2B4}" name="Percentage of Suppliers - Standardized" dataDxfId="163">
      <calculatedColumnFormula>Tabella16[[#This Row],[Percentage of Suppliers - Raw]]/$C$151</calculatedColumnFormula>
    </tableColumn>
    <tableColumn id="6" xr3:uid="{73A10B91-2B54-4DB0-95DE-FF38E8D81AC1}" name="Percentage of Supplier's Facilities - Raw" dataDxfId="162"/>
    <tableColumn id="4" xr3:uid="{F3EE8AA5-3BA6-5844-9939-88A37202C26E}" name="Percentage of Supplier's Facilities - Standardized" dataDxfId="16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BB0C96-78D2-6F41-B2EA-CCCE40917FA0}" name="Tabella17" displayName="Tabella17" ref="A3:F151" totalsRowShown="0" headerRowDxfId="160" dataDxfId="159" tableBorderDxfId="158">
  <autoFilter ref="A3:F151" xr:uid="{74BB0C96-78D2-6F41-B2EA-CCCE40917FA0}"/>
  <tableColumns count="6">
    <tableColumn id="1" xr3:uid="{68421084-2632-B04F-9981-870E9B6A46CB}" name="Country of Supplier" dataDxfId="157"/>
    <tableColumn id="2" xr3:uid="{84DF84BB-AC50-714E-839E-DA15AD7B7B84}" name="Country Geopolitical Risk Index" dataDxfId="156"/>
    <tableColumn id="3" xr3:uid="{EBD24F32-61CD-3C4A-987C-EA88074EFBE6}" name="Percentage of Suppliers - Raw" dataDxfId="155"/>
    <tableColumn id="5" xr3:uid="{51EA2F40-7AAD-4447-B27D-7DA5D4BFC224}" name="Percentage of Suppliers - Standardized" dataDxfId="154">
      <calculatedColumnFormula>Tabella17[[#This Row],[Percentage of Suppliers - Raw]]/$C$151</calculatedColumnFormula>
    </tableColumn>
    <tableColumn id="6" xr3:uid="{21346442-7915-4F16-BCDE-20697D5C0372}" name="Percentage of Supplier's Facilities - Raw" dataDxfId="153"/>
    <tableColumn id="4" xr3:uid="{40CB0617-A705-5A4D-873F-1CED2DA400CD}" name="Percentage of Supplier's Facilities - Standardize" dataDxfId="15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1494A4-A34C-1740-BA5A-39D9306A0791}" name="Tabella18" displayName="Tabella18" ref="A3:F151" totalsRowShown="0" headerRowDxfId="151" dataDxfId="150" tableBorderDxfId="149">
  <autoFilter ref="A3:F151" xr:uid="{B91494A4-A34C-1740-BA5A-39D9306A0791}"/>
  <tableColumns count="6">
    <tableColumn id="1" xr3:uid="{2E1896A0-84AD-2041-9D4D-73AB4C74C17A}" name="Country of Supplier" dataDxfId="148"/>
    <tableColumn id="2" xr3:uid="{C880C134-3D6F-274F-A21B-289A18D8592E}" name="Country Geopolitical Risk Index"/>
    <tableColumn id="3" xr3:uid="{2B460FB9-7C17-E949-96EC-CE4D8686BBBB}" name="Percentage of Suppliers - Raw" dataDxfId="147"/>
    <tableColumn id="5" xr3:uid="{3EE617FB-B57F-403C-8727-E344E81A1FC6}" name="Percentage of Suppliers - Standardized" dataDxfId="146">
      <calculatedColumnFormula>Tabella18[[#This Row],[Percentage of Suppliers - Raw]]/$C$151</calculatedColumnFormula>
    </tableColumn>
    <tableColumn id="6" xr3:uid="{853829E3-5722-4736-81DE-FD1F42635B8D}" name="Percentage of Supplier's Facilities - Raw" dataDxfId="145"/>
    <tableColumn id="4" xr3:uid="{41F4791A-95BA-5C46-ACD9-CCE12D6C35A8}" name="Percentage of Supplier's Facilities - Standardizd" dataDxfId="14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64B2BC-2AB7-184F-8EC1-417DC0B8FEC6}" name="Tabella19" displayName="Tabella19" ref="A3:F151" totalsRowShown="0" headerRowDxfId="143" dataDxfId="142" tableBorderDxfId="141">
  <autoFilter ref="A3:F151" xr:uid="{1564B2BC-2AB7-184F-8EC1-417DC0B8FEC6}"/>
  <tableColumns count="6">
    <tableColumn id="1" xr3:uid="{72E3663B-49EF-B642-BD1C-5B973CA717BC}" name="Country of Supplier" dataDxfId="140"/>
    <tableColumn id="2" xr3:uid="{E61A3F56-5244-C849-9ADE-D80298348E9B}" name="Country Geopolitical Risk Index"/>
    <tableColumn id="3" xr3:uid="{EFFFBEFB-98A5-E84A-BB0C-28176570E818}" name="Percentage of Suppliers - Raw" dataDxfId="139"/>
    <tableColumn id="5" xr3:uid="{3950FD96-218B-49A3-BD2D-AB817425308E}" name="Percentage of Suppliers - Standardized" dataDxfId="138">
      <calculatedColumnFormula>Tabella19[[#This Row],[Percentage of Suppliers - Raw]]/$C$151</calculatedColumnFormula>
    </tableColumn>
    <tableColumn id="6" xr3:uid="{12E36B6A-1D9A-47F0-AACE-CAF0BB05A2A5}" name="Percentage of Supplier's Facilities - Raw" dataDxfId="137"/>
    <tableColumn id="4" xr3:uid="{6EAE7AC2-3C0A-F445-92EB-D3352E230DE9}" name="Percentage of Supplier's Facilities - Standardizd" dataDxfId="136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09FE13-839E-BE4C-AC8A-85A4E558E0A7}" name="Tabella110" displayName="Tabella110" ref="A3:F151" totalsRowShown="0" headerRowDxfId="135" dataDxfId="134" tableBorderDxfId="133">
  <autoFilter ref="A3:F151" xr:uid="{8709FE13-839E-BE4C-AC8A-85A4E558E0A7}"/>
  <tableColumns count="6">
    <tableColumn id="1" xr3:uid="{0FB83D28-72AF-AC42-AFA7-3B86AB55521E}" name="Country of Supplier" dataDxfId="132"/>
    <tableColumn id="2" xr3:uid="{3177F3A8-6151-0147-8A3A-24A0A284E706}" name="Country Geopolitical Risk Index"/>
    <tableColumn id="3" xr3:uid="{9BAA9478-A946-FD4C-BB5C-5A82B88B93DA}" name="Percentage of Suppliers - Raw" dataDxfId="131"/>
    <tableColumn id="5" xr3:uid="{5C688E4D-063E-4B82-8638-D6BEB2433ACC}" name="Percentage of Suppliers - Standardized" dataDxfId="130">
      <calculatedColumnFormula>Tabella110[[#This Row],[Percentage of Suppliers - Raw]]/$C$151</calculatedColumnFormula>
    </tableColumn>
    <tableColumn id="6" xr3:uid="{435A926F-5C2C-4BF1-BEA4-AECC17470E7E}" name="Percentage of Supplier's Facilities - Raw" dataDxfId="129"/>
    <tableColumn id="4" xr3:uid="{8677C6F2-00AA-5248-8F96-5F1E7AA90189}" name="Percentage of Supplier's Facilities - Standardizd" dataDxfId="12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1F8720-E42E-B247-9D1E-993564F0EB54}" name="Tabella111" displayName="Tabella111" ref="A3:F151" totalsRowShown="0" headerRowDxfId="127" dataDxfId="126" tableBorderDxfId="125">
  <autoFilter ref="A3:F151" xr:uid="{0E1F8720-E42E-B247-9D1E-993564F0EB54}"/>
  <tableColumns count="6">
    <tableColumn id="1" xr3:uid="{25F2FEE9-721C-B541-875C-D951CFC2E721}" name="Country of Supplier" dataDxfId="124"/>
    <tableColumn id="2" xr3:uid="{2AB92861-FF00-4E45-90F6-5F0A532E5922}" name="Country Geopolitical Risk Index"/>
    <tableColumn id="3" xr3:uid="{5E3CB9E2-B6E5-9C44-996B-425BF65EA847}" name="Percentage of Suppliers - Raw" dataDxfId="123"/>
    <tableColumn id="5" xr3:uid="{38E21D71-7B7E-4C32-9667-F6D0A5FA60D9}" name="Percentage of Suppliers - Standardized" dataDxfId="122">
      <calculatedColumnFormula>Tabella111[[#This Row],[Percentage of Suppliers - Raw]]/$C$151</calculatedColumnFormula>
    </tableColumn>
    <tableColumn id="6" xr3:uid="{60043A9B-7BFC-4EA8-9BDD-460FC3846A25}" name="Percentage of Supplier's Facilities - Raw" dataDxfId="121"/>
    <tableColumn id="4" xr3:uid="{58CE0E5B-6E9F-4548-B6E1-48749970950D}" name="Percentage of Supplier's Facilities - Standardizd" dataDxfId="12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FBAA02-033F-3A49-8794-C2DC2DCAFA8E}" name="Tabella112" displayName="Tabella112" ref="A3:F151" totalsRowShown="0" headerRowDxfId="119" dataDxfId="118" tableBorderDxfId="117">
  <autoFilter ref="A3:F151" xr:uid="{09FBAA02-033F-3A49-8794-C2DC2DCAFA8E}"/>
  <tableColumns count="6">
    <tableColumn id="1" xr3:uid="{57A4FFE7-F885-E74B-AEB8-A3E925E322B9}" name="Country of Supplier" dataDxfId="116"/>
    <tableColumn id="2" xr3:uid="{5785EF16-C5CB-804A-9C9E-07A8FEBBCD7B}" name="Country Geopolitical Risk Index"/>
    <tableColumn id="3" xr3:uid="{305058A1-51D7-3545-9EAD-FBF53016139A}" name="Percentage of Suppliers - Raw" dataDxfId="115"/>
    <tableColumn id="5" xr3:uid="{E0193F6E-CD16-47E1-93BC-50031DD0C614}" name="Percentage of Suppliers - Standardized" dataDxfId="114">
      <calculatedColumnFormula>Tabella112[[#This Row],[Percentage of Suppliers - Raw]]/$C$151</calculatedColumnFormula>
    </tableColumn>
    <tableColumn id="6" xr3:uid="{667C39EC-6104-471A-8F0B-D31130722AC5}" name="Percentage of Supplier's Facilities - Raw" dataDxfId="113"/>
    <tableColumn id="4" xr3:uid="{AF63A613-745D-DC43-B655-364CFD01AB45}" name="Percentage of Supplier's Facilities - Standardizd" dataDxfId="112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8A4F09-4974-1941-A5BE-FFD6744E2A40}" name="Tabella113" displayName="Tabella113" ref="A3:F151" totalsRowShown="0" headerRowDxfId="111" dataDxfId="110" tableBorderDxfId="109">
  <autoFilter ref="A3:F151" xr:uid="{E18A4F09-4974-1941-A5BE-FFD6744E2A40}"/>
  <tableColumns count="6">
    <tableColumn id="1" xr3:uid="{8101FD58-0373-C849-A620-10387CEE7A12}" name="Country of Supplier" dataDxfId="108"/>
    <tableColumn id="2" xr3:uid="{F1A6C56F-6FC6-534D-AC30-4EABA8413902}" name="Country Geopolitical Risk Index"/>
    <tableColumn id="3" xr3:uid="{9C4D3543-2E86-AD4E-AC15-B0BBC6F0D12D}" name="Percentage of Suppliers - Raw" dataDxfId="107"/>
    <tableColumn id="5" xr3:uid="{CFF86C45-9FAC-4706-B5BA-5B23202B853E}" name="Percentage of Suppliers - Standardized" dataDxfId="106">
      <calculatedColumnFormula>Tabella113[[#This Row],[Percentage of Suppliers - Raw]]/$C$151</calculatedColumnFormula>
    </tableColumn>
    <tableColumn id="6" xr3:uid="{78508C87-3FA3-4F4E-8F0A-C19E1BBDB95D}" name="Percentage of Supplier's Facilities - Raw" dataDxfId="105"/>
    <tableColumn id="4" xr3:uid="{E5559E43-6442-904D-B807-8E1B42BB9F92}" name="Percentage of Supplier's Facilities - Standardizd" dataDxfId="104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03A2119-33AC-AA4C-B49A-362C144A4AE6}" name="Tabella114" displayName="Tabella114" ref="A3:F151" totalsRowShown="0" headerRowDxfId="103" dataDxfId="102" tableBorderDxfId="101">
  <autoFilter ref="A3:F151" xr:uid="{C03A2119-33AC-AA4C-B49A-362C144A4AE6}"/>
  <tableColumns count="6">
    <tableColumn id="1" xr3:uid="{654742B2-7D90-A046-BC27-C4A15C5A7B42}" name="Country of Supplier" dataDxfId="100"/>
    <tableColumn id="2" xr3:uid="{0FE21CD6-BF72-8441-972C-20B4753A718A}" name="Country Geopolitical Risk Index"/>
    <tableColumn id="3" xr3:uid="{E86E50A0-DFD5-D240-8576-A98CA25C5257}" name="Percentage of Suppliers - Raw" dataDxfId="99"/>
    <tableColumn id="5" xr3:uid="{AB4462B2-F4D8-44FE-8F21-DD5D985435F1}" name="Percentage of Suppliers - Standardized" dataDxfId="98">
      <calculatedColumnFormula>Tabella114[[#This Row],[Percentage of Suppliers - Raw]]/$C$151</calculatedColumnFormula>
    </tableColumn>
    <tableColumn id="6" xr3:uid="{586EF53B-72EB-4D81-867A-9E578C36532E}" name="Percentage of Supplier's Facilities - Raw" dataDxfId="97"/>
    <tableColumn id="4" xr3:uid="{384C8C67-5886-8B42-99B4-1DEBDA9B913A}" name="Percentage of Supplier's Facilities - Standardizd" dataDxfId="96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7ED14C-3AD1-0C4D-A00C-720D672325B5}" name="Tabella115" displayName="Tabella115" ref="A3:F151" totalsRowShown="0" headerRowDxfId="95" dataDxfId="94" tableBorderDxfId="93">
  <autoFilter ref="A3:F151" xr:uid="{D67ED14C-3AD1-0C4D-A00C-720D672325B5}"/>
  <tableColumns count="6">
    <tableColumn id="1" xr3:uid="{3C96CEC0-3EB0-B84D-849F-4032A32FFC63}" name="Country of Supplier" dataDxfId="92"/>
    <tableColumn id="2" xr3:uid="{7F78A112-BC05-D94D-A86A-611180E7CE7E}" name="Country Geopolitical Risk Index"/>
    <tableColumn id="3" xr3:uid="{E3E97739-0AF8-624E-A071-F1069C8B2ADD}" name="Percentage of Suppliers - Raw" dataDxfId="91"/>
    <tableColumn id="5" xr3:uid="{DBC32AED-3D0D-45A5-9209-D1F70F916E3B}" name="Percentage of Suppliers - Standardized" dataDxfId="90">
      <calculatedColumnFormula>Tabella115[[#This Row],[Percentage of Suppliers - Raw]]/$C$151</calculatedColumnFormula>
    </tableColumn>
    <tableColumn id="6" xr3:uid="{4245BDED-9248-4C25-B9B9-8775F61FCCD2}" name="Percentage of Supplier's Facilities - Raw" dataDxfId="89"/>
    <tableColumn id="4" xr3:uid="{E79C20B6-3F2A-4C42-8989-C6D5DB19195D}" name="Percentage of Supplier's Facilities - Standardizd" dataDxfId="88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175025-85DB-884D-8C01-06B3B3379DF3}" name="Tabella116" displayName="Tabella116" ref="A3:F151" totalsRowShown="0" headerRowDxfId="87" dataDxfId="86" tableBorderDxfId="85">
  <autoFilter ref="A3:F151" xr:uid="{49175025-85DB-884D-8C01-06B3B3379DF3}"/>
  <tableColumns count="6">
    <tableColumn id="1" xr3:uid="{FB37017F-331A-6748-8411-4B683916A177}" name="Country of Supplier" dataDxfId="84"/>
    <tableColumn id="2" xr3:uid="{F2E4B3BB-05FF-3B44-945A-567231D4B607}" name="Country Geopolitical Risk Index"/>
    <tableColumn id="3" xr3:uid="{D20DC8F5-159A-D343-827B-CA5B67795208}" name="Percentage of Suppliers - Raw" dataDxfId="83"/>
    <tableColumn id="5" xr3:uid="{C9E49FBD-50B7-4888-89D8-387CDD15ECD0}" name="Percentage of Suppliers - Standardized" dataDxfId="82">
      <calculatedColumnFormula>Tabella116[[#This Row],[Percentage of Suppliers - Raw]]/$C$151</calculatedColumnFormula>
    </tableColumn>
    <tableColumn id="6" xr3:uid="{A03A0BE8-5BF9-4E8A-98C9-A576AD2E1BF4}" name="Percentage of Supplier's Facilities - Raw" dataDxfId="81"/>
    <tableColumn id="4" xr3:uid="{38146E77-6817-184C-AFC7-22B184DDC99E}" name="Percentage of Supplier's Facilities - Standardizd" dataDxfId="80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B5CA3A-0362-714D-85EB-67D68DFC8CFF}" name="Tabella117" displayName="Tabella117" ref="A3:F151" totalsRowShown="0" headerRowDxfId="79" dataDxfId="78" tableBorderDxfId="77">
  <autoFilter ref="A3:F151" xr:uid="{BCB5CA3A-0362-714D-85EB-67D68DFC8CFF}"/>
  <tableColumns count="6">
    <tableColumn id="1" xr3:uid="{486B3202-BC39-5E4D-A898-FDBACE4B57C6}" name="Country of Supplier" dataDxfId="76"/>
    <tableColumn id="2" xr3:uid="{769BA8D4-5DAC-4B41-B698-C0E7FA0A2E2F}" name="Country Geopolitical Risk Index"/>
    <tableColumn id="3" xr3:uid="{4B945D85-DE6F-BE48-B6DB-A290E74A2E3F}" name="Percentage of Suppliers - Raw" dataDxfId="75"/>
    <tableColumn id="5" xr3:uid="{CA5D8A17-4D28-4E8A-BFE9-8F981BCA1367}" name="Percentage of Suppliers - Standardized" dataDxfId="74">
      <calculatedColumnFormula>Tabella117[[#This Row],[Percentage of Suppliers - Raw]]/$C$151</calculatedColumnFormula>
    </tableColumn>
    <tableColumn id="6" xr3:uid="{E6E07734-0FD4-4486-A22E-A71FAE82D263}" name="Percentage of Supplier's Facilities - Raw" dataDxfId="73"/>
    <tableColumn id="4" xr3:uid="{8734344B-1EA2-A64E-9361-9E5C65EC7DC6}" name="Percentage of Supplier's Facilities - Standardizd" dataDxfId="72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15709E-D8D5-8348-A4F5-4FBD1A8A795D}" name="Tabella118" displayName="Tabella118" ref="A3:F151" totalsRowShown="0" headerRowDxfId="71" dataDxfId="70" tableBorderDxfId="69">
  <autoFilter ref="A3:F151" xr:uid="{3915709E-D8D5-8348-A4F5-4FBD1A8A795D}"/>
  <tableColumns count="6">
    <tableColumn id="1" xr3:uid="{5F276B9B-F521-9B4A-A44F-4A02F91318C6}" name="Country of Supplier" dataDxfId="68"/>
    <tableColumn id="2" xr3:uid="{A1EA2859-03F0-A047-A013-0A6A8D9F7A83}" name="Country Geopolitical Risk Index"/>
    <tableColumn id="3" xr3:uid="{4B22A37B-A929-D04A-ADA3-B55377C72772}" name="Percentage of Suppliers - Raw" dataDxfId="67"/>
    <tableColumn id="5" xr3:uid="{C3FE0CD6-6966-4C2E-87A0-436E4BDAB94C}" name="Percentage of Suppliers - Standardized" dataDxfId="66">
      <calculatedColumnFormula>Tabella118[[#This Row],[Percentage of Suppliers - Raw]]/$C$151</calculatedColumnFormula>
    </tableColumn>
    <tableColumn id="6" xr3:uid="{772E60DA-2C85-47F8-81F9-4E1048354972}" name="Percentage of Supplier's Facilities - Raw" dataDxfId="65"/>
    <tableColumn id="4" xr3:uid="{142C1D4F-F13A-EF42-A04F-6CB58B9D5FA6}" name="Percentage of Supplier's Facilities - Standardizd" dataDxfId="64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F9709DF-EEF3-284B-98F2-28660D545465}" name="Tabella119" displayName="Tabella119" ref="A3:F151" totalsRowShown="0" headerRowDxfId="63" dataDxfId="62" tableBorderDxfId="61">
  <autoFilter ref="A3:F151" xr:uid="{6F9709DF-EEF3-284B-98F2-28660D545465}"/>
  <tableColumns count="6">
    <tableColumn id="1" xr3:uid="{F96D1301-7B03-2B4E-ACC6-45C9DB84AB8F}" name="Country of Supplier" dataDxfId="60"/>
    <tableColumn id="2" xr3:uid="{BCD92A8C-E566-C64D-952D-7FB4B25AB81C}" name="Country Geopolitical Risk Index"/>
    <tableColumn id="3" xr3:uid="{3B4FE017-6993-4144-9F38-91EF8804AC49}" name="Percentage of Suppliers - Raw" dataDxfId="59"/>
    <tableColumn id="5" xr3:uid="{AC78640B-E1C2-4FBE-9A5F-73EE59E8BDD8}" name="Percentage of Suppliers - Standardized" dataDxfId="58">
      <calculatedColumnFormula>Tabella119[[#This Row],[Percentage of Suppliers - Raw]]/$C$151</calculatedColumnFormula>
    </tableColumn>
    <tableColumn id="6" xr3:uid="{8F1059AC-1199-4F91-8FB5-DBBE64F96F95}" name="Percentage of Supplier's Facilities - Raw" dataDxfId="57"/>
    <tableColumn id="4" xr3:uid="{6BE1A2C6-4196-1145-B187-175EFCAD4761}" name="Percentage of Supplier's Facilities - Standardizd" dataDxfId="5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22C1165-FF28-114C-A83B-A5A02BB87DC0}" name="Tabella120" displayName="Tabella120" ref="A3:F151" totalsRowShown="0" headerRowDxfId="55" dataDxfId="54" tableBorderDxfId="53">
  <autoFilter ref="A3:F151" xr:uid="{622C1165-FF28-114C-A83B-A5A02BB87DC0}"/>
  <tableColumns count="6">
    <tableColumn id="1" xr3:uid="{1CD21D3D-8B06-B942-91D2-BB7BE35C14C4}" name="Country of Supplier" dataDxfId="52"/>
    <tableColumn id="2" xr3:uid="{8000462F-559B-1847-B4C1-12B474546319}" name="Country Geopolitical Risk Index"/>
    <tableColumn id="3" xr3:uid="{B23A8631-1B9C-2444-8386-2904DF88BFC2}" name="Percentage of Suppliers - Raw" dataDxfId="51"/>
    <tableColumn id="5" xr3:uid="{E048BFB5-0907-4DE9-A558-B84348A7B8FA}" name="Percentage of Suppliers - Standardized" dataDxfId="50">
      <calculatedColumnFormula>Tabella120[[#This Row],[Percentage of Suppliers - Raw]]/$C$151</calculatedColumnFormula>
    </tableColumn>
    <tableColumn id="6" xr3:uid="{6E78BE44-43CA-4618-83E3-C7C79CDF471C}" name="Percentage of Supplier's Facilities - Raw" dataDxfId="49"/>
    <tableColumn id="4" xr3:uid="{C91F296A-3492-D547-97CB-C01F230F72CC}" name="Percentage of Supplier's Facilities - Standardizd" dataDxfId="48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C2FD799-7B7E-9541-9D1E-D67948F348EB}" name="Tabella121" displayName="Tabella121" ref="A3:F151" totalsRowShown="0" headerRowDxfId="47" dataDxfId="46" tableBorderDxfId="45">
  <autoFilter ref="A3:F151" xr:uid="{8C2FD799-7B7E-9541-9D1E-D67948F348EB}"/>
  <tableColumns count="6">
    <tableColumn id="1" xr3:uid="{F598F1FA-CC26-C74F-ADC7-D4E78646D4EE}" name="Country of Supplier" dataDxfId="44"/>
    <tableColumn id="2" xr3:uid="{6510A928-1056-2348-9303-A2D710A286CA}" name="Country Geopolitical Risk Index"/>
    <tableColumn id="3" xr3:uid="{686499B3-A8B9-CA40-BD5E-EE18A59C3DBF}" name="Percentage of Suppliers - Raw" dataDxfId="43"/>
    <tableColumn id="5" xr3:uid="{D8D6F212-4658-4B4F-B193-23A9D333973C}" name="Percentage of Suppliers - Standardized" dataDxfId="42">
      <calculatedColumnFormula>Tabella121[[#This Row],[Percentage of Suppliers - Raw]]/$C$151</calculatedColumnFormula>
    </tableColumn>
    <tableColumn id="6" xr3:uid="{B8D2B87A-7ACF-43C0-BCED-67E31F8B6402}" name="Percentage of Supplier's Facilities - Raw" dataDxfId="41"/>
    <tableColumn id="4" xr3:uid="{F7FE3F95-9ACC-AB41-A2E8-4F0E34385778}" name="Percentage of Supplier's Facilities - Standardizd" dataDxfId="40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3D5F83-7D64-EB4D-A658-857BD6D8AE75}" name="Tabella122" displayName="Tabella122" ref="A3:F151" totalsRowShown="0" headerRowDxfId="39" dataDxfId="38" tableBorderDxfId="37">
  <autoFilter ref="A3:F151" xr:uid="{0B3D5F83-7D64-EB4D-A658-857BD6D8AE75}"/>
  <tableColumns count="6">
    <tableColumn id="1" xr3:uid="{E3C08C2F-981E-E24A-9675-7C85B4521D17}" name="Country of Supplier" dataDxfId="36"/>
    <tableColumn id="2" xr3:uid="{9ADE7766-C448-BC49-8D7C-905612B9D301}" name="Country Geopolitical Risk Index"/>
    <tableColumn id="3" xr3:uid="{D232DA45-D67D-AA4E-AC1B-2933F08424F6}" name="Percentage of Suppliers - Raw" dataDxfId="35"/>
    <tableColumn id="5" xr3:uid="{A5DDD5C1-198E-4414-8AF7-53B4444552CA}" name="Percentage of Suppliers - Standardized" dataDxfId="34">
      <calculatedColumnFormula>Tabella122[[#This Row],[Percentage of Suppliers - Raw]]/$C$151</calculatedColumnFormula>
    </tableColumn>
    <tableColumn id="6" xr3:uid="{73B4E87C-BA31-4820-AD3B-03CC209C3F57}" name="Percentage of Supplier's Facilities - Raw" dataDxfId="33"/>
    <tableColumn id="4" xr3:uid="{398C59B2-BB8C-D049-9E18-6817E8D7A7FA}" name="Percentage of Supplier's Facilities - Standardizd" dataDxfId="32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09A9B9-EBA0-104B-BDEA-82E28C747C0D}" name="Tabella123" displayName="Tabella123" ref="A3:F151" totalsRowShown="0" headerRowDxfId="31" dataDxfId="30" tableBorderDxfId="29">
  <autoFilter ref="A3:F151" xr:uid="{3909A9B9-EBA0-104B-BDEA-82E28C747C0D}"/>
  <tableColumns count="6">
    <tableColumn id="1" xr3:uid="{55527CEC-408D-6340-AD56-3B8CDA14907F}" name="Country of Supplier" dataDxfId="28"/>
    <tableColumn id="2" xr3:uid="{FDE90F18-9E91-B94F-BEC4-90CB693FDB2D}" name="Country Geopolitical Risk Index"/>
    <tableColumn id="3" xr3:uid="{19929F11-1D8F-724F-94C6-5D837828D572}" name="Percentage of Suppliers - Raw" dataDxfId="27"/>
    <tableColumn id="5" xr3:uid="{1B372EFC-580C-4A8B-9EDE-505C0B72DC34}" name="Percentage of Suppliers - Standardized" dataDxfId="26">
      <calculatedColumnFormula>Tabella123[[#This Row],[Percentage of Suppliers - Raw]]/$C$151</calculatedColumnFormula>
    </tableColumn>
    <tableColumn id="6" xr3:uid="{3A4A9AAA-0D4F-40AE-BDF5-B5BF95E29D2C}" name="Percentage of Supplier's Facilities - Raw" dataDxfId="25"/>
    <tableColumn id="4" xr3:uid="{4944944E-70CB-FA41-A78A-F306D4F5EEEB}" name="Percentage of Supplier's Facilities - Standardizd" dataDxfId="24">
      <calculatedColumnFormula>Tabella123[[#This Row],[Percentage of Supplier''s Facilities - Raw]]/$E$151</calculatedColumnFormula>
    </tableColumn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2F0FA26-9690-A441-AEFC-30300A10D940}" name="Tabella124" displayName="Tabella124" ref="A3:F151" totalsRowShown="0" headerRowDxfId="23" dataDxfId="22" tableBorderDxfId="21">
  <autoFilter ref="A3:F151" xr:uid="{62F0FA26-9690-A441-AEFC-30300A10D940}"/>
  <tableColumns count="6">
    <tableColumn id="1" xr3:uid="{4FB2440C-32FF-604D-BCB1-CA089F61B6C2}" name="Country of Supplier" dataDxfId="20"/>
    <tableColumn id="2" xr3:uid="{A4217D72-8788-714E-BA0E-F0FFD9869269}" name="Country Geopolitical Risk Index"/>
    <tableColumn id="3" xr3:uid="{CE0B7824-BE57-6740-B73E-6E2FE3037E46}" name="Percentage of Suppliers - Raw" dataDxfId="19"/>
    <tableColumn id="5" xr3:uid="{7CA54C89-2981-4BCC-9BB1-6DC15CDA0031}" name="Percentage of Suppliers - Standardized" dataDxfId="18">
      <calculatedColumnFormula>Tabella124[[#This Row],[Percentage of Suppliers - Raw]]/$C$151</calculatedColumnFormula>
    </tableColumn>
    <tableColumn id="6" xr3:uid="{28110066-3EE8-4EA9-B8F0-8420D85FEAB8}" name="Percentage of Supplier's Facilities - Raw" dataDxfId="17"/>
    <tableColumn id="4" xr3:uid="{094D3DAF-73BE-4F47-8BBE-BF375582355B}" name="Percentage of Supplier's Facilities - Standardizd" dataDxfId="16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8550565-D79E-5543-A241-0197472C27E4}" name="Tabella126" displayName="Tabella126" ref="A3:F151" totalsRowShown="0" headerRowDxfId="15" dataDxfId="14" tableBorderDxfId="13">
  <autoFilter ref="A3:F151" xr:uid="{78550565-D79E-5543-A241-0197472C27E4}"/>
  <tableColumns count="6">
    <tableColumn id="1" xr3:uid="{3B6C02D5-4DED-084D-BA84-34987024C45B}" name="Country of Supplier" dataDxfId="12"/>
    <tableColumn id="2" xr3:uid="{57AB65E6-624E-EB4E-9766-5CE43F907EB1}" name="Country Geopolitical Risk Index"/>
    <tableColumn id="3" xr3:uid="{BD8A0571-8D7A-6F4D-8AA3-BDF6FA74348F}" name="Percentage of Suppliers - Raw" dataDxfId="11"/>
    <tableColumn id="5" xr3:uid="{F632EF50-C034-4236-A1F4-86D98E735EDF}" name="Percentage of Suppliers - Standardized" dataDxfId="10">
      <calculatedColumnFormula>Tabella126[[#This Row],[Percentage of Suppliers - Raw]]/$C$151</calculatedColumnFormula>
    </tableColumn>
    <tableColumn id="6" xr3:uid="{2F22FFE1-413B-4908-9A3D-D63EC0FBEC66}" name="Percentage of Supplier's Facilities - Raw" dataDxfId="9"/>
    <tableColumn id="4" xr3:uid="{5BC4E728-51C9-A346-9474-233B7081C08D}" name="Percentage of Supplier's Facilities - Standardizd" dataDxfId="8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B5D9AC-E8AF-4F45-9429-1EA0FF203431}" name="Tabella125" displayName="Tabella125" ref="A3:F151" totalsRowShown="0" headerRowDxfId="7" dataDxfId="6" tableBorderDxfId="5">
  <autoFilter ref="A3:F151" xr:uid="{91B5D9AC-E8AF-4F45-9429-1EA0FF203431}"/>
  <tableColumns count="6">
    <tableColumn id="1" xr3:uid="{3109B934-3E66-F342-AA7D-9B5B26517EEA}" name="Country of Supplier" dataDxfId="4"/>
    <tableColumn id="2" xr3:uid="{416ABF6B-4818-E34E-BCB2-B221953F3D51}" name="Country Geopolitical Risk Index"/>
    <tableColumn id="3" xr3:uid="{FCB7E387-D43C-964E-B9BF-9F3C88B12BA5}" name="Percentage of Suppliers - Raw" dataDxfId="3"/>
    <tableColumn id="5" xr3:uid="{B1AA5B92-3BF4-4614-9223-3E333AAAE34D}" name="Percentage of Suppliers - Standardized" dataDxfId="2">
      <calculatedColumnFormula>Tabella125[[#This Row],[Percentage of Suppliers - Raw]]/$C$151</calculatedColumnFormula>
    </tableColumn>
    <tableColumn id="6" xr3:uid="{73195ACB-9316-42FD-8641-445DD639FA1D}" name="Percentage of Supplier's Facilities - Raw" dataDxfId="1"/>
    <tableColumn id="4" xr3:uid="{A5838892-1BFA-AB42-8802-4AD28CE995FF}" name="Percentage of Supplier's Facilities - Standardiz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B00-991B-4449-AB15-39FE6DF02A49}">
  <sheetPr>
    <tabColor theme="4" tint="0.59999389629810485"/>
  </sheetPr>
  <dimension ref="A1:G26"/>
  <sheetViews>
    <sheetView tabSelected="1" workbookViewId="0">
      <selection activeCell="E14" sqref="E14"/>
    </sheetView>
  </sheetViews>
  <sheetFormatPr baseColWidth="10" defaultColWidth="11" defaultRowHeight="16" x14ac:dyDescent="0.2"/>
  <cols>
    <col min="1" max="1" width="18.6640625" customWidth="1"/>
    <col min="2" max="2" width="37.1640625" customWidth="1"/>
    <col min="3" max="3" width="47.1640625" customWidth="1"/>
    <col min="4" max="4" width="52.1640625" bestFit="1" customWidth="1"/>
    <col min="5" max="5" width="20.33203125" bestFit="1" customWidth="1"/>
    <col min="6" max="6" width="28.1640625" bestFit="1" customWidth="1"/>
    <col min="7" max="7" width="44.33203125" bestFit="1" customWidth="1"/>
  </cols>
  <sheetData>
    <row r="1" spans="1:7" ht="19" x14ac:dyDescent="0.25">
      <c r="A1" s="177" t="s">
        <v>0</v>
      </c>
      <c r="B1" s="186" t="s">
        <v>192</v>
      </c>
      <c r="C1" s="186" t="s">
        <v>193</v>
      </c>
      <c r="D1" s="178" t="s">
        <v>194</v>
      </c>
      <c r="E1" s="188" t="s">
        <v>197</v>
      </c>
      <c r="F1" s="187" t="s">
        <v>198</v>
      </c>
      <c r="G1" s="188" t="s">
        <v>199</v>
      </c>
    </row>
    <row r="2" spans="1:7" ht="19" x14ac:dyDescent="0.25">
      <c r="A2" s="179" t="s">
        <v>179</v>
      </c>
      <c r="B2" s="180">
        <f>'Country of Suppliers - Allianz'!$K$9</f>
        <v>3.8518984479391505</v>
      </c>
      <c r="C2" s="180">
        <f>'Country of Suppliers - Allianz'!$P$9</f>
        <v>4.2183861175756361</v>
      </c>
      <c r="D2" s="180">
        <f>0.5*Tabella26[[#This Row],[Component - Suppliers Distribution]]+0.5*Tabella26[[#This Row],[Component - Suppliers'' Facilities Distribution]]</f>
        <v>4.0351422827573931</v>
      </c>
      <c r="E2" s="180">
        <v>0.10469694317286517</v>
      </c>
      <c r="F2" s="181">
        <f>IF(E2&lt;0.15,0.9,
IF(E2&lt;0.25,1,
IF(E2&lt;0.4,1.1,
IF(E2&lt;0.6,1.25,
1.5))))</f>
        <v>0.9</v>
      </c>
      <c r="G2" s="189">
        <f>Tabella26[[#This Row],[Supply Chain Exposure - Intermediate Component]]*Tabella26[[#This Row],[HHI Index - Submultiplier]]</f>
        <v>3.6316280544816539</v>
      </c>
    </row>
    <row r="3" spans="1:7" ht="19" x14ac:dyDescent="0.25">
      <c r="A3" s="179" t="s">
        <v>189</v>
      </c>
      <c r="B3" s="180">
        <f>'Country of Suppliers - Amazon'!$K$9</f>
        <v>4.0410797123468054</v>
      </c>
      <c r="C3" s="180">
        <f>'Country of Suppliers - Amazon'!$P$9</f>
        <v>4.1802635032811732</v>
      </c>
      <c r="D3" s="180">
        <f>0.5*Tabella26[[#This Row],[Component - Suppliers Distribution]]+0.5*Tabella26[[#This Row],[Component - Suppliers'' Facilities Distribution]]</f>
        <v>4.1106716078139893</v>
      </c>
      <c r="E3" s="180">
        <v>0.18906948753269975</v>
      </c>
      <c r="F3" s="181">
        <f t="shared" ref="F3:F26" si="0">IF(E3&lt;0.15,0.9,
IF(E3&lt;0.25,1,
IF(E3&lt;0.4,1.1,
IF(E3&lt;0.6,1.25,
1.5))))</f>
        <v>1</v>
      </c>
      <c r="G3" s="180">
        <f>Tabella26[[#This Row],[Supply Chain Exposure - Intermediate Component]]*Tabella26[[#This Row],[HHI Index - Submultiplier]]</f>
        <v>4.1106716078139893</v>
      </c>
    </row>
    <row r="4" spans="1:7" ht="19" x14ac:dyDescent="0.25">
      <c r="A4" s="179" t="s">
        <v>191</v>
      </c>
      <c r="B4" s="180">
        <f>'Country of Suppliers - Apple'!$K$9</f>
        <v>3.9112071768299721</v>
      </c>
      <c r="C4" s="180">
        <f>'Country of Suppliers - Apple'!$P$9</f>
        <v>4.0663787993341822</v>
      </c>
      <c r="D4" s="180">
        <f>0.5*Tabella26[[#This Row],[Component - Suppliers Distribution]]+0.5*Tabella26[[#This Row],[Component - Suppliers'' Facilities Distribution]]</f>
        <v>3.9887929880820772</v>
      </c>
      <c r="E4" s="180">
        <v>0.16029770958306</v>
      </c>
      <c r="F4" s="181">
        <f t="shared" si="0"/>
        <v>1</v>
      </c>
      <c r="G4" s="180">
        <f>Tabella26[[#This Row],[Supply Chain Exposure - Intermediate Component]]*Tabella26[[#This Row],[HHI Index - Submultiplier]]</f>
        <v>3.9887929880820772</v>
      </c>
    </row>
    <row r="5" spans="1:7" ht="19" x14ac:dyDescent="0.25">
      <c r="A5" s="182" t="s">
        <v>180</v>
      </c>
      <c r="B5" s="180">
        <f>'Country of Suppliers - ASML'!$K$9</f>
        <v>3.9200840084008401</v>
      </c>
      <c r="C5" s="180">
        <f>'Country of Suppliers - ASML'!$P$9</f>
        <v>3.948901803607213</v>
      </c>
      <c r="D5" s="180">
        <f>0.5*Tabella26[[#This Row],[Component - Suppliers Distribution]]+0.5*Tabella26[[#This Row],[Component - Suppliers'' Facilities Distribution]]</f>
        <v>3.9344929060040266</v>
      </c>
      <c r="E5" s="180">
        <v>0.16600411776533608</v>
      </c>
      <c r="F5" s="181">
        <f t="shared" si="0"/>
        <v>1</v>
      </c>
      <c r="G5" s="180">
        <f>Tabella26[[#This Row],[Supply Chain Exposure - Intermediate Component]]*Tabella26[[#This Row],[HHI Index - Submultiplier]]</f>
        <v>3.9344929060040266</v>
      </c>
    </row>
    <row r="6" spans="1:7" ht="19" x14ac:dyDescent="0.25">
      <c r="A6" s="179" t="s">
        <v>187</v>
      </c>
      <c r="B6" s="180">
        <f>'Country of Suppliers - BNP'!$K$9</f>
        <v>3.752411018260601</v>
      </c>
      <c r="C6" s="180">
        <f>'Country of Suppliers - BNP'!$P$9</f>
        <v>4.1784399406821562</v>
      </c>
      <c r="D6" s="180">
        <f>0.5*Tabella26[[#This Row],[Component - Suppliers Distribution]]+0.5*Tabella26[[#This Row],[Component - Suppliers'' Facilities Distribution]]</f>
        <v>3.9654254794713788</v>
      </c>
      <c r="E6" s="180">
        <v>0.11550053662996776</v>
      </c>
      <c r="F6" s="181">
        <f t="shared" si="0"/>
        <v>0.9</v>
      </c>
      <c r="G6" s="180">
        <f>Tabella26[[#This Row],[Supply Chain Exposure - Intermediate Component]]*Tabella26[[#This Row],[HHI Index - Submultiplier]]</f>
        <v>3.5688829315242412</v>
      </c>
    </row>
    <row r="7" spans="1:7" ht="19" x14ac:dyDescent="0.25">
      <c r="A7" s="182" t="s">
        <v>177</v>
      </c>
      <c r="B7" s="180">
        <f>'Country of Suppliers - EliLilly'!$K$9</f>
        <v>3.9356946157007808</v>
      </c>
      <c r="C7" s="180">
        <f>'Country of Suppliers - EliLilly'!$P$9</f>
        <v>4.0546901677212013</v>
      </c>
      <c r="D7" s="180">
        <f>0.5*Tabella26[[#This Row],[Component - Suppliers Distribution]]+0.5*Tabella26[[#This Row],[Component - Suppliers'' Facilities Distribution]]</f>
        <v>3.9951923917109911</v>
      </c>
      <c r="E7" s="180">
        <v>0.27026360403578842</v>
      </c>
      <c r="F7" s="181">
        <f t="shared" si="0"/>
        <v>1.1000000000000001</v>
      </c>
      <c r="G7" s="180">
        <f>Tabella26[[#This Row],[Supply Chain Exposure - Intermediate Component]]*Tabella26[[#This Row],[HHI Index - Submultiplier]]</f>
        <v>4.3947116308820906</v>
      </c>
    </row>
    <row r="8" spans="1:7" ht="19" x14ac:dyDescent="0.25">
      <c r="A8" s="179" t="s">
        <v>178</v>
      </c>
      <c r="B8" s="180">
        <f>'Country of Suppliers - ENI'!$K$9</f>
        <v>3.9963827560950107</v>
      </c>
      <c r="C8" s="180">
        <f>'Country of Suppliers - ENI'!$P$9</f>
        <v>4.0596892341842405</v>
      </c>
      <c r="D8" s="180">
        <f>0.5*Tabella26[[#This Row],[Component - Suppliers Distribution]]+0.5*Tabella26[[#This Row],[Component - Suppliers'' Facilities Distribution]]</f>
        <v>4.0280359951396258</v>
      </c>
      <c r="E8" s="180">
        <v>0.13054741727082725</v>
      </c>
      <c r="F8" s="181">
        <f t="shared" si="0"/>
        <v>0.9</v>
      </c>
      <c r="G8" s="180">
        <f>Tabella26[[#This Row],[Supply Chain Exposure - Intermediate Component]]*Tabella26[[#This Row],[HHI Index - Submultiplier]]</f>
        <v>3.6252323956256634</v>
      </c>
    </row>
    <row r="9" spans="1:7" ht="19" x14ac:dyDescent="0.25">
      <c r="A9" s="182" t="s">
        <v>190</v>
      </c>
      <c r="B9" s="180">
        <f>'Country of Suppliers - Ford'!$K$9</f>
        <v>4.0222691292875981</v>
      </c>
      <c r="C9" s="180">
        <f>'Country of Suppliers - Ford'!$P$9</f>
        <v>4.125986524537411</v>
      </c>
      <c r="D9" s="180">
        <f>0.5*Tabella26[[#This Row],[Component - Suppliers Distribution]]+0.5*Tabella26[[#This Row],[Component - Suppliers'' Facilities Distribution]]</f>
        <v>4.0741278269125045</v>
      </c>
      <c r="E9" s="180">
        <v>0.11981291024267331</v>
      </c>
      <c r="F9" s="181">
        <f t="shared" si="0"/>
        <v>0.9</v>
      </c>
      <c r="G9" s="180">
        <f>Tabella26[[#This Row],[Supply Chain Exposure - Intermediate Component]]*Tabella26[[#This Row],[HHI Index - Submultiplier]]</f>
        <v>3.6667150442212542</v>
      </c>
    </row>
    <row r="10" spans="1:7" ht="19" x14ac:dyDescent="0.25">
      <c r="A10" s="179" t="s">
        <v>171</v>
      </c>
      <c r="B10" s="180">
        <f>'Country of Suppliers - JPMorgan'!$K$9</f>
        <v>3.9976962663975786</v>
      </c>
      <c r="C10" s="180">
        <f>'Country of Suppliers - JPMorgan'!$P$9</f>
        <v>4.2375296482412095</v>
      </c>
      <c r="D10" s="180">
        <f>0.5*Tabella26[[#This Row],[Component - Suppliers Distribution]]+0.5*Tabella26[[#This Row],[Component - Suppliers'' Facilities Distribution]]</f>
        <v>4.1176129573193938</v>
      </c>
      <c r="E10" s="180">
        <v>0.23843658508987395</v>
      </c>
      <c r="F10" s="181">
        <f t="shared" si="0"/>
        <v>1</v>
      </c>
      <c r="G10" s="180">
        <f>Tabella26[[#This Row],[Supply Chain Exposure - Intermediate Component]]*Tabella26[[#This Row],[HHI Index - Submultiplier]]</f>
        <v>4.1176129573193938</v>
      </c>
    </row>
    <row r="11" spans="1:7" ht="19" x14ac:dyDescent="0.25">
      <c r="A11" s="182" t="s">
        <v>186</v>
      </c>
      <c r="B11" s="180">
        <f>'Country of Suppliers - Oreal'!$K$9</f>
        <v>3.9195712098009183</v>
      </c>
      <c r="C11" s="180">
        <f>'Country of Suppliers - Oreal'!$P$9</f>
        <v>4.0681061750780696</v>
      </c>
      <c r="D11" s="180">
        <f>0.5*Tabella26[[#This Row],[Component - Suppliers Distribution]]+0.5*Tabella26[[#This Row],[Component - Suppliers'' Facilities Distribution]]</f>
        <v>3.993838692439494</v>
      </c>
      <c r="E11" s="180">
        <v>0.14024296689526503</v>
      </c>
      <c r="F11" s="181">
        <f t="shared" si="0"/>
        <v>0.9</v>
      </c>
      <c r="G11" s="180">
        <f>Tabella26[[#This Row],[Supply Chain Exposure - Intermediate Component]]*Tabella26[[#This Row],[HHI Index - Submultiplier]]</f>
        <v>3.5944548231955444</v>
      </c>
    </row>
    <row r="12" spans="1:7" ht="19" x14ac:dyDescent="0.25">
      <c r="A12" s="179" t="s">
        <v>185</v>
      </c>
      <c r="B12" s="180">
        <f>'Country of Suppliers - LVMH'!$K$9</f>
        <v>3.8057601440830595</v>
      </c>
      <c r="C12" s="180">
        <f>'Country of Suppliers - LVMH'!$P$9</f>
        <v>4.0393145445395078</v>
      </c>
      <c r="D12" s="180">
        <f>0.5*Tabella26[[#This Row],[Component - Suppliers Distribution]]+0.5*Tabella26[[#This Row],[Component - Suppliers'' Facilities Distribution]]</f>
        <v>3.9225373443112836</v>
      </c>
      <c r="E12" s="180">
        <v>0.11369435693934962</v>
      </c>
      <c r="F12" s="181">
        <f t="shared" si="0"/>
        <v>0.9</v>
      </c>
      <c r="G12" s="180">
        <f>Tabella26[[#This Row],[Supply Chain Exposure - Intermediate Component]]*Tabella26[[#This Row],[HHI Index - Submultiplier]]</f>
        <v>3.5302836098801555</v>
      </c>
    </row>
    <row r="13" spans="1:7" ht="19" x14ac:dyDescent="0.25">
      <c r="A13" s="182" t="s">
        <v>167</v>
      </c>
      <c r="B13" s="180">
        <f>'Country of Suppliers - Meta'!$K$9</f>
        <v>3.9636017452479573</v>
      </c>
      <c r="C13" s="180">
        <f>'Country of Suppliers - Meta'!$P$9</f>
        <v>4.068994463613735</v>
      </c>
      <c r="D13" s="180">
        <f>0.5*Tabella26[[#This Row],[Component - Suppliers Distribution]]+0.5*Tabella26[[#This Row],[Component - Suppliers'' Facilities Distribution]]</f>
        <v>4.0162981044308461</v>
      </c>
      <c r="E13" s="180">
        <v>0.14675068147990916</v>
      </c>
      <c r="F13" s="181">
        <f t="shared" si="0"/>
        <v>0.9</v>
      </c>
      <c r="G13" s="180">
        <f>Tabella26[[#This Row],[Supply Chain Exposure - Intermediate Component]]*Tabella26[[#This Row],[HHI Index - Submultiplier]]</f>
        <v>3.6146682939877617</v>
      </c>
    </row>
    <row r="14" spans="1:7" ht="19" x14ac:dyDescent="0.25">
      <c r="A14" s="179" t="s">
        <v>170</v>
      </c>
      <c r="B14" s="180">
        <f>'Country of Suppliers Microsoft'!$K$9</f>
        <v>3.9656529762286628</v>
      </c>
      <c r="C14" s="180">
        <f>'Country of Suppliers Microsoft'!$P$9</f>
        <v>4.1566790013106978</v>
      </c>
      <c r="D14" s="180">
        <f>0.5*Tabella26[[#This Row],[Component - Suppliers Distribution]]+0.5*Tabella26[[#This Row],[Component - Suppliers'' Facilities Distribution]]</f>
        <v>4.0611659887696803</v>
      </c>
      <c r="E14" s="180">
        <v>0.1507936167607617</v>
      </c>
      <c r="F14" s="181">
        <f t="shared" si="0"/>
        <v>1</v>
      </c>
      <c r="G14" s="180">
        <f>Tabella26[[#This Row],[Supply Chain Exposure - Intermediate Component]]*Tabella26[[#This Row],[HHI Index - Submultiplier]]</f>
        <v>4.0611659887696803</v>
      </c>
    </row>
    <row r="15" spans="1:7" ht="19" x14ac:dyDescent="0.25">
      <c r="A15" s="182" t="s">
        <v>184</v>
      </c>
      <c r="B15" s="180">
        <f>'Country of Suppliers - Nordisk'!$K$9</f>
        <v>3.7931161125319699</v>
      </c>
      <c r="C15" s="180">
        <f>'Country of Suppliers - Nordisk'!$P$9</f>
        <v>4.0044572972972974</v>
      </c>
      <c r="D15" s="180">
        <f>0.5*Tabella26[[#This Row],[Component - Suppliers Distribution]]+0.5*Tabella26[[#This Row],[Component - Suppliers'' Facilities Distribution]]</f>
        <v>3.8987867049146336</v>
      </c>
      <c r="E15" s="180">
        <v>0.14603327103996711</v>
      </c>
      <c r="F15" s="181">
        <f t="shared" si="0"/>
        <v>0.9</v>
      </c>
      <c r="G15" s="180">
        <f>Tabella26[[#This Row],[Supply Chain Exposure - Intermediate Component]]*Tabella26[[#This Row],[HHI Index - Submultiplier]]</f>
        <v>3.5089080344231705</v>
      </c>
    </row>
    <row r="16" spans="1:7" ht="19" x14ac:dyDescent="0.25">
      <c r="A16" s="182" t="s">
        <v>168</v>
      </c>
      <c r="B16" s="180">
        <f>'Country of Suppliers - NVIDIA'!$K$9</f>
        <v>4.0426345364840257</v>
      </c>
      <c r="C16" s="180">
        <f>'Country of Suppliers - NVIDIA'!$P$9</f>
        <v>4.0997849774681061</v>
      </c>
      <c r="D16" s="180">
        <f>0.5*Tabella26[[#This Row],[Component - Suppliers Distribution]]+0.5*Tabella26[[#This Row],[Component - Suppliers'' Facilities Distribution]]</f>
        <v>4.0712097569760655</v>
      </c>
      <c r="E16" s="180">
        <v>0.1964355828330292</v>
      </c>
      <c r="F16" s="181">
        <f t="shared" si="0"/>
        <v>1</v>
      </c>
      <c r="G16" s="180">
        <f>Tabella26[[#This Row],[Supply Chain Exposure - Intermediate Component]]*Tabella26[[#This Row],[HHI Index - Submultiplier]]</f>
        <v>4.0712097569760655</v>
      </c>
    </row>
    <row r="17" spans="1:7" ht="19" x14ac:dyDescent="0.25">
      <c r="A17" s="179" t="s">
        <v>176</v>
      </c>
      <c r="B17" s="180">
        <f>'Country of Suppliers - P&amp;G'!$K$9</f>
        <v>4.0688429752066106</v>
      </c>
      <c r="C17" s="180">
        <f>'Country of Suppliers - P&amp;G'!$P$9</f>
        <v>4.1888836032388683</v>
      </c>
      <c r="D17" s="180">
        <f>0.5*Tabella26[[#This Row],[Component - Suppliers Distribution]]+0.5*Tabella26[[#This Row],[Component - Suppliers'' Facilities Distribution]]</f>
        <v>4.128863289222739</v>
      </c>
      <c r="E17" s="180">
        <v>0.15053713115763451</v>
      </c>
      <c r="F17" s="181">
        <f t="shared" si="0"/>
        <v>1</v>
      </c>
      <c r="G17" s="180">
        <f>Tabella26[[#This Row],[Supply Chain Exposure - Intermediate Component]]*Tabella26[[#This Row],[HHI Index - Submultiplier]]</f>
        <v>4.128863289222739</v>
      </c>
    </row>
    <row r="18" spans="1:7" ht="19" x14ac:dyDescent="0.25">
      <c r="A18" s="179" t="s">
        <v>174</v>
      </c>
      <c r="B18" s="180">
        <f>'Country of Suppliers - Reliance'!$K$9</f>
        <v>4.7468174947092585</v>
      </c>
      <c r="C18" s="180">
        <f>'Country of Suppliers - Reliance'!$P$9</f>
        <v>4.4696097512038566</v>
      </c>
      <c r="D18" s="180">
        <f>0.5*Tabella26[[#This Row],[Component - Suppliers Distribution]]+0.5*Tabella26[[#This Row],[Component - Suppliers'' Facilities Distribution]]</f>
        <v>4.6082136229565576</v>
      </c>
      <c r="E18" s="180">
        <v>0.33973988171109859</v>
      </c>
      <c r="F18" s="181">
        <f t="shared" si="0"/>
        <v>1.1000000000000001</v>
      </c>
      <c r="G18" s="180">
        <f>Tabella26[[#This Row],[Supply Chain Exposure - Intermediate Component]]*Tabella26[[#This Row],[HHI Index - Submultiplier]]</f>
        <v>5.0690349852522134</v>
      </c>
    </row>
    <row r="19" spans="1:7" ht="19" x14ac:dyDescent="0.25">
      <c r="A19" s="182" t="s">
        <v>188</v>
      </c>
      <c r="B19" s="180">
        <f>'Country of Suppliers - Samsung'!$K$9</f>
        <v>3.8782522504298562</v>
      </c>
      <c r="C19" s="180">
        <f>'Country of Suppliers - Samsung'!$P$9</f>
        <v>4.0275142160844837</v>
      </c>
      <c r="D19" s="180">
        <f>0.5*Tabella26[[#This Row],[Component - Suppliers Distribution]]+0.5*Tabella26[[#This Row],[Component - Suppliers'' Facilities Distribution]]</f>
        <v>3.9528832332571699</v>
      </c>
      <c r="E19" s="180">
        <v>0.17652611130638571</v>
      </c>
      <c r="F19" s="181">
        <f t="shared" si="0"/>
        <v>1</v>
      </c>
      <c r="G19" s="180">
        <f>Tabella26[[#This Row],[Supply Chain Exposure - Intermediate Component]]*Tabella26[[#This Row],[HHI Index - Submultiplier]]</f>
        <v>3.9528832332571699</v>
      </c>
    </row>
    <row r="20" spans="1:7" ht="19" x14ac:dyDescent="0.25">
      <c r="A20" s="182" t="s">
        <v>183</v>
      </c>
      <c r="B20" s="180">
        <f>'Country of Suppliers - SAP'!$K$9</f>
        <v>3.9442868670566873</v>
      </c>
      <c r="C20" s="180">
        <f>'Country of Suppliers - SAP'!$P$9</f>
        <v>3.9114255639097739</v>
      </c>
      <c r="D20" s="180">
        <f>0.5*Tabella26[[#This Row],[Component - Suppliers Distribution]]+0.5*Tabella26[[#This Row],[Component - Suppliers'' Facilities Distribution]]</f>
        <v>3.9278562154832306</v>
      </c>
      <c r="E20" s="180">
        <v>0.23272571326129871</v>
      </c>
      <c r="F20" s="181">
        <f t="shared" si="0"/>
        <v>1</v>
      </c>
      <c r="G20" s="180">
        <f>Tabella26[[#This Row],[Supply Chain Exposure - Intermediate Component]]*Tabella26[[#This Row],[HHI Index - Submultiplier]]</f>
        <v>3.9278562154832306</v>
      </c>
    </row>
    <row r="21" spans="1:7" ht="19" x14ac:dyDescent="0.25">
      <c r="A21" s="179" t="s">
        <v>165</v>
      </c>
      <c r="B21" s="180">
        <f>'Country of Suppliers - Sony'!$K$9</f>
        <v>3.8594282428591375</v>
      </c>
      <c r="C21" s="180">
        <f>'Country of Suppliers - Sony'!$P$9</f>
        <v>4.0276282743221739</v>
      </c>
      <c r="D21" s="180">
        <f>0.5*Tabella26[[#This Row],[Component - Suppliers Distribution]]+0.5*Tabella26[[#This Row],[Component - Suppliers'' Facilities Distribution]]</f>
        <v>3.9435282585906557</v>
      </c>
      <c r="E21" s="180">
        <v>0.1601985449783781</v>
      </c>
      <c r="F21" s="181">
        <f t="shared" si="0"/>
        <v>1</v>
      </c>
      <c r="G21" s="180">
        <f>Tabella26[[#This Row],[Supply Chain Exposure - Intermediate Component]]*Tabella26[[#This Row],[HHI Index - Submultiplier]]</f>
        <v>3.9435282585906557</v>
      </c>
    </row>
    <row r="22" spans="1:7" ht="19" x14ac:dyDescent="0.25">
      <c r="A22" s="182" t="s">
        <v>173</v>
      </c>
      <c r="B22" s="180">
        <f>'Country of Suppliers - Tencent'!$K$9</f>
        <v>4.1219074230282571</v>
      </c>
      <c r="C22" s="180">
        <f>'Country of Suppliers - Tencent'!$P$9</f>
        <v>4.1842032355915046</v>
      </c>
      <c r="D22" s="180">
        <f>0.5*Tabella26[[#This Row],[Component - Suppliers Distribution]]+0.5*Tabella26[[#This Row],[Component - Suppliers'' Facilities Distribution]]</f>
        <v>4.1530553293098809</v>
      </c>
      <c r="E22" s="180">
        <v>0.46201859608611628</v>
      </c>
      <c r="F22" s="181">
        <f t="shared" si="0"/>
        <v>1.25</v>
      </c>
      <c r="G22" s="180">
        <f>Tabella26[[#This Row],[Supply Chain Exposure - Intermediate Component]]*Tabella26[[#This Row],[HHI Index - Submultiplier]]</f>
        <v>5.1913191616373506</v>
      </c>
    </row>
    <row r="23" spans="1:7" ht="19" x14ac:dyDescent="0.25">
      <c r="A23" s="179" t="s">
        <v>175</v>
      </c>
      <c r="B23" s="180">
        <f>'Country of Suppliers - Total En'!$K$9</f>
        <v>4.037620588849447</v>
      </c>
      <c r="C23" s="180">
        <f>'Country of Suppliers - Total En'!$P$9</f>
        <v>4.0256848143302832</v>
      </c>
      <c r="D23" s="180">
        <f>0.5*Tabella26[[#This Row],[Component - Suppliers Distribution]]+0.5*Tabella26[[#This Row],[Component - Suppliers'' Facilities Distribution]]</f>
        <v>4.0316527015898647</v>
      </c>
      <c r="E23" s="180">
        <v>9.3193660677076018E-2</v>
      </c>
      <c r="F23" s="181">
        <f t="shared" si="0"/>
        <v>0.9</v>
      </c>
      <c r="G23" s="180">
        <f>Tabella26[[#This Row],[Supply Chain Exposure - Intermediate Component]]*Tabella26[[#This Row],[HHI Index - Submultiplier]]</f>
        <v>3.6284874314308784</v>
      </c>
    </row>
    <row r="24" spans="1:7" ht="19" x14ac:dyDescent="0.25">
      <c r="A24" s="182" t="s">
        <v>182</v>
      </c>
      <c r="B24" s="180">
        <f>'Country of Suppliers - Toyota'!$K$9</f>
        <v>3.9433373798684879</v>
      </c>
      <c r="C24" s="180">
        <f>'Country of Suppliers - Toyota'!$P$9</f>
        <v>4.0721256184994452</v>
      </c>
      <c r="D24" s="180">
        <f>0.5*Tabella26[[#This Row],[Component - Suppliers Distribution]]+0.5*Tabella26[[#This Row],[Component - Suppliers'' Facilities Distribution]]</f>
        <v>4.0077314991839668</v>
      </c>
      <c r="E24" s="180">
        <v>0.14344646939337163</v>
      </c>
      <c r="F24" s="181">
        <f t="shared" si="0"/>
        <v>0.9</v>
      </c>
      <c r="G24" s="180">
        <f>Tabella26[[#This Row],[Supply Chain Exposure - Intermediate Component]]*Tabella26[[#This Row],[HHI Index - Submultiplier]]</f>
        <v>3.6069583492655704</v>
      </c>
    </row>
    <row r="25" spans="1:7" ht="19" x14ac:dyDescent="0.25">
      <c r="A25" s="179" t="s">
        <v>181</v>
      </c>
      <c r="B25" s="180">
        <f>'Country of Suppliers - TSMC'!$K$9</f>
        <v>3.9315003000600122</v>
      </c>
      <c r="C25" s="180">
        <f>'Country of Suppliers - TSMC'!$P$9</f>
        <v>3.9450117502809858</v>
      </c>
      <c r="D25" s="180">
        <f>0.5*Tabella26[[#This Row],[Component - Suppliers Distribution]]+0.5*Tabella26[[#This Row],[Component - Suppliers'' Facilities Distribution]]</f>
        <v>3.938256025170499</v>
      </c>
      <c r="E25" s="180">
        <v>0.19222533777556902</v>
      </c>
      <c r="F25" s="181">
        <f t="shared" si="0"/>
        <v>1</v>
      </c>
      <c r="G25" s="180">
        <f>Tabella26[[#This Row],[Supply Chain Exposure - Intermediate Component]]*Tabella26[[#This Row],[HHI Index - Submultiplier]]</f>
        <v>3.938256025170499</v>
      </c>
    </row>
    <row r="26" spans="1:7" ht="19" x14ac:dyDescent="0.25">
      <c r="A26" s="182" t="s">
        <v>169</v>
      </c>
      <c r="B26" s="180">
        <f>'Country of Suppliers - VW'!$K$9</f>
        <v>4.0446342577883962</v>
      </c>
      <c r="C26" s="180">
        <f>'Country of Suppliers - VW'!$P$9</f>
        <v>4.1522496138519509</v>
      </c>
      <c r="D26" s="180">
        <f>0.5*Tabella26[[#This Row],[Component - Suppliers Distribution]]+0.5*Tabella26[[#This Row],[Component - Suppliers'' Facilities Distribution]]</f>
        <v>4.0984419358201736</v>
      </c>
      <c r="E26" s="180">
        <v>0.12974581146214209</v>
      </c>
      <c r="F26" s="181">
        <f t="shared" si="0"/>
        <v>0.9</v>
      </c>
      <c r="G26" s="185">
        <f>Tabella26[[#This Row],[Supply Chain Exposure - Intermediate Component]]*Tabella26[[#This Row],[HHI Index - Submultiplier]]</f>
        <v>3.6885977422381564</v>
      </c>
    </row>
  </sheetData>
  <conditionalFormatting sqref="D2:D26">
    <cfRule type="colorScale" priority="2">
      <colorScale>
        <cfvo type="min"/>
        <cfvo type="percentile" val="50"/>
        <cfvo type="max"/>
        <color rgb="FF00B050"/>
        <color theme="0"/>
        <color rgb="FFFF7D7C"/>
      </colorScale>
    </cfRule>
  </conditionalFormatting>
  <conditionalFormatting sqref="G2:G26">
    <cfRule type="colorScale" priority="1">
      <colorScale>
        <cfvo type="min"/>
        <cfvo type="percentile" val="50"/>
        <cfvo type="max"/>
        <color rgb="FF00B050"/>
        <color theme="0"/>
        <color rgb="FFFF7D7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4208-D920-A541-A26B-D765DFA77041}">
  <dimension ref="A1:I26"/>
  <sheetViews>
    <sheetView workbookViewId="0">
      <selection activeCell="B16" sqref="B16"/>
    </sheetView>
  </sheetViews>
  <sheetFormatPr baseColWidth="10" defaultRowHeight="16" x14ac:dyDescent="0.2"/>
  <cols>
    <col min="1" max="1" width="19.83203125" bestFit="1" customWidth="1"/>
    <col min="2" max="2" width="33.83203125" customWidth="1"/>
    <col min="3" max="3" width="46.6640625" bestFit="1" customWidth="1"/>
    <col min="4" max="4" width="19.33203125" customWidth="1"/>
    <col min="5" max="5" width="27.6640625" customWidth="1"/>
  </cols>
  <sheetData>
    <row r="1" spans="1:9" ht="19" x14ac:dyDescent="0.25">
      <c r="A1" s="177" t="s">
        <v>0</v>
      </c>
      <c r="B1" s="186" t="s">
        <v>195</v>
      </c>
      <c r="C1" s="186" t="s">
        <v>196</v>
      </c>
      <c r="D1" s="186" t="s">
        <v>197</v>
      </c>
      <c r="E1" s="192" t="s">
        <v>198</v>
      </c>
    </row>
    <row r="2" spans="1:9" ht="19" x14ac:dyDescent="0.25">
      <c r="A2" s="183" t="s">
        <v>179</v>
      </c>
      <c r="B2" s="180">
        <f>SUMPRODUCT('Country of Suppliers - Allianz'!$D$4:$D$150,'Country of Suppliers - Allianz'!$D$4:$D$150)</f>
        <v>0.12621524240201681</v>
      </c>
      <c r="C2" s="180">
        <f>SUMPRODUCT('Country of Suppliers - Allianz'!$F$4:$F$150,'Country of Suppliers - Allianz'!$F$4:$F$150)</f>
        <v>8.3178643943713521E-2</v>
      </c>
      <c r="D2" s="180">
        <f>0.5*B2+0.5*C2</f>
        <v>0.10469694317286517</v>
      </c>
      <c r="E2" s="191">
        <f>IF(D2&lt;0.15,0.9,
IF(D2&lt;0.25,1,
IF(D2&lt;0.4,1.1,
IF(D2&lt;0.6,1.25,
1.5))))</f>
        <v>0.9</v>
      </c>
    </row>
    <row r="3" spans="1:9" ht="19" x14ac:dyDescent="0.25">
      <c r="A3" s="183" t="s">
        <v>189</v>
      </c>
      <c r="B3" s="180">
        <f>SUMPRODUCT('Country of Suppliers - Amazon'!$D$4:$D$150,'Country of Suppliers - Amazon'!$D$4:$D$150)</f>
        <v>0.2074561352349148</v>
      </c>
      <c r="C3" s="180">
        <f>SUMPRODUCT('Country of Suppliers - Amazon'!$F$4:$F$150,'Country of Suppliers - Amazon'!$F$4:$F$150)</f>
        <v>0.17068283983048468</v>
      </c>
      <c r="D3" s="180">
        <f t="shared" ref="D3:D26" si="0">0.5*B3+0.5*C3</f>
        <v>0.18906948753269975</v>
      </c>
      <c r="E3" s="191">
        <f t="shared" ref="E3:E26" si="1">IF(D3&lt;0.15,0.9,
IF(D3&lt;0.25,1,
IF(D3&lt;0.4,1.1,
IF(D3&lt;0.6,1.25,
1.5))))</f>
        <v>1</v>
      </c>
    </row>
    <row r="4" spans="1:9" ht="19" x14ac:dyDescent="0.25">
      <c r="A4" s="183" t="s">
        <v>191</v>
      </c>
      <c r="B4" s="180">
        <f>SUMPRODUCT('Country of Suppliers - Apple'!$D$4:$D$150,'Country of Suppliers - Apple'!$D$4:$D$150)</f>
        <v>0.20018977727490475</v>
      </c>
      <c r="C4" s="180">
        <f>SUMPRODUCT('Country of Suppliers - Apple'!$F$4:$F$150,'Country of Suppliers - Apple'!$F$4:$F$150)</f>
        <v>0.12040564189121525</v>
      </c>
      <c r="D4" s="180">
        <f t="shared" si="0"/>
        <v>0.16029770958306</v>
      </c>
      <c r="E4" s="191">
        <f t="shared" si="1"/>
        <v>1</v>
      </c>
    </row>
    <row r="5" spans="1:9" ht="19" x14ac:dyDescent="0.25">
      <c r="A5" s="184" t="s">
        <v>180</v>
      </c>
      <c r="B5" s="180">
        <f>SUMPRODUCT('Country of Suppliers - ASML'!$D$4:$D$150,'Country of Suppliers - ASML'!$D$4:$D$150)</f>
        <v>0.21636386060848312</v>
      </c>
      <c r="C5" s="180">
        <f>SUMPRODUCT('Country of Suppliers - ASML'!$F$4:$F$150,'Country of Suppliers - ASML'!$F$4:$F$150)</f>
        <v>0.11564437492218903</v>
      </c>
      <c r="D5" s="180">
        <f t="shared" si="0"/>
        <v>0.16600411776533608</v>
      </c>
      <c r="E5" s="191">
        <f t="shared" si="1"/>
        <v>1</v>
      </c>
    </row>
    <row r="6" spans="1:9" ht="19" x14ac:dyDescent="0.25">
      <c r="A6" s="183" t="s">
        <v>187</v>
      </c>
      <c r="B6" s="180">
        <f>SUMPRODUCT('Country of Suppliers - BNP'!$D$4:$D$150,'Country of Suppliers - BNP'!$D$4:$D$150)</f>
        <v>0.12358652347910315</v>
      </c>
      <c r="C6" s="180">
        <f>SUMPRODUCT('Country of Suppliers - BNP'!$F$4:$F$150,'Country of Suppliers - BNP'!$F$4:$F$150)</f>
        <v>0.10741454978083236</v>
      </c>
      <c r="D6" s="180">
        <f t="shared" si="0"/>
        <v>0.11550053662996776</v>
      </c>
      <c r="E6" s="191">
        <f t="shared" si="1"/>
        <v>0.9</v>
      </c>
    </row>
    <row r="7" spans="1:9" ht="19" x14ac:dyDescent="0.25">
      <c r="A7" s="184" t="s">
        <v>177</v>
      </c>
      <c r="B7" s="180">
        <f>SUMPRODUCT('Country of Suppliers - EliLilly'!$D$4:$D$150,'Country of Suppliers - EliLilly'!$D$4:$D$150)</f>
        <v>0.29147777789603113</v>
      </c>
      <c r="C7" s="180">
        <f>SUMPRODUCT('Country of Suppliers - EliLilly'!$F$4:$F$150,'Country of Suppliers - EliLilly'!$F$4:$F$150)</f>
        <v>0.24904943017554571</v>
      </c>
      <c r="D7" s="180">
        <f t="shared" si="0"/>
        <v>0.27026360403578842</v>
      </c>
      <c r="E7" s="191">
        <f t="shared" si="1"/>
        <v>1.1000000000000001</v>
      </c>
    </row>
    <row r="8" spans="1:9" ht="19" x14ac:dyDescent="0.25">
      <c r="A8" s="183" t="s">
        <v>178</v>
      </c>
      <c r="B8" s="180">
        <f>SUMPRODUCT('Country of Suppliers - ENI'!$D$4:$D$150,'Country of Suppliers - ENI'!$D$4:$D$150)</f>
        <v>0.10125739891069979</v>
      </c>
      <c r="C8" s="180">
        <f>SUMPRODUCT('Country of Suppliers - ENI'!$F$4:$F$150,'Country of Suppliers - ENI'!$F$4:$F$150)</f>
        <v>0.15983743563095473</v>
      </c>
      <c r="D8" s="180">
        <f t="shared" si="0"/>
        <v>0.13054741727082725</v>
      </c>
      <c r="E8" s="191">
        <f t="shared" si="1"/>
        <v>0.9</v>
      </c>
    </row>
    <row r="9" spans="1:9" ht="19" x14ac:dyDescent="0.25">
      <c r="A9" s="184" t="s">
        <v>190</v>
      </c>
      <c r="B9" s="180">
        <f>SUMPRODUCT('Country of Suppliers - Ford'!$D$4:$D$150,'Country of Suppliers - Ford'!$D$4:$D$150)</f>
        <v>0.14357263705880149</v>
      </c>
      <c r="C9" s="180">
        <f>SUMPRODUCT('Country of Suppliers - Ford'!$F$4:$F$150,'Country of Suppliers - Ford'!$F$4:$F$150)</f>
        <v>9.6053183426545119E-2</v>
      </c>
      <c r="D9" s="180">
        <f t="shared" si="0"/>
        <v>0.11981291024267331</v>
      </c>
      <c r="E9" s="191">
        <f t="shared" si="1"/>
        <v>0.9</v>
      </c>
    </row>
    <row r="10" spans="1:9" ht="19" x14ac:dyDescent="0.25">
      <c r="A10" s="183" t="s">
        <v>171</v>
      </c>
      <c r="B10" s="180">
        <f>SUMPRODUCT('Country of Suppliers - JPMorgan'!$D$4:$D$150,'Country of Suppliers - JPMorgan'!$D$4:$D$150)</f>
        <v>0.34613045156153111</v>
      </c>
      <c r="C10" s="180">
        <f>SUMPRODUCT('Country of Suppliers - JPMorgan'!$F$4:$F$150,'Country of Suppliers - JPMorgan'!$F$4:$F$150)</f>
        <v>0.13074271861821679</v>
      </c>
      <c r="D10" s="180">
        <f t="shared" si="0"/>
        <v>0.23843658508987395</v>
      </c>
      <c r="E10" s="191">
        <f t="shared" si="1"/>
        <v>1</v>
      </c>
    </row>
    <row r="11" spans="1:9" ht="19" x14ac:dyDescent="0.25">
      <c r="A11" s="184" t="s">
        <v>186</v>
      </c>
      <c r="B11" s="180">
        <f>SUMPRODUCT('Country of Suppliers - Oreal'!$D$4:$D$150,'Country of Suppliers - Oreal'!$D$4:$D$150)</f>
        <v>0.13167184844712421</v>
      </c>
      <c r="C11" s="180">
        <f>SUMPRODUCT('Country of Suppliers - Oreal'!$F$4:$F$150,'Country of Suppliers - Oreal'!$F$4:$F$150)</f>
        <v>0.14881408534340584</v>
      </c>
      <c r="D11" s="180">
        <f t="shared" si="0"/>
        <v>0.14024296689526503</v>
      </c>
      <c r="E11" s="191">
        <f t="shared" si="1"/>
        <v>0.9</v>
      </c>
    </row>
    <row r="12" spans="1:9" ht="19" x14ac:dyDescent="0.25">
      <c r="A12" s="183" t="s">
        <v>185</v>
      </c>
      <c r="B12" s="180">
        <f>SUMPRODUCT('Country of Suppliers - LVMH'!$D$4:$D$150,'Country of Suppliers - LVMH'!$D$4:$D$150)</f>
        <v>0.12568752530242502</v>
      </c>
      <c r="C12" s="180">
        <f>SUMPRODUCT('Country of Suppliers - LVMH'!$F$4:$F$150,'Country of Suppliers - LVMH'!$F$4:$F$150)</f>
        <v>0.10170118857627421</v>
      </c>
      <c r="D12" s="180">
        <f t="shared" si="0"/>
        <v>0.11369435693934962</v>
      </c>
      <c r="E12" s="191">
        <f t="shared" si="1"/>
        <v>0.9</v>
      </c>
    </row>
    <row r="13" spans="1:9" ht="19" x14ac:dyDescent="0.25">
      <c r="A13" s="184" t="s">
        <v>167</v>
      </c>
      <c r="B13" s="180">
        <f>SUMPRODUCT('Country of Suppliers - Meta'!$D$4:$D$150,'Country of Suppliers - Meta'!$D$4:$D$150)</f>
        <v>0.18838391913386621</v>
      </c>
      <c r="C13" s="180">
        <f>SUMPRODUCT('Country of Suppliers - Meta'!$F$4:$F$150,'Country of Suppliers - Meta'!$F$4:$F$150)</f>
        <v>0.1051174438259521</v>
      </c>
      <c r="D13" s="180">
        <f t="shared" si="0"/>
        <v>0.14675068147990916</v>
      </c>
      <c r="E13" s="191">
        <f t="shared" si="1"/>
        <v>0.9</v>
      </c>
    </row>
    <row r="14" spans="1:9" ht="19" x14ac:dyDescent="0.25">
      <c r="A14" s="183" t="s">
        <v>170</v>
      </c>
      <c r="B14" s="180">
        <f>SUMPRODUCT('Country of Suppliers Microsoft'!$D$4:$D$150,'Country of Suppliers Microsoft'!$D$4:$D$150)</f>
        <v>0.19752878848578018</v>
      </c>
      <c r="C14" s="180">
        <f>SUMPRODUCT('Country of Suppliers Microsoft'!$F$4:$F$150,'Country of Suppliers Microsoft'!$F$4:$F$150)</f>
        <v>0.10405844503574324</v>
      </c>
      <c r="D14" s="180">
        <f t="shared" si="0"/>
        <v>0.1507936167607617</v>
      </c>
      <c r="E14" s="191">
        <f t="shared" si="1"/>
        <v>1</v>
      </c>
    </row>
    <row r="15" spans="1:9" ht="19" x14ac:dyDescent="0.25">
      <c r="A15" s="184" t="s">
        <v>184</v>
      </c>
      <c r="B15" s="180">
        <f>SUMPRODUCT('Country of Suppliers - Nordisk'!$D$4:$D$150,'Country of Suppliers - Nordisk'!$D$4:$D$150)</f>
        <v>0.22130014324867053</v>
      </c>
      <c r="C15" s="180">
        <f>SUMPRODUCT('Country of Suppliers - Nordisk'!$F$4:$F$150,'Country of Suppliers - Nordisk'!$F$4:$F$150)</f>
        <v>7.0766398831263677E-2</v>
      </c>
      <c r="D15" s="180">
        <f t="shared" si="0"/>
        <v>0.14603327103996711</v>
      </c>
      <c r="E15" s="191">
        <f t="shared" si="1"/>
        <v>0.9</v>
      </c>
    </row>
    <row r="16" spans="1:9" ht="19" x14ac:dyDescent="0.25">
      <c r="A16" s="190" t="s">
        <v>168</v>
      </c>
      <c r="B16" s="180">
        <f>SUMPRODUCT('Country of Suppliers - NVIDIA'!$D$4:$D$150,'Country of Suppliers - NVIDIA'!$D$4:$D$150)</f>
        <v>0.26814146885843915</v>
      </c>
      <c r="C16" s="180">
        <f>SUMPRODUCT('Country of Suppliers - NVIDIA'!$F$4:$F$150,'Country of Suppliers - NVIDIA'!$F$4:$F$150)</f>
        <v>0.12472969680761928</v>
      </c>
      <c r="D16" s="180">
        <f t="shared" si="0"/>
        <v>0.1964355828330292</v>
      </c>
      <c r="E16" s="191">
        <f t="shared" si="1"/>
        <v>1</v>
      </c>
      <c r="I16" s="176"/>
    </row>
    <row r="17" spans="1:5" ht="19" x14ac:dyDescent="0.25">
      <c r="A17" s="183" t="s">
        <v>176</v>
      </c>
      <c r="B17" s="180">
        <f>SUMPRODUCT('Country of Suppliers - P&amp;G'!$D$4:$D$150,'Country of Suppliers - P&amp;G'!$D$4:$D$150)</f>
        <v>0.15596612253261383</v>
      </c>
      <c r="C17" s="180">
        <f>SUMPRODUCT('Country of Suppliers - P&amp;G'!$F$4:$F$150,'Country of Suppliers - P&amp;G'!$F$4:$F$150)</f>
        <v>0.14510813978265516</v>
      </c>
      <c r="D17" s="180">
        <f t="shared" si="0"/>
        <v>0.15053713115763451</v>
      </c>
      <c r="E17" s="191">
        <f t="shared" si="1"/>
        <v>1</v>
      </c>
    </row>
    <row r="18" spans="1:5" ht="19" x14ac:dyDescent="0.25">
      <c r="A18" s="183" t="s">
        <v>174</v>
      </c>
      <c r="B18" s="180">
        <f>SUMPRODUCT('Country of Suppliers - Reliance'!$D$4:$D$150,'Country of Suppliers - Reliance'!$D$4:$D$150)</f>
        <v>0.4993794858727223</v>
      </c>
      <c r="C18" s="180">
        <f>SUMPRODUCT('Country of Suppliers - Reliance'!$F$4:$F$150,'Country of Suppliers - Reliance'!$F$4:$F$150)</f>
        <v>0.18010027754947486</v>
      </c>
      <c r="D18" s="180">
        <f t="shared" si="0"/>
        <v>0.33973988171109859</v>
      </c>
      <c r="E18" s="191">
        <f t="shared" si="1"/>
        <v>1.1000000000000001</v>
      </c>
    </row>
    <row r="19" spans="1:5" ht="19" x14ac:dyDescent="0.25">
      <c r="A19" s="184" t="s">
        <v>188</v>
      </c>
      <c r="B19" s="180">
        <f>SUMPRODUCT('Country of Suppliers - Samsung'!$D$4:$D$150,'Country of Suppliers - Samsung'!$D$4:$D$150)</f>
        <v>0.24571544362083481</v>
      </c>
      <c r="C19" s="180">
        <f>SUMPRODUCT('Country of Suppliers - Samsung'!$F$4:$F$150,'Country of Suppliers - Samsung'!$F$4:$F$150)</f>
        <v>0.10733677899193661</v>
      </c>
      <c r="D19" s="180">
        <f t="shared" si="0"/>
        <v>0.17652611130638571</v>
      </c>
      <c r="E19" s="191">
        <f t="shared" si="1"/>
        <v>1</v>
      </c>
    </row>
    <row r="20" spans="1:5" ht="19" x14ac:dyDescent="0.25">
      <c r="A20" s="190" t="s">
        <v>183</v>
      </c>
      <c r="B20" s="180">
        <f>SUMPRODUCT('Country of Suppliers - SAP'!$D$4:$D$150,'Country of Suppliers - SAP'!$D$4:$D$150)</f>
        <v>0.2549039349867403</v>
      </c>
      <c r="C20" s="180">
        <f>SUMPRODUCT('Country of Suppliers - SAP'!$F$4:$F$150,'Country of Suppliers - SAP'!$F$4:$F$150)</f>
        <v>0.21054749153585708</v>
      </c>
      <c r="D20" s="180">
        <f t="shared" si="0"/>
        <v>0.23272571326129871</v>
      </c>
      <c r="E20" s="191">
        <f t="shared" si="1"/>
        <v>1</v>
      </c>
    </row>
    <row r="21" spans="1:5" ht="19" x14ac:dyDescent="0.25">
      <c r="A21" s="183" t="s">
        <v>165</v>
      </c>
      <c r="B21" s="180">
        <f>SUMPRODUCT('Country of Suppliers - Sony'!$D$4:$D$150,'Country of Suppliers - Sony'!$D$4:$D$150)</f>
        <v>0.18135066806489858</v>
      </c>
      <c r="C21" s="180">
        <f>SUMPRODUCT('Country of Suppliers - Sony'!$F$4:$F$150,'Country of Suppliers - Sony'!$F$4:$F$150)</f>
        <v>0.13904642189185762</v>
      </c>
      <c r="D21" s="180">
        <f t="shared" si="0"/>
        <v>0.1601985449783781</v>
      </c>
      <c r="E21" s="191">
        <f t="shared" si="1"/>
        <v>1</v>
      </c>
    </row>
    <row r="22" spans="1:5" ht="19" x14ac:dyDescent="0.25">
      <c r="A22" s="190" t="s">
        <v>173</v>
      </c>
      <c r="B22" s="180">
        <f>SUMPRODUCT('Country of Suppliers - Tencent'!$D$4:$D$150,'Country of Suppliers - Tencent'!$D$4:$D$150)</f>
        <v>0.55148999197920978</v>
      </c>
      <c r="C22" s="180">
        <f>SUMPRODUCT('Country of Suppliers - Tencent'!$F$4:$F$150,'Country of Suppliers - Tencent'!$F$4:$F$150)</f>
        <v>0.37254720019302284</v>
      </c>
      <c r="D22" s="180">
        <f t="shared" si="0"/>
        <v>0.46201859608611628</v>
      </c>
      <c r="E22" s="191">
        <f t="shared" si="1"/>
        <v>1.25</v>
      </c>
    </row>
    <row r="23" spans="1:5" ht="19" x14ac:dyDescent="0.25">
      <c r="A23" s="183" t="s">
        <v>175</v>
      </c>
      <c r="B23" s="180">
        <f>SUMPRODUCT('Country of Suppliers - Total En'!$D$4:$D$150,'Country of Suppliers - Total En'!$D$4:$D$150)</f>
        <v>8.242483023735267E-2</v>
      </c>
      <c r="C23" s="180">
        <f>SUMPRODUCT('Country of Suppliers - Total En'!$F$4:$F$150,'Country of Suppliers - Total En'!$F$4:$F$150)</f>
        <v>0.10396249111679935</v>
      </c>
      <c r="D23" s="180">
        <f t="shared" si="0"/>
        <v>9.3193660677076018E-2</v>
      </c>
      <c r="E23" s="191">
        <f t="shared" si="1"/>
        <v>0.9</v>
      </c>
    </row>
    <row r="24" spans="1:5" ht="19" x14ac:dyDescent="0.25">
      <c r="A24" s="190" t="s">
        <v>182</v>
      </c>
      <c r="B24" s="180">
        <f>SUMPRODUCT('Country of Suppliers - Toyota'!$D$4:$D$150,'Country of Suppliers - Toyota'!$D$4:$D$150)</f>
        <v>0.18357071931665336</v>
      </c>
      <c r="C24" s="180">
        <f>SUMPRODUCT('Country of Suppliers - Toyota'!$F$4:$F$150,'Country of Suppliers - Toyota'!$F$4:$F$150)</f>
        <v>0.10332221947008988</v>
      </c>
      <c r="D24" s="180">
        <f t="shared" si="0"/>
        <v>0.14344646939337163</v>
      </c>
      <c r="E24" s="191">
        <f t="shared" si="1"/>
        <v>0.9</v>
      </c>
    </row>
    <row r="25" spans="1:5" ht="19" x14ac:dyDescent="0.25">
      <c r="A25" s="183" t="s">
        <v>181</v>
      </c>
      <c r="B25" s="180">
        <f>SUMPRODUCT('Country of Suppliers - TSMC'!$D$4:$D$150,'Country of Suppliers - TSMC'!$D$4:$D$150)</f>
        <v>0.28573544274768142</v>
      </c>
      <c r="C25" s="180">
        <f>SUMPRODUCT('Country of Suppliers - TSMC'!$F$4:$F$150,'Country of Suppliers - TSMC'!$F$4:$F$150)</f>
        <v>9.8715232803456621E-2</v>
      </c>
      <c r="D25" s="180">
        <f t="shared" si="0"/>
        <v>0.19222533777556902</v>
      </c>
      <c r="E25" s="191">
        <f t="shared" si="1"/>
        <v>1</v>
      </c>
    </row>
    <row r="26" spans="1:5" ht="19" x14ac:dyDescent="0.25">
      <c r="A26" s="193" t="s">
        <v>169</v>
      </c>
      <c r="B26" s="185">
        <f>SUMPRODUCT('Country of Suppliers - VW'!$D$4:$D$150,'Country of Suppliers - VW'!$D$4:$D$150)</f>
        <v>0.16624811422519342</v>
      </c>
      <c r="C26" s="185">
        <f>SUMPRODUCT('Country of Suppliers - VW'!$F$4:$F$150,'Country of Suppliers - VW'!$F$4:$F$150)</f>
        <v>9.3243508699090732E-2</v>
      </c>
      <c r="D26" s="185">
        <f t="shared" si="0"/>
        <v>0.12974581146214209</v>
      </c>
      <c r="E26" s="194">
        <f t="shared" si="1"/>
        <v>0.9</v>
      </c>
    </row>
  </sheetData>
  <conditionalFormatting sqref="E2:E26">
    <cfRule type="colorScale" priority="1">
      <colorScale>
        <cfvo type="min"/>
        <cfvo type="percentile" val="50"/>
        <cfvo type="max"/>
        <color rgb="FF00B050"/>
        <color theme="0"/>
        <color rgb="FFFF7D7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1D69-5FA6-6147-A9BD-BCA8FFD39268}">
  <dimension ref="A1:P151"/>
  <sheetViews>
    <sheetView topLeftCell="D2" workbookViewId="0">
      <selection activeCell="J18" sqref="J18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</row>
    <row r="4" spans="1:16" ht="20" thickBot="1" x14ac:dyDescent="0.3">
      <c r="A4" s="3" t="s">
        <v>8</v>
      </c>
      <c r="B4" s="43">
        <v>4.3705708278452811</v>
      </c>
      <c r="C4" s="22">
        <v>0</v>
      </c>
      <c r="D4" s="172">
        <f>Tabella1[[#This Row],[Percentage of Suppliers - Raw]]/$C$151</f>
        <v>0</v>
      </c>
      <c r="E4" s="23">
        <v>1E-4</v>
      </c>
      <c r="F4" s="34">
        <f>Tabella1[[#This Row],[Percentage of Supplier''s Facilities - Raw]]/$E$151</f>
        <v>1.009183570491473E-4</v>
      </c>
    </row>
    <row r="5" spans="1:16" ht="20" thickBot="1" x14ac:dyDescent="0.3">
      <c r="A5" s="3" t="s">
        <v>9</v>
      </c>
      <c r="B5" s="43">
        <v>5.2136193198580543</v>
      </c>
      <c r="C5" s="22">
        <v>0</v>
      </c>
      <c r="D5" s="172">
        <f>Tabella1[[#This Row],[Percentage of Suppliers - Raw]]/$C$151</f>
        <v>0</v>
      </c>
      <c r="E5" s="23">
        <v>4.0000000000000002E-4</v>
      </c>
      <c r="F5" s="34">
        <f>Tabella1[[#This Row],[Percentage of Supplier''s Facilities - Raw]]/$E$151</f>
        <v>4.036734281965892E-4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" t="s">
        <v>11</v>
      </c>
      <c r="B6" s="43">
        <v>5.6305966049142544</v>
      </c>
      <c r="C6" s="22">
        <v>0</v>
      </c>
      <c r="D6" s="172">
        <f>Tabella1[[#This Row],[Percentage of Suppliers - Raw]]/$C$151</f>
        <v>0</v>
      </c>
      <c r="E6" s="23">
        <v>5.0000000000000001E-4</v>
      </c>
      <c r="F6" s="34">
        <f>Tabella1[[#This Row],[Percentage of Supplier''s Facilities - Raw]]/$E$151</f>
        <v>5.0459178524573647E-4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" t="s">
        <v>15</v>
      </c>
      <c r="B7" s="43">
        <v>4.3620978216044497</v>
      </c>
      <c r="C7" s="22">
        <v>0</v>
      </c>
      <c r="D7" s="172">
        <f>Tabella1[[#This Row],[Percentage of Suppliers - Raw]]/$C$151</f>
        <v>0</v>
      </c>
      <c r="E7" s="23">
        <v>2.5999999999999999E-3</v>
      </c>
      <c r="F7" s="34">
        <f>Tabella1[[#This Row],[Percentage of Supplier''s Facilities - Raw]]/$E$151</f>
        <v>2.6238772832778297E-3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Bahrain</v>
      </c>
      <c r="O7" s="15">
        <f>INDEX(B4:B150,MATCH(MIN(F4:F150),F4:F150,0))</f>
        <v>4.2572307249236632</v>
      </c>
      <c r="P7" s="16">
        <f>INDEX(F4:F150,MATCH(MIN(F4:F150),F4:F150,0))</f>
        <v>0</v>
      </c>
    </row>
    <row r="8" spans="1:16" ht="20" thickBot="1" x14ac:dyDescent="0.3">
      <c r="A8" s="3" t="s">
        <v>17</v>
      </c>
      <c r="B8" s="43">
        <v>4.7882033268855917</v>
      </c>
      <c r="C8" s="22">
        <v>0</v>
      </c>
      <c r="D8" s="172">
        <f>Tabella1[[#This Row],[Percentage of Suppliers - Raw]]/$C$151</f>
        <v>0</v>
      </c>
      <c r="E8" s="23">
        <v>1E-4</v>
      </c>
      <c r="F8" s="34">
        <f>Tabella1[[#This Row],[Percentage of Supplier''s Facilities - Raw]]/$E$151</f>
        <v>1.009183570491473E-4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4.2558827981073541</v>
      </c>
      <c r="K8" s="19">
        <f>INDEX(D4:D150,MATCH(MAX(D4:D150),D4:D150,0))</f>
        <v>0.33131080656972495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4.2558827981073541</v>
      </c>
      <c r="P8" s="19">
        <f>INDEX(F4:F150,MATCH(MAX(F4:F150),F4:F150,0))</f>
        <v>0.22484609950550014</v>
      </c>
    </row>
    <row r="9" spans="1:16" ht="23" thickBot="1" x14ac:dyDescent="0.35">
      <c r="A9" s="3" t="s">
        <v>19</v>
      </c>
      <c r="B9" s="43">
        <v>3.2228923328507717</v>
      </c>
      <c r="C9" s="22">
        <v>0.01</v>
      </c>
      <c r="D9" s="172">
        <f>Tabella1[[#This Row],[Percentage of Suppliers - Raw]]/$C$151</f>
        <v>1.0461345329009313E-2</v>
      </c>
      <c r="E9" s="23">
        <v>1.03E-2</v>
      </c>
      <c r="F9" s="34">
        <f>Tabella1[[#This Row],[Percentage of Supplier''s Facilities - Raw]]/$E$151</f>
        <v>1.0394590776062172E-2</v>
      </c>
      <c r="H9" s="20" t="s">
        <v>20</v>
      </c>
      <c r="I9" s="21"/>
      <c r="J9" s="21"/>
      <c r="K9" s="175">
        <f>SUMPRODUCT(B4:B150,D4:D150)</f>
        <v>3.9112071768299721</v>
      </c>
      <c r="M9" s="20" t="s">
        <v>21</v>
      </c>
      <c r="N9" s="21"/>
      <c r="O9" s="21"/>
      <c r="P9" s="175">
        <f>SUMPRODUCT(B4:B150,F4:F150)</f>
        <v>4.0663787993341822</v>
      </c>
    </row>
    <row r="10" spans="1:16" ht="19" x14ac:dyDescent="0.25">
      <c r="A10" s="3" t="s">
        <v>22</v>
      </c>
      <c r="B10" s="43">
        <v>3.4101851325072063</v>
      </c>
      <c r="C10" s="22">
        <v>0</v>
      </c>
      <c r="D10" s="172">
        <f>Tabella1[[#This Row],[Percentage of Suppliers - Raw]]/$C$151</f>
        <v>0</v>
      </c>
      <c r="E10" s="23">
        <v>3.7000000000000002E-3</v>
      </c>
      <c r="F10" s="34">
        <f>Tabella1[[#This Row],[Percentage of Supplier''s Facilities - Raw]]/$E$151</f>
        <v>3.7339792108184501E-3</v>
      </c>
    </row>
    <row r="11" spans="1:16" ht="19" x14ac:dyDescent="0.25">
      <c r="A11" s="3" t="s">
        <v>23</v>
      </c>
      <c r="B11" s="43">
        <v>5.2109258806256893</v>
      </c>
      <c r="C11" s="22">
        <v>0</v>
      </c>
      <c r="D11" s="172">
        <f>Tabella1[[#This Row],[Percentage of Suppliers - Raw]]/$C$151</f>
        <v>0</v>
      </c>
      <c r="E11" s="23">
        <v>1E-4</v>
      </c>
      <c r="F11" s="34">
        <f>Tabella1[[#This Row],[Percentage of Supplier''s Facilities - Raw]]/$E$151</f>
        <v>1.009183570491473E-4</v>
      </c>
    </row>
    <row r="12" spans="1:16" ht="19" x14ac:dyDescent="0.25">
      <c r="A12" s="3" t="s">
        <v>24</v>
      </c>
      <c r="B12" s="43">
        <v>4.2572307249236632</v>
      </c>
      <c r="C12" s="22">
        <v>0</v>
      </c>
      <c r="D12" s="172">
        <f>Tabella1[[#This Row],[Percentage of Suppliers - Raw]]/$C$151</f>
        <v>0</v>
      </c>
      <c r="E12" s="23">
        <v>0</v>
      </c>
      <c r="F12" s="34">
        <f>Tabella1[[#This Row],[Percentage of Supplier''s Facilities - Raw]]/$E$151</f>
        <v>0</v>
      </c>
    </row>
    <row r="13" spans="1:16" ht="19" x14ac:dyDescent="0.25">
      <c r="A13" s="3" t="s">
        <v>25</v>
      </c>
      <c r="B13" s="43">
        <v>6.2938646029657299</v>
      </c>
      <c r="C13" s="22">
        <v>0</v>
      </c>
      <c r="D13" s="172">
        <f>Tabella1[[#This Row],[Percentage of Suppliers - Raw]]/$C$151</f>
        <v>0</v>
      </c>
      <c r="E13" s="23">
        <v>0</v>
      </c>
      <c r="F13" s="34">
        <f>Tabella1[[#This Row],[Percentage of Supplier''s Facilities - Raw]]/$E$151</f>
        <v>0</v>
      </c>
    </row>
    <row r="14" spans="1:16" ht="19" x14ac:dyDescent="0.25">
      <c r="A14" s="3" t="s">
        <v>26</v>
      </c>
      <c r="B14" s="43">
        <v>5.4470391561857463</v>
      </c>
      <c r="C14" s="22">
        <v>0</v>
      </c>
      <c r="D14" s="172">
        <f>Tabella1[[#This Row],[Percentage of Suppliers - Raw]]/$C$151</f>
        <v>0</v>
      </c>
      <c r="E14" s="23">
        <v>5.9999999999999995E-4</v>
      </c>
      <c r="F14" s="34">
        <f>Tabella1[[#This Row],[Percentage of Supplier''s Facilities - Raw]]/$E$151</f>
        <v>6.0551014229488374E-4</v>
      </c>
    </row>
    <row r="15" spans="1:16" ht="19" x14ac:dyDescent="0.25">
      <c r="A15" s="3" t="s">
        <v>27</v>
      </c>
      <c r="B15" s="43">
        <v>3.3272157363952584</v>
      </c>
      <c r="C15" s="22">
        <v>0</v>
      </c>
      <c r="D15" s="172">
        <f>Tabella1[[#This Row],[Percentage of Suppliers - Raw]]/$C$151</f>
        <v>0</v>
      </c>
      <c r="E15" s="23">
        <v>5.4000000000000003E-3</v>
      </c>
      <c r="F15" s="34">
        <f>Tabella1[[#This Row],[Percentage of Supplier''s Facilities - Raw]]/$E$151</f>
        <v>5.4495912806539542E-3</v>
      </c>
    </row>
    <row r="16" spans="1:16" ht="19" x14ac:dyDescent="0.25">
      <c r="A16" s="3" t="s">
        <v>28</v>
      </c>
      <c r="B16" s="43">
        <v>5.9976203843116958</v>
      </c>
      <c r="C16" s="22">
        <v>0</v>
      </c>
      <c r="D16" s="172">
        <f>Tabella1[[#This Row],[Percentage of Suppliers - Raw]]/$C$151</f>
        <v>0</v>
      </c>
      <c r="E16" s="23">
        <v>1E-4</v>
      </c>
      <c r="F16" s="34">
        <f>Tabella1[[#This Row],[Percentage of Supplier''s Facilities - Raw]]/$E$151</f>
        <v>1.009183570491473E-4</v>
      </c>
    </row>
    <row r="17" spans="1:7" ht="19" x14ac:dyDescent="0.25">
      <c r="A17" s="3" t="s">
        <v>29</v>
      </c>
      <c r="B17" s="43">
        <v>5.0248646415497609</v>
      </c>
      <c r="C17" s="22">
        <v>0</v>
      </c>
      <c r="D17" s="172">
        <f>Tabella1[[#This Row],[Percentage of Suppliers - Raw]]/$C$151</f>
        <v>0</v>
      </c>
      <c r="E17" s="23">
        <v>0</v>
      </c>
      <c r="F17" s="34">
        <f>Tabella1[[#This Row],[Percentage of Supplier''s Facilities - Raw]]/$E$151</f>
        <v>0</v>
      </c>
    </row>
    <row r="18" spans="1:7" ht="19" x14ac:dyDescent="0.25">
      <c r="A18" s="3" t="s">
        <v>30</v>
      </c>
      <c r="B18" s="43">
        <v>5.4119734583646606</v>
      </c>
      <c r="C18" s="22">
        <v>0</v>
      </c>
      <c r="D18" s="172">
        <f>Tabella1[[#This Row],[Percentage of Suppliers - Raw]]/$C$151</f>
        <v>0</v>
      </c>
      <c r="E18" s="23">
        <v>0</v>
      </c>
      <c r="F18" s="34">
        <f>Tabella1[[#This Row],[Percentage of Supplier''s Facilities - Raw]]/$E$151</f>
        <v>0</v>
      </c>
    </row>
    <row r="19" spans="1:7" ht="19" x14ac:dyDescent="0.25">
      <c r="A19" s="3" t="s">
        <v>31</v>
      </c>
      <c r="B19" s="43">
        <v>5.3424605477454783</v>
      </c>
      <c r="C19" s="22">
        <v>0</v>
      </c>
      <c r="D19" s="172">
        <f>Tabella1[[#This Row],[Percentage of Suppliers - Raw]]/$C$151</f>
        <v>0</v>
      </c>
      <c r="E19" s="23">
        <v>1E-4</v>
      </c>
      <c r="F19" s="34">
        <f>Tabella1[[#This Row],[Percentage of Supplier''s Facilities - Raw]]/$E$151</f>
        <v>1.009183570491473E-4</v>
      </c>
    </row>
    <row r="20" spans="1:7" ht="19" x14ac:dyDescent="0.25">
      <c r="A20" s="3" t="s">
        <v>32</v>
      </c>
      <c r="B20" s="43">
        <v>4.3392269255836116</v>
      </c>
      <c r="C20" s="22">
        <v>0</v>
      </c>
      <c r="D20" s="172">
        <f>Tabella1[[#This Row],[Percentage of Suppliers - Raw]]/$C$151</f>
        <v>0</v>
      </c>
      <c r="E20" s="23">
        <v>1E-4</v>
      </c>
      <c r="F20" s="34">
        <f>Tabella1[[#This Row],[Percentage of Supplier''s Facilities - Raw]]/$E$151</f>
        <v>1.009183570491473E-4</v>
      </c>
    </row>
    <row r="21" spans="1:7" ht="19" x14ac:dyDescent="0.25">
      <c r="A21" s="3" t="s">
        <v>33</v>
      </c>
      <c r="B21" s="43">
        <v>5.3528879548903774</v>
      </c>
      <c r="C21" s="22">
        <v>0</v>
      </c>
      <c r="D21" s="172">
        <f>Tabella1[[#This Row],[Percentage of Suppliers - Raw]]/$C$151</f>
        <v>0</v>
      </c>
      <c r="E21" s="23">
        <v>1.41E-2</v>
      </c>
      <c r="F21" s="34">
        <f>Tabella1[[#This Row],[Percentage of Supplier''s Facilities - Raw]]/$E$151</f>
        <v>1.4229488343929769E-2</v>
      </c>
    </row>
    <row r="22" spans="1:7" ht="19" x14ac:dyDescent="0.25">
      <c r="A22" s="3" t="s">
        <v>34</v>
      </c>
      <c r="B22" s="43">
        <v>4.4305511295739555</v>
      </c>
      <c r="C22" s="22">
        <v>0</v>
      </c>
      <c r="D22" s="172">
        <f>Tabella1[[#This Row],[Percentage of Suppliers - Raw]]/$C$151</f>
        <v>0</v>
      </c>
      <c r="E22" s="23">
        <v>1E-3</v>
      </c>
      <c r="F22" s="34">
        <f>Tabella1[[#This Row],[Percentage of Supplier''s Facilities - Raw]]/$E$151</f>
        <v>1.0091835704914729E-3</v>
      </c>
    </row>
    <row r="23" spans="1:7" ht="19" x14ac:dyDescent="0.25">
      <c r="A23" s="3" t="s">
        <v>35</v>
      </c>
      <c r="B23" s="43">
        <v>6.5469989858167894</v>
      </c>
      <c r="C23" s="22">
        <v>0</v>
      </c>
      <c r="D23" s="172">
        <f>Tabella1[[#This Row],[Percentage of Suppliers - Raw]]/$C$151</f>
        <v>0</v>
      </c>
      <c r="E23" s="23">
        <v>1E-4</v>
      </c>
      <c r="F23" s="34">
        <f>Tabella1[[#This Row],[Percentage of Supplier''s Facilities - Raw]]/$E$151</f>
        <v>1.009183570491473E-4</v>
      </c>
    </row>
    <row r="24" spans="1:7" ht="19" x14ac:dyDescent="0.25">
      <c r="A24" s="3" t="s">
        <v>36</v>
      </c>
      <c r="B24" s="43">
        <v>6.3316257862325482</v>
      </c>
      <c r="C24" s="22">
        <v>0</v>
      </c>
      <c r="D24" s="172">
        <f>Tabella1[[#This Row],[Percentage of Suppliers - Raw]]/$C$151</f>
        <v>0</v>
      </c>
      <c r="E24" s="23">
        <v>0</v>
      </c>
      <c r="F24" s="34">
        <f>Tabella1[[#This Row],[Percentage of Supplier''s Facilities - Raw]]/$E$151</f>
        <v>0</v>
      </c>
    </row>
    <row r="25" spans="1:7" ht="19" x14ac:dyDescent="0.25">
      <c r="A25" s="3" t="s">
        <v>37</v>
      </c>
      <c r="B25" s="43">
        <v>5.6374100513783132</v>
      </c>
      <c r="C25" s="22">
        <v>0</v>
      </c>
      <c r="D25" s="172">
        <f>Tabella1[[#This Row],[Percentage of Suppliers - Raw]]/$C$151</f>
        <v>0</v>
      </c>
      <c r="E25" s="23">
        <v>0</v>
      </c>
      <c r="F25" s="34">
        <f>Tabella1[[#This Row],[Percentage of Supplier''s Facilities - Raw]]/$E$151</f>
        <v>0</v>
      </c>
    </row>
    <row r="26" spans="1:7" ht="19" x14ac:dyDescent="0.25">
      <c r="A26" s="3" t="s">
        <v>38</v>
      </c>
      <c r="B26" s="43">
        <v>6.8290168498118629</v>
      </c>
      <c r="C26" s="22">
        <v>0</v>
      </c>
      <c r="D26" s="172">
        <f>Tabella1[[#This Row],[Percentage of Suppliers - Raw]]/$C$151</f>
        <v>0</v>
      </c>
      <c r="E26" s="23">
        <v>1E-4</v>
      </c>
      <c r="F26" s="34">
        <f>Tabella1[[#This Row],[Percentage of Supplier''s Facilities - Raw]]/$E$151</f>
        <v>1.009183570491473E-4</v>
      </c>
    </row>
    <row r="27" spans="1:7" ht="19" x14ac:dyDescent="0.25">
      <c r="A27" s="3" t="s">
        <v>39</v>
      </c>
      <c r="B27" s="43">
        <v>3.4431913474650511</v>
      </c>
      <c r="C27" s="22">
        <v>1.5699999999999999E-2</v>
      </c>
      <c r="D27" s="172">
        <f>Tabella1[[#This Row],[Percentage of Suppliers - Raw]]/$C$151</f>
        <v>1.6424312166544622E-2</v>
      </c>
      <c r="E27" s="23">
        <v>1.7600000000000001E-2</v>
      </c>
      <c r="F27" s="34">
        <f>Tabella1[[#This Row],[Percentage of Supplier''s Facilities - Raw]]/$E$151</f>
        <v>1.7761630840649925E-2</v>
      </c>
    </row>
    <row r="28" spans="1:7" ht="19" x14ac:dyDescent="0.25">
      <c r="A28" s="3" t="s">
        <v>40</v>
      </c>
      <c r="B28" s="43">
        <v>6.7936201324767405</v>
      </c>
      <c r="C28" s="22">
        <v>0</v>
      </c>
      <c r="D28" s="172">
        <f>Tabella1[[#This Row],[Percentage of Suppliers - Raw]]/$C$151</f>
        <v>0</v>
      </c>
      <c r="E28" s="23">
        <v>0</v>
      </c>
      <c r="F28" s="34">
        <f>Tabella1[[#This Row],[Percentage of Supplier''s Facilities - Raw]]/$E$151</f>
        <v>0</v>
      </c>
    </row>
    <row r="29" spans="1:7" ht="19" x14ac:dyDescent="0.25">
      <c r="A29" s="3" t="s">
        <v>41</v>
      </c>
      <c r="B29" s="43">
        <v>6.8383191750945294</v>
      </c>
      <c r="C29" s="22">
        <v>0</v>
      </c>
      <c r="D29" s="172">
        <f>Tabella1[[#This Row],[Percentage of Suppliers - Raw]]/$C$151</f>
        <v>0</v>
      </c>
      <c r="E29" s="23">
        <v>0</v>
      </c>
      <c r="F29" s="34">
        <f>Tabella1[[#This Row],[Percentage of Supplier''s Facilities - Raw]]/$E$151</f>
        <v>0</v>
      </c>
    </row>
    <row r="30" spans="1:7" ht="19" x14ac:dyDescent="0.25">
      <c r="A30" s="3" t="s">
        <v>42</v>
      </c>
      <c r="B30" s="43">
        <v>4.3579262651505353</v>
      </c>
      <c r="C30" s="22">
        <v>0</v>
      </c>
      <c r="D30" s="172">
        <f>Tabella1[[#This Row],[Percentage of Suppliers - Raw]]/$C$151</f>
        <v>0</v>
      </c>
      <c r="E30" s="23">
        <v>1.5E-3</v>
      </c>
      <c r="F30" s="34">
        <f>Tabella1[[#This Row],[Percentage of Supplier''s Facilities - Raw]]/$E$151</f>
        <v>1.5137753557372094E-3</v>
      </c>
    </row>
    <row r="31" spans="1:7" ht="19" x14ac:dyDescent="0.25">
      <c r="A31" s="3" t="s">
        <v>43</v>
      </c>
      <c r="B31" s="43">
        <v>4.2558827981073541</v>
      </c>
      <c r="C31" s="22">
        <f xml:space="preserve"> 19.4% + 12.27%</f>
        <v>0.31669999999999998</v>
      </c>
      <c r="D31" s="172">
        <f>Tabella1[[#This Row],[Percentage of Suppliers - Raw]]/$C$151</f>
        <v>0.33131080656972495</v>
      </c>
      <c r="E31" s="23">
        <v>0.22279999999999997</v>
      </c>
      <c r="F31" s="34">
        <f>Tabella1[[#This Row],[Percentage of Supplier''s Facilities - Raw]]/$E$151</f>
        <v>0.22484609950550014</v>
      </c>
      <c r="G31" s="1" t="s">
        <v>44</v>
      </c>
    </row>
    <row r="32" spans="1:7" ht="19" x14ac:dyDescent="0.25">
      <c r="A32" s="3" t="s">
        <v>45</v>
      </c>
      <c r="B32" s="43">
        <v>5.7247940072371959</v>
      </c>
      <c r="C32" s="22">
        <v>0</v>
      </c>
      <c r="D32" s="172">
        <f>Tabella1[[#This Row],[Percentage of Suppliers - Raw]]/$C$151</f>
        <v>0</v>
      </c>
      <c r="E32" s="23">
        <v>1.1000000000000001E-3</v>
      </c>
      <c r="F32" s="34">
        <f>Tabella1[[#This Row],[Percentage of Supplier''s Facilities - Raw]]/$E$151</f>
        <v>1.1101019275406203E-3</v>
      </c>
    </row>
    <row r="33" spans="1:6" ht="19" x14ac:dyDescent="0.25">
      <c r="A33" s="3" t="s">
        <v>46</v>
      </c>
      <c r="B33" s="43">
        <v>5.6489161047332477</v>
      </c>
      <c r="C33" s="22">
        <v>0</v>
      </c>
      <c r="D33" s="172">
        <f>Tabella1[[#This Row],[Percentage of Suppliers - Raw]]/$C$151</f>
        <v>0</v>
      </c>
      <c r="E33" s="23">
        <v>1E-4</v>
      </c>
      <c r="F33" s="34">
        <f>Tabella1[[#This Row],[Percentage of Supplier''s Facilities - Raw]]/$E$151</f>
        <v>1.009183570491473E-4</v>
      </c>
    </row>
    <row r="34" spans="1:6" ht="19" x14ac:dyDescent="0.25">
      <c r="A34" s="3" t="s">
        <v>47</v>
      </c>
      <c r="B34" s="43">
        <v>4.2297467795287353</v>
      </c>
      <c r="C34" s="22">
        <v>0</v>
      </c>
      <c r="D34" s="172">
        <f>Tabella1[[#This Row],[Percentage of Suppliers - Raw]]/$C$151</f>
        <v>0</v>
      </c>
      <c r="E34" s="23">
        <v>1E-3</v>
      </c>
      <c r="F34" s="34">
        <f>Tabella1[[#This Row],[Percentage of Supplier''s Facilities - Raw]]/$E$151</f>
        <v>1.0091835704914729E-3</v>
      </c>
    </row>
    <row r="35" spans="1:6" ht="19" x14ac:dyDescent="0.25">
      <c r="A35" s="3" t="s">
        <v>48</v>
      </c>
      <c r="B35" s="43">
        <v>5.5958391680617687</v>
      </c>
      <c r="C35" s="22">
        <v>0</v>
      </c>
      <c r="D35" s="172">
        <f>Tabella1[[#This Row],[Percentage of Suppliers - Raw]]/$C$151</f>
        <v>0</v>
      </c>
      <c r="E35" s="23">
        <v>1E-4</v>
      </c>
      <c r="F35" s="34">
        <f>Tabella1[[#This Row],[Percentage of Supplier''s Facilities - Raw]]/$E$151</f>
        <v>1.009183570491473E-4</v>
      </c>
    </row>
    <row r="36" spans="1:6" ht="19" x14ac:dyDescent="0.25">
      <c r="A36" s="3" t="s">
        <v>49</v>
      </c>
      <c r="B36" s="43">
        <v>4.2818306896749707</v>
      </c>
      <c r="C36" s="22">
        <v>0</v>
      </c>
      <c r="D36" s="172">
        <f>Tabella1[[#This Row],[Percentage of Suppliers - Raw]]/$C$151</f>
        <v>0</v>
      </c>
      <c r="E36" s="23">
        <v>1E-3</v>
      </c>
      <c r="F36" s="34">
        <f>Tabella1[[#This Row],[Percentage of Supplier''s Facilities - Raw]]/$E$151</f>
        <v>1.0091835704914729E-3</v>
      </c>
    </row>
    <row r="37" spans="1:6" ht="19" x14ac:dyDescent="0.25">
      <c r="A37" s="3" t="s">
        <v>50</v>
      </c>
      <c r="B37" s="43">
        <v>4.665702306747229</v>
      </c>
      <c r="C37" s="22">
        <v>0</v>
      </c>
      <c r="D37" s="172">
        <f>Tabella1[[#This Row],[Percentage of Suppliers - Raw]]/$C$151</f>
        <v>0</v>
      </c>
      <c r="E37" s="23">
        <v>0</v>
      </c>
      <c r="F37" s="34">
        <f>Tabella1[[#This Row],[Percentage of Supplier''s Facilities - Raw]]/$E$151</f>
        <v>0</v>
      </c>
    </row>
    <row r="38" spans="1:6" ht="19" x14ac:dyDescent="0.25">
      <c r="A38" s="3" t="s">
        <v>51</v>
      </c>
      <c r="B38" s="43">
        <v>3.7484970292180693</v>
      </c>
      <c r="C38" s="22">
        <v>0</v>
      </c>
      <c r="D38" s="172">
        <f>Tabella1[[#This Row],[Percentage of Suppliers - Raw]]/$C$151</f>
        <v>0</v>
      </c>
      <c r="E38" s="23">
        <v>6.3E-3</v>
      </c>
      <c r="F38" s="34">
        <f>Tabella1[[#This Row],[Percentage of Supplier''s Facilities - Raw]]/$E$151</f>
        <v>6.3578564940962798E-3</v>
      </c>
    </row>
    <row r="39" spans="1:6" ht="19" x14ac:dyDescent="0.25">
      <c r="A39" s="3" t="s">
        <v>52</v>
      </c>
      <c r="B39" s="43">
        <v>3.1990775661028361</v>
      </c>
      <c r="C39" s="22">
        <v>1.4E-3</v>
      </c>
      <c r="D39" s="172">
        <f>Tabella1[[#This Row],[Percentage of Suppliers - Raw]]/$C$151</f>
        <v>1.4645883460613039E-3</v>
      </c>
      <c r="E39" s="23">
        <v>2.8999999999999998E-3</v>
      </c>
      <c r="F39" s="34">
        <f>Tabella1[[#This Row],[Percentage of Supplier''s Facilities - Raw]]/$E$151</f>
        <v>2.9266323544252714E-3</v>
      </c>
    </row>
    <row r="40" spans="1:6" ht="19" x14ac:dyDescent="0.25">
      <c r="A40" s="3" t="s">
        <v>53</v>
      </c>
      <c r="B40" s="43">
        <v>5.9780558706115094</v>
      </c>
      <c r="C40" s="22">
        <v>0</v>
      </c>
      <c r="D40" s="172">
        <f>Tabella1[[#This Row],[Percentage of Suppliers - Raw]]/$C$151</f>
        <v>0</v>
      </c>
      <c r="E40" s="23">
        <v>0</v>
      </c>
      <c r="F40" s="34">
        <f>Tabella1[[#This Row],[Percentage of Supplier''s Facilities - Raw]]/$E$151</f>
        <v>0</v>
      </c>
    </row>
    <row r="41" spans="1:6" ht="19" x14ac:dyDescent="0.25">
      <c r="A41" s="3" t="s">
        <v>54</v>
      </c>
      <c r="B41" s="43">
        <v>4.6951385888474393</v>
      </c>
      <c r="C41" s="22">
        <v>0</v>
      </c>
      <c r="D41" s="172">
        <f>Tabella1[[#This Row],[Percentage of Suppliers - Raw]]/$C$151</f>
        <v>0</v>
      </c>
      <c r="E41" s="23">
        <v>8.9999999999999998E-4</v>
      </c>
      <c r="F41" s="34">
        <f>Tabella1[[#This Row],[Percentage of Supplier''s Facilities - Raw]]/$E$151</f>
        <v>9.0826521344232567E-4</v>
      </c>
    </row>
    <row r="42" spans="1:6" ht="19" x14ac:dyDescent="0.25">
      <c r="A42" s="3" t="s">
        <v>55</v>
      </c>
      <c r="B42" s="43">
        <v>5.7086243658486353</v>
      </c>
      <c r="C42" s="22">
        <v>0</v>
      </c>
      <c r="D42" s="172">
        <f>Tabella1[[#This Row],[Percentage of Suppliers - Raw]]/$C$151</f>
        <v>0</v>
      </c>
      <c r="E42" s="23">
        <v>1E-4</v>
      </c>
      <c r="F42" s="34">
        <f>Tabella1[[#This Row],[Percentage of Supplier''s Facilities - Raw]]/$E$151</f>
        <v>1.009183570491473E-4</v>
      </c>
    </row>
    <row r="43" spans="1:6" ht="19" x14ac:dyDescent="0.25">
      <c r="A43" s="3" t="s">
        <v>56</v>
      </c>
      <c r="B43" s="43">
        <v>5.6039767437648544</v>
      </c>
      <c r="C43" s="22">
        <v>0</v>
      </c>
      <c r="D43" s="172">
        <f>Tabella1[[#This Row],[Percentage of Suppliers - Raw]]/$C$151</f>
        <v>0</v>
      </c>
      <c r="E43" s="23">
        <v>1.5E-3</v>
      </c>
      <c r="F43" s="34">
        <f>Tabella1[[#This Row],[Percentage of Supplier''s Facilities - Raw]]/$E$151</f>
        <v>1.5137753557372094E-3</v>
      </c>
    </row>
    <row r="44" spans="1:6" ht="19" x14ac:dyDescent="0.25">
      <c r="A44" s="3" t="s">
        <v>57</v>
      </c>
      <c r="B44" s="43">
        <v>4.7929202889816001</v>
      </c>
      <c r="C44" s="22">
        <v>0</v>
      </c>
      <c r="D44" s="172">
        <f>Tabella1[[#This Row],[Percentage of Suppliers - Raw]]/$C$151</f>
        <v>0</v>
      </c>
      <c r="E44" s="23">
        <v>1E-4</v>
      </c>
      <c r="F44" s="34">
        <f>Tabella1[[#This Row],[Percentage of Supplier''s Facilities - Raw]]/$E$151</f>
        <v>1.009183570491473E-4</v>
      </c>
    </row>
    <row r="45" spans="1:6" ht="19" x14ac:dyDescent="0.25">
      <c r="A45" s="3" t="s">
        <v>58</v>
      </c>
      <c r="B45" s="43">
        <v>3.5745795767056725</v>
      </c>
      <c r="C45" s="22">
        <v>0</v>
      </c>
      <c r="D45" s="172">
        <f>Tabella1[[#This Row],[Percentage of Suppliers - Raw]]/$C$151</f>
        <v>0</v>
      </c>
      <c r="E45" s="23">
        <v>1.2999999999999999E-3</v>
      </c>
      <c r="F45" s="34">
        <f>Tabella1[[#This Row],[Percentage of Supplier''s Facilities - Raw]]/$E$151</f>
        <v>1.3119386416389149E-3</v>
      </c>
    </row>
    <row r="46" spans="1:6" ht="19" x14ac:dyDescent="0.25">
      <c r="A46" s="3" t="s">
        <v>59</v>
      </c>
      <c r="B46" s="43">
        <v>4.4965923559879277</v>
      </c>
      <c r="C46" s="22">
        <v>0</v>
      </c>
      <c r="D46" s="172">
        <f>Tabella1[[#This Row],[Percentage of Suppliers - Raw]]/$C$151</f>
        <v>0</v>
      </c>
      <c r="E46" s="23">
        <v>1E-4</v>
      </c>
      <c r="F46" s="34">
        <f>Tabella1[[#This Row],[Percentage of Supplier''s Facilities - Raw]]/$E$151</f>
        <v>1.009183570491473E-4</v>
      </c>
    </row>
    <row r="47" spans="1:6" ht="19" x14ac:dyDescent="0.25">
      <c r="A47" s="3" t="s">
        <v>60</v>
      </c>
      <c r="B47" s="43">
        <v>6.927950682570712</v>
      </c>
      <c r="C47" s="22">
        <v>0</v>
      </c>
      <c r="D47" s="172">
        <f>Tabella1[[#This Row],[Percentage of Suppliers - Raw]]/$C$151</f>
        <v>0</v>
      </c>
      <c r="E47" s="23">
        <v>0</v>
      </c>
      <c r="F47" s="34">
        <f>Tabella1[[#This Row],[Percentage of Supplier''s Facilities - Raw]]/$E$151</f>
        <v>0</v>
      </c>
    </row>
    <row r="48" spans="1:6" ht="19" x14ac:dyDescent="0.25">
      <c r="A48" s="3" t="s">
        <v>61</v>
      </c>
      <c r="B48" s="43">
        <v>3.3483394041152907</v>
      </c>
      <c r="C48" s="22">
        <v>4.3E-3</v>
      </c>
      <c r="D48" s="172">
        <f>Tabella1[[#This Row],[Percentage of Suppliers - Raw]]/$C$151</f>
        <v>4.4983784914740046E-3</v>
      </c>
      <c r="E48" s="23">
        <v>4.8999999999999998E-3</v>
      </c>
      <c r="F48" s="34">
        <f>Tabella1[[#This Row],[Percentage of Supplier''s Facilities - Raw]]/$E$151</f>
        <v>4.9449994954082173E-3</v>
      </c>
    </row>
    <row r="49" spans="1:6" ht="19" x14ac:dyDescent="0.25">
      <c r="A49" s="3" t="s">
        <v>62</v>
      </c>
      <c r="B49" s="43">
        <v>3.6488472849850422</v>
      </c>
      <c r="C49" s="22">
        <v>0.02</v>
      </c>
      <c r="D49" s="172">
        <f>Tabella1[[#This Row],[Percentage of Suppliers - Raw]]/$C$151</f>
        <v>2.0922690658018626E-2</v>
      </c>
      <c r="E49" s="23">
        <v>2.5699999999999997E-2</v>
      </c>
      <c r="F49" s="34">
        <f>Tabella1[[#This Row],[Percentage of Supplier''s Facilities - Raw]]/$E$151</f>
        <v>2.5936017761630851E-2</v>
      </c>
    </row>
    <row r="50" spans="1:6" ht="19" x14ac:dyDescent="0.25">
      <c r="A50" s="3" t="s">
        <v>63</v>
      </c>
      <c r="B50" s="43">
        <v>5.7823719673887926</v>
      </c>
      <c r="C50" s="22">
        <v>0</v>
      </c>
      <c r="D50" s="172">
        <f>Tabella1[[#This Row],[Percentage of Suppliers - Raw]]/$C$151</f>
        <v>0</v>
      </c>
      <c r="E50" s="23">
        <v>1E-4</v>
      </c>
      <c r="F50" s="34">
        <f>Tabella1[[#This Row],[Percentage of Supplier''s Facilities - Raw]]/$E$151</f>
        <v>1.009183570491473E-4</v>
      </c>
    </row>
    <row r="51" spans="1:6" ht="19" x14ac:dyDescent="0.25">
      <c r="A51" s="3" t="s">
        <v>64</v>
      </c>
      <c r="B51" s="43">
        <v>5.3790271999040362</v>
      </c>
      <c r="C51" s="22">
        <v>0</v>
      </c>
      <c r="D51" s="172">
        <f>Tabella1[[#This Row],[Percentage of Suppliers - Raw]]/$C$151</f>
        <v>0</v>
      </c>
      <c r="E51" s="23">
        <v>0</v>
      </c>
      <c r="F51" s="34">
        <f>Tabella1[[#This Row],[Percentage of Supplier''s Facilities - Raw]]/$E$151</f>
        <v>0</v>
      </c>
    </row>
    <row r="52" spans="1:6" ht="19" x14ac:dyDescent="0.25">
      <c r="A52" s="3" t="s">
        <v>65</v>
      </c>
      <c r="B52" s="43">
        <v>4.9290675473985939</v>
      </c>
      <c r="C52" s="22">
        <v>0</v>
      </c>
      <c r="D52" s="172">
        <f>Tabella1[[#This Row],[Percentage of Suppliers - Raw]]/$C$151</f>
        <v>0</v>
      </c>
      <c r="E52" s="23">
        <v>0</v>
      </c>
      <c r="F52" s="34">
        <f>Tabella1[[#This Row],[Percentage of Supplier''s Facilities - Raw]]/$E$151</f>
        <v>0</v>
      </c>
    </row>
    <row r="53" spans="1:6" ht="19" x14ac:dyDescent="0.25">
      <c r="A53" s="3" t="s">
        <v>66</v>
      </c>
      <c r="B53" s="43">
        <v>3.4167336021772097</v>
      </c>
      <c r="C53" s="22">
        <v>2.4299999999999999E-2</v>
      </c>
      <c r="D53" s="172">
        <f>Tabella1[[#This Row],[Percentage of Suppliers - Raw]]/$C$151</f>
        <v>2.5421069149492631E-2</v>
      </c>
      <c r="E53" s="23">
        <v>4.0599999999999997E-2</v>
      </c>
      <c r="F53" s="34">
        <f>Tabella1[[#This Row],[Percentage of Supplier''s Facilities - Raw]]/$E$151</f>
        <v>4.0972852961953798E-2</v>
      </c>
    </row>
    <row r="54" spans="1:6" ht="19" x14ac:dyDescent="0.25">
      <c r="A54" s="3" t="s">
        <v>67</v>
      </c>
      <c r="B54" s="43">
        <v>4.6272251474478185</v>
      </c>
      <c r="C54" s="22">
        <v>0</v>
      </c>
      <c r="D54" s="172">
        <f>Tabella1[[#This Row],[Percentage of Suppliers - Raw]]/$C$151</f>
        <v>0</v>
      </c>
      <c r="E54" s="23">
        <v>1E-4</v>
      </c>
      <c r="F54" s="34">
        <f>Tabella1[[#This Row],[Percentage of Supplier''s Facilities - Raw]]/$E$151</f>
        <v>1.009183570491473E-4</v>
      </c>
    </row>
    <row r="55" spans="1:6" ht="19" x14ac:dyDescent="0.25">
      <c r="A55" s="3" t="s">
        <v>68</v>
      </c>
      <c r="B55" s="43">
        <v>4.3382922337238083</v>
      </c>
      <c r="C55" s="22">
        <v>0</v>
      </c>
      <c r="D55" s="172">
        <f>Tabella1[[#This Row],[Percentage of Suppliers - Raw]]/$C$151</f>
        <v>0</v>
      </c>
      <c r="E55" s="23">
        <v>0</v>
      </c>
      <c r="F55" s="34">
        <f>Tabella1[[#This Row],[Percentage of Supplier''s Facilities - Raw]]/$E$151</f>
        <v>0</v>
      </c>
    </row>
    <row r="56" spans="1:6" ht="19" x14ac:dyDescent="0.25">
      <c r="A56" s="3" t="s">
        <v>69</v>
      </c>
      <c r="B56" s="43">
        <v>5.450113492883502</v>
      </c>
      <c r="C56" s="22">
        <v>0</v>
      </c>
      <c r="D56" s="172">
        <f>Tabella1[[#This Row],[Percentage of Suppliers - Raw]]/$C$151</f>
        <v>0</v>
      </c>
      <c r="E56" s="23">
        <v>2.9999999999999997E-4</v>
      </c>
      <c r="F56" s="34">
        <f>Tabella1[[#This Row],[Percentage of Supplier''s Facilities - Raw]]/$E$151</f>
        <v>3.0275507114744187E-4</v>
      </c>
    </row>
    <row r="57" spans="1:6" ht="19" x14ac:dyDescent="0.25">
      <c r="A57" s="3" t="s">
        <v>70</v>
      </c>
      <c r="B57" s="43">
        <v>6.3557356106090603</v>
      </c>
      <c r="C57" s="22">
        <v>0</v>
      </c>
      <c r="D57" s="172">
        <f>Tabella1[[#This Row],[Percentage of Suppliers - Raw]]/$C$151</f>
        <v>0</v>
      </c>
      <c r="E57" s="23">
        <v>1E-4</v>
      </c>
      <c r="F57" s="34">
        <f>Tabella1[[#This Row],[Percentage of Supplier''s Facilities - Raw]]/$E$151</f>
        <v>1.009183570491473E-4</v>
      </c>
    </row>
    <row r="58" spans="1:6" ht="19" x14ac:dyDescent="0.25">
      <c r="A58" s="3" t="s">
        <v>71</v>
      </c>
      <c r="B58" s="43">
        <v>5.9434838790990074</v>
      </c>
      <c r="C58" s="22">
        <v>0</v>
      </c>
      <c r="D58" s="172">
        <f>Tabella1[[#This Row],[Percentage of Suppliers - Raw]]/$C$151</f>
        <v>0</v>
      </c>
      <c r="E58" s="23">
        <v>0</v>
      </c>
      <c r="F58" s="34">
        <f>Tabella1[[#This Row],[Percentage of Supplier''s Facilities - Raw]]/$E$151</f>
        <v>0</v>
      </c>
    </row>
    <row r="59" spans="1:6" ht="19" x14ac:dyDescent="0.25">
      <c r="A59" s="3" t="s">
        <v>72</v>
      </c>
      <c r="B59" s="43">
        <v>4.9174638740379848</v>
      </c>
      <c r="C59" s="22">
        <v>0</v>
      </c>
      <c r="D59" s="172">
        <f>Tabella1[[#This Row],[Percentage of Suppliers - Raw]]/$C$151</f>
        <v>0</v>
      </c>
      <c r="E59" s="23">
        <v>0</v>
      </c>
      <c r="F59" s="34">
        <f>Tabella1[[#This Row],[Percentage of Supplier''s Facilities - Raw]]/$E$151</f>
        <v>0</v>
      </c>
    </row>
    <row r="60" spans="1:6" ht="19" x14ac:dyDescent="0.25">
      <c r="A60" s="3" t="s">
        <v>73</v>
      </c>
      <c r="B60" s="43">
        <v>6.5330241147248609</v>
      </c>
      <c r="C60" s="22">
        <v>0</v>
      </c>
      <c r="D60" s="172">
        <f>Tabella1[[#This Row],[Percentage of Suppliers - Raw]]/$C$151</f>
        <v>0</v>
      </c>
      <c r="E60" s="23">
        <v>0</v>
      </c>
      <c r="F60" s="34">
        <f>Tabella1[[#This Row],[Percentage of Supplier''s Facilities - Raw]]/$E$151</f>
        <v>0</v>
      </c>
    </row>
    <row r="61" spans="1:6" ht="19" x14ac:dyDescent="0.25">
      <c r="A61" s="3" t="s">
        <v>74</v>
      </c>
      <c r="B61" s="43">
        <v>5.7658823887989872</v>
      </c>
      <c r="C61" s="22">
        <v>0</v>
      </c>
      <c r="D61" s="172">
        <f>Tabella1[[#This Row],[Percentage of Suppliers - Raw]]/$C$151</f>
        <v>0</v>
      </c>
      <c r="E61" s="23">
        <v>0</v>
      </c>
      <c r="F61" s="34">
        <f>Tabella1[[#This Row],[Percentage of Supplier''s Facilities - Raw]]/$E$151</f>
        <v>0</v>
      </c>
    </row>
    <row r="62" spans="1:6" ht="19" x14ac:dyDescent="0.25">
      <c r="A62" s="3" t="s">
        <v>75</v>
      </c>
      <c r="B62" s="43">
        <v>3.6278897079089987</v>
      </c>
      <c r="C62" s="22">
        <v>0</v>
      </c>
      <c r="D62" s="172">
        <f>Tabella1[[#This Row],[Percentage of Suppliers - Raw]]/$C$151</f>
        <v>0</v>
      </c>
      <c r="E62" s="23">
        <v>4.8999999999999998E-3</v>
      </c>
      <c r="F62" s="34">
        <f>Tabella1[[#This Row],[Percentage of Supplier''s Facilities - Raw]]/$E$151</f>
        <v>4.9449994954082173E-3</v>
      </c>
    </row>
    <row r="63" spans="1:6" ht="19" x14ac:dyDescent="0.25">
      <c r="A63" s="3" t="s">
        <v>76</v>
      </c>
      <c r="B63" s="43">
        <v>3.3752937482227585</v>
      </c>
      <c r="C63" s="22">
        <v>0</v>
      </c>
      <c r="D63" s="172">
        <f>Tabella1[[#This Row],[Percentage of Suppliers - Raw]]/$C$151</f>
        <v>0</v>
      </c>
      <c r="E63" s="23">
        <v>2.9999999999999997E-4</v>
      </c>
      <c r="F63" s="34">
        <f>Tabella1[[#This Row],[Percentage of Supplier''s Facilities - Raw]]/$E$151</f>
        <v>3.0275507114744187E-4</v>
      </c>
    </row>
    <row r="64" spans="1:6" ht="19" x14ac:dyDescent="0.25">
      <c r="A64" s="3" t="s">
        <v>77</v>
      </c>
      <c r="B64" s="43">
        <v>5.0659580961290027</v>
      </c>
      <c r="C64" s="22">
        <v>0.01</v>
      </c>
      <c r="D64" s="172">
        <f>Tabella1[[#This Row],[Percentage of Suppliers - Raw]]/$C$151</f>
        <v>1.0461345329009313E-2</v>
      </c>
      <c r="E64" s="23">
        <v>2.5399999999999999E-2</v>
      </c>
      <c r="F64" s="34">
        <f>Tabella1[[#This Row],[Percentage of Supplier''s Facilities - Raw]]/$E$151</f>
        <v>2.563326269048341E-2</v>
      </c>
    </row>
    <row r="65" spans="1:6" ht="19" x14ac:dyDescent="0.25">
      <c r="A65" s="3" t="s">
        <v>78</v>
      </c>
      <c r="B65" s="43">
        <v>4.9248047791749228</v>
      </c>
      <c r="C65" s="22">
        <v>2.8999999999999998E-3</v>
      </c>
      <c r="D65" s="172">
        <f>Tabella1[[#This Row],[Percentage of Suppliers - Raw]]/$C$151</f>
        <v>3.0337901454127007E-3</v>
      </c>
      <c r="E65" s="23">
        <v>1.0500000000000001E-2</v>
      </c>
      <c r="F65" s="34">
        <f>Tabella1[[#This Row],[Percentage of Supplier''s Facilities - Raw]]/$E$151</f>
        <v>1.0596427490160466E-2</v>
      </c>
    </row>
    <row r="66" spans="1:6" ht="19" x14ac:dyDescent="0.25">
      <c r="A66" s="3" t="s">
        <v>79</v>
      </c>
      <c r="B66" s="43">
        <v>5.8793658240107565</v>
      </c>
      <c r="C66" s="22">
        <v>0</v>
      </c>
      <c r="D66" s="172">
        <f>Tabella1[[#This Row],[Percentage of Suppliers - Raw]]/$C$151</f>
        <v>0</v>
      </c>
      <c r="E66" s="23">
        <v>2.9999999999999997E-4</v>
      </c>
      <c r="F66" s="34">
        <f>Tabella1[[#This Row],[Percentage of Supplier''s Facilities - Raw]]/$E$151</f>
        <v>3.0275507114744187E-4</v>
      </c>
    </row>
    <row r="67" spans="1:6" ht="19" x14ac:dyDescent="0.25">
      <c r="A67" s="3" t="s">
        <v>80</v>
      </c>
      <c r="B67" s="43">
        <v>6.0491810448870345</v>
      </c>
      <c r="C67" s="22">
        <v>0</v>
      </c>
      <c r="D67" s="172">
        <f>Tabella1[[#This Row],[Percentage of Suppliers - Raw]]/$C$151</f>
        <v>0</v>
      </c>
      <c r="E67" s="23">
        <v>0</v>
      </c>
      <c r="F67" s="34">
        <f>Tabella1[[#This Row],[Percentage of Supplier''s Facilities - Raw]]/$E$151</f>
        <v>0</v>
      </c>
    </row>
    <row r="68" spans="1:6" ht="19" x14ac:dyDescent="0.25">
      <c r="A68" s="3" t="s">
        <v>81</v>
      </c>
      <c r="B68" s="43">
        <v>3.253942686762922</v>
      </c>
      <c r="C68" s="22">
        <v>1.4E-3</v>
      </c>
      <c r="D68" s="172">
        <f>Tabella1[[#This Row],[Percentage of Suppliers - Raw]]/$C$151</f>
        <v>1.4645883460613039E-3</v>
      </c>
      <c r="E68" s="23">
        <v>2.3999999999999998E-3</v>
      </c>
      <c r="F68" s="34">
        <f>Tabella1[[#This Row],[Percentage of Supplier''s Facilities - Raw]]/$E$151</f>
        <v>2.422040569179535E-3</v>
      </c>
    </row>
    <row r="69" spans="1:6" ht="19" x14ac:dyDescent="0.25">
      <c r="A69" s="3" t="s">
        <v>82</v>
      </c>
      <c r="B69" s="43">
        <v>4.6082974679305195</v>
      </c>
      <c r="C69" s="22">
        <v>1.4E-3</v>
      </c>
      <c r="D69" s="172">
        <f>Tabella1[[#This Row],[Percentage of Suppliers - Raw]]/$C$151</f>
        <v>1.4645883460613039E-3</v>
      </c>
      <c r="E69" s="23">
        <v>2.3999999999999998E-3</v>
      </c>
      <c r="F69" s="34">
        <f>Tabella1[[#This Row],[Percentage of Supplier''s Facilities - Raw]]/$E$151</f>
        <v>2.422040569179535E-3</v>
      </c>
    </row>
    <row r="70" spans="1:6" ht="19" x14ac:dyDescent="0.25">
      <c r="A70" s="3" t="s">
        <v>83</v>
      </c>
      <c r="B70" s="43">
        <v>3.8382882812123826</v>
      </c>
      <c r="C70" s="22">
        <v>4.3E-3</v>
      </c>
      <c r="D70" s="172">
        <f>Tabella1[[#This Row],[Percentage of Suppliers - Raw]]/$C$151</f>
        <v>4.4983784914740046E-3</v>
      </c>
      <c r="E70" s="23">
        <v>1.3999999999999999E-2</v>
      </c>
      <c r="F70" s="34">
        <f>Tabella1[[#This Row],[Percentage of Supplier''s Facilities - Raw]]/$E$151</f>
        <v>1.4128569986880619E-2</v>
      </c>
    </row>
    <row r="71" spans="1:6" ht="19" x14ac:dyDescent="0.25">
      <c r="A71" s="3" t="s">
        <v>84</v>
      </c>
      <c r="B71" s="43">
        <v>4.7451218036873231</v>
      </c>
      <c r="C71" s="22">
        <v>0</v>
      </c>
      <c r="D71" s="172">
        <f>Tabella1[[#This Row],[Percentage of Suppliers - Raw]]/$C$151</f>
        <v>0</v>
      </c>
      <c r="E71" s="23">
        <v>0</v>
      </c>
      <c r="F71" s="34">
        <f>Tabella1[[#This Row],[Percentage of Supplier''s Facilities - Raw]]/$E$151</f>
        <v>0</v>
      </c>
    </row>
    <row r="72" spans="1:6" ht="19" x14ac:dyDescent="0.25">
      <c r="A72" s="3" t="s">
        <v>85</v>
      </c>
      <c r="B72" s="43">
        <v>3.3755878841798577</v>
      </c>
      <c r="C72" s="22">
        <v>0.1384</v>
      </c>
      <c r="D72" s="172">
        <f>Tabella1[[#This Row],[Percentage of Suppliers - Raw]]/$C$151</f>
        <v>0.14478501935348889</v>
      </c>
      <c r="E72" s="23">
        <v>0.11599999999999999</v>
      </c>
      <c r="F72" s="34">
        <f>Tabella1[[#This Row],[Percentage of Supplier''s Facilities - Raw]]/$E$151</f>
        <v>0.11706529417701085</v>
      </c>
    </row>
    <row r="73" spans="1:6" ht="19" x14ac:dyDescent="0.25">
      <c r="A73" s="3" t="s">
        <v>86</v>
      </c>
      <c r="B73" s="43">
        <v>5.1303864841692146</v>
      </c>
      <c r="C73" s="22">
        <v>0</v>
      </c>
      <c r="D73" s="172">
        <f>Tabella1[[#This Row],[Percentage of Suppliers - Raw]]/$C$151</f>
        <v>0</v>
      </c>
      <c r="E73" s="23">
        <v>1E-4</v>
      </c>
      <c r="F73" s="34">
        <f>Tabella1[[#This Row],[Percentage of Supplier''s Facilities - Raw]]/$E$151</f>
        <v>1.009183570491473E-4</v>
      </c>
    </row>
    <row r="74" spans="1:6" ht="19" x14ac:dyDescent="0.25">
      <c r="A74" s="3" t="s">
        <v>87</v>
      </c>
      <c r="B74" s="43">
        <v>4.5379079915092131</v>
      </c>
      <c r="C74" s="22">
        <v>0</v>
      </c>
      <c r="D74" s="172">
        <f>Tabella1[[#This Row],[Percentage of Suppliers - Raw]]/$C$151</f>
        <v>0</v>
      </c>
      <c r="E74" s="23">
        <v>2.0000000000000001E-4</v>
      </c>
      <c r="F74" s="34">
        <f>Tabella1[[#This Row],[Percentage of Supplier''s Facilities - Raw]]/$E$151</f>
        <v>2.018367140982946E-4</v>
      </c>
    </row>
    <row r="75" spans="1:6" ht="19" x14ac:dyDescent="0.25">
      <c r="A75" s="3" t="s">
        <v>88</v>
      </c>
      <c r="B75" s="43">
        <v>6.1313349307646918</v>
      </c>
      <c r="C75" s="22">
        <v>0</v>
      </c>
      <c r="D75" s="172">
        <f>Tabella1[[#This Row],[Percentage of Suppliers - Raw]]/$C$151</f>
        <v>0</v>
      </c>
      <c r="E75" s="23">
        <v>2.9999999999999997E-4</v>
      </c>
      <c r="F75" s="34">
        <f>Tabella1[[#This Row],[Percentage of Supplier''s Facilities - Raw]]/$E$151</f>
        <v>3.0275507114744187E-4</v>
      </c>
    </row>
    <row r="76" spans="1:6" ht="19" x14ac:dyDescent="0.25">
      <c r="A76" s="3" t="s">
        <v>89</v>
      </c>
      <c r="B76" s="43">
        <v>4.2961051501975707</v>
      </c>
      <c r="C76" s="22">
        <v>0</v>
      </c>
      <c r="D76" s="172">
        <f>Tabella1[[#This Row],[Percentage of Suppliers - Raw]]/$C$151</f>
        <v>0</v>
      </c>
      <c r="E76" s="23">
        <v>0</v>
      </c>
      <c r="F76" s="34">
        <f>Tabella1[[#This Row],[Percentage of Supplier''s Facilities - Raw]]/$E$151</f>
        <v>0</v>
      </c>
    </row>
    <row r="77" spans="1:6" ht="19" x14ac:dyDescent="0.25">
      <c r="A77" s="3" t="s">
        <v>90</v>
      </c>
      <c r="B77" s="43">
        <v>5.373680321889462</v>
      </c>
      <c r="C77" s="22">
        <v>0</v>
      </c>
      <c r="D77" s="172">
        <f>Tabella1[[#This Row],[Percentage of Suppliers - Raw]]/$C$151</f>
        <v>0</v>
      </c>
      <c r="E77" s="23">
        <v>0</v>
      </c>
      <c r="F77" s="34">
        <f>Tabella1[[#This Row],[Percentage of Supplier''s Facilities - Raw]]/$E$151</f>
        <v>0</v>
      </c>
    </row>
    <row r="78" spans="1:6" ht="19" x14ac:dyDescent="0.25">
      <c r="A78" s="3" t="s">
        <v>91</v>
      </c>
      <c r="B78" s="43">
        <v>5.1391788730224306</v>
      </c>
      <c r="C78" s="22">
        <v>0</v>
      </c>
      <c r="D78" s="172">
        <f>Tabella1[[#This Row],[Percentage of Suppliers - Raw]]/$C$151</f>
        <v>0</v>
      </c>
      <c r="E78" s="23">
        <v>0</v>
      </c>
      <c r="F78" s="34">
        <f>Tabella1[[#This Row],[Percentage of Supplier''s Facilities - Raw]]/$E$151</f>
        <v>0</v>
      </c>
    </row>
    <row r="79" spans="1:6" ht="19" x14ac:dyDescent="0.25">
      <c r="A79" s="3" t="s">
        <v>92</v>
      </c>
      <c r="B79" s="43">
        <v>3.9664492327048539</v>
      </c>
      <c r="C79" s="22">
        <v>0</v>
      </c>
      <c r="D79" s="172">
        <f>Tabella1[[#This Row],[Percentage of Suppliers - Raw]]/$C$151</f>
        <v>0</v>
      </c>
      <c r="E79" s="23">
        <v>1E-4</v>
      </c>
      <c r="F79" s="34">
        <f>Tabella1[[#This Row],[Percentage of Supplier''s Facilities - Raw]]/$E$151</f>
        <v>1.009183570491473E-4</v>
      </c>
    </row>
    <row r="80" spans="1:6" ht="19" x14ac:dyDescent="0.25">
      <c r="A80" s="3" t="s">
        <v>93</v>
      </c>
      <c r="B80" s="43">
        <v>6.1238543404169867</v>
      </c>
      <c r="C80" s="22">
        <v>0</v>
      </c>
      <c r="D80" s="172">
        <f>Tabella1[[#This Row],[Percentage of Suppliers - Raw]]/$C$151</f>
        <v>0</v>
      </c>
      <c r="E80" s="23">
        <v>1E-4</v>
      </c>
      <c r="F80" s="34">
        <f>Tabella1[[#This Row],[Percentage of Supplier''s Facilities - Raw]]/$E$151</f>
        <v>1.009183570491473E-4</v>
      </c>
    </row>
    <row r="81" spans="1:6" ht="19" x14ac:dyDescent="0.25">
      <c r="A81" s="3" t="s">
        <v>94</v>
      </c>
      <c r="B81" s="43">
        <v>5.48860822118026</v>
      </c>
      <c r="C81" s="22">
        <v>0</v>
      </c>
      <c r="D81" s="172">
        <f>Tabella1[[#This Row],[Percentage of Suppliers - Raw]]/$C$151</f>
        <v>0</v>
      </c>
      <c r="E81" s="23">
        <v>0</v>
      </c>
      <c r="F81" s="34">
        <f>Tabella1[[#This Row],[Percentage of Supplier''s Facilities - Raw]]/$E$151</f>
        <v>0</v>
      </c>
    </row>
    <row r="82" spans="1:6" ht="19" x14ac:dyDescent="0.25">
      <c r="A82" s="3" t="s">
        <v>95</v>
      </c>
      <c r="B82" s="43">
        <v>5.9675040107987867</v>
      </c>
      <c r="C82" s="22">
        <v>0</v>
      </c>
      <c r="D82" s="172">
        <f>Tabella1[[#This Row],[Percentage of Suppliers - Raw]]/$C$151</f>
        <v>0</v>
      </c>
      <c r="E82" s="23">
        <v>0</v>
      </c>
      <c r="F82" s="34">
        <f>Tabella1[[#This Row],[Percentage of Supplier''s Facilities - Raw]]/$E$151</f>
        <v>0</v>
      </c>
    </row>
    <row r="83" spans="1:6" ht="19" x14ac:dyDescent="0.25">
      <c r="A83" s="3" t="s">
        <v>96</v>
      </c>
      <c r="B83" s="43">
        <v>5.6755260890564418</v>
      </c>
      <c r="C83" s="22">
        <v>0</v>
      </c>
      <c r="D83" s="172">
        <f>Tabella1[[#This Row],[Percentage of Suppliers - Raw]]/$C$151</f>
        <v>0</v>
      </c>
      <c r="E83" s="23">
        <v>0</v>
      </c>
      <c r="F83" s="34">
        <f>Tabella1[[#This Row],[Percentage of Supplier''s Facilities - Raw]]/$E$151</f>
        <v>0</v>
      </c>
    </row>
    <row r="84" spans="1:6" ht="19" x14ac:dyDescent="0.25">
      <c r="A84" s="3" t="s">
        <v>97</v>
      </c>
      <c r="B84" s="43">
        <v>3.9263549476589308</v>
      </c>
      <c r="C84" s="22">
        <v>0</v>
      </c>
      <c r="D84" s="172">
        <f>Tabella1[[#This Row],[Percentage of Suppliers - Raw]]/$C$151</f>
        <v>0</v>
      </c>
      <c r="E84" s="23">
        <v>2.9999999999999997E-4</v>
      </c>
      <c r="F84" s="34">
        <f>Tabella1[[#This Row],[Percentage of Supplier''s Facilities - Raw]]/$E$151</f>
        <v>3.0275507114744187E-4</v>
      </c>
    </row>
    <row r="85" spans="1:6" ht="19" x14ac:dyDescent="0.25">
      <c r="A85" s="3" t="s">
        <v>98</v>
      </c>
      <c r="B85" s="43">
        <v>5.8210372928345899</v>
      </c>
      <c r="C85" s="22">
        <v>0</v>
      </c>
      <c r="D85" s="172">
        <f>Tabella1[[#This Row],[Percentage of Suppliers - Raw]]/$C$151</f>
        <v>0</v>
      </c>
      <c r="E85" s="23">
        <v>0</v>
      </c>
      <c r="F85" s="34">
        <f>Tabella1[[#This Row],[Percentage of Supplier''s Facilities - Raw]]/$E$151</f>
        <v>0</v>
      </c>
    </row>
    <row r="86" spans="1:6" ht="19" x14ac:dyDescent="0.25">
      <c r="A86" s="3" t="s">
        <v>99</v>
      </c>
      <c r="B86" s="43">
        <v>5.5779364438856991</v>
      </c>
      <c r="C86" s="22">
        <v>0</v>
      </c>
      <c r="D86" s="172">
        <f>Tabella1[[#This Row],[Percentage of Suppliers - Raw]]/$C$151</f>
        <v>0</v>
      </c>
      <c r="E86" s="23">
        <v>0</v>
      </c>
      <c r="F86" s="34">
        <f>Tabella1[[#This Row],[Percentage of Supplier''s Facilities - Raw]]/$E$151</f>
        <v>0</v>
      </c>
    </row>
    <row r="87" spans="1:6" ht="19" x14ac:dyDescent="0.25">
      <c r="A87" s="3" t="s">
        <v>100</v>
      </c>
      <c r="B87" s="43">
        <v>4.0335588563178906</v>
      </c>
      <c r="C87" s="22">
        <v>0</v>
      </c>
      <c r="D87" s="172">
        <f>Tabella1[[#This Row],[Percentage of Suppliers - Raw]]/$C$151</f>
        <v>0</v>
      </c>
      <c r="E87" s="23">
        <v>1.37E-2</v>
      </c>
      <c r="F87" s="34">
        <f>Tabella1[[#This Row],[Percentage of Supplier''s Facilities - Raw]]/$E$151</f>
        <v>1.3825814915733181E-2</v>
      </c>
    </row>
    <row r="88" spans="1:6" ht="19" x14ac:dyDescent="0.25">
      <c r="A88" s="3" t="s">
        <v>101</v>
      </c>
      <c r="B88" s="43">
        <v>7.1049758774245326</v>
      </c>
      <c r="C88" s="22">
        <v>0</v>
      </c>
      <c r="D88" s="172">
        <f>Tabella1[[#This Row],[Percentage of Suppliers - Raw]]/$C$151</f>
        <v>0</v>
      </c>
      <c r="E88" s="23">
        <v>1E-4</v>
      </c>
      <c r="F88" s="34">
        <f>Tabella1[[#This Row],[Percentage of Supplier''s Facilities - Raw]]/$E$151</f>
        <v>1.009183570491473E-4</v>
      </c>
    </row>
    <row r="89" spans="1:6" ht="19" x14ac:dyDescent="0.25">
      <c r="A89" s="3" t="s">
        <v>102</v>
      </c>
      <c r="B89" s="43">
        <v>6.2753028505143282</v>
      </c>
      <c r="C89" s="22">
        <v>0</v>
      </c>
      <c r="D89" s="172">
        <f>Tabella1[[#This Row],[Percentage of Suppliers - Raw]]/$C$151</f>
        <v>0</v>
      </c>
      <c r="E89" s="23">
        <v>0</v>
      </c>
      <c r="F89" s="34">
        <f>Tabella1[[#This Row],[Percentage of Supplier''s Facilities - Raw]]/$E$151</f>
        <v>0</v>
      </c>
    </row>
    <row r="90" spans="1:6" ht="19" x14ac:dyDescent="0.25">
      <c r="A90" s="3" t="s">
        <v>103</v>
      </c>
      <c r="B90" s="43">
        <v>3.4654790256975891</v>
      </c>
      <c r="C90" s="22">
        <v>0</v>
      </c>
      <c r="D90" s="172">
        <f>Tabella1[[#This Row],[Percentage of Suppliers - Raw]]/$C$151</f>
        <v>0</v>
      </c>
      <c r="E90" s="23">
        <v>0</v>
      </c>
      <c r="F90" s="34">
        <f>Tabella1[[#This Row],[Percentage of Supplier''s Facilities - Raw]]/$E$151</f>
        <v>0</v>
      </c>
    </row>
    <row r="91" spans="1:6" ht="19" x14ac:dyDescent="0.25">
      <c r="A91" s="3" t="s">
        <v>104</v>
      </c>
      <c r="B91" s="43">
        <v>5.4234078040770983</v>
      </c>
      <c r="C91" s="22">
        <v>0</v>
      </c>
      <c r="D91" s="172">
        <f>Tabella1[[#This Row],[Percentage of Suppliers - Raw]]/$C$151</f>
        <v>0</v>
      </c>
      <c r="E91" s="23">
        <v>2.4300000000000002E-2</v>
      </c>
      <c r="F91" s="34">
        <f>Tabella1[[#This Row],[Percentage of Supplier''s Facilities - Raw]]/$E$151</f>
        <v>2.4523160762942794E-2</v>
      </c>
    </row>
    <row r="92" spans="1:6" ht="19" x14ac:dyDescent="0.25">
      <c r="A92" s="3" t="s">
        <v>105</v>
      </c>
      <c r="B92" s="43">
        <v>5.1376667464547303</v>
      </c>
      <c r="C92" s="22">
        <v>0</v>
      </c>
      <c r="D92" s="172">
        <f>Tabella1[[#This Row],[Percentage of Suppliers - Raw]]/$C$151</f>
        <v>0</v>
      </c>
      <c r="E92" s="23">
        <v>0</v>
      </c>
      <c r="F92" s="34">
        <f>Tabella1[[#This Row],[Percentage of Supplier''s Facilities - Raw]]/$E$151</f>
        <v>0</v>
      </c>
    </row>
    <row r="93" spans="1:6" ht="19" x14ac:dyDescent="0.25">
      <c r="A93" s="3" t="s">
        <v>106</v>
      </c>
      <c r="B93" s="43">
        <v>4.6510069196773065</v>
      </c>
      <c r="C93" s="22">
        <v>0</v>
      </c>
      <c r="D93" s="172">
        <f>Tabella1[[#This Row],[Percentage of Suppliers - Raw]]/$C$151</f>
        <v>0</v>
      </c>
      <c r="E93" s="23">
        <v>1E-4</v>
      </c>
      <c r="F93" s="34">
        <f>Tabella1[[#This Row],[Percentage of Supplier''s Facilities - Raw]]/$E$151</f>
        <v>1.009183570491473E-4</v>
      </c>
    </row>
    <row r="94" spans="1:6" ht="19" x14ac:dyDescent="0.25">
      <c r="A94" s="3" t="s">
        <v>107</v>
      </c>
      <c r="B94" s="43">
        <v>5.1009280794553211</v>
      </c>
      <c r="C94" s="22">
        <v>0</v>
      </c>
      <c r="D94" s="172">
        <f>Tabella1[[#This Row],[Percentage of Suppliers - Raw]]/$C$151</f>
        <v>0</v>
      </c>
      <c r="E94" s="23">
        <v>1.6000000000000001E-3</v>
      </c>
      <c r="F94" s="34">
        <f>Tabella1[[#This Row],[Percentage of Supplier''s Facilities - Raw]]/$E$151</f>
        <v>1.6146937127863568E-3</v>
      </c>
    </row>
    <row r="95" spans="1:6" ht="19" x14ac:dyDescent="0.25">
      <c r="A95" s="3" t="s">
        <v>108</v>
      </c>
      <c r="B95" s="43">
        <v>6.2957088620382402</v>
      </c>
      <c r="C95" s="22">
        <v>0</v>
      </c>
      <c r="D95" s="172">
        <f>Tabella1[[#This Row],[Percentage of Suppliers - Raw]]/$C$151</f>
        <v>0</v>
      </c>
      <c r="E95" s="23">
        <v>0</v>
      </c>
      <c r="F95" s="34">
        <f>Tabella1[[#This Row],[Percentage of Supplier''s Facilities - Raw]]/$E$151</f>
        <v>0</v>
      </c>
    </row>
    <row r="96" spans="1:6" ht="19" x14ac:dyDescent="0.25">
      <c r="A96" s="3" t="s">
        <v>109</v>
      </c>
      <c r="B96" s="43">
        <v>4.6400800634309949</v>
      </c>
      <c r="C96" s="22">
        <v>0</v>
      </c>
      <c r="D96" s="172">
        <f>Tabella1[[#This Row],[Percentage of Suppliers - Raw]]/$C$151</f>
        <v>0</v>
      </c>
      <c r="E96" s="23">
        <v>1E-4</v>
      </c>
      <c r="F96" s="34">
        <f>Tabella1[[#This Row],[Percentage of Supplier''s Facilities - Raw]]/$E$151</f>
        <v>1.009183570491473E-4</v>
      </c>
    </row>
    <row r="97" spans="1:6" ht="19" x14ac:dyDescent="0.25">
      <c r="A97" s="3" t="s">
        <v>110</v>
      </c>
      <c r="B97" s="43">
        <v>5.7812106231736005</v>
      </c>
      <c r="C97" s="22">
        <v>0</v>
      </c>
      <c r="D97" s="172">
        <f>Tabella1[[#This Row],[Percentage of Suppliers - Raw]]/$C$151</f>
        <v>0</v>
      </c>
      <c r="E97" s="23">
        <v>0</v>
      </c>
      <c r="F97" s="34">
        <f>Tabella1[[#This Row],[Percentage of Supplier''s Facilities - Raw]]/$E$151</f>
        <v>0</v>
      </c>
    </row>
    <row r="98" spans="1:6" ht="19" x14ac:dyDescent="0.25">
      <c r="A98" s="3" t="s">
        <v>111</v>
      </c>
      <c r="B98" s="43">
        <v>3.5907872747385401</v>
      </c>
      <c r="C98" s="22">
        <v>0.01</v>
      </c>
      <c r="D98" s="172">
        <f>Tabella1[[#This Row],[Percentage of Suppliers - Raw]]/$C$151</f>
        <v>1.0461345329009313E-2</v>
      </c>
      <c r="E98" s="23">
        <v>9.300000000000001E-3</v>
      </c>
      <c r="F98" s="34">
        <f>Tabella1[[#This Row],[Percentage of Supplier''s Facilities - Raw]]/$E$151</f>
        <v>9.3854072055706995E-3</v>
      </c>
    </row>
    <row r="99" spans="1:6" ht="19" x14ac:dyDescent="0.25">
      <c r="A99" s="3" t="s">
        <v>112</v>
      </c>
      <c r="B99" s="43">
        <v>3.3163390659638341</v>
      </c>
      <c r="C99" s="22">
        <v>0</v>
      </c>
      <c r="D99" s="172">
        <f>Tabella1[[#This Row],[Percentage of Suppliers - Raw]]/$C$151</f>
        <v>0</v>
      </c>
      <c r="E99" s="23">
        <v>1.2999999999999999E-3</v>
      </c>
      <c r="F99" s="34">
        <f>Tabella1[[#This Row],[Percentage of Supplier''s Facilities - Raw]]/$E$151</f>
        <v>1.3119386416389149E-3</v>
      </c>
    </row>
    <row r="100" spans="1:6" ht="19" x14ac:dyDescent="0.25">
      <c r="A100" s="3" t="s">
        <v>113</v>
      </c>
      <c r="B100" s="43">
        <v>5.8020732010296063</v>
      </c>
      <c r="C100" s="22">
        <v>0</v>
      </c>
      <c r="D100" s="172">
        <f>Tabella1[[#This Row],[Percentage of Suppliers - Raw]]/$C$151</f>
        <v>0</v>
      </c>
      <c r="E100" s="23">
        <v>0</v>
      </c>
      <c r="F100" s="34">
        <f>Tabella1[[#This Row],[Percentage of Supplier''s Facilities - Raw]]/$E$151</f>
        <v>0</v>
      </c>
    </row>
    <row r="101" spans="1:6" ht="19" x14ac:dyDescent="0.25">
      <c r="A101" s="3" t="s">
        <v>114</v>
      </c>
      <c r="B101" s="43">
        <v>7.0685249610665801</v>
      </c>
      <c r="C101" s="22">
        <v>0</v>
      </c>
      <c r="D101" s="172">
        <f>Tabella1[[#This Row],[Percentage of Suppliers - Raw]]/$C$151</f>
        <v>0</v>
      </c>
      <c r="E101" s="23">
        <v>0</v>
      </c>
      <c r="F101" s="34">
        <f>Tabella1[[#This Row],[Percentage of Supplier''s Facilities - Raw]]/$E$151</f>
        <v>0</v>
      </c>
    </row>
    <row r="102" spans="1:6" ht="19" x14ac:dyDescent="0.25">
      <c r="A102" s="3" t="s">
        <v>115</v>
      </c>
      <c r="B102" s="43">
        <v>6.5035912603709098</v>
      </c>
      <c r="C102" s="22">
        <v>0</v>
      </c>
      <c r="D102" s="172">
        <f>Tabella1[[#This Row],[Percentage of Suppliers - Raw]]/$C$151</f>
        <v>0</v>
      </c>
      <c r="E102" s="23">
        <v>2.9999999999999997E-4</v>
      </c>
      <c r="F102" s="34">
        <f>Tabella1[[#This Row],[Percentage of Supplier''s Facilities - Raw]]/$E$151</f>
        <v>3.0275507114744187E-4</v>
      </c>
    </row>
    <row r="103" spans="1:6" ht="19" x14ac:dyDescent="0.25">
      <c r="A103" s="3" t="s">
        <v>116</v>
      </c>
      <c r="B103" s="43">
        <v>4.1624840904381539</v>
      </c>
      <c r="C103" s="22">
        <v>0</v>
      </c>
      <c r="D103" s="172">
        <f>Tabella1[[#This Row],[Percentage of Suppliers - Raw]]/$C$151</f>
        <v>0</v>
      </c>
      <c r="E103" s="23">
        <v>2.9999999999999997E-4</v>
      </c>
      <c r="F103" s="34">
        <f>Tabella1[[#This Row],[Percentage of Supplier''s Facilities - Raw]]/$E$151</f>
        <v>3.0275507114744187E-4</v>
      </c>
    </row>
    <row r="104" spans="1:6" ht="19" x14ac:dyDescent="0.25">
      <c r="A104" s="3" t="s">
        <v>117</v>
      </c>
      <c r="B104" s="43">
        <v>3.3787152608913655</v>
      </c>
      <c r="C104" s="22">
        <v>4.3E-3</v>
      </c>
      <c r="D104" s="172">
        <f>Tabella1[[#This Row],[Percentage of Suppliers - Raw]]/$C$151</f>
        <v>4.4983784914740046E-3</v>
      </c>
      <c r="E104" s="23">
        <v>2.8000000000000004E-3</v>
      </c>
      <c r="F104" s="34">
        <f>Tabella1[[#This Row],[Percentage of Supplier''s Facilities - Raw]]/$E$151</f>
        <v>2.8257139973761245E-3</v>
      </c>
    </row>
    <row r="105" spans="1:6" ht="19" x14ac:dyDescent="0.25">
      <c r="A105" s="3" t="s">
        <v>118</v>
      </c>
      <c r="B105" s="43">
        <v>4.0162254988757935</v>
      </c>
      <c r="C105" s="22">
        <v>0</v>
      </c>
      <c r="D105" s="172">
        <f>Tabella1[[#This Row],[Percentage of Suppliers - Raw]]/$C$151</f>
        <v>0</v>
      </c>
      <c r="E105" s="23">
        <v>2.0000000000000001E-4</v>
      </c>
      <c r="F105" s="34">
        <f>Tabella1[[#This Row],[Percentage of Supplier''s Facilities - Raw]]/$E$151</f>
        <v>2.018367140982946E-4</v>
      </c>
    </row>
    <row r="106" spans="1:6" ht="19" x14ac:dyDescent="0.25">
      <c r="A106" s="3" t="s">
        <v>119</v>
      </c>
      <c r="B106" s="43">
        <v>6.648668082818161</v>
      </c>
      <c r="C106" s="22">
        <v>0</v>
      </c>
      <c r="D106" s="172">
        <f>Tabella1[[#This Row],[Percentage of Suppliers - Raw]]/$C$151</f>
        <v>0</v>
      </c>
      <c r="E106" s="23">
        <v>2.0000000000000001E-4</v>
      </c>
      <c r="F106" s="34">
        <f>Tabella1[[#This Row],[Percentage of Supplier''s Facilities - Raw]]/$E$151</f>
        <v>2.018367140982946E-4</v>
      </c>
    </row>
    <row r="107" spans="1:6" ht="19" x14ac:dyDescent="0.25">
      <c r="A107" s="3" t="s">
        <v>120</v>
      </c>
      <c r="B107" s="43">
        <v>4.5635733416096631</v>
      </c>
      <c r="C107" s="22">
        <v>0</v>
      </c>
      <c r="D107" s="172">
        <f>Tabella1[[#This Row],[Percentage of Suppliers - Raw]]/$C$151</f>
        <v>0</v>
      </c>
      <c r="E107" s="23">
        <v>1E-4</v>
      </c>
      <c r="F107" s="34">
        <f>Tabella1[[#This Row],[Percentage of Supplier''s Facilities - Raw]]/$E$151</f>
        <v>1.009183570491473E-4</v>
      </c>
    </row>
    <row r="108" spans="1:6" ht="19" x14ac:dyDescent="0.25">
      <c r="A108" s="3" t="s">
        <v>121</v>
      </c>
      <c r="B108" s="43">
        <v>5.3398873222843388</v>
      </c>
      <c r="C108" s="22">
        <v>0</v>
      </c>
      <c r="D108" s="172">
        <f>Tabella1[[#This Row],[Percentage of Suppliers - Raw]]/$C$151</f>
        <v>0</v>
      </c>
      <c r="E108" s="23">
        <v>0</v>
      </c>
      <c r="F108" s="34">
        <f>Tabella1[[#This Row],[Percentage of Supplier''s Facilities - Raw]]/$E$151</f>
        <v>0</v>
      </c>
    </row>
    <row r="109" spans="1:6" ht="19" x14ac:dyDescent="0.25">
      <c r="A109" s="3" t="s">
        <v>122</v>
      </c>
      <c r="B109" s="43">
        <v>4.7159164073345954</v>
      </c>
      <c r="C109" s="22">
        <v>0</v>
      </c>
      <c r="D109" s="172">
        <f>Tabella1[[#This Row],[Percentage of Suppliers - Raw]]/$C$151</f>
        <v>0</v>
      </c>
      <c r="E109" s="23">
        <v>4.0000000000000002E-4</v>
      </c>
      <c r="F109" s="34">
        <f>Tabella1[[#This Row],[Percentage of Supplier''s Facilities - Raw]]/$E$151</f>
        <v>4.036734281965892E-4</v>
      </c>
    </row>
    <row r="110" spans="1:6" ht="19" x14ac:dyDescent="0.25">
      <c r="A110" s="3" t="s">
        <v>123</v>
      </c>
      <c r="B110" s="43">
        <v>5.2817219635350439</v>
      </c>
      <c r="C110" s="22">
        <v>0</v>
      </c>
      <c r="D110" s="172">
        <f>Tabella1[[#This Row],[Percentage of Suppliers - Raw]]/$C$151</f>
        <v>0</v>
      </c>
      <c r="E110" s="23">
        <v>1E-3</v>
      </c>
      <c r="F110" s="34">
        <f>Tabella1[[#This Row],[Percentage of Supplier''s Facilities - Raw]]/$E$151</f>
        <v>1.0091835704914729E-3</v>
      </c>
    </row>
    <row r="111" spans="1:6" ht="19" x14ac:dyDescent="0.25">
      <c r="A111" s="3" t="s">
        <v>124</v>
      </c>
      <c r="B111" s="43">
        <v>5.8016442493647551</v>
      </c>
      <c r="C111" s="22">
        <v>1.4E-3</v>
      </c>
      <c r="D111" s="172">
        <f>Tabella1[[#This Row],[Percentage of Suppliers - Raw]]/$C$151</f>
        <v>1.4645883460613039E-3</v>
      </c>
      <c r="E111" s="23">
        <v>6.5000000000000006E-3</v>
      </c>
      <c r="F111" s="34">
        <f>Tabella1[[#This Row],[Percentage of Supplier''s Facilities - Raw]]/$E$151</f>
        <v>6.5596932081945745E-3</v>
      </c>
    </row>
    <row r="112" spans="1:6" ht="19" x14ac:dyDescent="0.25">
      <c r="A112" s="3" t="s">
        <v>125</v>
      </c>
      <c r="B112" s="43">
        <v>4.1502930814875194</v>
      </c>
      <c r="C112" s="22">
        <v>1.4E-3</v>
      </c>
      <c r="D112" s="172">
        <f>Tabella1[[#This Row],[Percentage of Suppliers - Raw]]/$C$151</f>
        <v>1.4645883460613039E-3</v>
      </c>
      <c r="E112" s="23">
        <v>9.3999999999999986E-3</v>
      </c>
      <c r="F112" s="34">
        <f>Tabella1[[#This Row],[Percentage of Supplier''s Facilities - Raw]]/$E$151</f>
        <v>9.4863255626198451E-3</v>
      </c>
    </row>
    <row r="113" spans="1:7" ht="19" x14ac:dyDescent="0.25">
      <c r="A113" s="3" t="s">
        <v>126</v>
      </c>
      <c r="B113" s="43">
        <v>3.4281858950270068</v>
      </c>
      <c r="C113" s="22">
        <v>1.4E-3</v>
      </c>
      <c r="D113" s="172">
        <f>Tabella1[[#This Row],[Percentage of Suppliers - Raw]]/$C$151</f>
        <v>1.4645883460613039E-3</v>
      </c>
      <c r="E113" s="23">
        <v>1.8E-3</v>
      </c>
      <c r="F113" s="34">
        <f>Tabella1[[#This Row],[Percentage of Supplier''s Facilities - Raw]]/$E$151</f>
        <v>1.8165304268846513E-3</v>
      </c>
    </row>
    <row r="114" spans="1:7" ht="19" x14ac:dyDescent="0.25">
      <c r="A114" s="3" t="s">
        <v>127</v>
      </c>
      <c r="B114" s="43">
        <v>3.1959809471990606</v>
      </c>
      <c r="C114" s="22">
        <v>0</v>
      </c>
      <c r="D114" s="172">
        <f>Tabella1[[#This Row],[Percentage of Suppliers - Raw]]/$C$151</f>
        <v>0</v>
      </c>
      <c r="E114" s="23">
        <v>2.0000000000000001E-4</v>
      </c>
      <c r="F114" s="34">
        <f>Tabella1[[#This Row],[Percentage of Supplier''s Facilities - Raw]]/$E$151</f>
        <v>2.018367140982946E-4</v>
      </c>
    </row>
    <row r="115" spans="1:7" ht="19" x14ac:dyDescent="0.25">
      <c r="A115" s="3" t="s">
        <v>128</v>
      </c>
      <c r="B115" s="43">
        <v>4.0482582591129548</v>
      </c>
      <c r="C115" s="22">
        <v>0</v>
      </c>
      <c r="D115" s="172">
        <f>Tabella1[[#This Row],[Percentage of Suppliers - Raw]]/$C$151</f>
        <v>0</v>
      </c>
      <c r="E115" s="23">
        <v>3.4999999999999996E-3</v>
      </c>
      <c r="F115" s="34">
        <f>Tabella1[[#This Row],[Percentage of Supplier''s Facilities - Raw]]/$E$151</f>
        <v>3.5321424967201549E-3</v>
      </c>
      <c r="G115" s="6"/>
    </row>
    <row r="116" spans="1:7" ht="19" x14ac:dyDescent="0.25">
      <c r="A116" s="3" t="s">
        <v>129</v>
      </c>
      <c r="B116" s="43">
        <v>5.9582623064002229</v>
      </c>
      <c r="C116" s="22">
        <v>0</v>
      </c>
      <c r="D116" s="172">
        <f>Tabella1[[#This Row],[Percentage of Suppliers - Raw]]/$C$151</f>
        <v>0</v>
      </c>
      <c r="E116" s="23">
        <v>1.8E-3</v>
      </c>
      <c r="F116" s="34">
        <f>Tabella1[[#This Row],[Percentage of Supplier''s Facilities - Raw]]/$E$151</f>
        <v>1.8165304268846513E-3</v>
      </c>
    </row>
    <row r="117" spans="1:7" ht="19" x14ac:dyDescent="0.25">
      <c r="A117" s="3" t="s">
        <v>130</v>
      </c>
      <c r="B117" s="43">
        <v>5.4717687502053103</v>
      </c>
      <c r="C117" s="22">
        <v>0</v>
      </c>
      <c r="D117" s="172">
        <f>Tabella1[[#This Row],[Percentage of Suppliers - Raw]]/$C$151</f>
        <v>0</v>
      </c>
      <c r="E117" s="23">
        <v>0</v>
      </c>
      <c r="F117" s="34">
        <f>Tabella1[[#This Row],[Percentage of Supplier''s Facilities - Raw]]/$E$151</f>
        <v>0</v>
      </c>
    </row>
    <row r="118" spans="1:7" ht="19" x14ac:dyDescent="0.25">
      <c r="A118" s="3" t="s">
        <v>131</v>
      </c>
      <c r="B118" s="43">
        <v>4.4233746630959043</v>
      </c>
      <c r="C118" s="22">
        <v>0</v>
      </c>
      <c r="D118" s="172">
        <f>Tabella1[[#This Row],[Percentage of Suppliers - Raw]]/$C$151</f>
        <v>0</v>
      </c>
      <c r="E118" s="23">
        <v>3.8E-3</v>
      </c>
      <c r="F118" s="34">
        <f>Tabella1[[#This Row],[Percentage of Supplier''s Facilities - Raw]]/$E$151</f>
        <v>3.8348975678675974E-3</v>
      </c>
    </row>
    <row r="119" spans="1:7" ht="19" x14ac:dyDescent="0.25">
      <c r="A119" s="3" t="s">
        <v>132</v>
      </c>
      <c r="B119" s="43">
        <v>5.3961053213656953</v>
      </c>
      <c r="C119" s="22">
        <v>0</v>
      </c>
      <c r="D119" s="172">
        <f>Tabella1[[#This Row],[Percentage of Suppliers - Raw]]/$C$151</f>
        <v>0</v>
      </c>
      <c r="E119" s="23">
        <v>1E-4</v>
      </c>
      <c r="F119" s="34">
        <f>Tabella1[[#This Row],[Percentage of Supplier''s Facilities - Raw]]/$E$151</f>
        <v>1.009183570491473E-4</v>
      </c>
    </row>
    <row r="120" spans="1:7" ht="19" x14ac:dyDescent="0.25">
      <c r="A120" s="3" t="s">
        <v>133</v>
      </c>
      <c r="B120" s="43">
        <v>5.0353573500743858</v>
      </c>
      <c r="C120" s="22">
        <v>0</v>
      </c>
      <c r="D120" s="172">
        <f>Tabella1[[#This Row],[Percentage of Suppliers - Raw]]/$C$151</f>
        <v>0</v>
      </c>
      <c r="E120" s="23">
        <v>4.0000000000000002E-4</v>
      </c>
      <c r="F120" s="34">
        <f>Tabella1[[#This Row],[Percentage of Supplier''s Facilities - Raw]]/$E$151</f>
        <v>4.036734281965892E-4</v>
      </c>
    </row>
    <row r="121" spans="1:7" ht="19" x14ac:dyDescent="0.25">
      <c r="A121" s="3" t="s">
        <v>134</v>
      </c>
      <c r="B121" s="43">
        <v>5.6408231615395454</v>
      </c>
      <c r="C121" s="22">
        <v>0</v>
      </c>
      <c r="D121" s="172">
        <f>Tabella1[[#This Row],[Percentage of Suppliers - Raw]]/$C$151</f>
        <v>0</v>
      </c>
      <c r="E121" s="23">
        <v>0</v>
      </c>
      <c r="F121" s="34">
        <f>Tabella1[[#This Row],[Percentage of Supplier''s Facilities - Raw]]/$E$151</f>
        <v>0</v>
      </c>
    </row>
    <row r="122" spans="1:7" ht="19" x14ac:dyDescent="0.25">
      <c r="A122" s="3" t="s">
        <v>135</v>
      </c>
      <c r="B122" s="43">
        <v>3.0386535635012972</v>
      </c>
      <c r="C122" s="22">
        <v>1.14E-2</v>
      </c>
      <c r="D122" s="172">
        <f>Tabella1[[#This Row],[Percentage of Suppliers - Raw]]/$C$151</f>
        <v>1.1925933675070617E-2</v>
      </c>
      <c r="E122" s="23">
        <v>9.7999999999999997E-3</v>
      </c>
      <c r="F122" s="34">
        <f>Tabella1[[#This Row],[Percentage of Supplier''s Facilities - Raw]]/$E$151</f>
        <v>9.8899989908164346E-3</v>
      </c>
    </row>
    <row r="123" spans="1:7" ht="19" x14ac:dyDescent="0.25">
      <c r="A123" s="3" t="s">
        <v>136</v>
      </c>
      <c r="B123" s="43">
        <v>3.791880207241451</v>
      </c>
      <c r="C123" s="22">
        <v>0</v>
      </c>
      <c r="D123" s="172">
        <f>Tabella1[[#This Row],[Percentage of Suppliers - Raw]]/$C$151</f>
        <v>0</v>
      </c>
      <c r="E123" s="23">
        <v>2.0999999999999999E-3</v>
      </c>
      <c r="F123" s="34">
        <f>Tabella1[[#This Row],[Percentage of Supplier''s Facilities - Raw]]/$E$151</f>
        <v>2.1192854980320933E-3</v>
      </c>
    </row>
    <row r="124" spans="1:7" ht="19" x14ac:dyDescent="0.25">
      <c r="A124" s="3" t="s">
        <v>137</v>
      </c>
      <c r="B124" s="43">
        <v>3.4781584832038352</v>
      </c>
      <c r="C124" s="22">
        <v>0</v>
      </c>
      <c r="D124" s="172">
        <f>Tabella1[[#This Row],[Percentage of Suppliers - Raw]]/$C$151</f>
        <v>0</v>
      </c>
      <c r="E124" s="23">
        <v>1.2999999999999999E-3</v>
      </c>
      <c r="F124" s="34">
        <f>Tabella1[[#This Row],[Percentage of Supplier''s Facilities - Raw]]/$E$151</f>
        <v>1.3119386416389149E-3</v>
      </c>
    </row>
    <row r="125" spans="1:7" ht="19" x14ac:dyDescent="0.25">
      <c r="A125" s="3" t="s">
        <v>138</v>
      </c>
      <c r="B125" s="43">
        <v>5.2224005392752639</v>
      </c>
      <c r="C125" s="22">
        <v>1.4E-3</v>
      </c>
      <c r="D125" s="172">
        <f>Tabella1[[#This Row],[Percentage of Suppliers - Raw]]/$C$151</f>
        <v>1.4645883460613039E-3</v>
      </c>
      <c r="E125" s="23">
        <v>3.5999999999999999E-3</v>
      </c>
      <c r="F125" s="34">
        <f>Tabella1[[#This Row],[Percentage of Supplier''s Facilities - Raw]]/$E$151</f>
        <v>3.6330608537693027E-3</v>
      </c>
    </row>
    <row r="126" spans="1:7" ht="19" x14ac:dyDescent="0.25">
      <c r="A126" s="3" t="s">
        <v>139</v>
      </c>
      <c r="B126" s="43">
        <v>3.5667851803481079</v>
      </c>
      <c r="C126" s="22">
        <v>8.1299999999999997E-2</v>
      </c>
      <c r="D126" s="172">
        <f>Tabella1[[#This Row],[Percentage of Suppliers - Raw]]/$C$151</f>
        <v>8.505073752484571E-2</v>
      </c>
      <c r="E126" s="23">
        <v>2.8799999999999999E-2</v>
      </c>
      <c r="F126" s="34">
        <f>Tabella1[[#This Row],[Percentage of Supplier''s Facilities - Raw]]/$E$151</f>
        <v>2.9064486830154421E-2</v>
      </c>
    </row>
    <row r="127" spans="1:7" ht="19" x14ac:dyDescent="0.25">
      <c r="A127" s="3" t="s">
        <v>140</v>
      </c>
      <c r="B127" s="43">
        <v>3.7006443947932954</v>
      </c>
      <c r="C127" s="22">
        <v>1.4E-3</v>
      </c>
      <c r="D127" s="172">
        <f>Tabella1[[#This Row],[Percentage of Suppliers - Raw]]/$C$151</f>
        <v>1.4645883460613039E-3</v>
      </c>
      <c r="E127" s="23">
        <v>1.23E-2</v>
      </c>
      <c r="F127" s="34">
        <f>Tabella1[[#This Row],[Percentage of Supplier''s Facilities - Raw]]/$E$151</f>
        <v>1.2412957917045117E-2</v>
      </c>
    </row>
    <row r="128" spans="1:7" ht="19" x14ac:dyDescent="0.25">
      <c r="A128" s="2" t="s">
        <v>141</v>
      </c>
      <c r="B128" s="43">
        <v>5.1109914616879202</v>
      </c>
      <c r="C128" s="22">
        <v>0</v>
      </c>
      <c r="D128" s="172">
        <f>Tabella1[[#This Row],[Percentage of Suppliers - Raw]]/$C$151</f>
        <v>0</v>
      </c>
      <c r="E128" s="23">
        <v>0</v>
      </c>
      <c r="F128" s="34">
        <f>Tabella1[[#This Row],[Percentage of Supplier''s Facilities - Raw]]/$E$151</f>
        <v>0</v>
      </c>
    </row>
    <row r="129" spans="1:6" ht="19" x14ac:dyDescent="0.25">
      <c r="A129" s="3" t="s">
        <v>142</v>
      </c>
      <c r="B129" s="43">
        <v>7.0987237940608701</v>
      </c>
      <c r="C129" s="22">
        <v>0</v>
      </c>
      <c r="D129" s="172">
        <f>Tabella1[[#This Row],[Percentage of Suppliers - Raw]]/$C$151</f>
        <v>0</v>
      </c>
      <c r="E129" s="23">
        <v>0</v>
      </c>
      <c r="F129" s="34">
        <f>Tabella1[[#This Row],[Percentage of Supplier''s Facilities - Raw]]/$E$151</f>
        <v>0</v>
      </c>
    </row>
    <row r="130" spans="1:6" ht="19" x14ac:dyDescent="0.25">
      <c r="A130" s="3" t="s">
        <v>143</v>
      </c>
      <c r="B130" s="43">
        <v>3.5240069552478133</v>
      </c>
      <c r="C130" s="22">
        <v>2.8999999999999998E-3</v>
      </c>
      <c r="D130" s="172">
        <f>Tabella1[[#This Row],[Percentage of Suppliers - Raw]]/$C$151</f>
        <v>3.0337901454127007E-3</v>
      </c>
      <c r="E130" s="23">
        <v>8.3999999999999995E-3</v>
      </c>
      <c r="F130" s="34">
        <f>Tabella1[[#This Row],[Percentage of Supplier''s Facilities - Raw]]/$E$151</f>
        <v>8.477141992128373E-3</v>
      </c>
    </row>
    <row r="131" spans="1:6" ht="19" x14ac:dyDescent="0.25">
      <c r="A131" s="3" t="s">
        <v>144</v>
      </c>
      <c r="B131" s="43">
        <v>2.7770010876672497</v>
      </c>
      <c r="C131" s="22">
        <v>1.43E-2</v>
      </c>
      <c r="D131" s="172">
        <f>Tabella1[[#This Row],[Percentage of Suppliers - Raw]]/$C$151</f>
        <v>1.4959723820483318E-2</v>
      </c>
      <c r="E131" s="23">
        <v>7.4000000000000003E-3</v>
      </c>
      <c r="F131" s="34">
        <f>Tabella1[[#This Row],[Percentage of Supplier''s Facilities - Raw]]/$E$151</f>
        <v>7.4679584216369001E-3</v>
      </c>
    </row>
    <row r="132" spans="1:6" ht="19" x14ac:dyDescent="0.25">
      <c r="A132" s="3" t="s">
        <v>145</v>
      </c>
      <c r="B132" s="43">
        <v>7.3330533031040499</v>
      </c>
      <c r="C132" s="22">
        <v>0</v>
      </c>
      <c r="D132" s="172">
        <f>Tabella1[[#This Row],[Percentage of Suppliers - Raw]]/$C$151</f>
        <v>0</v>
      </c>
      <c r="E132" s="23">
        <v>1E-4</v>
      </c>
      <c r="F132" s="34">
        <f>Tabella1[[#This Row],[Percentage of Supplier''s Facilities - Raw]]/$E$151</f>
        <v>1.009183570491473E-4</v>
      </c>
    </row>
    <row r="133" spans="1:6" ht="19" x14ac:dyDescent="0.25">
      <c r="A133" s="3" t="s">
        <v>146</v>
      </c>
      <c r="B133" s="43">
        <v>5.6864357260548895</v>
      </c>
      <c r="C133" s="22">
        <v>0</v>
      </c>
      <c r="D133" s="172">
        <f>Tabella1[[#This Row],[Percentage of Suppliers - Raw]]/$C$151</f>
        <v>0</v>
      </c>
      <c r="E133" s="23">
        <v>0</v>
      </c>
      <c r="F133" s="34">
        <f>Tabella1[[#This Row],[Percentage of Supplier''s Facilities - Raw]]/$E$151</f>
        <v>0</v>
      </c>
    </row>
    <row r="134" spans="1:6" ht="19" x14ac:dyDescent="0.25">
      <c r="A134" s="3" t="s">
        <v>147</v>
      </c>
      <c r="B134" s="43">
        <v>5.2061146997824723</v>
      </c>
      <c r="C134" s="22">
        <v>0</v>
      </c>
      <c r="D134" s="172">
        <f>Tabella1[[#This Row],[Percentage of Suppliers - Raw]]/$C$151</f>
        <v>0</v>
      </c>
      <c r="E134" s="23">
        <v>1.8000000000000002E-2</v>
      </c>
      <c r="F134" s="34">
        <f>Tabella1[[#This Row],[Percentage of Supplier''s Facilities - Raw]]/$E$151</f>
        <v>1.8165304268846515E-2</v>
      </c>
    </row>
    <row r="135" spans="1:6" ht="19" x14ac:dyDescent="0.25">
      <c r="A135" s="3" t="s">
        <v>148</v>
      </c>
      <c r="B135" s="43">
        <v>5.1473122500344015</v>
      </c>
      <c r="C135" s="22">
        <v>0</v>
      </c>
      <c r="D135" s="172">
        <f>Tabella1[[#This Row],[Percentage of Suppliers - Raw]]/$C$151</f>
        <v>0</v>
      </c>
      <c r="E135" s="23">
        <v>0</v>
      </c>
      <c r="F135" s="34">
        <f>Tabella1[[#This Row],[Percentage of Supplier''s Facilities - Raw]]/$E$151</f>
        <v>0</v>
      </c>
    </row>
    <row r="136" spans="1:6" ht="19" x14ac:dyDescent="0.25">
      <c r="A136" s="3" t="s">
        <v>149</v>
      </c>
      <c r="B136" s="43">
        <v>5.8734951860587028</v>
      </c>
      <c r="C136" s="22">
        <v>0</v>
      </c>
      <c r="D136" s="172">
        <f>Tabella1[[#This Row],[Percentage of Suppliers - Raw]]/$C$151</f>
        <v>0</v>
      </c>
      <c r="E136" s="23">
        <v>0</v>
      </c>
      <c r="F136" s="34">
        <f>Tabella1[[#This Row],[Percentage of Supplier''s Facilities - Raw]]/$E$151</f>
        <v>0</v>
      </c>
    </row>
    <row r="137" spans="1:6" ht="19" x14ac:dyDescent="0.25">
      <c r="A137" s="3" t="s">
        <v>150</v>
      </c>
      <c r="B137" s="43">
        <v>4.3829710171749507</v>
      </c>
      <c r="C137" s="22">
        <v>0</v>
      </c>
      <c r="D137" s="172">
        <f>Tabella1[[#This Row],[Percentage of Suppliers - Raw]]/$C$151</f>
        <v>0</v>
      </c>
      <c r="E137" s="23">
        <v>0</v>
      </c>
      <c r="F137" s="34">
        <f>Tabella1[[#This Row],[Percentage of Supplier''s Facilities - Raw]]/$E$151</f>
        <v>0</v>
      </c>
    </row>
    <row r="138" spans="1:6" ht="19" x14ac:dyDescent="0.25">
      <c r="A138" s="3" t="s">
        <v>151</v>
      </c>
      <c r="B138" s="43">
        <v>5.1269871649881278</v>
      </c>
      <c r="C138" s="22">
        <v>0</v>
      </c>
      <c r="D138" s="172">
        <f>Tabella1[[#This Row],[Percentage of Suppliers - Raw]]/$C$151</f>
        <v>0</v>
      </c>
      <c r="E138" s="23">
        <v>0</v>
      </c>
      <c r="F138" s="34">
        <f>Tabella1[[#This Row],[Percentage of Supplier''s Facilities - Raw]]/$E$151</f>
        <v>0</v>
      </c>
    </row>
    <row r="139" spans="1:6" ht="19" x14ac:dyDescent="0.25">
      <c r="A139" s="3" t="s">
        <v>152</v>
      </c>
      <c r="B139" s="43">
        <v>5.2574384214456868</v>
      </c>
      <c r="C139" s="22">
        <v>0</v>
      </c>
      <c r="D139" s="172">
        <f>Tabella1[[#This Row],[Percentage of Suppliers - Raw]]/$C$151</f>
        <v>0</v>
      </c>
      <c r="E139" s="23">
        <v>5.7999999999999996E-3</v>
      </c>
      <c r="F139" s="34">
        <f>Tabella1[[#This Row],[Percentage of Supplier''s Facilities - Raw]]/$E$151</f>
        <v>5.8532647088505429E-3</v>
      </c>
    </row>
    <row r="140" spans="1:6" ht="19" x14ac:dyDescent="0.25">
      <c r="A140" s="3" t="s">
        <v>153</v>
      </c>
      <c r="B140" s="43">
        <v>6.2888889425300309</v>
      </c>
      <c r="C140" s="22">
        <v>0</v>
      </c>
      <c r="D140" s="172">
        <f>Tabella1[[#This Row],[Percentage of Suppliers - Raw]]/$C$151</f>
        <v>0</v>
      </c>
      <c r="E140" s="23">
        <v>0</v>
      </c>
      <c r="F140" s="34">
        <f>Tabella1[[#This Row],[Percentage of Supplier''s Facilities - Raw]]/$E$151</f>
        <v>0</v>
      </c>
    </row>
    <row r="141" spans="1:6" ht="19" x14ac:dyDescent="0.25">
      <c r="A141" s="3" t="s">
        <v>154</v>
      </c>
      <c r="B141" s="43">
        <v>6.3476767840395238</v>
      </c>
      <c r="C141" s="22">
        <v>0</v>
      </c>
      <c r="D141" s="172">
        <f>Tabella1[[#This Row],[Percentage of Suppliers - Raw]]/$C$151</f>
        <v>0</v>
      </c>
      <c r="E141" s="23">
        <v>1.1000000000000001E-3</v>
      </c>
      <c r="F141" s="34">
        <f>Tabella1[[#This Row],[Percentage of Supplier''s Facilities - Raw]]/$E$151</f>
        <v>1.1101019275406203E-3</v>
      </c>
    </row>
    <row r="142" spans="1:6" ht="19" x14ac:dyDescent="0.25">
      <c r="A142" s="3" t="s">
        <v>155</v>
      </c>
      <c r="B142" s="43">
        <v>3.7156413836197295</v>
      </c>
      <c r="C142" s="22">
        <v>1.4E-3</v>
      </c>
      <c r="D142" s="172">
        <f>Tabella1[[#This Row],[Percentage of Suppliers - Raw]]/$C$151</f>
        <v>1.4645883460613039E-3</v>
      </c>
      <c r="E142" s="23">
        <v>1.2999999999999999E-3</v>
      </c>
      <c r="F142" s="34">
        <f>Tabella1[[#This Row],[Percentage of Supplier''s Facilities - Raw]]/$E$151</f>
        <v>1.3119386416389149E-3</v>
      </c>
    </row>
    <row r="143" spans="1:6" ht="19" x14ac:dyDescent="0.25">
      <c r="A143" s="3" t="s">
        <v>156</v>
      </c>
      <c r="B143" s="43">
        <v>3.3179607898236139</v>
      </c>
      <c r="C143" s="22">
        <v>3.85E-2</v>
      </c>
      <c r="D143" s="172">
        <f>Tabella1[[#This Row],[Percentage of Suppliers - Raw]]/$C$151</f>
        <v>4.0276179516685856E-2</v>
      </c>
      <c r="E143" s="23">
        <v>2.3599999999999999E-2</v>
      </c>
      <c r="F143" s="34">
        <f>Tabella1[[#This Row],[Percentage of Supplier''s Facilities - Raw]]/$E$151</f>
        <v>2.3816732263598761E-2</v>
      </c>
    </row>
    <row r="144" spans="1:6" ht="19" x14ac:dyDescent="0.25">
      <c r="A144" s="3" t="s">
        <v>157</v>
      </c>
      <c r="B144" s="43">
        <v>4.1903553610988471</v>
      </c>
      <c r="C144" s="22">
        <v>0.2311</v>
      </c>
      <c r="D144" s="172">
        <f>Tabella1[[#This Row],[Percentage of Suppliers - Raw]]/$C$151</f>
        <v>0.24176169055340524</v>
      </c>
      <c r="E144" s="23">
        <v>0.21809999999999999</v>
      </c>
      <c r="F144" s="34">
        <f>Tabella1[[#This Row],[Percentage of Supplier''s Facilities - Raw]]/$E$151</f>
        <v>0.22010293672419023</v>
      </c>
    </row>
    <row r="145" spans="1:6" ht="19" x14ac:dyDescent="0.25">
      <c r="A145" s="3" t="s">
        <v>158</v>
      </c>
      <c r="B145" s="43">
        <v>3.9104307580301834</v>
      </c>
      <c r="C145" s="22">
        <v>0</v>
      </c>
      <c r="D145" s="172">
        <f>Tabella1[[#This Row],[Percentage of Suppliers - Raw]]/$C$151</f>
        <v>0</v>
      </c>
      <c r="E145" s="23">
        <v>1E-4</v>
      </c>
      <c r="F145" s="34">
        <f>Tabella1[[#This Row],[Percentage of Supplier''s Facilities - Raw]]/$E$151</f>
        <v>1.009183570491473E-4</v>
      </c>
    </row>
    <row r="146" spans="1:6" ht="19" x14ac:dyDescent="0.25">
      <c r="A146" s="3" t="s">
        <v>159</v>
      </c>
      <c r="B146" s="43">
        <v>5.7741934156294281</v>
      </c>
      <c r="C146" s="22">
        <v>0</v>
      </c>
      <c r="D146" s="172">
        <f>Tabella1[[#This Row],[Percentage of Suppliers - Raw]]/$C$151</f>
        <v>0</v>
      </c>
      <c r="E146" s="23">
        <v>4.0000000000000002E-4</v>
      </c>
      <c r="F146" s="34">
        <f>Tabella1[[#This Row],[Percentage of Supplier''s Facilities - Raw]]/$E$151</f>
        <v>4.036734281965892E-4</v>
      </c>
    </row>
    <row r="147" spans="1:6" ht="19" x14ac:dyDescent="0.25">
      <c r="A147" s="3" t="s">
        <v>160</v>
      </c>
      <c r="B147" s="43">
        <v>4.3230065548271748</v>
      </c>
      <c r="C147" s="22">
        <v>2.8999999999999998E-3</v>
      </c>
      <c r="D147" s="172">
        <f>Tabella1[[#This Row],[Percentage of Suppliers - Raw]]/$C$151</f>
        <v>3.0337901454127007E-3</v>
      </c>
      <c r="E147" s="23">
        <v>1.83E-2</v>
      </c>
      <c r="F147" s="34">
        <f>Tabella1[[#This Row],[Percentage of Supplier''s Facilities - Raw]]/$E$151</f>
        <v>1.8468059339993955E-2</v>
      </c>
    </row>
    <row r="148" spans="1:6" ht="19" x14ac:dyDescent="0.25">
      <c r="A148" s="3" t="s">
        <v>161</v>
      </c>
      <c r="B148" s="43">
        <v>6.3044304196425287</v>
      </c>
      <c r="C148" s="22">
        <v>0</v>
      </c>
      <c r="D148" s="172">
        <f>Tabella1[[#This Row],[Percentage of Suppliers - Raw]]/$C$151</f>
        <v>0</v>
      </c>
      <c r="E148" s="23">
        <v>0</v>
      </c>
      <c r="F148" s="34">
        <f>Tabella1[[#This Row],[Percentage of Supplier''s Facilities - Raw]]/$E$151</f>
        <v>0</v>
      </c>
    </row>
    <row r="149" spans="1:6" ht="19" x14ac:dyDescent="0.25">
      <c r="A149" s="3" t="s">
        <v>162</v>
      </c>
      <c r="B149" s="43">
        <v>4.9494000233782742</v>
      </c>
      <c r="C149" s="22">
        <v>0</v>
      </c>
      <c r="D149" s="172">
        <f>Tabella1[[#This Row],[Percentage of Suppliers - Raw]]/$C$151</f>
        <v>0</v>
      </c>
      <c r="E149" s="23">
        <v>1E-4</v>
      </c>
      <c r="F149" s="34">
        <f>Tabella1[[#This Row],[Percentage of Supplier''s Facilities - Raw]]/$E$151</f>
        <v>1.009183570491473E-4</v>
      </c>
    </row>
    <row r="150" spans="1:6" ht="19" x14ac:dyDescent="0.25">
      <c r="A150" s="3" t="s">
        <v>163</v>
      </c>
      <c r="B150" s="43">
        <v>6.1447845309536486</v>
      </c>
      <c r="C150" s="22">
        <v>0</v>
      </c>
      <c r="D150" s="172">
        <f>Tabella1[[#This Row],[Percentage of Suppliers - Raw]]/$C$151</f>
        <v>0</v>
      </c>
      <c r="E150" s="23">
        <v>1E-4</v>
      </c>
      <c r="F150" s="34">
        <f>Tabella1[[#This Row],[Percentage of Supplier''s Facilities - Raw]]/$E$151</f>
        <v>1.009183570491473E-4</v>
      </c>
    </row>
    <row r="151" spans="1:6" ht="15.75" customHeight="1" x14ac:dyDescent="0.25">
      <c r="A151" s="30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0.95589999999999975</v>
      </c>
      <c r="D151" s="173">
        <f>Tabella1[[#This Row],[Percentage of Suppliers - Raw]]/$C$151</f>
        <v>1</v>
      </c>
      <c r="E151" s="25">
        <f>SUM(E4:E150)</f>
        <v>0.99089999999999945</v>
      </c>
      <c r="F151" s="35">
        <f>SUM(F4:F150)</f>
        <v>1.0000000000000011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26CC-A4BB-D444-A27A-6CF18DD3F52D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165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20" thickBot="1" x14ac:dyDescent="0.3">
      <c r="A4" s="31" t="s">
        <v>8</v>
      </c>
      <c r="B4" s="43">
        <v>4.3705708278452811</v>
      </c>
      <c r="C4" s="29">
        <v>0</v>
      </c>
      <c r="D4" s="38">
        <f>Tabella13[[#This Row],[Percentage of Suppliers - Raw]]/$C$151</f>
        <v>0</v>
      </c>
      <c r="E4" s="23">
        <v>0</v>
      </c>
      <c r="F4" s="40">
        <f>Tabella13[[#This Row],[Percentage of Supplier''s Facilities - Raw]]/$E$151</f>
        <v>0</v>
      </c>
    </row>
    <row r="5" spans="1:16" ht="20" thickBot="1" x14ac:dyDescent="0.3">
      <c r="A5" s="31" t="s">
        <v>9</v>
      </c>
      <c r="B5" s="43">
        <v>5.2136193198580543</v>
      </c>
      <c r="C5" s="29">
        <v>0</v>
      </c>
      <c r="D5" s="38">
        <f>Tabella13[[#This Row],[Percentage of Suppliers - Raw]]/$C$151</f>
        <v>0</v>
      </c>
      <c r="E5" s="23">
        <v>0</v>
      </c>
      <c r="F5" s="40">
        <f>Tabella13[[#This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3">
        <v>5.6305966049142544</v>
      </c>
      <c r="C6" s="29">
        <v>0</v>
      </c>
      <c r="D6" s="38">
        <f>Tabella13[[#This Row],[Percentage of Suppliers - Raw]]/$C$151</f>
        <v>0</v>
      </c>
      <c r="E6" s="23">
        <v>7.000000000000001E-4</v>
      </c>
      <c r="F6" s="40">
        <f>Tabella13[[#This Row],[Percentage of Supplier''s Facilities - Raw]]/$E$151</f>
        <v>7.077140835102622E-4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9">
        <v>2.5000000000000001E-3</v>
      </c>
      <c r="D7" s="38">
        <f>Tabella13[[#This Row],[Percentage of Suppliers - Raw]]/$C$151</f>
        <v>2.5388443180664163E-3</v>
      </c>
      <c r="E7" s="23">
        <v>2.7000000000000001E-3</v>
      </c>
      <c r="F7" s="40">
        <f>Tabella13[[#This Row],[Percentage of Supplier''s Facilities - Raw]]/$E$151</f>
        <v>2.7297543221110111E-3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4.3705708278452811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3">
        <v>4.7882033268855917</v>
      </c>
      <c r="C8" s="29">
        <v>0</v>
      </c>
      <c r="D8" s="38">
        <f>Tabella13[[#This Row],[Percentage of Suppliers - Raw]]/$C$151</f>
        <v>0</v>
      </c>
      <c r="E8" s="23">
        <v>4.0000000000000002E-4</v>
      </c>
      <c r="F8" s="40">
        <f>Tabella13[[#This Row],[Percentage of Supplier''s Facilities - Raw]]/$E$151</f>
        <v>4.0440804772014981E-4</v>
      </c>
      <c r="H8" s="17" t="s">
        <v>18</v>
      </c>
      <c r="I8" s="18" t="str">
        <f>INDEX(A4:A150,MATCH(MAX(D4:D150),D4:D150,0))</f>
        <v>Japan</v>
      </c>
      <c r="J8" s="18">
        <f>INDEX(B4:B150,MATCH(MAX(D4:D150),D4:D150,0))</f>
        <v>3.3755878841798577</v>
      </c>
      <c r="K8" s="19">
        <f>INDEX(D4:D150,MATCH(MAX(D4:D150),D4:D150,0))</f>
        <v>0.25449375444297756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4.2558827981073541</v>
      </c>
      <c r="P8" s="19">
        <f>INDEX(F4:F150,MATCH(MAX(F4:F150),F4:F150,0))</f>
        <v>0.26852694368617946</v>
      </c>
    </row>
    <row r="9" spans="1:16" ht="23" thickBot="1" x14ac:dyDescent="0.35">
      <c r="A9" s="31" t="s">
        <v>19</v>
      </c>
      <c r="B9" s="43">
        <v>3.2228923328507717</v>
      </c>
      <c r="C9" s="29">
        <v>0.01</v>
      </c>
      <c r="D9" s="38">
        <f>Tabella13[[#This Row],[Percentage of Suppliers - Raw]]/$C$151</f>
        <v>1.0155377272265665E-2</v>
      </c>
      <c r="E9" s="23">
        <v>5.5000000000000005E-3</v>
      </c>
      <c r="F9" s="40">
        <f>Tabella13[[#This Row],[Percentage of Supplier''s Facilities - Raw]]/$E$151</f>
        <v>5.5606106561520603E-3</v>
      </c>
      <c r="H9" s="20" t="s">
        <v>20</v>
      </c>
      <c r="I9" s="21"/>
      <c r="J9" s="21"/>
      <c r="K9" s="175">
        <f>SUMPRODUCT(B4:B150,D4:D150)</f>
        <v>3.8594282428591375</v>
      </c>
      <c r="M9" s="20" t="s">
        <v>21</v>
      </c>
      <c r="N9" s="21"/>
      <c r="O9" s="21"/>
      <c r="P9" s="175">
        <f>SUMPRODUCT(B4:B150,F4:F150)</f>
        <v>4.0276282743221739</v>
      </c>
    </row>
    <row r="10" spans="1:16" ht="19" x14ac:dyDescent="0.25">
      <c r="A10" s="31" t="s">
        <v>22</v>
      </c>
      <c r="B10" s="43">
        <v>3.4101851325072063</v>
      </c>
      <c r="C10" s="29">
        <v>2.5000000000000001E-3</v>
      </c>
      <c r="D10" s="38">
        <f>Tabella13[[#This Row],[Percentage of Suppliers - Raw]]/$C$151</f>
        <v>2.5388443180664163E-3</v>
      </c>
      <c r="E10" s="23">
        <v>2.3999999999999998E-3</v>
      </c>
      <c r="F10" s="40">
        <f>Tabella13[[#This Row],[Percentage of Supplier''s Facilities - Raw]]/$E$151</f>
        <v>2.4264482863208983E-3</v>
      </c>
    </row>
    <row r="11" spans="1:16" ht="19" x14ac:dyDescent="0.25">
      <c r="A11" s="31" t="s">
        <v>23</v>
      </c>
      <c r="B11" s="43">
        <v>5.2109258806256893</v>
      </c>
      <c r="C11" s="29">
        <v>0</v>
      </c>
      <c r="D11" s="38">
        <f>Tabella13[[#This Row],[Percentage of Suppliers - Raw]]/$C$151</f>
        <v>0</v>
      </c>
      <c r="E11" s="23">
        <v>0</v>
      </c>
      <c r="F11" s="40">
        <f>Tabella13[[#This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9">
        <v>0</v>
      </c>
      <c r="D12" s="38">
        <f>Tabella13[[#This Row],[Percentage of Suppliers - Raw]]/$C$151</f>
        <v>0</v>
      </c>
      <c r="E12" s="23">
        <v>0</v>
      </c>
      <c r="F12" s="40">
        <f>Tabella13[[#This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9">
        <v>0</v>
      </c>
      <c r="D13" s="38">
        <f>Tabella13[[#This Row],[Percentage of Suppliers - Raw]]/$C$151</f>
        <v>0</v>
      </c>
      <c r="E13" s="23">
        <v>4.0000000000000002E-4</v>
      </c>
      <c r="F13" s="40">
        <f>Tabella13[[#This Row],[Percentage of Supplier''s Facilities - Raw]]/$E$151</f>
        <v>4.0440804772014981E-4</v>
      </c>
    </row>
    <row r="14" spans="1:16" ht="19" x14ac:dyDescent="0.25">
      <c r="A14" s="31" t="s">
        <v>26</v>
      </c>
      <c r="B14" s="43">
        <v>5.4470391561857463</v>
      </c>
      <c r="C14" s="29">
        <v>0</v>
      </c>
      <c r="D14" s="38">
        <f>Tabella13[[#This Row],[Percentage of Suppliers - Raw]]/$C$151</f>
        <v>0</v>
      </c>
      <c r="E14" s="23">
        <v>1.5E-3</v>
      </c>
      <c r="F14" s="40">
        <f>Tabella13[[#This Row],[Percentage of Supplier''s Facilities - Raw]]/$E$151</f>
        <v>1.5165301789505617E-3</v>
      </c>
    </row>
    <row r="15" spans="1:16" ht="19" x14ac:dyDescent="0.25">
      <c r="A15" s="31" t="s">
        <v>27</v>
      </c>
      <c r="B15" s="43">
        <v>3.3272157363952584</v>
      </c>
      <c r="C15" s="29">
        <v>0</v>
      </c>
      <c r="D15" s="38">
        <f>Tabella13[[#This Row],[Percentage of Suppliers - Raw]]/$C$151</f>
        <v>0</v>
      </c>
      <c r="E15" s="23">
        <v>7.3000000000000001E-3</v>
      </c>
      <c r="F15" s="40">
        <f>Tabella13[[#This Row],[Percentage of Supplier''s Facilities - Raw]]/$E$151</f>
        <v>7.3804468708927335E-3</v>
      </c>
    </row>
    <row r="16" spans="1:16" ht="19" x14ac:dyDescent="0.25">
      <c r="A16" s="31" t="s">
        <v>28</v>
      </c>
      <c r="B16" s="43">
        <v>5.9976203843116958</v>
      </c>
      <c r="C16" s="29">
        <v>0</v>
      </c>
      <c r="D16" s="38">
        <f>Tabella13[[#This Row],[Percentage of Suppliers - Raw]]/$C$151</f>
        <v>0</v>
      </c>
      <c r="E16" s="23">
        <v>2.0000000000000001E-4</v>
      </c>
      <c r="F16" s="40">
        <f>Tabella13[[#This Row],[Percentage of Supplier''s Facilities - Raw]]/$E$151</f>
        <v>2.022040238600749E-4</v>
      </c>
    </row>
    <row r="17" spans="1:7" ht="19" x14ac:dyDescent="0.25">
      <c r="A17" s="31" t="s">
        <v>29</v>
      </c>
      <c r="B17" s="43">
        <v>5.0248646415497609</v>
      </c>
      <c r="C17" s="29">
        <v>0</v>
      </c>
      <c r="D17" s="38">
        <f>Tabella13[[#This Row],[Percentage of Suppliers - Raw]]/$C$151</f>
        <v>0</v>
      </c>
      <c r="E17" s="23">
        <v>0</v>
      </c>
      <c r="F17" s="40">
        <f>Tabella13[[#This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9">
        <v>0</v>
      </c>
      <c r="D18" s="38">
        <f>Tabella13[[#This Row],[Percentage of Suppliers - Raw]]/$C$151</f>
        <v>0</v>
      </c>
      <c r="E18" s="23">
        <v>0</v>
      </c>
      <c r="F18" s="40">
        <f>Tabella13[[#This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9">
        <v>0</v>
      </c>
      <c r="D19" s="38">
        <f>Tabella13[[#This Row],[Percentage of Suppliers - Raw]]/$C$151</f>
        <v>0</v>
      </c>
      <c r="E19" s="23">
        <v>0</v>
      </c>
      <c r="F19" s="40">
        <f>Tabella13[[#This Row],[Percentage of Supplier''s Facilities - Raw]]/$E$151</f>
        <v>0</v>
      </c>
    </row>
    <row r="20" spans="1:7" ht="19" x14ac:dyDescent="0.25">
      <c r="A20" s="31" t="s">
        <v>32</v>
      </c>
      <c r="B20" s="43">
        <v>4.3392269255836116</v>
      </c>
      <c r="C20" s="29">
        <v>0</v>
      </c>
      <c r="D20" s="38">
        <f>Tabella13[[#This Row],[Percentage of Suppliers - Raw]]/$C$151</f>
        <v>0</v>
      </c>
      <c r="E20" s="23">
        <v>2.0000000000000001E-4</v>
      </c>
      <c r="F20" s="40">
        <f>Tabella13[[#This Row],[Percentage of Supplier''s Facilities - Raw]]/$E$151</f>
        <v>2.022040238600749E-4</v>
      </c>
    </row>
    <row r="21" spans="1:7" ht="19" x14ac:dyDescent="0.25">
      <c r="A21" s="31" t="s">
        <v>33</v>
      </c>
      <c r="B21" s="43">
        <v>5.3528879548903774</v>
      </c>
      <c r="C21" s="29">
        <v>0</v>
      </c>
      <c r="D21" s="38">
        <f>Tabella13[[#This Row],[Percentage of Suppliers - Raw]]/$C$151</f>
        <v>0</v>
      </c>
      <c r="E21" s="23">
        <v>8.199999999999999E-3</v>
      </c>
      <c r="F21" s="40">
        <f>Tabella13[[#This Row],[Percentage of Supplier''s Facilities - Raw]]/$E$151</f>
        <v>8.2903649782630692E-3</v>
      </c>
    </row>
    <row r="22" spans="1:7" ht="19" x14ac:dyDescent="0.25">
      <c r="A22" s="31" t="s">
        <v>34</v>
      </c>
      <c r="B22" s="43">
        <v>4.4305511295739555</v>
      </c>
      <c r="C22" s="29">
        <v>0</v>
      </c>
      <c r="D22" s="38">
        <f>Tabella13[[#This Row],[Percentage of Suppliers - Raw]]/$C$151</f>
        <v>0</v>
      </c>
      <c r="E22" s="23">
        <v>1.5E-3</v>
      </c>
      <c r="F22" s="40">
        <f>Tabella13[[#This Row],[Percentage of Supplier''s Facilities - Raw]]/$E$151</f>
        <v>1.5165301789505617E-3</v>
      </c>
    </row>
    <row r="23" spans="1:7" ht="19" x14ac:dyDescent="0.25">
      <c r="A23" s="31" t="s">
        <v>35</v>
      </c>
      <c r="B23" s="43">
        <v>6.5469989858167894</v>
      </c>
      <c r="C23" s="29">
        <v>0</v>
      </c>
      <c r="D23" s="38">
        <f>Tabella13[[#This Row],[Percentage of Suppliers - Raw]]/$C$151</f>
        <v>0</v>
      </c>
      <c r="E23" s="23">
        <v>2.0000000000000001E-4</v>
      </c>
      <c r="F23" s="40">
        <f>Tabella13[[#This Row],[Percentage of Supplier''s Facilities - Raw]]/$E$151</f>
        <v>2.022040238600749E-4</v>
      </c>
    </row>
    <row r="24" spans="1:7" ht="19" x14ac:dyDescent="0.25">
      <c r="A24" s="31" t="s">
        <v>36</v>
      </c>
      <c r="B24" s="43">
        <v>6.3316257862325482</v>
      </c>
      <c r="C24" s="29">
        <v>0</v>
      </c>
      <c r="D24" s="38">
        <f>Tabella13[[#This Row],[Percentage of Suppliers - Raw]]/$C$151</f>
        <v>0</v>
      </c>
      <c r="E24" s="23">
        <v>0</v>
      </c>
      <c r="F24" s="40">
        <f>Tabella13[[#This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9">
        <v>0</v>
      </c>
      <c r="D25" s="38">
        <f>Tabella13[[#This Row],[Percentage of Suppliers - Raw]]/$C$151</f>
        <v>0</v>
      </c>
      <c r="E25" s="23">
        <v>2.0000000000000001E-4</v>
      </c>
      <c r="F25" s="40">
        <f>Tabella13[[#This Row],[Percentage of Supplier''s Facilities - Raw]]/$E$151</f>
        <v>2.022040238600749E-4</v>
      </c>
    </row>
    <row r="26" spans="1:7" ht="19" x14ac:dyDescent="0.25">
      <c r="A26" s="31" t="s">
        <v>38</v>
      </c>
      <c r="B26" s="43">
        <v>6.8290168498118629</v>
      </c>
      <c r="C26" s="29">
        <v>0</v>
      </c>
      <c r="D26" s="38">
        <f>Tabella13[[#This Row],[Percentage of Suppliers - Raw]]/$C$151</f>
        <v>0</v>
      </c>
      <c r="E26" s="23">
        <v>2.0000000000000001E-4</v>
      </c>
      <c r="F26" s="40">
        <f>Tabella13[[#This Row],[Percentage of Supplier''s Facilities - Raw]]/$E$151</f>
        <v>2.022040238600749E-4</v>
      </c>
    </row>
    <row r="27" spans="1:7" ht="19" x14ac:dyDescent="0.25">
      <c r="A27" s="31" t="s">
        <v>39</v>
      </c>
      <c r="B27" s="43">
        <v>3.4431913474650511</v>
      </c>
      <c r="C27" s="29">
        <v>0.01</v>
      </c>
      <c r="D27" s="38">
        <f>Tabella13[[#This Row],[Percentage of Suppliers - Raw]]/$C$151</f>
        <v>1.0155377272265665E-2</v>
      </c>
      <c r="E27" s="23">
        <v>4.8999999999999998E-3</v>
      </c>
      <c r="F27" s="40">
        <f>Tabella13[[#This Row],[Percentage of Supplier''s Facilities - Raw]]/$E$151</f>
        <v>4.9539985845718348E-3</v>
      </c>
    </row>
    <row r="28" spans="1:7" ht="19" x14ac:dyDescent="0.25">
      <c r="A28" s="31" t="s">
        <v>40</v>
      </c>
      <c r="B28" s="43">
        <v>6.7936201324767405</v>
      </c>
      <c r="C28" s="29">
        <v>0</v>
      </c>
      <c r="D28" s="38">
        <f>Tabella13[[#This Row],[Percentage of Suppliers - Raw]]/$C$151</f>
        <v>0</v>
      </c>
      <c r="E28" s="23">
        <v>0</v>
      </c>
      <c r="F28" s="40">
        <f>Tabella13[[#This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9">
        <v>0</v>
      </c>
      <c r="D29" s="38">
        <f>Tabella13[[#This Row],[Percentage of Suppliers - Raw]]/$C$151</f>
        <v>0</v>
      </c>
      <c r="E29" s="23">
        <v>0</v>
      </c>
      <c r="F29" s="40">
        <f>Tabella13[[#This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9">
        <v>0</v>
      </c>
      <c r="D30" s="38">
        <f>Tabella13[[#This Row],[Percentage of Suppliers - Raw]]/$C$151</f>
        <v>0</v>
      </c>
      <c r="E30" s="23">
        <v>8.9999999999999998E-4</v>
      </c>
      <c r="F30" s="40">
        <f>Tabella13[[#This Row],[Percentage of Supplier''s Facilities - Raw]]/$E$151</f>
        <v>9.0991810737033692E-4</v>
      </c>
    </row>
    <row r="31" spans="1:7" ht="19" x14ac:dyDescent="0.25">
      <c r="A31" s="31" t="s">
        <v>43</v>
      </c>
      <c r="B31" s="43">
        <v>4.2558827981073541</v>
      </c>
      <c r="C31" s="29">
        <f xml:space="preserve"> 13.53% + 11.28%</f>
        <v>0.24809999999999999</v>
      </c>
      <c r="D31" s="38">
        <f>Tabella13[[#This Row],[Percentage of Suppliers - Raw]]/$C$151</f>
        <v>0.25195491012491117</v>
      </c>
      <c r="E31" s="23">
        <v>0.2656</v>
      </c>
      <c r="F31" s="40">
        <f>Tabella13[[#This Row],[Percentage of Supplier''s Facilities - Raw]]/$E$151</f>
        <v>0.26852694368617946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9">
        <v>0</v>
      </c>
      <c r="D32" s="38">
        <f>Tabella13[[#This Row],[Percentage of Suppliers - Raw]]/$C$151</f>
        <v>0</v>
      </c>
      <c r="E32" s="23">
        <v>4.0000000000000002E-4</v>
      </c>
      <c r="F32" s="40">
        <f>Tabella13[[#This Row],[Percentage of Supplier''s Facilities - Raw]]/$E$151</f>
        <v>4.0440804772014981E-4</v>
      </c>
    </row>
    <row r="33" spans="1:6" ht="19" x14ac:dyDescent="0.25">
      <c r="A33" s="31" t="s">
        <v>46</v>
      </c>
      <c r="B33" s="43">
        <v>5.6489161047332477</v>
      </c>
      <c r="C33" s="29">
        <v>0</v>
      </c>
      <c r="D33" s="38">
        <f>Tabella13[[#This Row],[Percentage of Suppliers - Raw]]/$C$151</f>
        <v>0</v>
      </c>
      <c r="E33" s="23">
        <v>2.0000000000000001E-4</v>
      </c>
      <c r="F33" s="40">
        <f>Tabella13[[#This Row],[Percentage of Supplier''s Facilities - Raw]]/$E$151</f>
        <v>2.022040238600749E-4</v>
      </c>
    </row>
    <row r="34" spans="1:6" ht="19" x14ac:dyDescent="0.25">
      <c r="A34" s="31" t="s">
        <v>47</v>
      </c>
      <c r="B34" s="43">
        <v>4.2297467795287353</v>
      </c>
      <c r="C34" s="29">
        <v>0</v>
      </c>
      <c r="D34" s="38">
        <f>Tabella13[[#This Row],[Percentage of Suppliers - Raw]]/$C$151</f>
        <v>0</v>
      </c>
      <c r="E34" s="23">
        <v>2.0000000000000001E-4</v>
      </c>
      <c r="F34" s="40">
        <f>Tabella13[[#This Row],[Percentage of Supplier''s Facilities - Raw]]/$E$151</f>
        <v>2.022040238600749E-4</v>
      </c>
    </row>
    <row r="35" spans="1:6" ht="19" x14ac:dyDescent="0.25">
      <c r="A35" s="31" t="s">
        <v>48</v>
      </c>
      <c r="B35" s="43">
        <v>5.5958391680617687</v>
      </c>
      <c r="C35" s="29">
        <v>0</v>
      </c>
      <c r="D35" s="38">
        <f>Tabella13[[#This Row],[Percentage of Suppliers - Raw]]/$C$151</f>
        <v>0</v>
      </c>
      <c r="E35" s="23">
        <v>2.0000000000000001E-4</v>
      </c>
      <c r="F35" s="40">
        <f>Tabella13[[#This Row],[Percentage of Supplier''s Facilities - Raw]]/$E$151</f>
        <v>2.022040238600749E-4</v>
      </c>
    </row>
    <row r="36" spans="1:6" ht="19" x14ac:dyDescent="0.25">
      <c r="A36" s="31" t="s">
        <v>49</v>
      </c>
      <c r="B36" s="43">
        <v>4.2818306896749707</v>
      </c>
      <c r="C36" s="29">
        <v>0</v>
      </c>
      <c r="D36" s="38">
        <f>Tabella13[[#This Row],[Percentage of Suppliers - Raw]]/$C$151</f>
        <v>0</v>
      </c>
      <c r="E36" s="23">
        <v>4.0000000000000002E-4</v>
      </c>
      <c r="F36" s="40">
        <f>Tabella13[[#This Row],[Percentage of Supplier''s Facilities - Raw]]/$E$151</f>
        <v>4.0440804772014981E-4</v>
      </c>
    </row>
    <row r="37" spans="1:6" ht="19" x14ac:dyDescent="0.25">
      <c r="A37" s="31" t="s">
        <v>50</v>
      </c>
      <c r="B37" s="43">
        <v>4.665702306747229</v>
      </c>
      <c r="C37" s="29">
        <v>0</v>
      </c>
      <c r="D37" s="38">
        <f>Tabella13[[#This Row],[Percentage of Suppliers - Raw]]/$C$151</f>
        <v>0</v>
      </c>
      <c r="E37" s="23">
        <v>0</v>
      </c>
      <c r="F37" s="40">
        <f>Tabella13[[#This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9">
        <v>0</v>
      </c>
      <c r="D38" s="38">
        <f>Tabella13[[#This Row],[Percentage of Suppliers - Raw]]/$C$151</f>
        <v>0</v>
      </c>
      <c r="E38" s="23">
        <v>7.4999999999999997E-3</v>
      </c>
      <c r="F38" s="40">
        <f>Tabella13[[#This Row],[Percentage of Supplier''s Facilities - Raw]]/$E$151</f>
        <v>7.5826508947528081E-3</v>
      </c>
    </row>
    <row r="39" spans="1:6" ht="19" x14ac:dyDescent="0.25">
      <c r="A39" s="31" t="s">
        <v>52</v>
      </c>
      <c r="B39" s="43">
        <v>3.1990775661028361</v>
      </c>
      <c r="C39" s="29">
        <v>0</v>
      </c>
      <c r="D39" s="38">
        <f>Tabella13[[#This Row],[Percentage of Suppliers - Raw]]/$C$151</f>
        <v>0</v>
      </c>
      <c r="E39" s="23">
        <v>3.0999999999999999E-3</v>
      </c>
      <c r="F39" s="40">
        <f>Tabella13[[#This Row],[Percentage of Supplier''s Facilities - Raw]]/$E$151</f>
        <v>3.1341623698311607E-3</v>
      </c>
    </row>
    <row r="40" spans="1:6" ht="19" x14ac:dyDescent="0.25">
      <c r="A40" s="31" t="s">
        <v>53</v>
      </c>
      <c r="B40" s="43">
        <v>5.9780558706115094</v>
      </c>
      <c r="C40" s="29">
        <v>0</v>
      </c>
      <c r="D40" s="38">
        <f>Tabella13[[#This Row],[Percentage of Suppliers - Raw]]/$C$151</f>
        <v>0</v>
      </c>
      <c r="E40" s="23">
        <v>0</v>
      </c>
      <c r="F40" s="40">
        <f>Tabella13[[#This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9">
        <v>0</v>
      </c>
      <c r="D41" s="38">
        <f>Tabella13[[#This Row],[Percentage of Suppliers - Raw]]/$C$151</f>
        <v>0</v>
      </c>
      <c r="E41" s="23">
        <v>1.2999999999999999E-3</v>
      </c>
      <c r="F41" s="40">
        <f>Tabella13[[#This Row],[Percentage of Supplier''s Facilities - Raw]]/$E$151</f>
        <v>1.3143261550904867E-3</v>
      </c>
    </row>
    <row r="42" spans="1:6" ht="19" x14ac:dyDescent="0.25">
      <c r="A42" s="31" t="s">
        <v>55</v>
      </c>
      <c r="B42" s="43">
        <v>5.7086243658486353</v>
      </c>
      <c r="C42" s="29">
        <v>0</v>
      </c>
      <c r="D42" s="38">
        <f>Tabella13[[#This Row],[Percentage of Suppliers - Raw]]/$C$151</f>
        <v>0</v>
      </c>
      <c r="E42" s="23">
        <v>0</v>
      </c>
      <c r="F42" s="40">
        <f>Tabella13[[#This Row],[Percentage of Supplier''s Facilities - Raw]]/$E$151</f>
        <v>0</v>
      </c>
    </row>
    <row r="43" spans="1:6" ht="19" x14ac:dyDescent="0.25">
      <c r="A43" s="31" t="s">
        <v>56</v>
      </c>
      <c r="B43" s="43">
        <v>5.6039767437648544</v>
      </c>
      <c r="C43" s="29">
        <v>0</v>
      </c>
      <c r="D43" s="38">
        <f>Tabella13[[#This Row],[Percentage of Suppliers - Raw]]/$C$151</f>
        <v>0</v>
      </c>
      <c r="E43" s="23">
        <v>4.0000000000000002E-4</v>
      </c>
      <c r="F43" s="40">
        <f>Tabella13[[#This Row],[Percentage of Supplier''s Facilities - Raw]]/$E$151</f>
        <v>4.0440804772014981E-4</v>
      </c>
    </row>
    <row r="44" spans="1:6" ht="19" x14ac:dyDescent="0.25">
      <c r="A44" s="31" t="s">
        <v>57</v>
      </c>
      <c r="B44" s="43">
        <v>4.7929202889816001</v>
      </c>
      <c r="C44" s="29">
        <v>0</v>
      </c>
      <c r="D44" s="38">
        <f>Tabella13[[#This Row],[Percentage of Suppliers - Raw]]/$C$151</f>
        <v>0</v>
      </c>
      <c r="E44" s="23">
        <v>0</v>
      </c>
      <c r="F44" s="40">
        <f>Tabella13[[#This Row],[Percentage of Supplier''s Facilities - Raw]]/$E$151</f>
        <v>0</v>
      </c>
    </row>
    <row r="45" spans="1:6" ht="19" x14ac:dyDescent="0.25">
      <c r="A45" s="31" t="s">
        <v>58</v>
      </c>
      <c r="B45" s="43">
        <v>3.5745795767056725</v>
      </c>
      <c r="C45" s="29">
        <v>0</v>
      </c>
      <c r="D45" s="38">
        <f>Tabella13[[#This Row],[Percentage of Suppliers - Raw]]/$C$151</f>
        <v>0</v>
      </c>
      <c r="E45" s="23">
        <v>4.0000000000000002E-4</v>
      </c>
      <c r="F45" s="40">
        <f>Tabella13[[#This Row],[Percentage of Supplier''s Facilities - Raw]]/$E$151</f>
        <v>4.0440804772014981E-4</v>
      </c>
    </row>
    <row r="46" spans="1:6" ht="19" x14ac:dyDescent="0.25">
      <c r="A46" s="31" t="s">
        <v>59</v>
      </c>
      <c r="B46" s="43">
        <v>4.4965923559879277</v>
      </c>
      <c r="C46" s="29">
        <v>0</v>
      </c>
      <c r="D46" s="38">
        <f>Tabella13[[#This Row],[Percentage of Suppliers - Raw]]/$C$151</f>
        <v>0</v>
      </c>
      <c r="E46" s="23">
        <v>2.0000000000000001E-4</v>
      </c>
      <c r="F46" s="40">
        <f>Tabella13[[#This Row],[Percentage of Supplier''s Facilities - Raw]]/$E$151</f>
        <v>2.022040238600749E-4</v>
      </c>
    </row>
    <row r="47" spans="1:6" ht="19" x14ac:dyDescent="0.25">
      <c r="A47" s="31" t="s">
        <v>60</v>
      </c>
      <c r="B47" s="43">
        <v>6.927950682570712</v>
      </c>
      <c r="C47" s="29">
        <v>0</v>
      </c>
      <c r="D47" s="38">
        <f>Tabella13[[#This Row],[Percentage of Suppliers - Raw]]/$C$151</f>
        <v>0</v>
      </c>
      <c r="E47" s="23">
        <v>0</v>
      </c>
      <c r="F47" s="40">
        <f>Tabella13[[#This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9">
        <v>7.4999999999999997E-3</v>
      </c>
      <c r="D48" s="38">
        <f>Tabella13[[#This Row],[Percentage of Suppliers - Raw]]/$C$151</f>
        <v>7.6165329541992488E-3</v>
      </c>
      <c r="E48" s="23">
        <v>1.8E-3</v>
      </c>
      <c r="F48" s="40">
        <f>Tabella13[[#This Row],[Percentage of Supplier''s Facilities - Raw]]/$E$151</f>
        <v>1.8198362147406738E-3</v>
      </c>
    </row>
    <row r="49" spans="1:6" ht="19" x14ac:dyDescent="0.25">
      <c r="A49" s="31" t="s">
        <v>62</v>
      </c>
      <c r="B49" s="43">
        <v>3.6488472849850422</v>
      </c>
      <c r="C49" s="29">
        <v>2.76E-2</v>
      </c>
      <c r="D49" s="38">
        <f>Tabella13[[#This Row],[Percentage of Suppliers - Raw]]/$C$151</f>
        <v>2.8028841271453237E-2</v>
      </c>
      <c r="E49" s="23">
        <v>1.9699999999999999E-2</v>
      </c>
      <c r="F49" s="40">
        <f>Tabella13[[#This Row],[Percentage of Supplier''s Facilities - Raw]]/$E$151</f>
        <v>1.9917096350217375E-2</v>
      </c>
    </row>
    <row r="50" spans="1:6" ht="19" x14ac:dyDescent="0.25">
      <c r="A50" s="31" t="s">
        <v>63</v>
      </c>
      <c r="B50" s="43">
        <v>5.7823719673887926</v>
      </c>
      <c r="C50" s="29">
        <v>0</v>
      </c>
      <c r="D50" s="38">
        <f>Tabella13[[#This Row],[Percentage of Suppliers - Raw]]/$C$151</f>
        <v>0</v>
      </c>
      <c r="E50" s="23">
        <v>2.0000000000000001E-4</v>
      </c>
      <c r="F50" s="40">
        <f>Tabella13[[#This Row],[Percentage of Supplier''s Facilities - Raw]]/$E$151</f>
        <v>2.022040238600749E-4</v>
      </c>
    </row>
    <row r="51" spans="1:6" ht="19" x14ac:dyDescent="0.25">
      <c r="A51" s="31" t="s">
        <v>64</v>
      </c>
      <c r="B51" s="43">
        <v>5.3790271999040362</v>
      </c>
      <c r="C51" s="29">
        <v>0</v>
      </c>
      <c r="D51" s="38">
        <f>Tabella13[[#This Row],[Percentage of Suppliers - Raw]]/$C$151</f>
        <v>0</v>
      </c>
      <c r="E51" s="23">
        <v>0</v>
      </c>
      <c r="F51" s="40">
        <f>Tabella13[[#This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9">
        <v>0</v>
      </c>
      <c r="D52" s="38">
        <f>Tabella13[[#This Row],[Percentage of Suppliers - Raw]]/$C$151</f>
        <v>0</v>
      </c>
      <c r="E52" s="23">
        <v>0</v>
      </c>
      <c r="F52" s="40">
        <f>Tabella13[[#This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9">
        <v>1.4999999999999999E-2</v>
      </c>
      <c r="D53" s="38">
        <f>Tabella13[[#This Row],[Percentage of Suppliers - Raw]]/$C$151</f>
        <v>1.5233065908398498E-2</v>
      </c>
      <c r="E53" s="23">
        <v>3.1800000000000002E-2</v>
      </c>
      <c r="F53" s="40">
        <f>Tabella13[[#This Row],[Percentage of Supplier''s Facilities - Raw]]/$E$151</f>
        <v>3.2150439793751907E-2</v>
      </c>
    </row>
    <row r="54" spans="1:6" ht="19" x14ac:dyDescent="0.25">
      <c r="A54" s="31" t="s">
        <v>67</v>
      </c>
      <c r="B54" s="43">
        <v>4.6272251474478185</v>
      </c>
      <c r="C54" s="29">
        <v>0</v>
      </c>
      <c r="D54" s="38">
        <f>Tabella13[[#This Row],[Percentage of Suppliers - Raw]]/$C$151</f>
        <v>0</v>
      </c>
      <c r="E54" s="23">
        <v>0</v>
      </c>
      <c r="F54" s="40">
        <f>Tabella13[[#This Row],[Percentage of Supplier''s Facilities - Raw]]/$E$151</f>
        <v>0</v>
      </c>
    </row>
    <row r="55" spans="1:6" ht="19" x14ac:dyDescent="0.25">
      <c r="A55" s="31" t="s">
        <v>68</v>
      </c>
      <c r="B55" s="43">
        <v>4.3382922337238083</v>
      </c>
      <c r="C55" s="29">
        <v>0</v>
      </c>
      <c r="D55" s="38">
        <f>Tabella13[[#This Row],[Percentage of Suppliers - Raw]]/$C$151</f>
        <v>0</v>
      </c>
      <c r="E55" s="23">
        <v>4.0000000000000002E-4</v>
      </c>
      <c r="F55" s="40">
        <f>Tabella13[[#This Row],[Percentage of Supplier''s Facilities - Raw]]/$E$151</f>
        <v>4.0440804772014981E-4</v>
      </c>
    </row>
    <row r="56" spans="1:6" ht="19" x14ac:dyDescent="0.25">
      <c r="A56" s="31" t="s">
        <v>69</v>
      </c>
      <c r="B56" s="43">
        <v>5.450113492883502</v>
      </c>
      <c r="C56" s="29">
        <v>0</v>
      </c>
      <c r="D56" s="38">
        <f>Tabella13[[#This Row],[Percentage of Suppliers - Raw]]/$C$151</f>
        <v>0</v>
      </c>
      <c r="E56" s="23">
        <v>0</v>
      </c>
      <c r="F56" s="40">
        <f>Tabella13[[#This Row],[Percentage of Supplier''s Facilities - Raw]]/$E$151</f>
        <v>0</v>
      </c>
    </row>
    <row r="57" spans="1:6" ht="19" x14ac:dyDescent="0.25">
      <c r="A57" s="31" t="s">
        <v>70</v>
      </c>
      <c r="B57" s="43">
        <v>6.3557356106090603</v>
      </c>
      <c r="C57" s="29">
        <v>0</v>
      </c>
      <c r="D57" s="38">
        <f>Tabella13[[#This Row],[Percentage of Suppliers - Raw]]/$C$151</f>
        <v>0</v>
      </c>
      <c r="E57" s="23">
        <v>0</v>
      </c>
      <c r="F57" s="40">
        <f>Tabella13[[#This Row],[Percentage of Supplier''s Facilities - Raw]]/$E$151</f>
        <v>0</v>
      </c>
    </row>
    <row r="58" spans="1:6" ht="19" x14ac:dyDescent="0.25">
      <c r="A58" s="31" t="s">
        <v>71</v>
      </c>
      <c r="B58" s="43">
        <v>5.9434838790990074</v>
      </c>
      <c r="C58" s="29">
        <v>0</v>
      </c>
      <c r="D58" s="38">
        <f>Tabella13[[#This Row],[Percentage of Suppliers - Raw]]/$C$151</f>
        <v>0</v>
      </c>
      <c r="E58" s="23">
        <v>0</v>
      </c>
      <c r="F58" s="40">
        <f>Tabella13[[#This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9">
        <v>0</v>
      </c>
      <c r="D59" s="38">
        <f>Tabella13[[#This Row],[Percentage of Suppliers - Raw]]/$C$151</f>
        <v>0</v>
      </c>
      <c r="E59" s="23">
        <v>0</v>
      </c>
      <c r="F59" s="40">
        <f>Tabella13[[#This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9">
        <v>0</v>
      </c>
      <c r="D60" s="38">
        <f>Tabella13[[#This Row],[Percentage of Suppliers - Raw]]/$C$151</f>
        <v>0</v>
      </c>
      <c r="E60" s="23">
        <v>0</v>
      </c>
      <c r="F60" s="40">
        <f>Tabella13[[#This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9">
        <v>0</v>
      </c>
      <c r="D61" s="38">
        <f>Tabella13[[#This Row],[Percentage of Suppliers - Raw]]/$C$151</f>
        <v>0</v>
      </c>
      <c r="E61" s="23">
        <v>0</v>
      </c>
      <c r="F61" s="40">
        <f>Tabella13[[#This Row],[Percentage of Supplier''s Facilities - Raw]]/$E$151</f>
        <v>0</v>
      </c>
    </row>
    <row r="62" spans="1:6" ht="19" x14ac:dyDescent="0.25">
      <c r="A62" s="31" t="s">
        <v>75</v>
      </c>
      <c r="B62" s="43">
        <v>3.6278897079089987</v>
      </c>
      <c r="C62" s="29">
        <v>0</v>
      </c>
      <c r="D62" s="38">
        <f>Tabella13[[#This Row],[Percentage of Suppliers - Raw]]/$C$151</f>
        <v>0</v>
      </c>
      <c r="E62" s="23">
        <v>3.8E-3</v>
      </c>
      <c r="F62" s="40">
        <f>Tabella13[[#This Row],[Percentage of Supplier''s Facilities - Raw]]/$E$151</f>
        <v>3.8418764533414227E-3</v>
      </c>
    </row>
    <row r="63" spans="1:6" ht="19" x14ac:dyDescent="0.25">
      <c r="A63" s="31" t="s">
        <v>76</v>
      </c>
      <c r="B63" s="43">
        <v>3.3752937482227585</v>
      </c>
      <c r="C63" s="29">
        <v>2.5000000000000001E-3</v>
      </c>
      <c r="D63" s="38">
        <f>Tabella13[[#This Row],[Percentage of Suppliers - Raw]]/$C$151</f>
        <v>2.5388443180664163E-3</v>
      </c>
      <c r="E63" s="23">
        <v>0</v>
      </c>
      <c r="F63" s="40">
        <f>Tabella13[[#This Row],[Percentage of Supplier''s Facilities - Raw]]/$E$151</f>
        <v>0</v>
      </c>
    </row>
    <row r="64" spans="1:6" ht="19" x14ac:dyDescent="0.25">
      <c r="A64" s="31" t="s">
        <v>77</v>
      </c>
      <c r="B64" s="43">
        <v>5.0659580961290027</v>
      </c>
      <c r="C64" s="29">
        <v>2.76E-2</v>
      </c>
      <c r="D64" s="38">
        <f>Tabella13[[#This Row],[Percentage of Suppliers - Raw]]/$C$151</f>
        <v>2.8028841271453237E-2</v>
      </c>
      <c r="E64" s="23">
        <v>2.3199999999999998E-2</v>
      </c>
      <c r="F64" s="40">
        <f>Tabella13[[#This Row],[Percentage of Supplier''s Facilities - Raw]]/$E$151</f>
        <v>2.3455666767768685E-2</v>
      </c>
    </row>
    <row r="65" spans="1:6" ht="19" x14ac:dyDescent="0.25">
      <c r="A65" s="31" t="s">
        <v>78</v>
      </c>
      <c r="B65" s="43">
        <v>4.9248047791749228</v>
      </c>
      <c r="C65" s="29">
        <v>0</v>
      </c>
      <c r="D65" s="38">
        <f>Tabella13[[#This Row],[Percentage of Suppliers - Raw]]/$C$151</f>
        <v>0</v>
      </c>
      <c r="E65" s="23">
        <v>5.6999999999999993E-3</v>
      </c>
      <c r="F65" s="40">
        <f>Tabella13[[#This Row],[Percentage of Supplier''s Facilities - Raw]]/$E$151</f>
        <v>5.7628146800121341E-3</v>
      </c>
    </row>
    <row r="66" spans="1:6" ht="19" x14ac:dyDescent="0.25">
      <c r="A66" s="31" t="s">
        <v>79</v>
      </c>
      <c r="B66" s="43">
        <v>5.8793658240107565</v>
      </c>
      <c r="C66" s="29">
        <v>0</v>
      </c>
      <c r="D66" s="38">
        <f>Tabella13[[#This Row],[Percentage of Suppliers - Raw]]/$C$151</f>
        <v>0</v>
      </c>
      <c r="E66" s="23">
        <v>0</v>
      </c>
      <c r="F66" s="40">
        <f>Tabella13[[#This Row],[Percentage of Supplier''s Facilities - Raw]]/$E$151</f>
        <v>0</v>
      </c>
    </row>
    <row r="67" spans="1:6" ht="19" x14ac:dyDescent="0.25">
      <c r="A67" s="31" t="s">
        <v>80</v>
      </c>
      <c r="B67" s="43">
        <v>6.0491810448870345</v>
      </c>
      <c r="C67" s="29">
        <v>0</v>
      </c>
      <c r="D67" s="38">
        <f>Tabella13[[#This Row],[Percentage of Suppliers - Raw]]/$C$151</f>
        <v>0</v>
      </c>
      <c r="E67" s="23">
        <v>0</v>
      </c>
      <c r="F67" s="40">
        <f>Tabella13[[#This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9">
        <v>2.5000000000000001E-3</v>
      </c>
      <c r="D68" s="38">
        <f>Tabella13[[#This Row],[Percentage of Suppliers - Raw]]/$C$151</f>
        <v>2.5388443180664163E-3</v>
      </c>
      <c r="E68" s="23">
        <v>4.0000000000000001E-3</v>
      </c>
      <c r="F68" s="40">
        <f>Tabella13[[#This Row],[Percentage of Supplier''s Facilities - Raw]]/$E$151</f>
        <v>4.0440804772014982E-3</v>
      </c>
    </row>
    <row r="69" spans="1:6" ht="19" x14ac:dyDescent="0.25">
      <c r="A69" s="31" t="s">
        <v>82</v>
      </c>
      <c r="B69" s="43">
        <v>4.6082974679305195</v>
      </c>
      <c r="C69" s="29">
        <v>1.2500000000000001E-2</v>
      </c>
      <c r="D69" s="38">
        <f>Tabella13[[#This Row],[Percentage of Suppliers - Raw]]/$C$151</f>
        <v>1.2694221590332082E-2</v>
      </c>
      <c r="E69" s="23">
        <v>4.0000000000000001E-3</v>
      </c>
      <c r="F69" s="40">
        <f>Tabella13[[#This Row],[Percentage of Supplier''s Facilities - Raw]]/$E$151</f>
        <v>4.0440804772014982E-3</v>
      </c>
    </row>
    <row r="70" spans="1:6" ht="19" x14ac:dyDescent="0.25">
      <c r="A70" s="31" t="s">
        <v>83</v>
      </c>
      <c r="B70" s="43">
        <v>3.8382882812123826</v>
      </c>
      <c r="C70" s="29">
        <v>7.4999999999999997E-3</v>
      </c>
      <c r="D70" s="38">
        <f>Tabella13[[#This Row],[Percentage of Suppliers - Raw]]/$C$151</f>
        <v>7.6165329541992488E-3</v>
      </c>
      <c r="E70" s="23">
        <v>9.300000000000001E-3</v>
      </c>
      <c r="F70" s="40">
        <f>Tabella13[[#This Row],[Percentage of Supplier''s Facilities - Raw]]/$E$151</f>
        <v>9.402487109493483E-3</v>
      </c>
    </row>
    <row r="71" spans="1:6" ht="19" x14ac:dyDescent="0.25">
      <c r="A71" s="31" t="s">
        <v>84</v>
      </c>
      <c r="B71" s="43">
        <v>4.7451218036873231</v>
      </c>
      <c r="C71" s="29">
        <v>0</v>
      </c>
      <c r="D71" s="38">
        <f>Tabella13[[#This Row],[Percentage of Suppliers - Raw]]/$C$151</f>
        <v>0</v>
      </c>
      <c r="E71" s="23">
        <v>0</v>
      </c>
      <c r="F71" s="40">
        <f>Tabella13[[#This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9">
        <v>0.25059999999999999</v>
      </c>
      <c r="D72" s="38">
        <f>Tabella13[[#This Row],[Percentage of Suppliers - Raw]]/$C$151</f>
        <v>0.25449375444297756</v>
      </c>
      <c r="E72" s="23">
        <v>0.18109999999999998</v>
      </c>
      <c r="F72" s="40">
        <f>Tabella13[[#This Row],[Percentage of Supplier''s Facilities - Raw]]/$E$151</f>
        <v>0.18309574360529779</v>
      </c>
    </row>
    <row r="73" spans="1:6" ht="19" x14ac:dyDescent="0.25">
      <c r="A73" s="31" t="s">
        <v>86</v>
      </c>
      <c r="B73" s="43">
        <v>5.1303864841692146</v>
      </c>
      <c r="C73" s="29">
        <v>0</v>
      </c>
      <c r="D73" s="38">
        <f>Tabella13[[#This Row],[Percentage of Suppliers - Raw]]/$C$151</f>
        <v>0</v>
      </c>
      <c r="E73" s="23">
        <v>0</v>
      </c>
      <c r="F73" s="40">
        <f>Tabella13[[#This Row],[Percentage of Supplier''s Facilities - Raw]]/$E$151</f>
        <v>0</v>
      </c>
    </row>
    <row r="74" spans="1:6" ht="19" x14ac:dyDescent="0.25">
      <c r="A74" s="31" t="s">
        <v>87</v>
      </c>
      <c r="B74" s="43">
        <v>4.5379079915092131</v>
      </c>
      <c r="C74" s="29">
        <v>0</v>
      </c>
      <c r="D74" s="38">
        <f>Tabella13[[#This Row],[Percentage of Suppliers - Raw]]/$C$151</f>
        <v>0</v>
      </c>
      <c r="E74" s="23">
        <v>4.0000000000000002E-4</v>
      </c>
      <c r="F74" s="40">
        <f>Tabella13[[#This Row],[Percentage of Supplier''s Facilities - Raw]]/$E$151</f>
        <v>4.0440804772014981E-4</v>
      </c>
    </row>
    <row r="75" spans="1:6" ht="19" x14ac:dyDescent="0.25">
      <c r="A75" s="31" t="s">
        <v>88</v>
      </c>
      <c r="B75" s="43">
        <v>6.1313349307646918</v>
      </c>
      <c r="C75" s="29">
        <v>0</v>
      </c>
      <c r="D75" s="38">
        <f>Tabella13[[#This Row],[Percentage of Suppliers - Raw]]/$C$151</f>
        <v>0</v>
      </c>
      <c r="E75" s="23">
        <v>0</v>
      </c>
      <c r="F75" s="40">
        <f>Tabella13[[#This Row],[Percentage of Supplier''s Facilities - Raw]]/$E$151</f>
        <v>0</v>
      </c>
    </row>
    <row r="76" spans="1:6" ht="19" x14ac:dyDescent="0.25">
      <c r="A76" s="31" t="s">
        <v>89</v>
      </c>
      <c r="B76" s="43">
        <v>4.2961051501975707</v>
      </c>
      <c r="C76" s="29">
        <v>0</v>
      </c>
      <c r="D76" s="38">
        <f>Tabella13[[#This Row],[Percentage of Suppliers - Raw]]/$C$151</f>
        <v>0</v>
      </c>
      <c r="E76" s="23">
        <v>0</v>
      </c>
      <c r="F76" s="40">
        <f>Tabella13[[#This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9">
        <v>0</v>
      </c>
      <c r="D77" s="38">
        <f>Tabella13[[#This Row],[Percentage of Suppliers - Raw]]/$C$151</f>
        <v>0</v>
      </c>
      <c r="E77" s="23">
        <v>0</v>
      </c>
      <c r="F77" s="40">
        <f>Tabella13[[#This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9">
        <v>0</v>
      </c>
      <c r="D78" s="38">
        <f>Tabella13[[#This Row],[Percentage of Suppliers - Raw]]/$C$151</f>
        <v>0</v>
      </c>
      <c r="E78" s="23">
        <v>2.0000000000000001E-4</v>
      </c>
      <c r="F78" s="40">
        <f>Tabella13[[#This Row],[Percentage of Supplier''s Facilities - Raw]]/$E$151</f>
        <v>2.022040238600749E-4</v>
      </c>
    </row>
    <row r="79" spans="1:6" ht="19" x14ac:dyDescent="0.25">
      <c r="A79" s="31" t="s">
        <v>92</v>
      </c>
      <c r="B79" s="43">
        <v>3.9664492327048539</v>
      </c>
      <c r="C79" s="29">
        <v>0</v>
      </c>
      <c r="D79" s="38">
        <f>Tabella13[[#This Row],[Percentage of Suppliers - Raw]]/$C$151</f>
        <v>0</v>
      </c>
      <c r="E79" s="23">
        <v>0</v>
      </c>
      <c r="F79" s="40">
        <f>Tabella13[[#This Row],[Percentage of Supplier''s Facilities - Raw]]/$E$151</f>
        <v>0</v>
      </c>
    </row>
    <row r="80" spans="1:6" ht="19" x14ac:dyDescent="0.25">
      <c r="A80" s="31" t="s">
        <v>93</v>
      </c>
      <c r="B80" s="43">
        <v>6.1238543404169867</v>
      </c>
      <c r="C80" s="29">
        <v>0</v>
      </c>
      <c r="D80" s="38">
        <f>Tabella13[[#This Row],[Percentage of Suppliers - Raw]]/$C$151</f>
        <v>0</v>
      </c>
      <c r="E80" s="23">
        <v>0</v>
      </c>
      <c r="F80" s="40">
        <f>Tabella13[[#This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9">
        <v>0</v>
      </c>
      <c r="D81" s="38">
        <f>Tabella13[[#This Row],[Percentage of Suppliers - Raw]]/$C$151</f>
        <v>0</v>
      </c>
      <c r="E81" s="23">
        <v>0</v>
      </c>
      <c r="F81" s="40">
        <f>Tabella13[[#This Row],[Percentage of Supplier''s Facilities - Raw]]/$E$151</f>
        <v>0</v>
      </c>
    </row>
    <row r="82" spans="1:6" ht="19" x14ac:dyDescent="0.25">
      <c r="A82" s="31" t="s">
        <v>95</v>
      </c>
      <c r="B82" s="43">
        <v>5.9675040107987867</v>
      </c>
      <c r="C82" s="29">
        <v>0</v>
      </c>
      <c r="D82" s="38">
        <f>Tabella13[[#This Row],[Percentage of Suppliers - Raw]]/$C$151</f>
        <v>0</v>
      </c>
      <c r="E82" s="23">
        <v>0</v>
      </c>
      <c r="F82" s="40">
        <f>Tabella13[[#This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9">
        <v>0</v>
      </c>
      <c r="D83" s="38">
        <f>Tabella13[[#This Row],[Percentage of Suppliers - Raw]]/$C$151</f>
        <v>0</v>
      </c>
      <c r="E83" s="23">
        <v>0</v>
      </c>
      <c r="F83" s="40">
        <f>Tabella13[[#This Row],[Percentage of Supplier''s Facilities - Raw]]/$E$151</f>
        <v>0</v>
      </c>
    </row>
    <row r="84" spans="1:6" ht="19" x14ac:dyDescent="0.25">
      <c r="A84" s="31" t="s">
        <v>97</v>
      </c>
      <c r="B84" s="43">
        <v>3.9263549476589308</v>
      </c>
      <c r="C84" s="29">
        <v>0</v>
      </c>
      <c r="D84" s="38">
        <f>Tabella13[[#This Row],[Percentage of Suppliers - Raw]]/$C$151</f>
        <v>0</v>
      </c>
      <c r="E84" s="23">
        <v>0</v>
      </c>
      <c r="F84" s="40">
        <f>Tabella13[[#This Row],[Percentage of Supplier''s Facilities - Raw]]/$E$151</f>
        <v>0</v>
      </c>
    </row>
    <row r="85" spans="1:6" ht="19" x14ac:dyDescent="0.25">
      <c r="A85" s="31" t="s">
        <v>98</v>
      </c>
      <c r="B85" s="43">
        <v>5.8210372928345899</v>
      </c>
      <c r="C85" s="29">
        <v>0</v>
      </c>
      <c r="D85" s="38">
        <f>Tabella13[[#This Row],[Percentage of Suppliers - Raw]]/$C$151</f>
        <v>0</v>
      </c>
      <c r="E85" s="23">
        <v>0</v>
      </c>
      <c r="F85" s="40">
        <f>Tabella13[[#This Row],[Percentage of Supplier''s Facilities - Raw]]/$E$151</f>
        <v>0</v>
      </c>
    </row>
    <row r="86" spans="1:6" ht="19" x14ac:dyDescent="0.25">
      <c r="A86" s="31" t="s">
        <v>99</v>
      </c>
      <c r="B86" s="43">
        <v>5.5779364438856991</v>
      </c>
      <c r="C86" s="29">
        <v>0</v>
      </c>
      <c r="D86" s="38">
        <f>Tabella13[[#This Row],[Percentage of Suppliers - Raw]]/$C$151</f>
        <v>0</v>
      </c>
      <c r="E86" s="23">
        <v>0</v>
      </c>
      <c r="F86" s="40">
        <f>Tabella13[[#This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9">
        <v>2.5000000000000001E-3</v>
      </c>
      <c r="D87" s="38">
        <f>Tabella13[[#This Row],[Percentage of Suppliers - Raw]]/$C$151</f>
        <v>2.5388443180664163E-3</v>
      </c>
      <c r="E87" s="23">
        <v>1.4800000000000001E-2</v>
      </c>
      <c r="F87" s="40">
        <f>Tabella13[[#This Row],[Percentage of Supplier''s Facilities - Raw]]/$E$151</f>
        <v>1.4963097765645542E-2</v>
      </c>
    </row>
    <row r="88" spans="1:6" ht="19" x14ac:dyDescent="0.25">
      <c r="A88" s="31" t="s">
        <v>101</v>
      </c>
      <c r="B88" s="43">
        <v>7.1049758774245326</v>
      </c>
      <c r="C88" s="29">
        <v>0</v>
      </c>
      <c r="D88" s="38">
        <f>Tabella13[[#This Row],[Percentage of Suppliers - Raw]]/$C$151</f>
        <v>0</v>
      </c>
      <c r="E88" s="23">
        <v>2.0000000000000001E-4</v>
      </c>
      <c r="F88" s="40">
        <f>Tabella13[[#This Row],[Percentage of Supplier''s Facilities - Raw]]/$E$151</f>
        <v>2.022040238600749E-4</v>
      </c>
    </row>
    <row r="89" spans="1:6" ht="19" x14ac:dyDescent="0.25">
      <c r="A89" s="31" t="s">
        <v>102</v>
      </c>
      <c r="B89" s="43">
        <v>6.2753028505143282</v>
      </c>
      <c r="C89" s="29">
        <v>0</v>
      </c>
      <c r="D89" s="38">
        <f>Tabella13[[#This Row],[Percentage of Suppliers - Raw]]/$C$151</f>
        <v>0</v>
      </c>
      <c r="E89" s="23">
        <v>0</v>
      </c>
      <c r="F89" s="40">
        <f>Tabella13[[#This Row],[Percentage of Supplier''s Facilities - Raw]]/$E$151</f>
        <v>0</v>
      </c>
    </row>
    <row r="90" spans="1:6" ht="19" x14ac:dyDescent="0.25">
      <c r="A90" s="31" t="s">
        <v>103</v>
      </c>
      <c r="B90" s="43">
        <v>3.4654790256975891</v>
      </c>
      <c r="C90" s="29">
        <v>0</v>
      </c>
      <c r="D90" s="38">
        <f>Tabella13[[#This Row],[Percentage of Suppliers - Raw]]/$C$151</f>
        <v>0</v>
      </c>
      <c r="E90" s="23">
        <v>0</v>
      </c>
      <c r="F90" s="40">
        <f>Tabella13[[#This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9">
        <v>0</v>
      </c>
      <c r="D91" s="38">
        <f>Tabella13[[#This Row],[Percentage of Suppliers - Raw]]/$C$151</f>
        <v>0</v>
      </c>
      <c r="E91" s="23">
        <v>1.8600000000000002E-2</v>
      </c>
      <c r="F91" s="40">
        <f>Tabella13[[#This Row],[Percentage of Supplier''s Facilities - Raw]]/$E$151</f>
        <v>1.8804974218986966E-2</v>
      </c>
    </row>
    <row r="92" spans="1:6" ht="19" x14ac:dyDescent="0.25">
      <c r="A92" s="31" t="s">
        <v>105</v>
      </c>
      <c r="B92" s="43">
        <v>5.1376667464547303</v>
      </c>
      <c r="C92" s="29">
        <v>0</v>
      </c>
      <c r="D92" s="38">
        <f>Tabella13[[#This Row],[Percentage of Suppliers - Raw]]/$C$151</f>
        <v>0</v>
      </c>
      <c r="E92" s="23">
        <v>2.0000000000000001E-4</v>
      </c>
      <c r="F92" s="40">
        <f>Tabella13[[#This Row],[Percentage of Supplier''s Facilities - Raw]]/$E$151</f>
        <v>2.022040238600749E-4</v>
      </c>
    </row>
    <row r="93" spans="1:6" ht="19" x14ac:dyDescent="0.25">
      <c r="A93" s="31" t="s">
        <v>106</v>
      </c>
      <c r="B93" s="43">
        <v>4.6510069196773065</v>
      </c>
      <c r="C93" s="29">
        <v>0</v>
      </c>
      <c r="D93" s="38">
        <f>Tabella13[[#This Row],[Percentage of Suppliers - Raw]]/$C$151</f>
        <v>0</v>
      </c>
      <c r="E93" s="23">
        <v>0</v>
      </c>
      <c r="F93" s="40">
        <f>Tabella13[[#This Row],[Percentage of Supplier''s Facilities - Raw]]/$E$151</f>
        <v>0</v>
      </c>
    </row>
    <row r="94" spans="1:6" ht="19" x14ac:dyDescent="0.25">
      <c r="A94" s="31" t="s">
        <v>107</v>
      </c>
      <c r="B94" s="43">
        <v>5.1009280794553211</v>
      </c>
      <c r="C94" s="29">
        <v>0</v>
      </c>
      <c r="D94" s="38">
        <f>Tabella13[[#This Row],[Percentage of Suppliers - Raw]]/$C$151</f>
        <v>0</v>
      </c>
      <c r="E94" s="23">
        <v>8.9999999999999998E-4</v>
      </c>
      <c r="F94" s="40">
        <f>Tabella13[[#This Row],[Percentage of Supplier''s Facilities - Raw]]/$E$151</f>
        <v>9.0991810737033692E-4</v>
      </c>
    </row>
    <row r="95" spans="1:6" ht="19" x14ac:dyDescent="0.25">
      <c r="A95" s="31" t="s">
        <v>108</v>
      </c>
      <c r="B95" s="43">
        <v>6.2957088620382402</v>
      </c>
      <c r="C95" s="29">
        <v>0</v>
      </c>
      <c r="D95" s="38">
        <f>Tabella13[[#This Row],[Percentage of Suppliers - Raw]]/$C$151</f>
        <v>0</v>
      </c>
      <c r="E95" s="23">
        <v>0</v>
      </c>
      <c r="F95" s="40">
        <f>Tabella13[[#This Row],[Percentage of Supplier''s Facilities - Raw]]/$E$151</f>
        <v>0</v>
      </c>
    </row>
    <row r="96" spans="1:6" ht="19" x14ac:dyDescent="0.25">
      <c r="A96" s="31" t="s">
        <v>109</v>
      </c>
      <c r="B96" s="43">
        <v>4.6400800634309949</v>
      </c>
      <c r="C96" s="29">
        <v>0</v>
      </c>
      <c r="D96" s="38">
        <f>Tabella13[[#This Row],[Percentage of Suppliers - Raw]]/$C$151</f>
        <v>0</v>
      </c>
      <c r="E96" s="23">
        <v>4.0000000000000002E-4</v>
      </c>
      <c r="F96" s="40">
        <f>Tabella13[[#This Row],[Percentage of Supplier''s Facilities - Raw]]/$E$151</f>
        <v>4.0440804772014981E-4</v>
      </c>
    </row>
    <row r="97" spans="1:6" ht="19" x14ac:dyDescent="0.25">
      <c r="A97" s="31" t="s">
        <v>110</v>
      </c>
      <c r="B97" s="43">
        <v>5.7812106231736005</v>
      </c>
      <c r="C97" s="29">
        <v>0</v>
      </c>
      <c r="D97" s="38">
        <f>Tabella13[[#This Row],[Percentage of Suppliers - Raw]]/$C$151</f>
        <v>0</v>
      </c>
      <c r="E97" s="23">
        <v>0</v>
      </c>
      <c r="F97" s="40">
        <f>Tabella13[[#This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9">
        <v>5.0000000000000001E-3</v>
      </c>
      <c r="D98" s="38">
        <f>Tabella13[[#This Row],[Percentage of Suppliers - Raw]]/$C$151</f>
        <v>5.0776886361328325E-3</v>
      </c>
      <c r="E98" s="23">
        <v>1.06E-2</v>
      </c>
      <c r="F98" s="40">
        <f>Tabella13[[#This Row],[Percentage of Supplier''s Facilities - Raw]]/$E$151</f>
        <v>1.071681326458397E-2</v>
      </c>
    </row>
    <row r="99" spans="1:6" ht="19" x14ac:dyDescent="0.25">
      <c r="A99" s="31" t="s">
        <v>112</v>
      </c>
      <c r="B99" s="43">
        <v>3.3163390659638341</v>
      </c>
      <c r="C99" s="29">
        <v>0</v>
      </c>
      <c r="D99" s="38">
        <f>Tabella13[[#This Row],[Percentage of Suppliers - Raw]]/$C$151</f>
        <v>0</v>
      </c>
      <c r="E99" s="23">
        <v>4.0000000000000002E-4</v>
      </c>
      <c r="F99" s="40">
        <f>Tabella13[[#This Row],[Percentage of Supplier''s Facilities - Raw]]/$E$151</f>
        <v>4.0440804772014981E-4</v>
      </c>
    </row>
    <row r="100" spans="1:6" ht="19" x14ac:dyDescent="0.25">
      <c r="A100" s="31" t="s">
        <v>113</v>
      </c>
      <c r="B100" s="43">
        <v>5.8020732010296063</v>
      </c>
      <c r="C100" s="29">
        <v>0</v>
      </c>
      <c r="D100" s="38">
        <f>Tabella13[[#This Row],[Percentage of Suppliers - Raw]]/$C$151</f>
        <v>0</v>
      </c>
      <c r="E100" s="23">
        <v>0</v>
      </c>
      <c r="F100" s="40">
        <f>Tabella13[[#This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9">
        <v>0</v>
      </c>
      <c r="D101" s="38">
        <f>Tabella13[[#This Row],[Percentage of Suppliers - Raw]]/$C$151</f>
        <v>0</v>
      </c>
      <c r="E101" s="23">
        <v>0</v>
      </c>
      <c r="F101" s="40">
        <f>Tabella13[[#This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9">
        <v>0</v>
      </c>
      <c r="D102" s="38">
        <f>Tabella13[[#This Row],[Percentage of Suppliers - Raw]]/$C$151</f>
        <v>0</v>
      </c>
      <c r="E102" s="23">
        <v>2.0000000000000001E-4</v>
      </c>
      <c r="F102" s="40">
        <f>Tabella13[[#This Row],[Percentage of Supplier''s Facilities - Raw]]/$E$151</f>
        <v>2.022040238600749E-4</v>
      </c>
    </row>
    <row r="103" spans="1:6" ht="19" x14ac:dyDescent="0.25">
      <c r="A103" s="31" t="s">
        <v>116</v>
      </c>
      <c r="B103" s="43">
        <v>4.1624840904381539</v>
      </c>
      <c r="C103" s="29">
        <v>0</v>
      </c>
      <c r="D103" s="38">
        <f>Tabella13[[#This Row],[Percentage of Suppliers - Raw]]/$C$151</f>
        <v>0</v>
      </c>
      <c r="E103" s="23">
        <v>2.0000000000000001E-4</v>
      </c>
      <c r="F103" s="40">
        <f>Tabella13[[#This Row],[Percentage of Supplier''s Facilities - Raw]]/$E$151</f>
        <v>2.022040238600749E-4</v>
      </c>
    </row>
    <row r="104" spans="1:6" ht="19" x14ac:dyDescent="0.25">
      <c r="A104" s="31" t="s">
        <v>117</v>
      </c>
      <c r="B104" s="43">
        <v>3.3787152608913655</v>
      </c>
      <c r="C104" s="29">
        <v>0</v>
      </c>
      <c r="D104" s="38">
        <f>Tabella13[[#This Row],[Percentage of Suppliers - Raw]]/$C$151</f>
        <v>0</v>
      </c>
      <c r="E104" s="23">
        <v>4.0000000000000002E-4</v>
      </c>
      <c r="F104" s="40">
        <f>Tabella13[[#This Row],[Percentage of Supplier''s Facilities - Raw]]/$E$151</f>
        <v>4.0440804772014981E-4</v>
      </c>
    </row>
    <row r="105" spans="1:6" ht="19" x14ac:dyDescent="0.25">
      <c r="A105" s="31" t="s">
        <v>118</v>
      </c>
      <c r="B105" s="43">
        <v>4.0162254988757935</v>
      </c>
      <c r="C105" s="29">
        <v>0</v>
      </c>
      <c r="D105" s="38">
        <f>Tabella13[[#This Row],[Percentage of Suppliers - Raw]]/$C$151</f>
        <v>0</v>
      </c>
      <c r="E105" s="23">
        <v>0</v>
      </c>
      <c r="F105" s="40">
        <f>Tabella13[[#This Row],[Percentage of Supplier''s Facilities - Raw]]/$E$151</f>
        <v>0</v>
      </c>
    </row>
    <row r="106" spans="1:6" ht="19" x14ac:dyDescent="0.25">
      <c r="A106" s="31" t="s">
        <v>119</v>
      </c>
      <c r="B106" s="43">
        <v>6.648668082818161</v>
      </c>
      <c r="C106" s="29">
        <v>0</v>
      </c>
      <c r="D106" s="38">
        <f>Tabella13[[#This Row],[Percentage of Suppliers - Raw]]/$C$151</f>
        <v>0</v>
      </c>
      <c r="E106" s="23">
        <v>0</v>
      </c>
      <c r="F106" s="40">
        <f>Tabella13[[#This Row],[Percentage of Supplier''s Facilities - Raw]]/$E$151</f>
        <v>0</v>
      </c>
    </row>
    <row r="107" spans="1:6" ht="19" x14ac:dyDescent="0.25">
      <c r="A107" s="31" t="s">
        <v>120</v>
      </c>
      <c r="B107" s="43">
        <v>4.5635733416096631</v>
      </c>
      <c r="C107" s="29">
        <v>0</v>
      </c>
      <c r="D107" s="38">
        <f>Tabella13[[#This Row],[Percentage of Suppliers - Raw]]/$C$151</f>
        <v>0</v>
      </c>
      <c r="E107" s="23">
        <v>2.0000000000000001E-4</v>
      </c>
      <c r="F107" s="40">
        <f>Tabella13[[#This Row],[Percentage of Supplier''s Facilities - Raw]]/$E$151</f>
        <v>2.022040238600749E-4</v>
      </c>
    </row>
    <row r="108" spans="1:6" ht="19" x14ac:dyDescent="0.25">
      <c r="A108" s="31" t="s">
        <v>121</v>
      </c>
      <c r="B108" s="43">
        <v>5.3398873222843388</v>
      </c>
      <c r="C108" s="29">
        <v>0</v>
      </c>
      <c r="D108" s="38">
        <f>Tabella13[[#This Row],[Percentage of Suppliers - Raw]]/$C$151</f>
        <v>0</v>
      </c>
      <c r="E108" s="23">
        <v>0</v>
      </c>
      <c r="F108" s="40">
        <f>Tabella13[[#This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9">
        <v>0</v>
      </c>
      <c r="D109" s="38">
        <f>Tabella13[[#This Row],[Percentage of Suppliers - Raw]]/$C$151</f>
        <v>0</v>
      </c>
      <c r="E109" s="23">
        <v>7.000000000000001E-4</v>
      </c>
      <c r="F109" s="40">
        <f>Tabella13[[#This Row],[Percentage of Supplier''s Facilities - Raw]]/$E$151</f>
        <v>7.077140835102622E-4</v>
      </c>
    </row>
    <row r="110" spans="1:6" ht="19" x14ac:dyDescent="0.25">
      <c r="A110" s="31" t="s">
        <v>123</v>
      </c>
      <c r="B110" s="43">
        <v>5.2817219635350439</v>
      </c>
      <c r="C110" s="29">
        <v>0</v>
      </c>
      <c r="D110" s="38">
        <f>Tabella13[[#This Row],[Percentage of Suppliers - Raw]]/$C$151</f>
        <v>0</v>
      </c>
      <c r="E110" s="23">
        <v>0</v>
      </c>
      <c r="F110" s="40">
        <f>Tabella13[[#This Row],[Percentage of Supplier''s Facilities - Raw]]/$E$151</f>
        <v>0</v>
      </c>
    </row>
    <row r="111" spans="1:6" ht="19" x14ac:dyDescent="0.25">
      <c r="A111" s="31" t="s">
        <v>124</v>
      </c>
      <c r="B111" s="43">
        <v>5.8016442493647551</v>
      </c>
      <c r="C111" s="29">
        <v>0</v>
      </c>
      <c r="D111" s="38">
        <f>Tabella13[[#This Row],[Percentage of Suppliers - Raw]]/$C$151</f>
        <v>0</v>
      </c>
      <c r="E111" s="23">
        <v>8.199999999999999E-3</v>
      </c>
      <c r="F111" s="40">
        <f>Tabella13[[#This Row],[Percentage of Supplier''s Facilities - Raw]]/$E$151</f>
        <v>8.2903649782630692E-3</v>
      </c>
    </row>
    <row r="112" spans="1:6" ht="19" x14ac:dyDescent="0.25">
      <c r="A112" s="31" t="s">
        <v>125</v>
      </c>
      <c r="B112" s="43">
        <v>4.1502930814875194</v>
      </c>
      <c r="C112" s="29">
        <v>0</v>
      </c>
      <c r="D112" s="38">
        <f>Tabella13[[#This Row],[Percentage of Suppliers - Raw]]/$C$151</f>
        <v>0</v>
      </c>
      <c r="E112" s="23">
        <v>7.7000000000000002E-3</v>
      </c>
      <c r="F112" s="40">
        <f>Tabella13[[#This Row],[Percentage of Supplier''s Facilities - Raw]]/$E$151</f>
        <v>7.7848549186128836E-3</v>
      </c>
    </row>
    <row r="113" spans="1:6" ht="19" x14ac:dyDescent="0.25">
      <c r="A113" s="31" t="s">
        <v>126</v>
      </c>
      <c r="B113" s="43">
        <v>3.4281858950270068</v>
      </c>
      <c r="C113" s="29">
        <v>0</v>
      </c>
      <c r="D113" s="38">
        <f>Tabella13[[#This Row],[Percentage of Suppliers - Raw]]/$C$151</f>
        <v>0</v>
      </c>
      <c r="E113" s="23">
        <v>2.2000000000000001E-3</v>
      </c>
      <c r="F113" s="40">
        <f>Tabella13[[#This Row],[Percentage of Supplier''s Facilities - Raw]]/$E$151</f>
        <v>2.2242442624608237E-3</v>
      </c>
    </row>
    <row r="114" spans="1:6" ht="19" x14ac:dyDescent="0.25">
      <c r="A114" s="31" t="s">
        <v>127</v>
      </c>
      <c r="B114" s="43">
        <v>3.1959809471990606</v>
      </c>
      <c r="C114" s="29">
        <v>0</v>
      </c>
      <c r="D114" s="38">
        <f>Tabella13[[#This Row],[Percentage of Suppliers - Raw]]/$C$151</f>
        <v>0</v>
      </c>
      <c r="E114" s="23">
        <v>2.0000000000000001E-4</v>
      </c>
      <c r="F114" s="40">
        <f>Tabella13[[#This Row],[Percentage of Supplier''s Facilities - Raw]]/$E$151</f>
        <v>2.022040238600749E-4</v>
      </c>
    </row>
    <row r="115" spans="1:6" ht="19" x14ac:dyDescent="0.25">
      <c r="A115" s="31" t="s">
        <v>128</v>
      </c>
      <c r="B115" s="43">
        <v>4.0482582591129548</v>
      </c>
      <c r="C115" s="29">
        <v>0</v>
      </c>
      <c r="D115" s="38">
        <f>Tabella13[[#This Row],[Percentage of Suppliers - Raw]]/$C$151</f>
        <v>0</v>
      </c>
      <c r="E115" s="23">
        <v>2.8999999999999998E-3</v>
      </c>
      <c r="F115" s="40">
        <f>Tabella13[[#This Row],[Percentage of Supplier''s Facilities - Raw]]/$E$151</f>
        <v>2.9319583459710857E-3</v>
      </c>
    </row>
    <row r="116" spans="1:6" ht="19" x14ac:dyDescent="0.25">
      <c r="A116" s="31" t="s">
        <v>129</v>
      </c>
      <c r="B116" s="43">
        <v>5.9582623064002229</v>
      </c>
      <c r="C116" s="29">
        <v>0</v>
      </c>
      <c r="D116" s="38">
        <f>Tabella13[[#This Row],[Percentage of Suppliers - Raw]]/$C$151</f>
        <v>0</v>
      </c>
      <c r="E116" s="23">
        <v>2E-3</v>
      </c>
      <c r="F116" s="40">
        <f>Tabella13[[#This Row],[Percentage of Supplier''s Facilities - Raw]]/$E$151</f>
        <v>2.0220402386007491E-3</v>
      </c>
    </row>
    <row r="117" spans="1:6" ht="19" x14ac:dyDescent="0.25">
      <c r="A117" s="31" t="s">
        <v>130</v>
      </c>
      <c r="B117" s="43">
        <v>5.4717687502053103</v>
      </c>
      <c r="C117" s="29">
        <v>0</v>
      </c>
      <c r="D117" s="38">
        <f>Tabella13[[#This Row],[Percentage of Suppliers - Raw]]/$C$151</f>
        <v>0</v>
      </c>
      <c r="E117" s="23">
        <v>0</v>
      </c>
      <c r="F117" s="40">
        <f>Tabella13[[#This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9">
        <v>0</v>
      </c>
      <c r="D118" s="38">
        <f>Tabella13[[#This Row],[Percentage of Suppliers - Raw]]/$C$151</f>
        <v>0</v>
      </c>
      <c r="E118" s="23">
        <v>1.1000000000000001E-3</v>
      </c>
      <c r="F118" s="40">
        <f>Tabella13[[#This Row],[Percentage of Supplier''s Facilities - Raw]]/$E$151</f>
        <v>1.1121221312304118E-3</v>
      </c>
    </row>
    <row r="119" spans="1:6" ht="19" x14ac:dyDescent="0.25">
      <c r="A119" s="31" t="s">
        <v>132</v>
      </c>
      <c r="B119" s="43">
        <v>5.3961053213656953</v>
      </c>
      <c r="C119" s="29">
        <v>0</v>
      </c>
      <c r="D119" s="38">
        <f>Tabella13[[#This Row],[Percentage of Suppliers - Raw]]/$C$151</f>
        <v>0</v>
      </c>
      <c r="E119" s="23">
        <v>2.0000000000000001E-4</v>
      </c>
      <c r="F119" s="40">
        <f>Tabella13[[#This Row],[Percentage of Supplier''s Facilities - Raw]]/$E$151</f>
        <v>2.022040238600749E-4</v>
      </c>
    </row>
    <row r="120" spans="1:6" ht="19" x14ac:dyDescent="0.25">
      <c r="A120" s="31" t="s">
        <v>133</v>
      </c>
      <c r="B120" s="43">
        <v>5.0353573500743858</v>
      </c>
      <c r="C120" s="29">
        <v>0</v>
      </c>
      <c r="D120" s="38">
        <f>Tabella13[[#This Row],[Percentage of Suppliers - Raw]]/$C$151</f>
        <v>0</v>
      </c>
      <c r="E120" s="23">
        <v>7.000000000000001E-4</v>
      </c>
      <c r="F120" s="40">
        <f>Tabella13[[#This Row],[Percentage of Supplier''s Facilities - Raw]]/$E$151</f>
        <v>7.077140835102622E-4</v>
      </c>
    </row>
    <row r="121" spans="1:6" ht="19" x14ac:dyDescent="0.25">
      <c r="A121" s="31" t="s">
        <v>134</v>
      </c>
      <c r="B121" s="43">
        <v>5.6408231615395454</v>
      </c>
      <c r="C121" s="29">
        <v>0</v>
      </c>
      <c r="D121" s="38">
        <f>Tabella13[[#This Row],[Percentage of Suppliers - Raw]]/$C$151</f>
        <v>0</v>
      </c>
      <c r="E121" s="23">
        <v>0</v>
      </c>
      <c r="F121" s="40">
        <f>Tabella13[[#This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9">
        <v>5.0000000000000001E-3</v>
      </c>
      <c r="D122" s="38">
        <f>Tabella13[[#This Row],[Percentage of Suppliers - Raw]]/$C$151</f>
        <v>5.0776886361328325E-3</v>
      </c>
      <c r="E122" s="23">
        <v>1.3000000000000001E-2</v>
      </c>
      <c r="F122" s="40">
        <f>Tabella13[[#This Row],[Percentage of Supplier''s Facilities - Raw]]/$E$151</f>
        <v>1.3143261550904868E-2</v>
      </c>
    </row>
    <row r="123" spans="1:6" ht="19" x14ac:dyDescent="0.25">
      <c r="A123" s="31" t="s">
        <v>136</v>
      </c>
      <c r="B123" s="43">
        <v>3.791880207241451</v>
      </c>
      <c r="C123" s="29">
        <v>0</v>
      </c>
      <c r="D123" s="38">
        <f>Tabella13[[#This Row],[Percentage of Suppliers - Raw]]/$C$151</f>
        <v>0</v>
      </c>
      <c r="E123" s="23">
        <v>1.8E-3</v>
      </c>
      <c r="F123" s="40">
        <f>Tabella13[[#This Row],[Percentage of Supplier''s Facilities - Raw]]/$E$151</f>
        <v>1.8198362147406738E-3</v>
      </c>
    </row>
    <row r="124" spans="1:6" ht="19" x14ac:dyDescent="0.25">
      <c r="A124" s="31" t="s">
        <v>137</v>
      </c>
      <c r="B124" s="43">
        <v>3.4781584832038352</v>
      </c>
      <c r="C124" s="29">
        <v>0</v>
      </c>
      <c r="D124" s="38">
        <f>Tabella13[[#This Row],[Percentage of Suppliers - Raw]]/$C$151</f>
        <v>0</v>
      </c>
      <c r="E124" s="23">
        <v>0</v>
      </c>
      <c r="F124" s="40">
        <f>Tabella13[[#This Row],[Percentage of Supplier''s Facilities - Raw]]/$E$151</f>
        <v>0</v>
      </c>
    </row>
    <row r="125" spans="1:6" ht="19" x14ac:dyDescent="0.25">
      <c r="A125" s="31" t="s">
        <v>138</v>
      </c>
      <c r="B125" s="43">
        <v>5.2224005392752639</v>
      </c>
      <c r="C125" s="29">
        <v>0</v>
      </c>
      <c r="D125" s="38">
        <f>Tabella13[[#This Row],[Percentage of Suppliers - Raw]]/$C$151</f>
        <v>0</v>
      </c>
      <c r="E125" s="23">
        <v>3.4999999999999996E-3</v>
      </c>
      <c r="F125" s="40">
        <f>Tabella13[[#This Row],[Percentage of Supplier''s Facilities - Raw]]/$E$151</f>
        <v>3.5385704175513104E-3</v>
      </c>
    </row>
    <row r="126" spans="1:6" ht="19" x14ac:dyDescent="0.25">
      <c r="A126" s="31" t="s">
        <v>139</v>
      </c>
      <c r="B126" s="43">
        <v>3.5667851803481079</v>
      </c>
      <c r="C126" s="29">
        <v>6.5199999999999994E-2</v>
      </c>
      <c r="D126" s="38">
        <f>Tabella13[[#This Row],[Percentage of Suppliers - Raw]]/$C$151</f>
        <v>6.6213059815172129E-2</v>
      </c>
      <c r="E126" s="23">
        <v>2.5399999999999999E-2</v>
      </c>
      <c r="F126" s="40">
        <f>Tabella13[[#This Row],[Percentage of Supplier''s Facilities - Raw]]/$E$151</f>
        <v>2.567991103022951E-2</v>
      </c>
    </row>
    <row r="127" spans="1:6" ht="19" x14ac:dyDescent="0.25">
      <c r="A127" s="31" t="s">
        <v>140</v>
      </c>
      <c r="B127" s="43">
        <v>3.7006443947932954</v>
      </c>
      <c r="C127" s="29">
        <v>2.5000000000000001E-3</v>
      </c>
      <c r="D127" s="38">
        <f>Tabella13[[#This Row],[Percentage of Suppliers - Raw]]/$C$151</f>
        <v>2.5388443180664163E-3</v>
      </c>
      <c r="E127" s="23">
        <v>1.37E-2</v>
      </c>
      <c r="F127" s="40">
        <f>Tabella13[[#This Row],[Percentage of Supplier''s Facilities - Raw]]/$E$151</f>
        <v>1.385097563441513E-2</v>
      </c>
    </row>
    <row r="128" spans="1:6" ht="19" x14ac:dyDescent="0.25">
      <c r="A128" s="32" t="s">
        <v>141</v>
      </c>
      <c r="B128" s="43">
        <v>5.1109914616879202</v>
      </c>
      <c r="C128" s="29">
        <v>0</v>
      </c>
      <c r="D128" s="38">
        <f>Tabella13[[#This Row],[Percentage of Suppliers - Raw]]/$C$151</f>
        <v>0</v>
      </c>
      <c r="E128" s="23">
        <v>0</v>
      </c>
      <c r="F128" s="40">
        <f>Tabella13[[#This Row],[Percentage of Supplier''s Facilities - Raw]]/$E$151</f>
        <v>0</v>
      </c>
    </row>
    <row r="129" spans="1:6" ht="19" x14ac:dyDescent="0.25">
      <c r="A129" s="31" t="s">
        <v>142</v>
      </c>
      <c r="B129" s="43">
        <v>7.0987237940608701</v>
      </c>
      <c r="C129" s="29">
        <v>0</v>
      </c>
      <c r="D129" s="38">
        <f>Tabella13[[#This Row],[Percentage of Suppliers - Raw]]/$C$151</f>
        <v>0</v>
      </c>
      <c r="E129" s="23">
        <v>0</v>
      </c>
      <c r="F129" s="40">
        <f>Tabella13[[#This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9">
        <v>1.2500000000000001E-2</v>
      </c>
      <c r="D130" s="38">
        <f>Tabella13[[#This Row],[Percentage of Suppliers - Raw]]/$C$151</f>
        <v>1.2694221590332082E-2</v>
      </c>
      <c r="E130" s="23">
        <v>9.4999999999999998E-3</v>
      </c>
      <c r="F130" s="40">
        <f>Tabella13[[#This Row],[Percentage of Supplier''s Facilities - Raw]]/$E$151</f>
        <v>9.6046911333535576E-3</v>
      </c>
    </row>
    <row r="131" spans="1:6" ht="19" x14ac:dyDescent="0.25">
      <c r="A131" s="31" t="s">
        <v>144</v>
      </c>
      <c r="B131" s="43">
        <v>2.7770010876672497</v>
      </c>
      <c r="C131" s="29">
        <v>5.0000000000000001E-3</v>
      </c>
      <c r="D131" s="38">
        <f>Tabella13[[#This Row],[Percentage of Suppliers - Raw]]/$C$151</f>
        <v>5.0776886361328325E-3</v>
      </c>
      <c r="E131" s="23">
        <v>8.199999999999999E-3</v>
      </c>
      <c r="F131" s="40">
        <f>Tabella13[[#This Row],[Percentage of Supplier''s Facilities - Raw]]/$E$151</f>
        <v>8.2903649782630692E-3</v>
      </c>
    </row>
    <row r="132" spans="1:6" ht="19" x14ac:dyDescent="0.25">
      <c r="A132" s="31" t="s">
        <v>145</v>
      </c>
      <c r="B132" s="43">
        <v>7.3330533031040499</v>
      </c>
      <c r="C132" s="29">
        <v>0</v>
      </c>
      <c r="D132" s="38">
        <f>Tabella13[[#This Row],[Percentage of Suppliers - Raw]]/$C$151</f>
        <v>0</v>
      </c>
      <c r="E132" s="23">
        <v>0</v>
      </c>
      <c r="F132" s="40">
        <f>Tabella13[[#This Row],[Percentage of Supplier''s Facilities - Raw]]/$E$151</f>
        <v>0</v>
      </c>
    </row>
    <row r="133" spans="1:6" ht="19" x14ac:dyDescent="0.25">
      <c r="A133" s="31" t="s">
        <v>146</v>
      </c>
      <c r="B133" s="43">
        <v>5.6864357260548895</v>
      </c>
      <c r="C133" s="29">
        <v>0</v>
      </c>
      <c r="D133" s="38">
        <f>Tabella13[[#This Row],[Percentage of Suppliers - Raw]]/$C$151</f>
        <v>0</v>
      </c>
      <c r="E133" s="23">
        <v>0</v>
      </c>
      <c r="F133" s="40">
        <f>Tabella13[[#This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9">
        <v>2.5000000000000001E-3</v>
      </c>
      <c r="D134" s="38">
        <f>Tabella13[[#This Row],[Percentage of Suppliers - Raw]]/$C$151</f>
        <v>2.5388443180664163E-3</v>
      </c>
      <c r="E134" s="23">
        <v>2.1000000000000001E-2</v>
      </c>
      <c r="F134" s="40">
        <f>Tabella13[[#This Row],[Percentage of Supplier''s Facilities - Raw]]/$E$151</f>
        <v>2.1231422505307865E-2</v>
      </c>
    </row>
    <row r="135" spans="1:6" ht="19" x14ac:dyDescent="0.25">
      <c r="A135" s="31" t="s">
        <v>148</v>
      </c>
      <c r="B135" s="43">
        <v>5.1473122500344015</v>
      </c>
      <c r="C135" s="29">
        <v>0</v>
      </c>
      <c r="D135" s="38">
        <f>Tabella13[[#This Row],[Percentage of Suppliers - Raw]]/$C$151</f>
        <v>0</v>
      </c>
      <c r="E135" s="23">
        <v>0</v>
      </c>
      <c r="F135" s="40">
        <f>Tabella13[[#This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9">
        <v>0</v>
      </c>
      <c r="D136" s="38">
        <f>Tabella13[[#This Row],[Percentage of Suppliers - Raw]]/$C$151</f>
        <v>0</v>
      </c>
      <c r="E136" s="23">
        <v>0</v>
      </c>
      <c r="F136" s="40">
        <f>Tabella13[[#This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9">
        <v>0</v>
      </c>
      <c r="D137" s="38">
        <f>Tabella13[[#This Row],[Percentage of Suppliers - Raw]]/$C$151</f>
        <v>0</v>
      </c>
      <c r="E137" s="23">
        <v>0</v>
      </c>
      <c r="F137" s="40">
        <f>Tabella13[[#This Row],[Percentage of Supplier''s Facilities - Raw]]/$E$151</f>
        <v>0</v>
      </c>
    </row>
    <row r="138" spans="1:6" ht="19" x14ac:dyDescent="0.25">
      <c r="A138" s="31" t="s">
        <v>151</v>
      </c>
      <c r="B138" s="43">
        <v>5.1269871649881278</v>
      </c>
      <c r="C138" s="29">
        <v>0</v>
      </c>
      <c r="D138" s="38">
        <f>Tabella13[[#This Row],[Percentage of Suppliers - Raw]]/$C$151</f>
        <v>0</v>
      </c>
      <c r="E138" s="23">
        <v>1.1000000000000001E-3</v>
      </c>
      <c r="F138" s="40">
        <f>Tabella13[[#This Row],[Percentage of Supplier''s Facilities - Raw]]/$E$151</f>
        <v>1.1121221312304118E-3</v>
      </c>
    </row>
    <row r="139" spans="1:6" ht="19" x14ac:dyDescent="0.25">
      <c r="A139" s="31" t="s">
        <v>152</v>
      </c>
      <c r="B139" s="43">
        <v>5.2574384214456868</v>
      </c>
      <c r="C139" s="29">
        <v>0</v>
      </c>
      <c r="D139" s="38">
        <f>Tabella13[[#This Row],[Percentage of Suppliers - Raw]]/$C$151</f>
        <v>0</v>
      </c>
      <c r="E139" s="23">
        <v>3.8E-3</v>
      </c>
      <c r="F139" s="40">
        <f>Tabella13[[#This Row],[Percentage of Supplier''s Facilities - Raw]]/$E$151</f>
        <v>3.8418764533414227E-3</v>
      </c>
    </row>
    <row r="140" spans="1:6" ht="19" x14ac:dyDescent="0.25">
      <c r="A140" s="31" t="s">
        <v>153</v>
      </c>
      <c r="B140" s="43">
        <v>6.2888889425300309</v>
      </c>
      <c r="C140" s="29">
        <v>0</v>
      </c>
      <c r="D140" s="38">
        <f>Tabella13[[#This Row],[Percentage of Suppliers - Raw]]/$C$151</f>
        <v>0</v>
      </c>
      <c r="E140" s="23">
        <v>0</v>
      </c>
      <c r="F140" s="40">
        <f>Tabella13[[#This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9">
        <v>0</v>
      </c>
      <c r="D141" s="38">
        <f>Tabella13[[#This Row],[Percentage of Suppliers - Raw]]/$C$151</f>
        <v>0</v>
      </c>
      <c r="E141" s="23">
        <v>1.1000000000000001E-3</v>
      </c>
      <c r="F141" s="40">
        <f>Tabella13[[#This Row],[Percentage of Supplier''s Facilities - Raw]]/$E$151</f>
        <v>1.1121221312304118E-3</v>
      </c>
    </row>
    <row r="142" spans="1:6" ht="19" x14ac:dyDescent="0.25">
      <c r="A142" s="31" t="s">
        <v>155</v>
      </c>
      <c r="B142" s="43">
        <v>3.7156413836197295</v>
      </c>
      <c r="C142" s="29">
        <v>2.5000000000000001E-3</v>
      </c>
      <c r="D142" s="38">
        <f>Tabella13[[#This Row],[Percentage of Suppliers - Raw]]/$C$151</f>
        <v>2.5388443180664163E-3</v>
      </c>
      <c r="E142" s="23">
        <v>1.1000000000000001E-3</v>
      </c>
      <c r="F142" s="40">
        <f>Tabella13[[#This Row],[Percentage of Supplier''s Facilities - Raw]]/$E$151</f>
        <v>1.1121221312304118E-3</v>
      </c>
    </row>
    <row r="143" spans="1:6" ht="19" x14ac:dyDescent="0.25">
      <c r="A143" s="31" t="s">
        <v>156</v>
      </c>
      <c r="B143" s="43">
        <v>3.3179607898236139</v>
      </c>
      <c r="C143" s="29">
        <v>5.0099999999999999E-2</v>
      </c>
      <c r="D143" s="38">
        <f>Tabella13[[#This Row],[Percentage of Suppliers - Raw]]/$C$151</f>
        <v>5.0878440134050983E-2</v>
      </c>
      <c r="E143" s="23">
        <v>1.9900000000000001E-2</v>
      </c>
      <c r="F143" s="40">
        <f>Tabella13[[#This Row],[Percentage of Supplier''s Facilities - Raw]]/$E$151</f>
        <v>2.0119300374077453E-2</v>
      </c>
    </row>
    <row r="144" spans="1:6" ht="19" x14ac:dyDescent="0.25">
      <c r="A144" s="31" t="s">
        <v>157</v>
      </c>
      <c r="B144" s="43">
        <v>4.1903553610988471</v>
      </c>
      <c r="C144" s="29">
        <v>0.20549999999999999</v>
      </c>
      <c r="D144" s="38">
        <f>Tabella13[[#This Row],[Percentage of Suppliers - Raw]]/$C$151</f>
        <v>0.20869300294505941</v>
      </c>
      <c r="E144" s="23">
        <v>0.1636</v>
      </c>
      <c r="F144" s="40">
        <f>Tabella13[[#This Row],[Percentage of Supplier''s Facilities - Raw]]/$E$151</f>
        <v>0.16540289151754126</v>
      </c>
    </row>
    <row r="145" spans="1:6" ht="19" x14ac:dyDescent="0.25">
      <c r="A145" s="31" t="s">
        <v>158</v>
      </c>
      <c r="B145" s="43">
        <v>3.9104307580301834</v>
      </c>
      <c r="C145" s="29">
        <v>0</v>
      </c>
      <c r="D145" s="38">
        <f>Tabella13[[#This Row],[Percentage of Suppliers - Raw]]/$C$151</f>
        <v>0</v>
      </c>
      <c r="E145" s="23">
        <v>0</v>
      </c>
      <c r="F145" s="40">
        <f>Tabella13[[#This Row],[Percentage of Supplier''s Facilities - Raw]]/$E$151</f>
        <v>0</v>
      </c>
    </row>
    <row r="146" spans="1:6" ht="19" x14ac:dyDescent="0.25">
      <c r="A146" s="31" t="s">
        <v>159</v>
      </c>
      <c r="B146" s="43">
        <v>5.7741934156294281</v>
      </c>
      <c r="C146" s="29">
        <v>0</v>
      </c>
      <c r="D146" s="38">
        <f>Tabella13[[#This Row],[Percentage of Suppliers - Raw]]/$C$151</f>
        <v>0</v>
      </c>
      <c r="E146" s="23">
        <v>0</v>
      </c>
      <c r="F146" s="40">
        <f>Tabella13[[#This Row],[Percentage of Supplier''s Facilities - Raw]]/$E$151</f>
        <v>0</v>
      </c>
    </row>
    <row r="147" spans="1:6" ht="19" x14ac:dyDescent="0.25">
      <c r="A147" s="31" t="s">
        <v>160</v>
      </c>
      <c r="B147" s="43">
        <v>4.3230065548271748</v>
      </c>
      <c r="C147" s="29">
        <v>0</v>
      </c>
      <c r="D147" s="38">
        <f>Tabella13[[#This Row],[Percentage of Suppliers - Raw]]/$C$151</f>
        <v>0</v>
      </c>
      <c r="E147" s="23">
        <v>2.6499999999999999E-2</v>
      </c>
      <c r="F147" s="40">
        <f>Tabella13[[#This Row],[Percentage of Supplier''s Facilities - Raw]]/$E$151</f>
        <v>2.6792033161459922E-2</v>
      </c>
    </row>
    <row r="148" spans="1:6" ht="19" x14ac:dyDescent="0.25">
      <c r="A148" s="31" t="s">
        <v>161</v>
      </c>
      <c r="B148" s="43">
        <v>6.3044304196425287</v>
      </c>
      <c r="C148" s="29">
        <v>0</v>
      </c>
      <c r="D148" s="38">
        <f>Tabella13[[#This Row],[Percentage of Suppliers - Raw]]/$C$151</f>
        <v>0</v>
      </c>
      <c r="E148" s="23">
        <v>0</v>
      </c>
      <c r="F148" s="40">
        <f>Tabella13[[#This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9">
        <v>0</v>
      </c>
      <c r="D149" s="38">
        <f>Tabella13[[#This Row],[Percentage of Suppliers - Raw]]/$C$151</f>
        <v>0</v>
      </c>
      <c r="E149" s="23">
        <v>0</v>
      </c>
      <c r="F149" s="40">
        <f>Tabella13[[#This Row],[Percentage of Supplier''s Facilities - Raw]]/$E$151</f>
        <v>0</v>
      </c>
    </row>
    <row r="150" spans="1:6" ht="19" x14ac:dyDescent="0.25">
      <c r="A150" s="31" t="s">
        <v>163</v>
      </c>
      <c r="B150" s="43">
        <v>6.1447845309536486</v>
      </c>
      <c r="C150" s="29">
        <v>0</v>
      </c>
      <c r="D150" s="38">
        <f>Tabella13[[#This Row],[Percentage of Suppliers - Raw]]/$C$151</f>
        <v>0</v>
      </c>
      <c r="E150" s="23">
        <v>0</v>
      </c>
      <c r="F150" s="40">
        <f>Tabella13[[#This Row],[Percentage of Supplier''s Facilities - Raw]]/$E$151</f>
        <v>0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0.98469999999999991</v>
      </c>
      <c r="D151" s="39">
        <f>Tabella13[[#This Row],[Percentage of Suppliers - Raw]]/$C$151</f>
        <v>1</v>
      </c>
      <c r="E151" s="25">
        <f>SUM(E4:E150)</f>
        <v>0.98909999999999965</v>
      </c>
      <c r="F151" s="41">
        <f>SUM(F4:F150)</f>
        <v>1.0000000000000002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CF27-FB8C-CD41-BBD2-1ED50295DE0B}">
  <dimension ref="A1:P151"/>
  <sheetViews>
    <sheetView topLeftCell="H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167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</row>
    <row r="4" spans="1:16" ht="20" thickBot="1" x14ac:dyDescent="0.3">
      <c r="A4" s="31" t="s">
        <v>8</v>
      </c>
      <c r="B4" s="43">
        <v>4.3705708278452811</v>
      </c>
      <c r="C4" s="29">
        <v>0</v>
      </c>
      <c r="D4" s="38">
        <f>Tabella14[[#This Row],[Percentage of Suppliers - Raw]]/$C$151</f>
        <v>0</v>
      </c>
      <c r="E4" s="23">
        <v>4.0000000000000002E-4</v>
      </c>
      <c r="F4" s="40">
        <f>Tabella14[[#This Row],[Percentage of Supplier''s Facilities - Raw]]/$E$151</f>
        <v>4.0371417036737993E-4</v>
      </c>
    </row>
    <row r="5" spans="1:16" ht="20" thickBot="1" x14ac:dyDescent="0.3">
      <c r="A5" s="31" t="s">
        <v>9</v>
      </c>
      <c r="B5" s="43">
        <v>5.2136193198580543</v>
      </c>
      <c r="C5" s="29">
        <v>0</v>
      </c>
      <c r="D5" s="38">
        <f>Tabella14[[#This Row],[Percentage of Suppliers - Raw]]/$C$151</f>
        <v>0</v>
      </c>
      <c r="E5" s="23">
        <v>8.0000000000000004E-4</v>
      </c>
      <c r="F5" s="40">
        <f>Tabella14[[#This Row],[Percentage of Supplier''s Facilities - Raw]]/$E$151</f>
        <v>8.0742834073475986E-4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3">
        <v>5.6305966049142544</v>
      </c>
      <c r="C6" s="29">
        <v>0</v>
      </c>
      <c r="D6" s="38">
        <f>Tabella14[[#This Row],[Percentage of Suppliers - Raw]]/$C$151</f>
        <v>0</v>
      </c>
      <c r="E6" s="23">
        <v>1.2999999999999999E-3</v>
      </c>
      <c r="F6" s="40">
        <f>Tabella14[[#This Row],[Percentage of Supplier''s Facilities - Raw]]/$E$151</f>
        <v>1.3120710536939845E-3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9">
        <v>0</v>
      </c>
      <c r="D7" s="38">
        <f>Tabella14[[#This Row],[Percentage of Suppliers - Raw]]/$C$151</f>
        <v>0</v>
      </c>
      <c r="E7" s="23">
        <v>2.5000000000000001E-3</v>
      </c>
      <c r="F7" s="40">
        <f>Tabella14[[#This Row],[Percentage of Supplier''s Facilities - Raw]]/$E$151</f>
        <v>2.5232135647961242E-3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Azerbaijan</v>
      </c>
      <c r="O7" s="15">
        <f>INDEX(B4:B150,MATCH(MIN(F4:F150),F4:F150,0))</f>
        <v>5.2109258806256893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3">
        <v>4.7882033268855917</v>
      </c>
      <c r="C8" s="29">
        <v>0</v>
      </c>
      <c r="D8" s="38">
        <f>Tabella14[[#This Row],[Percentage of Suppliers - Raw]]/$C$151</f>
        <v>0</v>
      </c>
      <c r="E8" s="23">
        <v>4.0000000000000002E-4</v>
      </c>
      <c r="F8" s="40">
        <f>Tabella14[[#This Row],[Percentage of Supplier''s Facilities - Raw]]/$E$151</f>
        <v>4.0371417036737993E-4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4.1903553610988471</v>
      </c>
      <c r="K8" s="19">
        <f>INDEX(D4:D150,MATCH(MAX(D4:D150),D4:D150,0))</f>
        <v>0.37392099116482175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4.1903553610988471</v>
      </c>
      <c r="P8" s="19">
        <f>INDEX(F4:F150,MATCH(MAX(F4:F150),F4:F150,0))</f>
        <v>0.23304400484457002</v>
      </c>
    </row>
    <row r="9" spans="1:16" ht="23" thickBot="1" x14ac:dyDescent="0.35">
      <c r="A9" s="31" t="s">
        <v>19</v>
      </c>
      <c r="B9" s="43">
        <v>3.2228923328507717</v>
      </c>
      <c r="C9" s="29">
        <v>1.55E-2</v>
      </c>
      <c r="D9" s="38">
        <f>Tabella14[[#This Row],[Percentage of Suppliers - Raw]]/$C$151</f>
        <v>1.574083477201178E-2</v>
      </c>
      <c r="E9" s="23">
        <v>1.83E-2</v>
      </c>
      <c r="F9" s="40">
        <f>Tabella14[[#This Row],[Percentage of Supplier''s Facilities - Raw]]/$E$151</f>
        <v>1.846992329430763E-2</v>
      </c>
      <c r="H9" s="20" t="s">
        <v>20</v>
      </c>
      <c r="I9" s="21"/>
      <c r="J9" s="21"/>
      <c r="K9" s="175">
        <f>SUMPRODUCT(B4:B150,D4:D150)</f>
        <v>3.9636017452479573</v>
      </c>
      <c r="M9" s="20" t="s">
        <v>21</v>
      </c>
      <c r="N9" s="21"/>
      <c r="O9" s="21"/>
      <c r="P9" s="175">
        <f>SUMPRODUCT(B4:B150,F4:F150)</f>
        <v>4.068994463613735</v>
      </c>
    </row>
    <row r="10" spans="1:16" ht="19" x14ac:dyDescent="0.25">
      <c r="A10" s="31" t="s">
        <v>22</v>
      </c>
      <c r="B10" s="43">
        <v>3.4101851325072063</v>
      </c>
      <c r="C10" s="29">
        <v>0</v>
      </c>
      <c r="D10" s="38">
        <f>Tabella14[[#This Row],[Percentage of Suppliers - Raw]]/$C$151</f>
        <v>0</v>
      </c>
      <c r="E10" s="23">
        <v>5.7999999999999996E-3</v>
      </c>
      <c r="F10" s="40">
        <f>Tabella14[[#This Row],[Percentage of Supplier''s Facilities - Raw]]/$E$151</f>
        <v>5.8538554703270081E-3</v>
      </c>
    </row>
    <row r="11" spans="1:16" ht="19" x14ac:dyDescent="0.25">
      <c r="A11" s="31" t="s">
        <v>23</v>
      </c>
      <c r="B11" s="43">
        <v>5.2109258806256893</v>
      </c>
      <c r="C11" s="29">
        <v>0</v>
      </c>
      <c r="D11" s="38">
        <f>Tabella14[[#This Row],[Percentage of Suppliers - Raw]]/$C$151</f>
        <v>0</v>
      </c>
      <c r="E11" s="23">
        <v>0</v>
      </c>
      <c r="F11" s="40">
        <f>Tabella14[[#This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9">
        <v>0</v>
      </c>
      <c r="D12" s="38">
        <f>Tabella14[[#This Row],[Percentage of Suppliers - Raw]]/$C$151</f>
        <v>0</v>
      </c>
      <c r="E12" s="23">
        <v>0</v>
      </c>
      <c r="F12" s="40">
        <f>Tabella14[[#This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9">
        <v>0</v>
      </c>
      <c r="D13" s="38">
        <f>Tabella14[[#This Row],[Percentage of Suppliers - Raw]]/$C$151</f>
        <v>0</v>
      </c>
      <c r="E13" s="23">
        <v>4.0000000000000002E-4</v>
      </c>
      <c r="F13" s="40">
        <f>Tabella14[[#This Row],[Percentage of Supplier''s Facilities - Raw]]/$E$151</f>
        <v>4.0371417036737993E-4</v>
      </c>
    </row>
    <row r="14" spans="1:16" ht="19" x14ac:dyDescent="0.25">
      <c r="A14" s="31" t="s">
        <v>26</v>
      </c>
      <c r="B14" s="43">
        <v>5.4470391561857463</v>
      </c>
      <c r="C14" s="29">
        <v>0</v>
      </c>
      <c r="D14" s="38">
        <f>Tabella14[[#This Row],[Percentage of Suppliers - Raw]]/$C$151</f>
        <v>0</v>
      </c>
      <c r="E14" s="23">
        <v>0</v>
      </c>
      <c r="F14" s="40">
        <f>Tabella14[[#This Row],[Percentage of Supplier''s Facilities - Raw]]/$E$151</f>
        <v>0</v>
      </c>
    </row>
    <row r="15" spans="1:16" ht="19" x14ac:dyDescent="0.25">
      <c r="A15" s="31" t="s">
        <v>27</v>
      </c>
      <c r="B15" s="43">
        <v>3.3272157363952584</v>
      </c>
      <c r="C15" s="29">
        <v>3.8999999999999998E-3</v>
      </c>
      <c r="D15" s="38">
        <f>Tabella14[[#This Row],[Percentage of Suppliers - Raw]]/$C$151</f>
        <v>3.9605971361836084E-3</v>
      </c>
      <c r="E15" s="23">
        <v>3.8E-3</v>
      </c>
      <c r="F15" s="40">
        <f>Tabella14[[#This Row],[Percentage of Supplier''s Facilities - Raw]]/$E$151</f>
        <v>3.835284618490109E-3</v>
      </c>
    </row>
    <row r="16" spans="1:16" ht="19" x14ac:dyDescent="0.25">
      <c r="A16" s="31" t="s">
        <v>28</v>
      </c>
      <c r="B16" s="43">
        <v>5.9976203843116958</v>
      </c>
      <c r="C16" s="29">
        <v>0</v>
      </c>
      <c r="D16" s="38">
        <f>Tabella14[[#This Row],[Percentage of Suppliers - Raw]]/$C$151</f>
        <v>0</v>
      </c>
      <c r="E16" s="23">
        <v>1E-4</v>
      </c>
      <c r="F16" s="40">
        <f>Tabella14[[#This Row],[Percentage of Supplier''s Facilities - Raw]]/$E$151</f>
        <v>1.0092854259184498E-4</v>
      </c>
    </row>
    <row r="17" spans="1:7" ht="19" x14ac:dyDescent="0.25">
      <c r="A17" s="31" t="s">
        <v>29</v>
      </c>
      <c r="B17" s="43">
        <v>5.0248646415497609</v>
      </c>
      <c r="C17" s="29">
        <v>0</v>
      </c>
      <c r="D17" s="38">
        <f>Tabella14[[#This Row],[Percentage of Suppliers - Raw]]/$C$151</f>
        <v>0</v>
      </c>
      <c r="E17" s="23">
        <v>0</v>
      </c>
      <c r="F17" s="40">
        <f>Tabella14[[#This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9">
        <v>0</v>
      </c>
      <c r="D18" s="38">
        <f>Tabella14[[#This Row],[Percentage of Suppliers - Raw]]/$C$151</f>
        <v>0</v>
      </c>
      <c r="E18" s="23">
        <v>0</v>
      </c>
      <c r="F18" s="40">
        <f>Tabella14[[#This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9">
        <v>0</v>
      </c>
      <c r="D19" s="38">
        <f>Tabella14[[#This Row],[Percentage of Suppliers - Raw]]/$C$151</f>
        <v>0</v>
      </c>
      <c r="E19" s="23">
        <v>4.0000000000000002E-4</v>
      </c>
      <c r="F19" s="40">
        <f>Tabella14[[#This Row],[Percentage of Supplier''s Facilities - Raw]]/$E$151</f>
        <v>4.0371417036737993E-4</v>
      </c>
    </row>
    <row r="20" spans="1:7" ht="19" x14ac:dyDescent="0.25">
      <c r="A20" s="31" t="s">
        <v>32</v>
      </c>
      <c r="B20" s="43">
        <v>4.3392269255836116</v>
      </c>
      <c r="C20" s="29">
        <v>0</v>
      </c>
      <c r="D20" s="38">
        <f>Tabella14[[#This Row],[Percentage of Suppliers - Raw]]/$C$151</f>
        <v>0</v>
      </c>
      <c r="E20" s="23">
        <v>1E-4</v>
      </c>
      <c r="F20" s="40">
        <f>Tabella14[[#This Row],[Percentage of Supplier''s Facilities - Raw]]/$E$151</f>
        <v>1.0092854259184498E-4</v>
      </c>
    </row>
    <row r="21" spans="1:7" ht="19" x14ac:dyDescent="0.25">
      <c r="A21" s="31" t="s">
        <v>33</v>
      </c>
      <c r="B21" s="43">
        <v>5.3528879548903774</v>
      </c>
      <c r="C21" s="29">
        <v>3.8999999999999998E-3</v>
      </c>
      <c r="D21" s="38">
        <f>Tabella14[[#This Row],[Percentage of Suppliers - Raw]]/$C$151</f>
        <v>3.9605971361836084E-3</v>
      </c>
      <c r="E21" s="23">
        <v>1.54E-2</v>
      </c>
      <c r="F21" s="40">
        <f>Tabella14[[#This Row],[Percentage of Supplier''s Facilities - Raw]]/$E$151</f>
        <v>1.5542995559144126E-2</v>
      </c>
    </row>
    <row r="22" spans="1:7" ht="19" x14ac:dyDescent="0.25">
      <c r="A22" s="31" t="s">
        <v>34</v>
      </c>
      <c r="B22" s="43">
        <v>4.4305511295739555</v>
      </c>
      <c r="C22" s="29">
        <v>0</v>
      </c>
      <c r="D22" s="38">
        <f>Tabella14[[#This Row],[Percentage of Suppliers - Raw]]/$C$151</f>
        <v>0</v>
      </c>
      <c r="E22" s="23">
        <v>2.5000000000000001E-3</v>
      </c>
      <c r="F22" s="40">
        <f>Tabella14[[#This Row],[Percentage of Supplier''s Facilities - Raw]]/$E$151</f>
        <v>2.5232135647961242E-3</v>
      </c>
    </row>
    <row r="23" spans="1:7" ht="19" x14ac:dyDescent="0.25">
      <c r="A23" s="31" t="s">
        <v>35</v>
      </c>
      <c r="B23" s="43">
        <v>6.5469989858167894</v>
      </c>
      <c r="C23" s="29">
        <v>0</v>
      </c>
      <c r="D23" s="38">
        <f>Tabella14[[#This Row],[Percentage of Suppliers - Raw]]/$C$151</f>
        <v>0</v>
      </c>
      <c r="E23" s="23">
        <v>1E-4</v>
      </c>
      <c r="F23" s="40">
        <f>Tabella14[[#This Row],[Percentage of Supplier''s Facilities - Raw]]/$E$151</f>
        <v>1.0092854259184498E-4</v>
      </c>
    </row>
    <row r="24" spans="1:7" ht="19" x14ac:dyDescent="0.25">
      <c r="A24" s="31" t="s">
        <v>36</v>
      </c>
      <c r="B24" s="43">
        <v>6.3316257862325482</v>
      </c>
      <c r="C24" s="29">
        <v>0</v>
      </c>
      <c r="D24" s="38">
        <f>Tabella14[[#This Row],[Percentage of Suppliers - Raw]]/$C$151</f>
        <v>0</v>
      </c>
      <c r="E24" s="23">
        <v>0</v>
      </c>
      <c r="F24" s="40">
        <f>Tabella14[[#This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9">
        <v>0</v>
      </c>
      <c r="D25" s="38">
        <f>Tabella14[[#This Row],[Percentage of Suppliers - Raw]]/$C$151</f>
        <v>0</v>
      </c>
      <c r="E25" s="23">
        <v>0</v>
      </c>
      <c r="F25" s="40">
        <f>Tabella14[[#This Row],[Percentage of Supplier''s Facilities - Raw]]/$E$151</f>
        <v>0</v>
      </c>
    </row>
    <row r="26" spans="1:7" ht="19" x14ac:dyDescent="0.25">
      <c r="A26" s="31" t="s">
        <v>38</v>
      </c>
      <c r="B26" s="43">
        <v>6.8290168498118629</v>
      </c>
      <c r="C26" s="29">
        <v>0</v>
      </c>
      <c r="D26" s="38">
        <f>Tabella14[[#This Row],[Percentage of Suppliers - Raw]]/$C$151</f>
        <v>0</v>
      </c>
      <c r="E26" s="23">
        <v>0</v>
      </c>
      <c r="F26" s="40">
        <f>Tabella14[[#This Row],[Percentage of Supplier''s Facilities - Raw]]/$E$151</f>
        <v>0</v>
      </c>
    </row>
    <row r="27" spans="1:7" ht="19" x14ac:dyDescent="0.25">
      <c r="A27" s="31" t="s">
        <v>39</v>
      </c>
      <c r="B27" s="43">
        <v>3.4431913474650511</v>
      </c>
      <c r="C27" s="29">
        <v>1.9400000000000001E-2</v>
      </c>
      <c r="D27" s="38">
        <f>Tabella14[[#This Row],[Percentage of Suppliers - Raw]]/$C$151</f>
        <v>1.9701431908195389E-2</v>
      </c>
      <c r="E27" s="23">
        <v>2.1299999999999999E-2</v>
      </c>
      <c r="F27" s="40">
        <f>Tabella14[[#This Row],[Percentage of Supplier''s Facilities - Raw]]/$E$151</f>
        <v>2.1497779572062978E-2</v>
      </c>
    </row>
    <row r="28" spans="1:7" ht="19" x14ac:dyDescent="0.25">
      <c r="A28" s="31" t="s">
        <v>40</v>
      </c>
      <c r="B28" s="43">
        <v>6.7936201324767405</v>
      </c>
      <c r="C28" s="29">
        <v>0</v>
      </c>
      <c r="D28" s="38">
        <f>Tabella14[[#This Row],[Percentage of Suppliers - Raw]]/$C$151</f>
        <v>0</v>
      </c>
      <c r="E28" s="23">
        <v>0</v>
      </c>
      <c r="F28" s="40">
        <f>Tabella14[[#This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9">
        <v>0</v>
      </c>
      <c r="D29" s="38">
        <f>Tabella14[[#This Row],[Percentage of Suppliers - Raw]]/$C$151</f>
        <v>0</v>
      </c>
      <c r="E29" s="23">
        <v>0</v>
      </c>
      <c r="F29" s="40">
        <f>Tabella14[[#This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9">
        <v>3.8999999999999998E-3</v>
      </c>
      <c r="D30" s="38">
        <f>Tabella14[[#This Row],[Percentage of Suppliers - Raw]]/$C$151</f>
        <v>3.9605971361836084E-3</v>
      </c>
      <c r="E30" s="23">
        <v>2.5000000000000001E-3</v>
      </c>
      <c r="F30" s="40">
        <f>Tabella14[[#This Row],[Percentage of Supplier''s Facilities - Raw]]/$E$151</f>
        <v>2.5232135647961242E-3</v>
      </c>
    </row>
    <row r="31" spans="1:7" ht="19" x14ac:dyDescent="0.25">
      <c r="A31" s="31" t="s">
        <v>43</v>
      </c>
      <c r="B31" s="43">
        <v>4.2558827981073541</v>
      </c>
      <c r="C31" s="29">
        <f xml:space="preserve"> 12.02% + 5.43%</f>
        <v>0.17449999999999999</v>
      </c>
      <c r="D31" s="38">
        <f>Tabella14[[#This Row],[Percentage of Suppliers - Raw]]/$C$151</f>
        <v>0.17721133340103581</v>
      </c>
      <c r="E31" s="23">
        <v>0.19259999999999999</v>
      </c>
      <c r="F31" s="40">
        <f>Tabella14[[#This Row],[Percentage of Supplier''s Facilities - Raw]]/$E$151</f>
        <v>0.19438837303189341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9">
        <v>0</v>
      </c>
      <c r="D32" s="38">
        <f>Tabella14[[#This Row],[Percentage of Suppliers - Raw]]/$C$151</f>
        <v>0</v>
      </c>
      <c r="E32" s="23">
        <v>2.0999999999999999E-3</v>
      </c>
      <c r="F32" s="40">
        <f>Tabella14[[#This Row],[Percentage of Supplier''s Facilities - Raw]]/$E$151</f>
        <v>2.1194993944287444E-3</v>
      </c>
    </row>
    <row r="33" spans="1:6" ht="19" x14ac:dyDescent="0.25">
      <c r="A33" s="31" t="s">
        <v>46</v>
      </c>
      <c r="B33" s="43">
        <v>5.6489161047332477</v>
      </c>
      <c r="C33" s="29">
        <v>0</v>
      </c>
      <c r="D33" s="38">
        <f>Tabella14[[#This Row],[Percentage of Suppliers - Raw]]/$C$151</f>
        <v>0</v>
      </c>
      <c r="E33" s="23">
        <v>1E-4</v>
      </c>
      <c r="F33" s="40">
        <f>Tabella14[[#This Row],[Percentage of Supplier''s Facilities - Raw]]/$E$151</f>
        <v>1.0092854259184498E-4</v>
      </c>
    </row>
    <row r="34" spans="1:6" ht="19" x14ac:dyDescent="0.25">
      <c r="A34" s="31" t="s">
        <v>47</v>
      </c>
      <c r="B34" s="43">
        <v>4.2297467795287353</v>
      </c>
      <c r="C34" s="29">
        <v>0</v>
      </c>
      <c r="D34" s="38">
        <f>Tabella14[[#This Row],[Percentage of Suppliers - Raw]]/$C$151</f>
        <v>0</v>
      </c>
      <c r="E34" s="23">
        <v>3.3E-3</v>
      </c>
      <c r="F34" s="40">
        <f>Tabella14[[#This Row],[Percentage of Supplier''s Facilities - Raw]]/$E$151</f>
        <v>3.3306419055308839E-3</v>
      </c>
    </row>
    <row r="35" spans="1:6" ht="19" x14ac:dyDescent="0.25">
      <c r="A35" s="31" t="s">
        <v>48</v>
      </c>
      <c r="B35" s="43">
        <v>5.5958391680617687</v>
      </c>
      <c r="C35" s="29">
        <v>0</v>
      </c>
      <c r="D35" s="38">
        <f>Tabella14[[#This Row],[Percentage of Suppliers - Raw]]/$C$151</f>
        <v>0</v>
      </c>
      <c r="E35" s="23">
        <v>4.0000000000000002E-4</v>
      </c>
      <c r="F35" s="40">
        <f>Tabella14[[#This Row],[Percentage of Supplier''s Facilities - Raw]]/$E$151</f>
        <v>4.0371417036737993E-4</v>
      </c>
    </row>
    <row r="36" spans="1:6" ht="19" x14ac:dyDescent="0.25">
      <c r="A36" s="31" t="s">
        <v>49</v>
      </c>
      <c r="B36" s="43">
        <v>4.2818306896749707</v>
      </c>
      <c r="C36" s="29">
        <v>0</v>
      </c>
      <c r="D36" s="38">
        <f>Tabella14[[#This Row],[Percentage of Suppliers - Raw]]/$C$151</f>
        <v>0</v>
      </c>
      <c r="E36" s="23">
        <v>1.2999999999999999E-3</v>
      </c>
      <c r="F36" s="40">
        <f>Tabella14[[#This Row],[Percentage of Supplier''s Facilities - Raw]]/$E$151</f>
        <v>1.3120710536939845E-3</v>
      </c>
    </row>
    <row r="37" spans="1:6" ht="19" x14ac:dyDescent="0.25">
      <c r="A37" s="31" t="s">
        <v>50</v>
      </c>
      <c r="B37" s="43">
        <v>4.665702306747229</v>
      </c>
      <c r="C37" s="29">
        <v>0</v>
      </c>
      <c r="D37" s="38">
        <f>Tabella14[[#This Row],[Percentage of Suppliers - Raw]]/$C$151</f>
        <v>0</v>
      </c>
      <c r="E37" s="23">
        <v>0</v>
      </c>
      <c r="F37" s="40">
        <f>Tabella14[[#This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9">
        <v>0</v>
      </c>
      <c r="D38" s="38">
        <f>Tabella14[[#This Row],[Percentage of Suppliers - Raw]]/$C$151</f>
        <v>0</v>
      </c>
      <c r="E38" s="23">
        <v>7.9000000000000008E-3</v>
      </c>
      <c r="F38" s="40">
        <f>Tabella14[[#This Row],[Percentage of Supplier''s Facilities - Raw]]/$E$151</f>
        <v>7.9733548647557533E-3</v>
      </c>
    </row>
    <row r="39" spans="1:6" ht="19" x14ac:dyDescent="0.25">
      <c r="A39" s="31" t="s">
        <v>52</v>
      </c>
      <c r="B39" s="43">
        <v>3.1990775661028361</v>
      </c>
      <c r="C39" s="29">
        <v>0</v>
      </c>
      <c r="D39" s="38">
        <f>Tabella14[[#This Row],[Percentage of Suppliers - Raw]]/$C$151</f>
        <v>0</v>
      </c>
      <c r="E39" s="23">
        <v>3.8E-3</v>
      </c>
      <c r="F39" s="40">
        <f>Tabella14[[#This Row],[Percentage of Supplier''s Facilities - Raw]]/$E$151</f>
        <v>3.835284618490109E-3</v>
      </c>
    </row>
    <row r="40" spans="1:6" ht="19" x14ac:dyDescent="0.25">
      <c r="A40" s="31" t="s">
        <v>53</v>
      </c>
      <c r="B40" s="43">
        <v>5.9780558706115094</v>
      </c>
      <c r="C40" s="29">
        <v>0</v>
      </c>
      <c r="D40" s="38">
        <f>Tabella14[[#This Row],[Percentage of Suppliers - Raw]]/$C$151</f>
        <v>0</v>
      </c>
      <c r="E40" s="23">
        <v>0</v>
      </c>
      <c r="F40" s="40">
        <f>Tabella14[[#This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9">
        <v>0</v>
      </c>
      <c r="D41" s="38">
        <f>Tabella14[[#This Row],[Percentage of Suppliers - Raw]]/$C$151</f>
        <v>0</v>
      </c>
      <c r="E41" s="23">
        <v>2.5000000000000001E-3</v>
      </c>
      <c r="F41" s="40">
        <f>Tabella14[[#This Row],[Percentage of Supplier''s Facilities - Raw]]/$E$151</f>
        <v>2.5232135647961242E-3</v>
      </c>
    </row>
    <row r="42" spans="1:6" ht="19" x14ac:dyDescent="0.25">
      <c r="A42" s="31" t="s">
        <v>55</v>
      </c>
      <c r="B42" s="43">
        <v>5.7086243658486353</v>
      </c>
      <c r="C42" s="29">
        <v>0</v>
      </c>
      <c r="D42" s="38">
        <f>Tabella14[[#This Row],[Percentage of Suppliers - Raw]]/$C$151</f>
        <v>0</v>
      </c>
      <c r="E42" s="23">
        <v>1E-4</v>
      </c>
      <c r="F42" s="40">
        <f>Tabella14[[#This Row],[Percentage of Supplier''s Facilities - Raw]]/$E$151</f>
        <v>1.0092854259184498E-4</v>
      </c>
    </row>
    <row r="43" spans="1:6" ht="19" x14ac:dyDescent="0.25">
      <c r="A43" s="31" t="s">
        <v>56</v>
      </c>
      <c r="B43" s="43">
        <v>5.6039767437648544</v>
      </c>
      <c r="C43" s="29">
        <v>0</v>
      </c>
      <c r="D43" s="38">
        <f>Tabella14[[#This Row],[Percentage of Suppliers - Raw]]/$C$151</f>
        <v>0</v>
      </c>
      <c r="E43" s="23">
        <v>1.7000000000000001E-3</v>
      </c>
      <c r="F43" s="40">
        <f>Tabella14[[#This Row],[Percentage of Supplier''s Facilities - Raw]]/$E$151</f>
        <v>1.7157852240613646E-3</v>
      </c>
    </row>
    <row r="44" spans="1:6" ht="19" x14ac:dyDescent="0.25">
      <c r="A44" s="31" t="s">
        <v>57</v>
      </c>
      <c r="B44" s="43">
        <v>4.7929202889816001</v>
      </c>
      <c r="C44" s="29">
        <v>0</v>
      </c>
      <c r="D44" s="38">
        <f>Tabella14[[#This Row],[Percentage of Suppliers - Raw]]/$C$151</f>
        <v>0</v>
      </c>
      <c r="E44" s="23">
        <v>1.7000000000000001E-3</v>
      </c>
      <c r="F44" s="40">
        <f>Tabella14[[#This Row],[Percentage of Supplier''s Facilities - Raw]]/$E$151</f>
        <v>1.7157852240613646E-3</v>
      </c>
    </row>
    <row r="45" spans="1:6" ht="19" x14ac:dyDescent="0.25">
      <c r="A45" s="31" t="s">
        <v>58</v>
      </c>
      <c r="B45" s="43">
        <v>3.5745795767056725</v>
      </c>
      <c r="C45" s="29">
        <v>0</v>
      </c>
      <c r="D45" s="38">
        <f>Tabella14[[#This Row],[Percentage of Suppliers - Raw]]/$C$151</f>
        <v>0</v>
      </c>
      <c r="E45" s="23">
        <v>1.7000000000000001E-3</v>
      </c>
      <c r="F45" s="40">
        <f>Tabella14[[#This Row],[Percentage of Supplier''s Facilities - Raw]]/$E$151</f>
        <v>1.7157852240613646E-3</v>
      </c>
    </row>
    <row r="46" spans="1:6" ht="19" x14ac:dyDescent="0.25">
      <c r="A46" s="31" t="s">
        <v>59</v>
      </c>
      <c r="B46" s="43">
        <v>4.4965923559879277</v>
      </c>
      <c r="C46" s="29">
        <v>0</v>
      </c>
      <c r="D46" s="38">
        <f>Tabella14[[#This Row],[Percentage of Suppliers - Raw]]/$C$151</f>
        <v>0</v>
      </c>
      <c r="E46" s="23">
        <v>1E-4</v>
      </c>
      <c r="F46" s="40">
        <f>Tabella14[[#This Row],[Percentage of Supplier''s Facilities - Raw]]/$E$151</f>
        <v>1.0092854259184498E-4</v>
      </c>
    </row>
    <row r="47" spans="1:6" ht="19" x14ac:dyDescent="0.25">
      <c r="A47" s="31" t="s">
        <v>60</v>
      </c>
      <c r="B47" s="43">
        <v>6.927950682570712</v>
      </c>
      <c r="C47" s="29">
        <v>0</v>
      </c>
      <c r="D47" s="38">
        <f>Tabella14[[#This Row],[Percentage of Suppliers - Raw]]/$C$151</f>
        <v>0</v>
      </c>
      <c r="E47" s="23">
        <v>0</v>
      </c>
      <c r="F47" s="40">
        <f>Tabella14[[#This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9">
        <v>1.1599999999999999E-2</v>
      </c>
      <c r="D48" s="38">
        <f>Tabella14[[#This Row],[Percentage of Suppliers - Raw]]/$C$151</f>
        <v>1.1780237635828169E-2</v>
      </c>
      <c r="E48" s="23">
        <v>7.4999999999999997E-3</v>
      </c>
      <c r="F48" s="40">
        <f>Tabella14[[#This Row],[Percentage of Supplier''s Facilities - Raw]]/$E$151</f>
        <v>7.5696406943883731E-3</v>
      </c>
    </row>
    <row r="49" spans="1:6" ht="19" x14ac:dyDescent="0.25">
      <c r="A49" s="31" t="s">
        <v>62</v>
      </c>
      <c r="B49" s="43">
        <v>3.6488472849850422</v>
      </c>
      <c r="C49" s="29">
        <v>5.04E-2</v>
      </c>
      <c r="D49" s="38">
        <f>Tabella14[[#This Row],[Percentage of Suppliers - Raw]]/$C$151</f>
        <v>5.1183101452218945E-2</v>
      </c>
      <c r="E49" s="23">
        <v>3.2899999999999999E-2</v>
      </c>
      <c r="F49" s="40">
        <f>Tabella14[[#This Row],[Percentage of Supplier''s Facilities - Raw]]/$E$151</f>
        <v>3.3205490512716998E-2</v>
      </c>
    </row>
    <row r="50" spans="1:6" ht="19" x14ac:dyDescent="0.25">
      <c r="A50" s="31" t="s">
        <v>63</v>
      </c>
      <c r="B50" s="43">
        <v>5.7823719673887926</v>
      </c>
      <c r="C50" s="29">
        <v>0</v>
      </c>
      <c r="D50" s="38">
        <f>Tabella14[[#This Row],[Percentage of Suppliers - Raw]]/$C$151</f>
        <v>0</v>
      </c>
      <c r="E50" s="23">
        <v>1E-4</v>
      </c>
      <c r="F50" s="40">
        <f>Tabella14[[#This Row],[Percentage of Supplier''s Facilities - Raw]]/$E$151</f>
        <v>1.0092854259184498E-4</v>
      </c>
    </row>
    <row r="51" spans="1:6" ht="19" x14ac:dyDescent="0.25">
      <c r="A51" s="31" t="s">
        <v>64</v>
      </c>
      <c r="B51" s="43">
        <v>5.3790271999040362</v>
      </c>
      <c r="C51" s="29">
        <v>0</v>
      </c>
      <c r="D51" s="38">
        <f>Tabella14[[#This Row],[Percentage of Suppliers - Raw]]/$C$151</f>
        <v>0</v>
      </c>
      <c r="E51" s="23">
        <v>0</v>
      </c>
      <c r="F51" s="40">
        <f>Tabella14[[#This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9">
        <v>0</v>
      </c>
      <c r="D52" s="38">
        <f>Tabella14[[#This Row],[Percentage of Suppliers - Raw]]/$C$151</f>
        <v>0</v>
      </c>
      <c r="E52" s="23">
        <v>0</v>
      </c>
      <c r="F52" s="40">
        <f>Tabella14[[#This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9">
        <v>2.7099999999999999E-2</v>
      </c>
      <c r="D53" s="38">
        <f>Tabella14[[#This Row],[Percentage of Suppliers - Raw]]/$C$151</f>
        <v>2.7521072407839946E-2</v>
      </c>
      <c r="E53" s="23">
        <v>6.2100000000000002E-2</v>
      </c>
      <c r="F53" s="40">
        <f>Tabella14[[#This Row],[Percentage of Supplier''s Facilities - Raw]]/$E$151</f>
        <v>6.2676624949535728E-2</v>
      </c>
    </row>
    <row r="54" spans="1:6" ht="19" x14ac:dyDescent="0.25">
      <c r="A54" s="31" t="s">
        <v>67</v>
      </c>
      <c r="B54" s="43">
        <v>4.6272251474478185</v>
      </c>
      <c r="C54" s="29">
        <v>0</v>
      </c>
      <c r="D54" s="38">
        <f>Tabella14[[#This Row],[Percentage of Suppliers - Raw]]/$C$151</f>
        <v>0</v>
      </c>
      <c r="E54" s="23">
        <v>0</v>
      </c>
      <c r="F54" s="40">
        <f>Tabella14[[#This Row],[Percentage of Supplier''s Facilities - Raw]]/$E$151</f>
        <v>0</v>
      </c>
    </row>
    <row r="55" spans="1:6" ht="19" x14ac:dyDescent="0.25">
      <c r="A55" s="31" t="s">
        <v>68</v>
      </c>
      <c r="B55" s="43">
        <v>4.3382922337238083</v>
      </c>
      <c r="C55" s="29">
        <v>0</v>
      </c>
      <c r="D55" s="38">
        <f>Tabella14[[#This Row],[Percentage of Suppliers - Raw]]/$C$151</f>
        <v>0</v>
      </c>
      <c r="E55" s="23">
        <v>2.5000000000000001E-3</v>
      </c>
      <c r="F55" s="40">
        <f>Tabella14[[#This Row],[Percentage of Supplier''s Facilities - Raw]]/$E$151</f>
        <v>2.5232135647961242E-3</v>
      </c>
    </row>
    <row r="56" spans="1:6" ht="19" x14ac:dyDescent="0.25">
      <c r="A56" s="31" t="s">
        <v>69</v>
      </c>
      <c r="B56" s="43">
        <v>5.450113492883502</v>
      </c>
      <c r="C56" s="29">
        <v>0</v>
      </c>
      <c r="D56" s="38">
        <f>Tabella14[[#This Row],[Percentage of Suppliers - Raw]]/$C$151</f>
        <v>0</v>
      </c>
      <c r="E56" s="23">
        <v>4.0000000000000002E-4</v>
      </c>
      <c r="F56" s="40">
        <f>Tabella14[[#This Row],[Percentage of Supplier''s Facilities - Raw]]/$E$151</f>
        <v>4.0371417036737993E-4</v>
      </c>
    </row>
    <row r="57" spans="1:6" ht="19" x14ac:dyDescent="0.25">
      <c r="A57" s="31" t="s">
        <v>70</v>
      </c>
      <c r="B57" s="43">
        <v>6.3557356106090603</v>
      </c>
      <c r="C57" s="29">
        <v>0</v>
      </c>
      <c r="D57" s="38">
        <f>Tabella14[[#This Row],[Percentage of Suppliers - Raw]]/$C$151</f>
        <v>0</v>
      </c>
      <c r="E57" s="23">
        <v>0</v>
      </c>
      <c r="F57" s="40">
        <f>Tabella14[[#This Row],[Percentage of Supplier''s Facilities - Raw]]/$E$151</f>
        <v>0</v>
      </c>
    </row>
    <row r="58" spans="1:6" ht="19" x14ac:dyDescent="0.25">
      <c r="A58" s="31" t="s">
        <v>71</v>
      </c>
      <c r="B58" s="43">
        <v>5.9434838790990074</v>
      </c>
      <c r="C58" s="29">
        <v>0</v>
      </c>
      <c r="D58" s="38">
        <f>Tabella14[[#This Row],[Percentage of Suppliers - Raw]]/$C$151</f>
        <v>0</v>
      </c>
      <c r="E58" s="23">
        <v>0</v>
      </c>
      <c r="F58" s="40">
        <f>Tabella14[[#This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9">
        <v>0</v>
      </c>
      <c r="D59" s="38">
        <f>Tabella14[[#This Row],[Percentage of Suppliers - Raw]]/$C$151</f>
        <v>0</v>
      </c>
      <c r="E59" s="23">
        <v>0</v>
      </c>
      <c r="F59" s="40">
        <f>Tabella14[[#This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9">
        <v>0</v>
      </c>
      <c r="D60" s="38">
        <f>Tabella14[[#This Row],[Percentage of Suppliers - Raw]]/$C$151</f>
        <v>0</v>
      </c>
      <c r="E60" s="23">
        <v>0</v>
      </c>
      <c r="F60" s="40">
        <f>Tabella14[[#This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9">
        <v>0</v>
      </c>
      <c r="D61" s="38">
        <f>Tabella14[[#This Row],[Percentage of Suppliers - Raw]]/$C$151</f>
        <v>0</v>
      </c>
      <c r="E61" s="23">
        <v>4.0000000000000002E-4</v>
      </c>
      <c r="F61" s="40">
        <f>Tabella14[[#This Row],[Percentage of Supplier''s Facilities - Raw]]/$E$151</f>
        <v>4.0371417036737993E-4</v>
      </c>
    </row>
    <row r="62" spans="1:6" ht="19" x14ac:dyDescent="0.25">
      <c r="A62" s="31" t="s">
        <v>75</v>
      </c>
      <c r="B62" s="43">
        <v>3.6278897079089987</v>
      </c>
      <c r="C62" s="29">
        <v>0</v>
      </c>
      <c r="D62" s="38">
        <f>Tabella14[[#This Row],[Percentage of Suppliers - Raw]]/$C$151</f>
        <v>0</v>
      </c>
      <c r="E62" s="23">
        <v>4.5999999999999999E-3</v>
      </c>
      <c r="F62" s="40">
        <f>Tabella14[[#This Row],[Percentage of Supplier''s Facilities - Raw]]/$E$151</f>
        <v>4.642712959224869E-3</v>
      </c>
    </row>
    <row r="63" spans="1:6" ht="19" x14ac:dyDescent="0.25">
      <c r="A63" s="31" t="s">
        <v>76</v>
      </c>
      <c r="B63" s="43">
        <v>3.3752937482227585</v>
      </c>
      <c r="C63" s="29">
        <v>0</v>
      </c>
      <c r="D63" s="38">
        <f>Tabella14[[#This Row],[Percentage of Suppliers - Raw]]/$C$151</f>
        <v>0</v>
      </c>
      <c r="E63" s="23">
        <v>0</v>
      </c>
      <c r="F63" s="40">
        <f>Tabella14[[#This Row],[Percentage of Supplier''s Facilities - Raw]]/$E$151</f>
        <v>0</v>
      </c>
    </row>
    <row r="64" spans="1:6" ht="19" x14ac:dyDescent="0.25">
      <c r="A64" s="31" t="s">
        <v>77</v>
      </c>
      <c r="B64" s="43">
        <v>5.0659580961290027</v>
      </c>
      <c r="C64" s="29">
        <v>3.1E-2</v>
      </c>
      <c r="D64" s="38">
        <f>Tabella14[[#This Row],[Percentage of Suppliers - Raw]]/$C$151</f>
        <v>3.1481669544023559E-2</v>
      </c>
      <c r="E64" s="23">
        <v>3.2899999999999999E-2</v>
      </c>
      <c r="F64" s="40">
        <f>Tabella14[[#This Row],[Percentage of Supplier''s Facilities - Raw]]/$E$151</f>
        <v>3.3205490512716998E-2</v>
      </c>
    </row>
    <row r="65" spans="1:6" ht="19" x14ac:dyDescent="0.25">
      <c r="A65" s="31" t="s">
        <v>78</v>
      </c>
      <c r="B65" s="43">
        <v>4.9248047791749228</v>
      </c>
      <c r="C65" s="29">
        <v>7.7999999999999996E-3</v>
      </c>
      <c r="D65" s="38">
        <f>Tabella14[[#This Row],[Percentage of Suppliers - Raw]]/$C$151</f>
        <v>7.9211942723672168E-3</v>
      </c>
      <c r="E65" s="23">
        <v>5.7999999999999996E-3</v>
      </c>
      <c r="F65" s="40">
        <f>Tabella14[[#This Row],[Percentage of Supplier''s Facilities - Raw]]/$E$151</f>
        <v>5.8538554703270081E-3</v>
      </c>
    </row>
    <row r="66" spans="1:6" ht="19" x14ac:dyDescent="0.25">
      <c r="A66" s="31" t="s">
        <v>79</v>
      </c>
      <c r="B66" s="43">
        <v>5.8793658240107565</v>
      </c>
      <c r="C66" s="29">
        <v>0</v>
      </c>
      <c r="D66" s="38">
        <f>Tabella14[[#This Row],[Percentage of Suppliers - Raw]]/$C$151</f>
        <v>0</v>
      </c>
      <c r="E66" s="23">
        <v>0</v>
      </c>
      <c r="F66" s="40">
        <f>Tabella14[[#This Row],[Percentage of Supplier''s Facilities - Raw]]/$E$151</f>
        <v>0</v>
      </c>
    </row>
    <row r="67" spans="1:6" ht="19" x14ac:dyDescent="0.25">
      <c r="A67" s="31" t="s">
        <v>80</v>
      </c>
      <c r="B67" s="43">
        <v>6.0491810448870345</v>
      </c>
      <c r="C67" s="29">
        <v>0</v>
      </c>
      <c r="D67" s="38">
        <f>Tabella14[[#This Row],[Percentage of Suppliers - Raw]]/$C$151</f>
        <v>0</v>
      </c>
      <c r="E67" s="23">
        <v>0</v>
      </c>
      <c r="F67" s="40">
        <f>Tabella14[[#This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9">
        <v>1.1599999999999999E-2</v>
      </c>
      <c r="D68" s="38">
        <f>Tabella14[[#This Row],[Percentage of Suppliers - Raw]]/$C$151</f>
        <v>1.1780237635828169E-2</v>
      </c>
      <c r="E68" s="23">
        <v>5.4000000000000003E-3</v>
      </c>
      <c r="F68" s="40">
        <f>Tabella14[[#This Row],[Percentage of Supplier''s Facilities - Raw]]/$E$151</f>
        <v>5.4501412999596287E-3</v>
      </c>
    </row>
    <row r="69" spans="1:6" ht="19" x14ac:dyDescent="0.25">
      <c r="A69" s="31" t="s">
        <v>82</v>
      </c>
      <c r="B69" s="43">
        <v>4.6082974679305195</v>
      </c>
      <c r="C69" s="29">
        <v>1.1599999999999999E-2</v>
      </c>
      <c r="D69" s="38">
        <f>Tabella14[[#This Row],[Percentage of Suppliers - Raw]]/$C$151</f>
        <v>1.1780237635828169E-2</v>
      </c>
      <c r="E69" s="23">
        <v>5.4000000000000003E-3</v>
      </c>
      <c r="F69" s="40">
        <f>Tabella14[[#This Row],[Percentage of Supplier''s Facilities - Raw]]/$E$151</f>
        <v>5.4501412999596287E-3</v>
      </c>
    </row>
    <row r="70" spans="1:6" ht="19" x14ac:dyDescent="0.25">
      <c r="A70" s="31" t="s">
        <v>83</v>
      </c>
      <c r="B70" s="43">
        <v>3.8382882812123826</v>
      </c>
      <c r="C70" s="29">
        <v>7.7999999999999996E-3</v>
      </c>
      <c r="D70" s="38">
        <f>Tabella14[[#This Row],[Percentage of Suppliers - Raw]]/$C$151</f>
        <v>7.9211942723672168E-3</v>
      </c>
      <c r="E70" s="23">
        <v>1.5800000000000002E-2</v>
      </c>
      <c r="F70" s="40">
        <f>Tabella14[[#This Row],[Percentage of Supplier''s Facilities - Raw]]/$E$151</f>
        <v>1.5946709729511507E-2</v>
      </c>
    </row>
    <row r="71" spans="1:6" ht="19" x14ac:dyDescent="0.25">
      <c r="A71" s="31" t="s">
        <v>84</v>
      </c>
      <c r="B71" s="43">
        <v>4.7451218036873231</v>
      </c>
      <c r="C71" s="29">
        <v>0</v>
      </c>
      <c r="D71" s="38">
        <f>Tabella14[[#This Row],[Percentage of Suppliers - Raw]]/$C$151</f>
        <v>0</v>
      </c>
      <c r="E71" s="23">
        <v>0</v>
      </c>
      <c r="F71" s="40">
        <f>Tabella14[[#This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9">
        <v>1.1599999999999999E-2</v>
      </c>
      <c r="D72" s="38">
        <f>Tabella14[[#This Row],[Percentage of Suppliers - Raw]]/$C$151</f>
        <v>1.1780237635828169E-2</v>
      </c>
      <c r="E72" s="23">
        <v>1.9599999999999999E-2</v>
      </c>
      <c r="F72" s="40">
        <f>Tabella14[[#This Row],[Percentage of Supplier''s Facilities - Raw]]/$E$151</f>
        <v>1.9781994348001614E-2</v>
      </c>
    </row>
    <row r="73" spans="1:6" ht="19" x14ac:dyDescent="0.25">
      <c r="A73" s="31" t="s">
        <v>86</v>
      </c>
      <c r="B73" s="43">
        <v>5.1303864841692146</v>
      </c>
      <c r="C73" s="29">
        <v>0</v>
      </c>
      <c r="D73" s="38">
        <f>Tabella14[[#This Row],[Percentage of Suppliers - Raw]]/$C$151</f>
        <v>0</v>
      </c>
      <c r="E73" s="23">
        <v>0</v>
      </c>
      <c r="F73" s="40">
        <f>Tabella14[[#This Row],[Percentage of Supplier''s Facilities - Raw]]/$E$151</f>
        <v>0</v>
      </c>
    </row>
    <row r="74" spans="1:6" ht="19" x14ac:dyDescent="0.25">
      <c r="A74" s="31" t="s">
        <v>87</v>
      </c>
      <c r="B74" s="43">
        <v>4.5379079915092131</v>
      </c>
      <c r="C74" s="29">
        <v>0</v>
      </c>
      <c r="D74" s="38">
        <f>Tabella14[[#This Row],[Percentage of Suppliers - Raw]]/$C$151</f>
        <v>0</v>
      </c>
      <c r="E74" s="23">
        <v>0</v>
      </c>
      <c r="F74" s="40">
        <f>Tabella14[[#This Row],[Percentage of Supplier''s Facilities - Raw]]/$E$151</f>
        <v>0</v>
      </c>
    </row>
    <row r="75" spans="1:6" ht="19" x14ac:dyDescent="0.25">
      <c r="A75" s="31" t="s">
        <v>88</v>
      </c>
      <c r="B75" s="43">
        <v>6.1313349307646918</v>
      </c>
      <c r="C75" s="29">
        <v>0</v>
      </c>
      <c r="D75" s="38">
        <f>Tabella14[[#This Row],[Percentage of Suppliers - Raw]]/$C$151</f>
        <v>0</v>
      </c>
      <c r="E75" s="23">
        <v>4.0000000000000002E-4</v>
      </c>
      <c r="F75" s="40">
        <f>Tabella14[[#This Row],[Percentage of Supplier''s Facilities - Raw]]/$E$151</f>
        <v>4.0371417036737993E-4</v>
      </c>
    </row>
    <row r="76" spans="1:6" ht="19" x14ac:dyDescent="0.25">
      <c r="A76" s="31" t="s">
        <v>89</v>
      </c>
      <c r="B76" s="43">
        <v>4.2961051501975707</v>
      </c>
      <c r="C76" s="29">
        <v>0</v>
      </c>
      <c r="D76" s="38">
        <f>Tabella14[[#This Row],[Percentage of Suppliers - Raw]]/$C$151</f>
        <v>0</v>
      </c>
      <c r="E76" s="23">
        <v>0</v>
      </c>
      <c r="F76" s="40">
        <f>Tabella14[[#This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9">
        <v>0</v>
      </c>
      <c r="D77" s="38">
        <f>Tabella14[[#This Row],[Percentage of Suppliers - Raw]]/$C$151</f>
        <v>0</v>
      </c>
      <c r="E77" s="23">
        <v>0</v>
      </c>
      <c r="F77" s="40">
        <f>Tabella14[[#This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9">
        <v>0</v>
      </c>
      <c r="D78" s="38">
        <f>Tabella14[[#This Row],[Percentage of Suppliers - Raw]]/$C$151</f>
        <v>0</v>
      </c>
      <c r="E78" s="23">
        <v>4.0000000000000002E-4</v>
      </c>
      <c r="F78" s="40">
        <f>Tabella14[[#This Row],[Percentage of Supplier''s Facilities - Raw]]/$E$151</f>
        <v>4.0371417036737993E-4</v>
      </c>
    </row>
    <row r="79" spans="1:6" ht="19" x14ac:dyDescent="0.25">
      <c r="A79" s="31" t="s">
        <v>92</v>
      </c>
      <c r="B79" s="43">
        <v>3.9664492327048539</v>
      </c>
      <c r="C79" s="29">
        <v>0</v>
      </c>
      <c r="D79" s="38">
        <f>Tabella14[[#This Row],[Percentage of Suppliers - Raw]]/$C$151</f>
        <v>0</v>
      </c>
      <c r="E79" s="23">
        <v>4.0000000000000002E-4</v>
      </c>
      <c r="F79" s="40">
        <f>Tabella14[[#This Row],[Percentage of Supplier''s Facilities - Raw]]/$E$151</f>
        <v>4.0371417036737993E-4</v>
      </c>
    </row>
    <row r="80" spans="1:6" ht="19" x14ac:dyDescent="0.25">
      <c r="A80" s="31" t="s">
        <v>93</v>
      </c>
      <c r="B80" s="43">
        <v>6.1238543404169867</v>
      </c>
      <c r="C80" s="29">
        <v>0</v>
      </c>
      <c r="D80" s="38">
        <f>Tabella14[[#This Row],[Percentage of Suppliers - Raw]]/$C$151</f>
        <v>0</v>
      </c>
      <c r="E80" s="23">
        <v>0</v>
      </c>
      <c r="F80" s="40">
        <f>Tabella14[[#This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9">
        <v>0</v>
      </c>
      <c r="D81" s="38">
        <f>Tabella14[[#This Row],[Percentage of Suppliers - Raw]]/$C$151</f>
        <v>0</v>
      </c>
      <c r="E81" s="23">
        <v>0</v>
      </c>
      <c r="F81" s="40">
        <f>Tabella14[[#This Row],[Percentage of Supplier''s Facilities - Raw]]/$E$151</f>
        <v>0</v>
      </c>
    </row>
    <row r="82" spans="1:6" ht="19" x14ac:dyDescent="0.25">
      <c r="A82" s="31" t="s">
        <v>95</v>
      </c>
      <c r="B82" s="43">
        <v>5.9675040107987867</v>
      </c>
      <c r="C82" s="29">
        <v>0</v>
      </c>
      <c r="D82" s="38">
        <f>Tabella14[[#This Row],[Percentage of Suppliers - Raw]]/$C$151</f>
        <v>0</v>
      </c>
      <c r="E82" s="23">
        <v>0</v>
      </c>
      <c r="F82" s="40">
        <f>Tabella14[[#This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9">
        <v>0</v>
      </c>
      <c r="D83" s="38">
        <f>Tabella14[[#This Row],[Percentage of Suppliers - Raw]]/$C$151</f>
        <v>0</v>
      </c>
      <c r="E83" s="23">
        <v>0</v>
      </c>
      <c r="F83" s="40">
        <f>Tabella14[[#This Row],[Percentage of Supplier''s Facilities - Raw]]/$E$151</f>
        <v>0</v>
      </c>
    </row>
    <row r="84" spans="1:6" ht="19" x14ac:dyDescent="0.25">
      <c r="A84" s="31" t="s">
        <v>97</v>
      </c>
      <c r="B84" s="43">
        <v>3.9263549476589308</v>
      </c>
      <c r="C84" s="29">
        <v>0</v>
      </c>
      <c r="D84" s="38">
        <f>Tabella14[[#This Row],[Percentage of Suppliers - Raw]]/$C$151</f>
        <v>0</v>
      </c>
      <c r="E84" s="23">
        <v>4.0000000000000002E-4</v>
      </c>
      <c r="F84" s="40">
        <f>Tabella14[[#This Row],[Percentage of Supplier''s Facilities - Raw]]/$E$151</f>
        <v>4.0371417036737993E-4</v>
      </c>
    </row>
    <row r="85" spans="1:6" ht="19" x14ac:dyDescent="0.25">
      <c r="A85" s="31" t="s">
        <v>98</v>
      </c>
      <c r="B85" s="43">
        <v>5.8210372928345899</v>
      </c>
      <c r="C85" s="29">
        <v>0</v>
      </c>
      <c r="D85" s="38">
        <f>Tabella14[[#This Row],[Percentage of Suppliers - Raw]]/$C$151</f>
        <v>0</v>
      </c>
      <c r="E85" s="23">
        <v>0</v>
      </c>
      <c r="F85" s="40">
        <f>Tabella14[[#This Row],[Percentage of Supplier''s Facilities - Raw]]/$E$151</f>
        <v>0</v>
      </c>
    </row>
    <row r="86" spans="1:6" ht="19" x14ac:dyDescent="0.25">
      <c r="A86" s="31" t="s">
        <v>99</v>
      </c>
      <c r="B86" s="43">
        <v>5.5779364438856991</v>
      </c>
      <c r="C86" s="29">
        <v>0</v>
      </c>
      <c r="D86" s="38">
        <f>Tabella14[[#This Row],[Percentage of Suppliers - Raw]]/$C$151</f>
        <v>0</v>
      </c>
      <c r="E86" s="23">
        <v>0</v>
      </c>
      <c r="F86" s="40">
        <f>Tabella14[[#This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9">
        <v>7.7999999999999996E-3</v>
      </c>
      <c r="D87" s="38">
        <f>Tabella14[[#This Row],[Percentage of Suppliers - Raw]]/$C$151</f>
        <v>7.9211942723672168E-3</v>
      </c>
      <c r="E87" s="23">
        <v>2.2499999999999999E-2</v>
      </c>
      <c r="F87" s="40">
        <f>Tabella14[[#This Row],[Percentage of Supplier''s Facilities - Raw]]/$E$151</f>
        <v>2.2708922083165117E-2</v>
      </c>
    </row>
    <row r="88" spans="1:6" ht="19" x14ac:dyDescent="0.25">
      <c r="A88" s="31" t="s">
        <v>101</v>
      </c>
      <c r="B88" s="43">
        <v>7.1049758774245326</v>
      </c>
      <c r="C88" s="29">
        <v>0</v>
      </c>
      <c r="D88" s="38">
        <f>Tabella14[[#This Row],[Percentage of Suppliers - Raw]]/$C$151</f>
        <v>0</v>
      </c>
      <c r="E88" s="23">
        <v>1E-4</v>
      </c>
      <c r="F88" s="40">
        <f>Tabella14[[#This Row],[Percentage of Supplier''s Facilities - Raw]]/$E$151</f>
        <v>1.0092854259184498E-4</v>
      </c>
    </row>
    <row r="89" spans="1:6" ht="19" x14ac:dyDescent="0.25">
      <c r="A89" s="31" t="s">
        <v>102</v>
      </c>
      <c r="B89" s="43">
        <v>6.2753028505143282</v>
      </c>
      <c r="C89" s="29">
        <v>0</v>
      </c>
      <c r="D89" s="38">
        <f>Tabella14[[#This Row],[Percentage of Suppliers - Raw]]/$C$151</f>
        <v>0</v>
      </c>
      <c r="E89" s="23">
        <v>0</v>
      </c>
      <c r="F89" s="40">
        <f>Tabella14[[#This Row],[Percentage of Supplier''s Facilities - Raw]]/$E$151</f>
        <v>0</v>
      </c>
    </row>
    <row r="90" spans="1:6" ht="19" x14ac:dyDescent="0.25">
      <c r="A90" s="31" t="s">
        <v>103</v>
      </c>
      <c r="B90" s="43">
        <v>3.4654790256975891</v>
      </c>
      <c r="C90" s="29">
        <v>0</v>
      </c>
      <c r="D90" s="38">
        <f>Tabella14[[#This Row],[Percentage of Suppliers - Raw]]/$C$151</f>
        <v>0</v>
      </c>
      <c r="E90" s="23">
        <v>0</v>
      </c>
      <c r="F90" s="40">
        <f>Tabella14[[#This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9">
        <v>0</v>
      </c>
      <c r="D91" s="38">
        <f>Tabella14[[#This Row],[Percentage of Suppliers - Raw]]/$C$151</f>
        <v>0</v>
      </c>
      <c r="E91" s="23">
        <v>2.46E-2</v>
      </c>
      <c r="F91" s="40">
        <f>Tabella14[[#This Row],[Percentage of Supplier''s Facilities - Raw]]/$E$151</f>
        <v>2.4828421477593864E-2</v>
      </c>
    </row>
    <row r="92" spans="1:6" ht="19" x14ac:dyDescent="0.25">
      <c r="A92" s="31" t="s">
        <v>105</v>
      </c>
      <c r="B92" s="43">
        <v>5.1376667464547303</v>
      </c>
      <c r="C92" s="29">
        <v>0</v>
      </c>
      <c r="D92" s="38">
        <f>Tabella14[[#This Row],[Percentage of Suppliers - Raw]]/$C$151</f>
        <v>0</v>
      </c>
      <c r="E92" s="23">
        <v>0</v>
      </c>
      <c r="F92" s="40">
        <f>Tabella14[[#This Row],[Percentage of Supplier''s Facilities - Raw]]/$E$151</f>
        <v>0</v>
      </c>
    </row>
    <row r="93" spans="1:6" ht="19" x14ac:dyDescent="0.25">
      <c r="A93" s="31" t="s">
        <v>106</v>
      </c>
      <c r="B93" s="43">
        <v>4.6510069196773065</v>
      </c>
      <c r="C93" s="29">
        <v>0</v>
      </c>
      <c r="D93" s="38">
        <f>Tabella14[[#This Row],[Percentage of Suppliers - Raw]]/$C$151</f>
        <v>0</v>
      </c>
      <c r="E93" s="23">
        <v>1E-4</v>
      </c>
      <c r="F93" s="40">
        <f>Tabella14[[#This Row],[Percentage of Supplier''s Facilities - Raw]]/$E$151</f>
        <v>1.0092854259184498E-4</v>
      </c>
    </row>
    <row r="94" spans="1:6" ht="19" x14ac:dyDescent="0.25">
      <c r="A94" s="31" t="s">
        <v>107</v>
      </c>
      <c r="B94" s="43">
        <v>5.1009280794553211</v>
      </c>
      <c r="C94" s="29">
        <v>0</v>
      </c>
      <c r="D94" s="38">
        <f>Tabella14[[#This Row],[Percentage of Suppliers - Raw]]/$C$151</f>
        <v>0</v>
      </c>
      <c r="E94" s="23">
        <v>4.0000000000000002E-4</v>
      </c>
      <c r="F94" s="40">
        <f>Tabella14[[#This Row],[Percentage of Supplier''s Facilities - Raw]]/$E$151</f>
        <v>4.0371417036737993E-4</v>
      </c>
    </row>
    <row r="95" spans="1:6" ht="19" x14ac:dyDescent="0.25">
      <c r="A95" s="31" t="s">
        <v>108</v>
      </c>
      <c r="B95" s="43">
        <v>6.2957088620382402</v>
      </c>
      <c r="C95" s="29">
        <v>0</v>
      </c>
      <c r="D95" s="38">
        <f>Tabella14[[#This Row],[Percentage of Suppliers - Raw]]/$C$151</f>
        <v>0</v>
      </c>
      <c r="E95" s="23">
        <v>0</v>
      </c>
      <c r="F95" s="40">
        <f>Tabella14[[#This Row],[Percentage of Supplier''s Facilities - Raw]]/$E$151</f>
        <v>0</v>
      </c>
    </row>
    <row r="96" spans="1:6" ht="19" x14ac:dyDescent="0.25">
      <c r="A96" s="31" t="s">
        <v>109</v>
      </c>
      <c r="B96" s="43">
        <v>4.6400800634309949</v>
      </c>
      <c r="C96" s="29">
        <v>0</v>
      </c>
      <c r="D96" s="38">
        <f>Tabella14[[#This Row],[Percentage of Suppliers - Raw]]/$C$151</f>
        <v>0</v>
      </c>
      <c r="E96" s="23">
        <v>4.0000000000000002E-4</v>
      </c>
      <c r="F96" s="40">
        <f>Tabella14[[#This Row],[Percentage of Supplier''s Facilities - Raw]]/$E$151</f>
        <v>4.0371417036737993E-4</v>
      </c>
    </row>
    <row r="97" spans="1:6" ht="19" x14ac:dyDescent="0.25">
      <c r="A97" s="31" t="s">
        <v>110</v>
      </c>
      <c r="B97" s="43">
        <v>5.7812106231736005</v>
      </c>
      <c r="C97" s="29">
        <v>0</v>
      </c>
      <c r="D97" s="38">
        <f>Tabella14[[#This Row],[Percentage of Suppliers - Raw]]/$C$151</f>
        <v>0</v>
      </c>
      <c r="E97" s="23">
        <v>0</v>
      </c>
      <c r="F97" s="40">
        <f>Tabella14[[#This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9">
        <v>1.55E-2</v>
      </c>
      <c r="D98" s="38">
        <f>Tabella14[[#This Row],[Percentage of Suppliers - Raw]]/$C$151</f>
        <v>1.574083477201178E-2</v>
      </c>
      <c r="E98" s="23">
        <v>1.1299999999999999E-2</v>
      </c>
      <c r="F98" s="40">
        <f>Tabella14[[#This Row],[Percentage of Supplier''s Facilities - Raw]]/$E$151</f>
        <v>1.1404925312878482E-2</v>
      </c>
    </row>
    <row r="99" spans="1:6" ht="19" x14ac:dyDescent="0.25">
      <c r="A99" s="31" t="s">
        <v>112</v>
      </c>
      <c r="B99" s="43">
        <v>3.3163390659638341</v>
      </c>
      <c r="C99" s="29">
        <v>0</v>
      </c>
      <c r="D99" s="38">
        <f>Tabella14[[#This Row],[Percentage of Suppliers - Raw]]/$C$151</f>
        <v>0</v>
      </c>
      <c r="E99" s="23">
        <v>4.1999999999999997E-3</v>
      </c>
      <c r="F99" s="40">
        <f>Tabella14[[#This Row],[Percentage of Supplier''s Facilities - Raw]]/$E$151</f>
        <v>4.2389987888574888E-3</v>
      </c>
    </row>
    <row r="100" spans="1:6" ht="19" x14ac:dyDescent="0.25">
      <c r="A100" s="31" t="s">
        <v>113</v>
      </c>
      <c r="B100" s="43">
        <v>5.8020732010296063</v>
      </c>
      <c r="C100" s="29">
        <v>0</v>
      </c>
      <c r="D100" s="38">
        <f>Tabella14[[#This Row],[Percentage of Suppliers - Raw]]/$C$151</f>
        <v>0</v>
      </c>
      <c r="E100" s="23">
        <v>0</v>
      </c>
      <c r="F100" s="40">
        <f>Tabella14[[#This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9">
        <v>0</v>
      </c>
      <c r="D101" s="38">
        <f>Tabella14[[#This Row],[Percentage of Suppliers - Raw]]/$C$151</f>
        <v>0</v>
      </c>
      <c r="E101" s="23">
        <v>0</v>
      </c>
      <c r="F101" s="40">
        <f>Tabella14[[#This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9">
        <v>0</v>
      </c>
      <c r="D102" s="38">
        <f>Tabella14[[#This Row],[Percentage of Suppliers - Raw]]/$C$151</f>
        <v>0</v>
      </c>
      <c r="E102" s="23">
        <v>0</v>
      </c>
      <c r="F102" s="40">
        <f>Tabella14[[#This Row],[Percentage of Supplier''s Facilities - Raw]]/$E$151</f>
        <v>0</v>
      </c>
    </row>
    <row r="103" spans="1:6" ht="19" x14ac:dyDescent="0.25">
      <c r="A103" s="31" t="s">
        <v>116</v>
      </c>
      <c r="B103" s="43">
        <v>4.1624840904381539</v>
      </c>
      <c r="C103" s="29">
        <v>0</v>
      </c>
      <c r="D103" s="38">
        <f>Tabella14[[#This Row],[Percentage of Suppliers - Raw]]/$C$151</f>
        <v>0</v>
      </c>
      <c r="E103" s="23">
        <v>4.0000000000000002E-4</v>
      </c>
      <c r="F103" s="40">
        <f>Tabella14[[#This Row],[Percentage of Supplier''s Facilities - Raw]]/$E$151</f>
        <v>4.0371417036737993E-4</v>
      </c>
    </row>
    <row r="104" spans="1:6" ht="19" x14ac:dyDescent="0.25">
      <c r="A104" s="31" t="s">
        <v>117</v>
      </c>
      <c r="B104" s="43">
        <v>3.3787152608913655</v>
      </c>
      <c r="C104" s="29">
        <v>0</v>
      </c>
      <c r="D104" s="38">
        <f>Tabella14[[#This Row],[Percentage of Suppliers - Raw]]/$C$151</f>
        <v>0</v>
      </c>
      <c r="E104" s="23">
        <v>4.1999999999999997E-3</v>
      </c>
      <c r="F104" s="40">
        <f>Tabella14[[#This Row],[Percentage of Supplier''s Facilities - Raw]]/$E$151</f>
        <v>4.2389987888574888E-3</v>
      </c>
    </row>
    <row r="105" spans="1:6" ht="19" x14ac:dyDescent="0.25">
      <c r="A105" s="31" t="s">
        <v>118</v>
      </c>
      <c r="B105" s="43">
        <v>4.0162254988757935</v>
      </c>
      <c r="C105" s="29">
        <v>0</v>
      </c>
      <c r="D105" s="38">
        <f>Tabella14[[#This Row],[Percentage of Suppliers - Raw]]/$C$151</f>
        <v>0</v>
      </c>
      <c r="E105" s="23">
        <v>1.2999999999999999E-3</v>
      </c>
      <c r="F105" s="40">
        <f>Tabella14[[#This Row],[Percentage of Supplier''s Facilities - Raw]]/$E$151</f>
        <v>1.3120710536939845E-3</v>
      </c>
    </row>
    <row r="106" spans="1:6" ht="19" x14ac:dyDescent="0.25">
      <c r="A106" s="31" t="s">
        <v>119</v>
      </c>
      <c r="B106" s="43">
        <v>6.648668082818161</v>
      </c>
      <c r="C106" s="29">
        <v>0</v>
      </c>
      <c r="D106" s="38">
        <f>Tabella14[[#This Row],[Percentage of Suppliers - Raw]]/$C$151</f>
        <v>0</v>
      </c>
      <c r="E106" s="23">
        <v>8.0000000000000004E-4</v>
      </c>
      <c r="F106" s="40">
        <f>Tabella14[[#This Row],[Percentage of Supplier''s Facilities - Raw]]/$E$151</f>
        <v>8.0742834073475986E-4</v>
      </c>
    </row>
    <row r="107" spans="1:6" ht="19" x14ac:dyDescent="0.25">
      <c r="A107" s="31" t="s">
        <v>120</v>
      </c>
      <c r="B107" s="43">
        <v>4.5635733416096631</v>
      </c>
      <c r="C107" s="29">
        <v>0</v>
      </c>
      <c r="D107" s="38">
        <f>Tabella14[[#This Row],[Percentage of Suppliers - Raw]]/$C$151</f>
        <v>0</v>
      </c>
      <c r="E107" s="23">
        <v>1E-4</v>
      </c>
      <c r="F107" s="40">
        <f>Tabella14[[#This Row],[Percentage of Supplier''s Facilities - Raw]]/$E$151</f>
        <v>1.0092854259184498E-4</v>
      </c>
    </row>
    <row r="108" spans="1:6" ht="19" x14ac:dyDescent="0.25">
      <c r="A108" s="31" t="s">
        <v>121</v>
      </c>
      <c r="B108" s="43">
        <v>5.3398873222843388</v>
      </c>
      <c r="C108" s="29">
        <v>0</v>
      </c>
      <c r="D108" s="38">
        <f>Tabella14[[#This Row],[Percentage of Suppliers - Raw]]/$C$151</f>
        <v>0</v>
      </c>
      <c r="E108" s="23">
        <v>0</v>
      </c>
      <c r="F108" s="40">
        <f>Tabella14[[#This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9">
        <v>0</v>
      </c>
      <c r="D109" s="38">
        <f>Tabella14[[#This Row],[Percentage of Suppliers - Raw]]/$C$151</f>
        <v>0</v>
      </c>
      <c r="E109" s="23">
        <v>0</v>
      </c>
      <c r="F109" s="40">
        <f>Tabella14[[#This Row],[Percentage of Supplier''s Facilities - Raw]]/$E$151</f>
        <v>0</v>
      </c>
    </row>
    <row r="110" spans="1:6" ht="19" x14ac:dyDescent="0.25">
      <c r="A110" s="31" t="s">
        <v>123</v>
      </c>
      <c r="B110" s="43">
        <v>5.2817219635350439</v>
      </c>
      <c r="C110" s="29">
        <v>0</v>
      </c>
      <c r="D110" s="38">
        <f>Tabella14[[#This Row],[Percentage of Suppliers - Raw]]/$C$151</f>
        <v>0</v>
      </c>
      <c r="E110" s="23">
        <v>1.2999999999999999E-3</v>
      </c>
      <c r="F110" s="40">
        <f>Tabella14[[#This Row],[Percentage of Supplier''s Facilities - Raw]]/$E$151</f>
        <v>1.3120710536939845E-3</v>
      </c>
    </row>
    <row r="111" spans="1:6" ht="19" x14ac:dyDescent="0.25">
      <c r="A111" s="31" t="s">
        <v>124</v>
      </c>
      <c r="B111" s="43">
        <v>5.8016442493647551</v>
      </c>
      <c r="C111" s="29">
        <v>3.8999999999999998E-3</v>
      </c>
      <c r="D111" s="38">
        <f>Tabella14[[#This Row],[Percentage of Suppliers - Raw]]/$C$151</f>
        <v>3.9605971361836084E-3</v>
      </c>
      <c r="E111" s="23">
        <v>5.7999999999999996E-3</v>
      </c>
      <c r="F111" s="40">
        <f>Tabella14[[#This Row],[Percentage of Supplier''s Facilities - Raw]]/$E$151</f>
        <v>5.8538554703270081E-3</v>
      </c>
    </row>
    <row r="112" spans="1:6" ht="19" x14ac:dyDescent="0.25">
      <c r="A112" s="31" t="s">
        <v>125</v>
      </c>
      <c r="B112" s="43">
        <v>4.1502930814875194</v>
      </c>
      <c r="C112" s="29">
        <v>0</v>
      </c>
      <c r="D112" s="38">
        <f>Tabella14[[#This Row],[Percentage of Suppliers - Raw]]/$C$151</f>
        <v>0</v>
      </c>
      <c r="E112" s="23">
        <v>6.7000000000000002E-3</v>
      </c>
      <c r="F112" s="40">
        <f>Tabella14[[#This Row],[Percentage of Supplier''s Facilities - Raw]]/$E$151</f>
        <v>6.7622123536536134E-3</v>
      </c>
    </row>
    <row r="113" spans="1:6" ht="19" x14ac:dyDescent="0.25">
      <c r="A113" s="31" t="s">
        <v>126</v>
      </c>
      <c r="B113" s="43">
        <v>3.4281858950270068</v>
      </c>
      <c r="C113" s="29">
        <v>0</v>
      </c>
      <c r="D113" s="38">
        <f>Tabella14[[#This Row],[Percentage of Suppliers - Raw]]/$C$151</f>
        <v>0</v>
      </c>
      <c r="E113" s="23">
        <v>3.3E-3</v>
      </c>
      <c r="F113" s="40">
        <f>Tabella14[[#This Row],[Percentage of Supplier''s Facilities - Raw]]/$E$151</f>
        <v>3.3306419055308839E-3</v>
      </c>
    </row>
    <row r="114" spans="1:6" ht="19" x14ac:dyDescent="0.25">
      <c r="A114" s="31" t="s">
        <v>127</v>
      </c>
      <c r="B114" s="43">
        <v>3.1959809471990606</v>
      </c>
      <c r="C114" s="29">
        <v>0</v>
      </c>
      <c r="D114" s="38">
        <f>Tabella14[[#This Row],[Percentage of Suppliers - Raw]]/$C$151</f>
        <v>0</v>
      </c>
      <c r="E114" s="23">
        <v>0</v>
      </c>
      <c r="F114" s="40">
        <f>Tabella14[[#This Row],[Percentage of Supplier''s Facilities - Raw]]/$E$151</f>
        <v>0</v>
      </c>
    </row>
    <row r="115" spans="1:6" ht="19" x14ac:dyDescent="0.25">
      <c r="A115" s="31" t="s">
        <v>128</v>
      </c>
      <c r="B115" s="43">
        <v>4.0482582591129548</v>
      </c>
      <c r="C115" s="29">
        <v>0</v>
      </c>
      <c r="D115" s="38">
        <f>Tabella14[[#This Row],[Percentage of Suppliers - Raw]]/$C$151</f>
        <v>0</v>
      </c>
      <c r="E115" s="23">
        <v>7.0999999999999995E-3</v>
      </c>
      <c r="F115" s="40">
        <f>Tabella14[[#This Row],[Percentage of Supplier''s Facilities - Raw]]/$E$151</f>
        <v>7.1659265240209928E-3</v>
      </c>
    </row>
    <row r="116" spans="1:6" ht="19" x14ac:dyDescent="0.25">
      <c r="A116" s="31" t="s">
        <v>129</v>
      </c>
      <c r="B116" s="43">
        <v>5.9582623064002229</v>
      </c>
      <c r="C116" s="29">
        <v>0</v>
      </c>
      <c r="D116" s="38">
        <f>Tabella14[[#This Row],[Percentage of Suppliers - Raw]]/$C$151</f>
        <v>0</v>
      </c>
      <c r="E116" s="23">
        <v>2.0999999999999999E-3</v>
      </c>
      <c r="F116" s="40">
        <f>Tabella14[[#This Row],[Percentage of Supplier''s Facilities - Raw]]/$E$151</f>
        <v>2.1194993944287444E-3</v>
      </c>
    </row>
    <row r="117" spans="1:6" ht="19" x14ac:dyDescent="0.25">
      <c r="A117" s="31" t="s">
        <v>130</v>
      </c>
      <c r="B117" s="43">
        <v>5.4717687502053103</v>
      </c>
      <c r="C117" s="29">
        <v>0</v>
      </c>
      <c r="D117" s="38">
        <f>Tabella14[[#This Row],[Percentage of Suppliers - Raw]]/$C$151</f>
        <v>0</v>
      </c>
      <c r="E117" s="23">
        <v>0</v>
      </c>
      <c r="F117" s="40">
        <f>Tabella14[[#This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9">
        <v>0</v>
      </c>
      <c r="D118" s="38">
        <f>Tabella14[[#This Row],[Percentage of Suppliers - Raw]]/$C$151</f>
        <v>0</v>
      </c>
      <c r="E118" s="23">
        <v>3.8E-3</v>
      </c>
      <c r="F118" s="40">
        <f>Tabella14[[#This Row],[Percentage of Supplier''s Facilities - Raw]]/$E$151</f>
        <v>3.835284618490109E-3</v>
      </c>
    </row>
    <row r="119" spans="1:6" ht="19" x14ac:dyDescent="0.25">
      <c r="A119" s="31" t="s">
        <v>132</v>
      </c>
      <c r="B119" s="43">
        <v>5.3961053213656953</v>
      </c>
      <c r="C119" s="29">
        <v>0</v>
      </c>
      <c r="D119" s="38">
        <f>Tabella14[[#This Row],[Percentage of Suppliers - Raw]]/$C$151</f>
        <v>0</v>
      </c>
      <c r="E119" s="23">
        <v>0</v>
      </c>
      <c r="F119" s="40">
        <f>Tabella14[[#This Row],[Percentage of Supplier''s Facilities - Raw]]/$E$151</f>
        <v>0</v>
      </c>
    </row>
    <row r="120" spans="1:6" ht="19" x14ac:dyDescent="0.25">
      <c r="A120" s="31" t="s">
        <v>133</v>
      </c>
      <c r="B120" s="43">
        <v>5.0353573500743858</v>
      </c>
      <c r="C120" s="29">
        <v>0</v>
      </c>
      <c r="D120" s="38">
        <f>Tabella14[[#This Row],[Percentage of Suppliers - Raw]]/$C$151</f>
        <v>0</v>
      </c>
      <c r="E120" s="23">
        <v>8.0000000000000004E-4</v>
      </c>
      <c r="F120" s="40">
        <f>Tabella14[[#This Row],[Percentage of Supplier''s Facilities - Raw]]/$E$151</f>
        <v>8.0742834073475986E-4</v>
      </c>
    </row>
    <row r="121" spans="1:6" ht="19" x14ac:dyDescent="0.25">
      <c r="A121" s="31" t="s">
        <v>134</v>
      </c>
      <c r="B121" s="43">
        <v>5.6408231615395454</v>
      </c>
      <c r="C121" s="29">
        <v>0</v>
      </c>
      <c r="D121" s="38">
        <f>Tabella14[[#This Row],[Percentage of Suppliers - Raw]]/$C$151</f>
        <v>0</v>
      </c>
      <c r="E121" s="23">
        <v>0</v>
      </c>
      <c r="F121" s="40">
        <f>Tabella14[[#This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9">
        <v>1.9400000000000001E-2</v>
      </c>
      <c r="D122" s="38">
        <f>Tabella14[[#This Row],[Percentage of Suppliers - Raw]]/$C$151</f>
        <v>1.9701431908195389E-2</v>
      </c>
      <c r="E122" s="23">
        <v>1.5800000000000002E-2</v>
      </c>
      <c r="F122" s="40">
        <f>Tabella14[[#This Row],[Percentage of Supplier''s Facilities - Raw]]/$E$151</f>
        <v>1.5946709729511507E-2</v>
      </c>
    </row>
    <row r="123" spans="1:6" ht="19" x14ac:dyDescent="0.25">
      <c r="A123" s="31" t="s">
        <v>136</v>
      </c>
      <c r="B123" s="43">
        <v>3.791880207241451</v>
      </c>
      <c r="C123" s="29">
        <v>0</v>
      </c>
      <c r="D123" s="38">
        <f>Tabella14[[#This Row],[Percentage of Suppliers - Raw]]/$C$151</f>
        <v>0</v>
      </c>
      <c r="E123" s="23">
        <v>1.7000000000000001E-3</v>
      </c>
      <c r="F123" s="40">
        <f>Tabella14[[#This Row],[Percentage of Supplier''s Facilities - Raw]]/$E$151</f>
        <v>1.7157852240613646E-3</v>
      </c>
    </row>
    <row r="124" spans="1:6" ht="19" x14ac:dyDescent="0.25">
      <c r="A124" s="31" t="s">
        <v>137</v>
      </c>
      <c r="B124" s="43">
        <v>3.4781584832038352</v>
      </c>
      <c r="C124" s="29">
        <v>0</v>
      </c>
      <c r="D124" s="38">
        <f>Tabella14[[#This Row],[Percentage of Suppliers - Raw]]/$C$151</f>
        <v>0</v>
      </c>
      <c r="E124" s="23">
        <v>2.8999999999999998E-3</v>
      </c>
      <c r="F124" s="40">
        <f>Tabella14[[#This Row],[Percentage of Supplier''s Facilities - Raw]]/$E$151</f>
        <v>2.926927735163504E-3</v>
      </c>
    </row>
    <row r="125" spans="1:6" ht="19" x14ac:dyDescent="0.25">
      <c r="A125" s="31" t="s">
        <v>138</v>
      </c>
      <c r="B125" s="43">
        <v>5.2224005392752639</v>
      </c>
      <c r="C125" s="29">
        <v>0</v>
      </c>
      <c r="D125" s="38">
        <f>Tabella14[[#This Row],[Percentage of Suppliers - Raw]]/$C$151</f>
        <v>0</v>
      </c>
      <c r="E125" s="23">
        <v>5.7999999999999996E-3</v>
      </c>
      <c r="F125" s="40">
        <f>Tabella14[[#This Row],[Percentage of Supplier''s Facilities - Raw]]/$E$151</f>
        <v>5.8538554703270081E-3</v>
      </c>
    </row>
    <row r="126" spans="1:6" ht="19" x14ac:dyDescent="0.25">
      <c r="A126" s="31" t="s">
        <v>139</v>
      </c>
      <c r="B126" s="43">
        <v>3.5667851803481079</v>
      </c>
      <c r="C126" s="29">
        <v>7.7499999999999999E-2</v>
      </c>
      <c r="D126" s="38">
        <f>Tabella14[[#This Row],[Percentage of Suppliers - Raw]]/$C$151</f>
        <v>7.8704173860058887E-2</v>
      </c>
      <c r="E126" s="23">
        <v>3.3300000000000003E-2</v>
      </c>
      <c r="F126" s="40">
        <f>Tabella14[[#This Row],[Percentage of Supplier''s Facilities - Raw]]/$E$151</f>
        <v>3.3609204683084377E-2</v>
      </c>
    </row>
    <row r="127" spans="1:6" ht="19" x14ac:dyDescent="0.25">
      <c r="A127" s="31" t="s">
        <v>140</v>
      </c>
      <c r="B127" s="43">
        <v>3.7006443947932954</v>
      </c>
      <c r="C127" s="29">
        <v>1.55E-2</v>
      </c>
      <c r="D127" s="38">
        <f>Tabella14[[#This Row],[Percentage of Suppliers - Raw]]/$C$151</f>
        <v>1.574083477201178E-2</v>
      </c>
      <c r="E127" s="23">
        <v>1.1699999999999999E-2</v>
      </c>
      <c r="F127" s="40">
        <f>Tabella14[[#This Row],[Percentage of Supplier''s Facilities - Raw]]/$E$151</f>
        <v>1.1808639483245861E-2</v>
      </c>
    </row>
    <row r="128" spans="1:6" ht="19" x14ac:dyDescent="0.25">
      <c r="A128" s="32" t="s">
        <v>141</v>
      </c>
      <c r="B128" s="43">
        <v>5.1109914616879202</v>
      </c>
      <c r="C128" s="29">
        <v>0</v>
      </c>
      <c r="D128" s="38">
        <f>Tabella14[[#This Row],[Percentage of Suppliers - Raw]]/$C$151</f>
        <v>0</v>
      </c>
      <c r="E128" s="23">
        <v>0</v>
      </c>
      <c r="F128" s="40">
        <f>Tabella14[[#This Row],[Percentage of Supplier''s Facilities - Raw]]/$E$151</f>
        <v>0</v>
      </c>
    </row>
    <row r="129" spans="1:6" ht="19" x14ac:dyDescent="0.25">
      <c r="A129" s="31" t="s">
        <v>142</v>
      </c>
      <c r="B129" s="43">
        <v>7.0987237940608701</v>
      </c>
      <c r="C129" s="29">
        <v>0</v>
      </c>
      <c r="D129" s="38">
        <f>Tabella14[[#This Row],[Percentage of Suppliers - Raw]]/$C$151</f>
        <v>0</v>
      </c>
      <c r="E129" s="23">
        <v>0</v>
      </c>
      <c r="F129" s="40">
        <f>Tabella14[[#This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9">
        <v>7.7999999999999996E-3</v>
      </c>
      <c r="D130" s="38">
        <f>Tabella14[[#This Row],[Percentage of Suppliers - Raw]]/$C$151</f>
        <v>7.9211942723672168E-3</v>
      </c>
      <c r="E130" s="23">
        <v>5.7999999999999996E-3</v>
      </c>
      <c r="F130" s="40">
        <f>Tabella14[[#This Row],[Percentage of Supplier''s Facilities - Raw]]/$E$151</f>
        <v>5.8538554703270081E-3</v>
      </c>
    </row>
    <row r="131" spans="1:6" ht="19" x14ac:dyDescent="0.25">
      <c r="A131" s="31" t="s">
        <v>144</v>
      </c>
      <c r="B131" s="43">
        <v>2.7770010876672497</v>
      </c>
      <c r="C131" s="29">
        <v>1.55E-2</v>
      </c>
      <c r="D131" s="38">
        <f>Tabella14[[#This Row],[Percentage of Suppliers - Raw]]/$C$151</f>
        <v>1.574083477201178E-2</v>
      </c>
      <c r="E131" s="23">
        <v>2.2099999999999998E-2</v>
      </c>
      <c r="F131" s="40">
        <f>Tabella14[[#This Row],[Percentage of Supplier''s Facilities - Raw]]/$E$151</f>
        <v>2.2305207912797737E-2</v>
      </c>
    </row>
    <row r="132" spans="1:6" ht="19" x14ac:dyDescent="0.25">
      <c r="A132" s="31" t="s">
        <v>145</v>
      </c>
      <c r="B132" s="43">
        <v>7.3330533031040499</v>
      </c>
      <c r="C132" s="29">
        <v>0</v>
      </c>
      <c r="D132" s="38">
        <f>Tabella14[[#This Row],[Percentage of Suppliers - Raw]]/$C$151</f>
        <v>0</v>
      </c>
      <c r="E132" s="23">
        <v>0</v>
      </c>
      <c r="F132" s="40">
        <f>Tabella14[[#This Row],[Percentage of Supplier''s Facilities - Raw]]/$E$151</f>
        <v>0</v>
      </c>
    </row>
    <row r="133" spans="1:6" ht="19" x14ac:dyDescent="0.25">
      <c r="A133" s="31" t="s">
        <v>146</v>
      </c>
      <c r="B133" s="43">
        <v>5.6864357260548895</v>
      </c>
      <c r="C133" s="29">
        <v>0</v>
      </c>
      <c r="D133" s="38">
        <f>Tabella14[[#This Row],[Percentage of Suppliers - Raw]]/$C$151</f>
        <v>0</v>
      </c>
      <c r="E133" s="23">
        <v>0</v>
      </c>
      <c r="F133" s="40">
        <f>Tabella14[[#This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9">
        <v>0</v>
      </c>
      <c r="D134" s="38">
        <f>Tabella14[[#This Row],[Percentage of Suppliers - Raw]]/$C$151</f>
        <v>0</v>
      </c>
      <c r="E134" s="23">
        <v>1.0800000000000001E-2</v>
      </c>
      <c r="F134" s="40">
        <f>Tabella14[[#This Row],[Percentage of Supplier''s Facilities - Raw]]/$E$151</f>
        <v>1.0900282599919257E-2</v>
      </c>
    </row>
    <row r="135" spans="1:6" ht="19" x14ac:dyDescent="0.25">
      <c r="A135" s="31" t="s">
        <v>148</v>
      </c>
      <c r="B135" s="43">
        <v>5.1473122500344015</v>
      </c>
      <c r="C135" s="29">
        <v>0</v>
      </c>
      <c r="D135" s="38">
        <f>Tabella14[[#This Row],[Percentage of Suppliers - Raw]]/$C$151</f>
        <v>0</v>
      </c>
      <c r="E135" s="23">
        <v>0</v>
      </c>
      <c r="F135" s="40">
        <f>Tabella14[[#This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9">
        <v>0</v>
      </c>
      <c r="D136" s="38">
        <f>Tabella14[[#This Row],[Percentage of Suppliers - Raw]]/$C$151</f>
        <v>0</v>
      </c>
      <c r="E136" s="23">
        <v>0</v>
      </c>
      <c r="F136" s="40">
        <f>Tabella14[[#This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9">
        <v>0</v>
      </c>
      <c r="D137" s="38">
        <f>Tabella14[[#This Row],[Percentage of Suppliers - Raw]]/$C$151</f>
        <v>0</v>
      </c>
      <c r="E137" s="23">
        <v>4.0000000000000002E-4</v>
      </c>
      <c r="F137" s="40">
        <f>Tabella14[[#This Row],[Percentage of Supplier''s Facilities - Raw]]/$E$151</f>
        <v>4.0371417036737993E-4</v>
      </c>
    </row>
    <row r="138" spans="1:6" ht="19" x14ac:dyDescent="0.25">
      <c r="A138" s="31" t="s">
        <v>151</v>
      </c>
      <c r="B138" s="43">
        <v>5.1269871649881278</v>
      </c>
      <c r="C138" s="29">
        <v>0</v>
      </c>
      <c r="D138" s="38">
        <f>Tabella14[[#This Row],[Percentage of Suppliers - Raw]]/$C$151</f>
        <v>0</v>
      </c>
      <c r="E138" s="23">
        <v>8.0000000000000004E-4</v>
      </c>
      <c r="F138" s="40">
        <f>Tabella14[[#This Row],[Percentage of Supplier''s Facilities - Raw]]/$E$151</f>
        <v>8.0742834073475986E-4</v>
      </c>
    </row>
    <row r="139" spans="1:6" ht="19" x14ac:dyDescent="0.25">
      <c r="A139" s="31" t="s">
        <v>152</v>
      </c>
      <c r="B139" s="43">
        <v>5.2574384214456868</v>
      </c>
      <c r="C139" s="29">
        <v>0</v>
      </c>
      <c r="D139" s="38">
        <f>Tabella14[[#This Row],[Percentage of Suppliers - Raw]]/$C$151</f>
        <v>0</v>
      </c>
      <c r="E139" s="23">
        <v>7.4999999999999997E-3</v>
      </c>
      <c r="F139" s="40">
        <f>Tabella14[[#This Row],[Percentage of Supplier''s Facilities - Raw]]/$E$151</f>
        <v>7.5696406943883731E-3</v>
      </c>
    </row>
    <row r="140" spans="1:6" ht="19" x14ac:dyDescent="0.25">
      <c r="A140" s="31" t="s">
        <v>153</v>
      </c>
      <c r="B140" s="43">
        <v>6.2888889425300309</v>
      </c>
      <c r="C140" s="29">
        <v>0</v>
      </c>
      <c r="D140" s="38">
        <f>Tabella14[[#This Row],[Percentage of Suppliers - Raw]]/$C$151</f>
        <v>0</v>
      </c>
      <c r="E140" s="23">
        <v>0</v>
      </c>
      <c r="F140" s="40">
        <f>Tabella14[[#This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9">
        <v>0</v>
      </c>
      <c r="D141" s="38">
        <f>Tabella14[[#This Row],[Percentage of Suppliers - Raw]]/$C$151</f>
        <v>0</v>
      </c>
      <c r="E141" s="23">
        <v>8.0000000000000004E-4</v>
      </c>
      <c r="F141" s="40">
        <f>Tabella14[[#This Row],[Percentage of Supplier''s Facilities - Raw]]/$E$151</f>
        <v>8.0742834073475986E-4</v>
      </c>
    </row>
    <row r="142" spans="1:6" ht="19" x14ac:dyDescent="0.25">
      <c r="A142" s="31" t="s">
        <v>155</v>
      </c>
      <c r="B142" s="43">
        <v>3.7156413836197295</v>
      </c>
      <c r="C142" s="29">
        <v>0</v>
      </c>
      <c r="D142" s="38">
        <f>Tabella14[[#This Row],[Percentage of Suppliers - Raw]]/$C$151</f>
        <v>0</v>
      </c>
      <c r="E142" s="23">
        <v>4.5999999999999999E-3</v>
      </c>
      <c r="F142" s="40">
        <f>Tabella14[[#This Row],[Percentage of Supplier''s Facilities - Raw]]/$E$151</f>
        <v>4.642712959224869E-3</v>
      </c>
    </row>
    <row r="143" spans="1:6" ht="19" x14ac:dyDescent="0.25">
      <c r="A143" s="31" t="s">
        <v>156</v>
      </c>
      <c r="B143" s="43">
        <v>3.3179607898236139</v>
      </c>
      <c r="C143" s="29">
        <v>6.2E-2</v>
      </c>
      <c r="D143" s="38">
        <f>Tabella14[[#This Row],[Percentage of Suppliers - Raw]]/$C$151</f>
        <v>6.2963339088047118E-2</v>
      </c>
      <c r="E143" s="23">
        <v>3.0800000000000001E-2</v>
      </c>
      <c r="F143" s="40">
        <f>Tabella14[[#This Row],[Percentage of Supplier''s Facilities - Raw]]/$E$151</f>
        <v>3.1085991118288251E-2</v>
      </c>
    </row>
    <row r="144" spans="1:6" ht="19" x14ac:dyDescent="0.25">
      <c r="A144" s="31" t="s">
        <v>157</v>
      </c>
      <c r="B144" s="43">
        <v>4.1903553610988471</v>
      </c>
      <c r="C144" s="29">
        <v>0.36820000000000003</v>
      </c>
      <c r="D144" s="38">
        <f>Tabella14[[#This Row],[Percentage of Suppliers - Raw]]/$C$151</f>
        <v>0.37392099116482175</v>
      </c>
      <c r="E144" s="23">
        <v>0.23089999999999999</v>
      </c>
      <c r="F144" s="40">
        <f>Tabella14[[#This Row],[Percentage of Supplier''s Facilities - Raw]]/$E$151</f>
        <v>0.23304400484457002</v>
      </c>
    </row>
    <row r="145" spans="1:6" ht="19" x14ac:dyDescent="0.25">
      <c r="A145" s="31" t="s">
        <v>158</v>
      </c>
      <c r="B145" s="43">
        <v>3.9104307580301834</v>
      </c>
      <c r="C145" s="29">
        <v>0</v>
      </c>
      <c r="D145" s="38">
        <f>Tabella14[[#This Row],[Percentage of Suppliers - Raw]]/$C$151</f>
        <v>0</v>
      </c>
      <c r="E145" s="23">
        <v>1E-4</v>
      </c>
      <c r="F145" s="40">
        <f>Tabella14[[#This Row],[Percentage of Supplier''s Facilities - Raw]]/$E$151</f>
        <v>1.0092854259184498E-4</v>
      </c>
    </row>
    <row r="146" spans="1:6" ht="19" x14ac:dyDescent="0.25">
      <c r="A146" s="31" t="s">
        <v>159</v>
      </c>
      <c r="B146" s="43">
        <v>5.7741934156294281</v>
      </c>
      <c r="C146" s="29">
        <v>0</v>
      </c>
      <c r="D146" s="38">
        <f>Tabella14[[#This Row],[Percentage of Suppliers - Raw]]/$C$151</f>
        <v>0</v>
      </c>
      <c r="E146" s="23">
        <v>1.2999999999999999E-3</v>
      </c>
      <c r="F146" s="40">
        <f>Tabella14[[#This Row],[Percentage of Supplier''s Facilities - Raw]]/$E$151</f>
        <v>1.3120710536939845E-3</v>
      </c>
    </row>
    <row r="147" spans="1:6" ht="19" x14ac:dyDescent="0.25">
      <c r="A147" s="31" t="s">
        <v>160</v>
      </c>
      <c r="B147" s="43">
        <v>4.3230065548271748</v>
      </c>
      <c r="C147" s="29">
        <v>0</v>
      </c>
      <c r="D147" s="38">
        <f>Tabella14[[#This Row],[Percentage of Suppliers - Raw]]/$C$151</f>
        <v>0</v>
      </c>
      <c r="E147" s="23">
        <v>0.01</v>
      </c>
      <c r="F147" s="40">
        <f>Tabella14[[#This Row],[Percentage of Supplier''s Facilities - Raw]]/$E$151</f>
        <v>1.0092854259184497E-2</v>
      </c>
    </row>
    <row r="148" spans="1:6" ht="19" x14ac:dyDescent="0.25">
      <c r="A148" s="31" t="s">
        <v>161</v>
      </c>
      <c r="B148" s="43">
        <v>6.3044304196425287</v>
      </c>
      <c r="C148" s="29">
        <v>0</v>
      </c>
      <c r="D148" s="38">
        <f>Tabella14[[#This Row],[Percentage of Suppliers - Raw]]/$C$151</f>
        <v>0</v>
      </c>
      <c r="E148" s="23">
        <v>0</v>
      </c>
      <c r="F148" s="40">
        <f>Tabella14[[#This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9">
        <v>0</v>
      </c>
      <c r="D149" s="38">
        <f>Tabella14[[#This Row],[Percentage of Suppliers - Raw]]/$C$151</f>
        <v>0</v>
      </c>
      <c r="E149" s="23">
        <v>0</v>
      </c>
      <c r="F149" s="40">
        <f>Tabella14[[#This Row],[Percentage of Supplier''s Facilities - Raw]]/$E$151</f>
        <v>0</v>
      </c>
    </row>
    <row r="150" spans="1:6" ht="19" x14ac:dyDescent="0.25">
      <c r="A150" s="31" t="s">
        <v>163</v>
      </c>
      <c r="B150" s="43">
        <v>6.1447845309536486</v>
      </c>
      <c r="C150" s="29">
        <v>0</v>
      </c>
      <c r="D150" s="38">
        <f>Tabella14[[#This Row],[Percentage of Suppliers - Raw]]/$C$151</f>
        <v>0</v>
      </c>
      <c r="E150" s="23">
        <v>0</v>
      </c>
      <c r="F150" s="40">
        <f>Tabella14[[#This Row],[Percentage of Supplier''s Facilities - Raw]]/$E$151</f>
        <v>0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0.98470000000000013</v>
      </c>
      <c r="D151" s="39">
        <f>SUM(D4:D150)</f>
        <v>1</v>
      </c>
      <c r="E151" s="25">
        <f>SUM(E4:E150)</f>
        <v>0.99080000000000001</v>
      </c>
      <c r="F151" s="41">
        <f>SUM(F4:F150)</f>
        <v>0.99999999999999989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D921-6877-BD4C-8E98-495044DCAAA3}">
  <dimension ref="A1:P151"/>
  <sheetViews>
    <sheetView topLeftCell="J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168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19" x14ac:dyDescent="0.25">
      <c r="A4" s="31" t="s">
        <v>8</v>
      </c>
      <c r="B4" s="43">
        <v>4.3705708278452811</v>
      </c>
      <c r="C4" s="22">
        <v>0</v>
      </c>
      <c r="D4" s="36">
        <f>Tabella15[[#This Row],[Percentage of Suppliers - Raw]]/$C$151</f>
        <v>0</v>
      </c>
      <c r="E4" s="23">
        <v>2.0000000000000001E-4</v>
      </c>
      <c r="F4" s="40">
        <f>Tabella15[[#This Row],[Percentage of Supplier''s Facilities - Raw]]/$E$151</f>
        <v>2.00823375840948E-4</v>
      </c>
    </row>
    <row r="5" spans="1:16" ht="19" x14ac:dyDescent="0.25">
      <c r="A5" s="31" t="s">
        <v>9</v>
      </c>
      <c r="B5" s="43">
        <v>5.2136193198580543</v>
      </c>
      <c r="C5" s="22">
        <v>0</v>
      </c>
      <c r="D5" s="36">
        <f>Tabella15[[#This Row],[Percentage of Suppliers - Raw]]/$C$151</f>
        <v>0</v>
      </c>
      <c r="E5" s="23">
        <v>5.0000000000000001E-4</v>
      </c>
      <c r="F5" s="40">
        <f>Tabella15[[#This Row],[Percentage of Supplier''s Facilities - Raw]]/$E$151</f>
        <v>5.0205843960237002E-4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19" x14ac:dyDescent="0.25">
      <c r="A6" s="31" t="s">
        <v>11</v>
      </c>
      <c r="B6" s="43">
        <v>5.6305966049142544</v>
      </c>
      <c r="C6" s="22">
        <v>0</v>
      </c>
      <c r="D6" s="36">
        <f>Tabella15[[#This Row],[Percentage of Suppliers - Raw]]/$C$151</f>
        <v>0</v>
      </c>
      <c r="E6" s="23">
        <v>4.0000000000000002E-4</v>
      </c>
      <c r="F6" s="40">
        <f>Tabella15[[#This Row],[Percentage of Supplier''s Facilities - Raw]]/$E$151</f>
        <v>4.01646751681896E-4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2">
        <v>0</v>
      </c>
      <c r="D7" s="36">
        <f>Tabella15[[#This Row],[Percentage of Suppliers - Raw]]/$C$151</f>
        <v>0</v>
      </c>
      <c r="E7" s="23">
        <v>1.8E-3</v>
      </c>
      <c r="F7" s="40">
        <f>Tabella15[[#This Row],[Percentage of Supplier''s Facilities - Raw]]/$E$151</f>
        <v>1.8074103825685319E-3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Bahrain</v>
      </c>
      <c r="O7" s="15">
        <f>INDEX(B4:B150,MATCH(MIN(F4:F150),F4:F150,0))</f>
        <v>4.2572307249236632</v>
      </c>
      <c r="P7" s="16">
        <f>INDEX(F4:F150,MATCH(MIN(F4:F150),F4:F150,0))</f>
        <v>0</v>
      </c>
    </row>
    <row r="8" spans="1:16" ht="19" x14ac:dyDescent="0.25">
      <c r="A8" s="31" t="s">
        <v>17</v>
      </c>
      <c r="B8" s="43">
        <v>4.7882033268855917</v>
      </c>
      <c r="C8" s="22">
        <v>0</v>
      </c>
      <c r="D8" s="36">
        <f>Tabella15[[#This Row],[Percentage of Suppliers - Raw]]/$C$151</f>
        <v>0</v>
      </c>
      <c r="E8" s="23">
        <v>2.0000000000000001E-4</v>
      </c>
      <c r="F8" s="40">
        <f>Tabella15[[#This Row],[Percentage of Supplier''s Facilities - Raw]]/$E$151</f>
        <v>2.00823375840948E-4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4.1903553610988471</v>
      </c>
      <c r="K8" s="19">
        <f>INDEX(D4:D150,MATCH(MAX(D4:D150),D4:D150,0))</f>
        <v>0.4189623969434948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4.1903553610988471</v>
      </c>
      <c r="P8" s="19">
        <f>INDEX(F4:F150,MATCH(MAX(F4:F150),F4:F150,0))</f>
        <v>0.24861933929109364</v>
      </c>
    </row>
    <row r="9" spans="1:16" ht="22" x14ac:dyDescent="0.3">
      <c r="A9" s="31" t="s">
        <v>19</v>
      </c>
      <c r="B9" s="43">
        <v>3.2228923328507717</v>
      </c>
      <c r="C9" s="22">
        <v>5.5999999999999999E-3</v>
      </c>
      <c r="D9" s="36">
        <f>Tabella15[[#This Row],[Percentage of Suppliers - Raw]]/$C$151</f>
        <v>5.6304041825859632E-3</v>
      </c>
      <c r="E9" s="23">
        <v>1.0700000000000001E-2</v>
      </c>
      <c r="F9" s="40">
        <f>Tabella15[[#This Row],[Percentage of Supplier''s Facilities - Raw]]/$E$151</f>
        <v>1.0744050607490719E-2</v>
      </c>
      <c r="H9" s="20" t="s">
        <v>20</v>
      </c>
      <c r="I9" s="21"/>
      <c r="J9" s="21"/>
      <c r="K9" s="175">
        <f>SUMPRODUCT(B4:B150,D4:D150)</f>
        <v>4.0426345364840257</v>
      </c>
      <c r="M9" s="20" t="s">
        <v>21</v>
      </c>
      <c r="N9" s="21"/>
      <c r="O9" s="21"/>
      <c r="P9" s="175">
        <f>SUMPRODUCT(B4:B150,F4:F150)</f>
        <v>4.0997849774681061</v>
      </c>
    </row>
    <row r="10" spans="1:16" ht="19" x14ac:dyDescent="0.25">
      <c r="A10" s="31" t="s">
        <v>22</v>
      </c>
      <c r="B10" s="43">
        <v>3.4101851325072063</v>
      </c>
      <c r="C10" s="22">
        <v>5.5999999999999999E-3</v>
      </c>
      <c r="D10" s="36">
        <f>Tabella15[[#This Row],[Percentage of Suppliers - Raw]]/$C$151</f>
        <v>5.6304041825859632E-3</v>
      </c>
      <c r="E10" s="23">
        <v>4.5000000000000005E-3</v>
      </c>
      <c r="F10" s="40">
        <f>Tabella15[[#This Row],[Percentage of Supplier''s Facilities - Raw]]/$E$151</f>
        <v>4.5185259564213308E-3</v>
      </c>
    </row>
    <row r="11" spans="1:16" ht="19" x14ac:dyDescent="0.25">
      <c r="A11" s="31" t="s">
        <v>23</v>
      </c>
      <c r="B11" s="43">
        <v>5.2109258806256893</v>
      </c>
      <c r="C11" s="22">
        <v>0</v>
      </c>
      <c r="D11" s="36">
        <f>Tabella15[[#This Row],[Percentage of Suppliers - Raw]]/$C$151</f>
        <v>0</v>
      </c>
      <c r="E11" s="23">
        <v>2.0000000000000001E-4</v>
      </c>
      <c r="F11" s="40">
        <f>Tabella15[[#This Row],[Percentage of Supplier''s Facilities - Raw]]/$E$151</f>
        <v>2.00823375840948E-4</v>
      </c>
    </row>
    <row r="12" spans="1:16" ht="19" x14ac:dyDescent="0.25">
      <c r="A12" s="31" t="s">
        <v>24</v>
      </c>
      <c r="B12" s="43">
        <v>4.2572307249236632</v>
      </c>
      <c r="C12" s="22">
        <v>0</v>
      </c>
      <c r="D12" s="36">
        <f>Tabella15[[#This Row],[Percentage of Suppliers - Raw]]/$C$151</f>
        <v>0</v>
      </c>
      <c r="E12" s="23">
        <v>0</v>
      </c>
      <c r="F12" s="40">
        <f>Tabella15[[#This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2">
        <v>0</v>
      </c>
      <c r="D13" s="36">
        <f>Tabella15[[#This Row],[Percentage of Suppliers - Raw]]/$C$151</f>
        <v>0</v>
      </c>
      <c r="E13" s="23">
        <v>4.0000000000000002E-4</v>
      </c>
      <c r="F13" s="40">
        <f>Tabella15[[#This Row],[Percentage of Supplier''s Facilities - Raw]]/$E$151</f>
        <v>4.01646751681896E-4</v>
      </c>
    </row>
    <row r="14" spans="1:16" ht="19" x14ac:dyDescent="0.25">
      <c r="A14" s="31" t="s">
        <v>26</v>
      </c>
      <c r="B14" s="43">
        <v>5.4470391561857463</v>
      </c>
      <c r="C14" s="22">
        <v>0</v>
      </c>
      <c r="D14" s="36">
        <f>Tabella15[[#This Row],[Percentage of Suppliers - Raw]]/$C$151</f>
        <v>0</v>
      </c>
      <c r="E14" s="23">
        <v>0</v>
      </c>
      <c r="F14" s="40">
        <f>Tabella15[[#This Row],[Percentage of Supplier''s Facilities - Raw]]/$E$151</f>
        <v>0</v>
      </c>
    </row>
    <row r="15" spans="1:16" ht="19" x14ac:dyDescent="0.25">
      <c r="A15" s="31" t="s">
        <v>27</v>
      </c>
      <c r="B15" s="43">
        <v>3.3272157363952584</v>
      </c>
      <c r="C15" s="22">
        <v>0</v>
      </c>
      <c r="D15" s="36">
        <f>Tabella15[[#This Row],[Percentage of Suppliers - Raw]]/$C$151</f>
        <v>0</v>
      </c>
      <c r="E15" s="23">
        <v>2.7000000000000001E-3</v>
      </c>
      <c r="F15" s="40">
        <f>Tabella15[[#This Row],[Percentage of Supplier''s Facilities - Raw]]/$E$151</f>
        <v>2.7111155738527982E-3</v>
      </c>
    </row>
    <row r="16" spans="1:16" ht="19" x14ac:dyDescent="0.25">
      <c r="A16" s="31" t="s">
        <v>28</v>
      </c>
      <c r="B16" s="43">
        <v>5.9976203843116958</v>
      </c>
      <c r="C16" s="22">
        <v>0</v>
      </c>
      <c r="D16" s="36">
        <f>Tabella15[[#This Row],[Percentage of Suppliers - Raw]]/$C$151</f>
        <v>0</v>
      </c>
      <c r="E16" s="23">
        <v>0</v>
      </c>
      <c r="F16" s="40">
        <f>Tabella15[[#This Row],[Percentage of Supplier''s Facilities - Raw]]/$E$151</f>
        <v>0</v>
      </c>
    </row>
    <row r="17" spans="1:7" ht="19" x14ac:dyDescent="0.25">
      <c r="A17" s="31" t="s">
        <v>29</v>
      </c>
      <c r="B17" s="43">
        <v>5.0248646415497609</v>
      </c>
      <c r="C17" s="22">
        <v>0</v>
      </c>
      <c r="D17" s="36">
        <f>Tabella15[[#This Row],[Percentage of Suppliers - Raw]]/$C$151</f>
        <v>0</v>
      </c>
      <c r="E17" s="23">
        <v>0</v>
      </c>
      <c r="F17" s="40">
        <f>Tabella15[[#This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2">
        <v>0</v>
      </c>
      <c r="D18" s="36">
        <f>Tabella15[[#This Row],[Percentage of Suppliers - Raw]]/$C$151</f>
        <v>0</v>
      </c>
      <c r="E18" s="23">
        <v>0</v>
      </c>
      <c r="F18" s="40">
        <f>Tabella15[[#This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2">
        <v>0</v>
      </c>
      <c r="D19" s="36">
        <f>Tabella15[[#This Row],[Percentage of Suppliers - Raw]]/$C$151</f>
        <v>0</v>
      </c>
      <c r="E19" s="23">
        <v>2.0000000000000001E-4</v>
      </c>
      <c r="F19" s="40">
        <f>Tabella15[[#This Row],[Percentage of Supplier''s Facilities - Raw]]/$E$151</f>
        <v>2.00823375840948E-4</v>
      </c>
    </row>
    <row r="20" spans="1:7" ht="19" x14ac:dyDescent="0.25">
      <c r="A20" s="31" t="s">
        <v>32</v>
      </c>
      <c r="B20" s="43">
        <v>4.3392269255836116</v>
      </c>
      <c r="C20" s="22">
        <v>0</v>
      </c>
      <c r="D20" s="36">
        <f>Tabella15[[#This Row],[Percentage of Suppliers - Raw]]/$C$151</f>
        <v>0</v>
      </c>
      <c r="E20" s="23">
        <v>0</v>
      </c>
      <c r="F20" s="40">
        <f>Tabella15[[#This Row],[Percentage of Supplier''s Facilities - Raw]]/$E$151</f>
        <v>0</v>
      </c>
    </row>
    <row r="21" spans="1:7" ht="19" x14ac:dyDescent="0.25">
      <c r="A21" s="31" t="s">
        <v>33</v>
      </c>
      <c r="B21" s="43">
        <v>5.3528879548903774</v>
      </c>
      <c r="C21" s="22">
        <v>0</v>
      </c>
      <c r="D21" s="36">
        <f>Tabella15[[#This Row],[Percentage of Suppliers - Raw]]/$C$151</f>
        <v>0</v>
      </c>
      <c r="E21" s="23">
        <v>1.3100000000000001E-2</v>
      </c>
      <c r="F21" s="40">
        <f>Tabella15[[#This Row],[Percentage of Supplier''s Facilities - Raw]]/$E$151</f>
        <v>1.3153931117582094E-2</v>
      </c>
    </row>
    <row r="22" spans="1:7" ht="19" x14ac:dyDescent="0.25">
      <c r="A22" s="31" t="s">
        <v>34</v>
      </c>
      <c r="B22" s="43">
        <v>4.4305511295739555</v>
      </c>
      <c r="C22" s="22">
        <v>0</v>
      </c>
      <c r="D22" s="36">
        <f>Tabella15[[#This Row],[Percentage of Suppliers - Raw]]/$C$151</f>
        <v>0</v>
      </c>
      <c r="E22" s="23">
        <v>1.5E-3</v>
      </c>
      <c r="F22" s="40">
        <f>Tabella15[[#This Row],[Percentage of Supplier''s Facilities - Raw]]/$E$151</f>
        <v>1.5061753188071101E-3</v>
      </c>
    </row>
    <row r="23" spans="1:7" ht="19" x14ac:dyDescent="0.25">
      <c r="A23" s="31" t="s">
        <v>35</v>
      </c>
      <c r="B23" s="43">
        <v>6.5469989858167894</v>
      </c>
      <c r="C23" s="22">
        <v>0</v>
      </c>
      <c r="D23" s="36">
        <f>Tabella15[[#This Row],[Percentage of Suppliers - Raw]]/$C$151</f>
        <v>0</v>
      </c>
      <c r="E23" s="23">
        <v>0</v>
      </c>
      <c r="F23" s="40">
        <f>Tabella15[[#This Row],[Percentage of Supplier''s Facilities - Raw]]/$E$151</f>
        <v>0</v>
      </c>
    </row>
    <row r="24" spans="1:7" ht="19" x14ac:dyDescent="0.25">
      <c r="A24" s="31" t="s">
        <v>36</v>
      </c>
      <c r="B24" s="43">
        <v>6.3316257862325482</v>
      </c>
      <c r="C24" s="22">
        <v>0</v>
      </c>
      <c r="D24" s="36">
        <f>Tabella15[[#This Row],[Percentage of Suppliers - Raw]]/$C$151</f>
        <v>0</v>
      </c>
      <c r="E24" s="23">
        <v>0</v>
      </c>
      <c r="F24" s="40">
        <f>Tabella15[[#This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2">
        <v>0</v>
      </c>
      <c r="D25" s="36">
        <f>Tabella15[[#This Row],[Percentage of Suppliers - Raw]]/$C$151</f>
        <v>0</v>
      </c>
      <c r="E25" s="23">
        <v>1.1000000000000001E-3</v>
      </c>
      <c r="F25" s="40">
        <f>Tabella15[[#This Row],[Percentage of Supplier''s Facilities - Raw]]/$E$151</f>
        <v>1.104528567125214E-3</v>
      </c>
    </row>
    <row r="26" spans="1:7" ht="19" x14ac:dyDescent="0.25">
      <c r="A26" s="31" t="s">
        <v>38</v>
      </c>
      <c r="B26" s="43">
        <v>6.8290168498118629</v>
      </c>
      <c r="C26" s="22">
        <v>0</v>
      </c>
      <c r="D26" s="36">
        <f>Tabella15[[#This Row],[Percentage of Suppliers - Raw]]/$C$151</f>
        <v>0</v>
      </c>
      <c r="E26" s="23">
        <v>0</v>
      </c>
      <c r="F26" s="40">
        <f>Tabella15[[#This Row],[Percentage of Supplier''s Facilities - Raw]]/$E$151</f>
        <v>0</v>
      </c>
    </row>
    <row r="27" spans="1:7" ht="19" x14ac:dyDescent="0.25">
      <c r="A27" s="31" t="s">
        <v>39</v>
      </c>
      <c r="B27" s="43">
        <v>3.4431913474650511</v>
      </c>
      <c r="C27" s="22">
        <v>1.67E-2</v>
      </c>
      <c r="D27" s="36">
        <f>Tabella15[[#This Row],[Percentage of Suppliers - Raw]]/$C$151</f>
        <v>1.6790669615925999E-2</v>
      </c>
      <c r="E27" s="23">
        <v>1.72E-2</v>
      </c>
      <c r="F27" s="40">
        <f>Tabella15[[#This Row],[Percentage of Supplier''s Facilities - Raw]]/$E$151</f>
        <v>1.7270810322321528E-2</v>
      </c>
    </row>
    <row r="28" spans="1:7" ht="19" x14ac:dyDescent="0.25">
      <c r="A28" s="31" t="s">
        <v>40</v>
      </c>
      <c r="B28" s="43">
        <v>6.7936201324767405</v>
      </c>
      <c r="C28" s="22">
        <v>0</v>
      </c>
      <c r="D28" s="36">
        <f>Tabella15[[#This Row],[Percentage of Suppliers - Raw]]/$C$151</f>
        <v>0</v>
      </c>
      <c r="E28" s="23">
        <v>0</v>
      </c>
      <c r="F28" s="40">
        <f>Tabella15[[#This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2">
        <v>0</v>
      </c>
      <c r="D29" s="36">
        <f>Tabella15[[#This Row],[Percentage of Suppliers - Raw]]/$C$151</f>
        <v>0</v>
      </c>
      <c r="E29" s="23">
        <v>0</v>
      </c>
      <c r="F29" s="40">
        <f>Tabella15[[#This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2">
        <v>0</v>
      </c>
      <c r="D30" s="36">
        <f>Tabella15[[#This Row],[Percentage of Suppliers - Raw]]/$C$151</f>
        <v>0</v>
      </c>
      <c r="E30" s="23">
        <v>1.5E-3</v>
      </c>
      <c r="F30" s="40">
        <f>Tabella15[[#This Row],[Percentage of Supplier''s Facilities - Raw]]/$E$151</f>
        <v>1.5061753188071101E-3</v>
      </c>
    </row>
    <row r="31" spans="1:7" ht="19" x14ac:dyDescent="0.25">
      <c r="A31" s="31" t="s">
        <v>43</v>
      </c>
      <c r="B31" s="43">
        <v>4.2558827981073541</v>
      </c>
      <c r="C31" s="22">
        <f xml:space="preserve"> 14.44%+ 14.44%</f>
        <v>0.2888</v>
      </c>
      <c r="D31" s="36">
        <f>Tabella15[[#This Row],[Percentage of Suppliers - Raw]]/$C$151</f>
        <v>0.29036798713050466</v>
      </c>
      <c r="E31" s="23">
        <v>0.21609999999999999</v>
      </c>
      <c r="F31" s="40">
        <f>Tabella15[[#This Row],[Percentage of Supplier''s Facilities - Raw]]/$E$151</f>
        <v>0.2169896575961443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2">
        <v>0</v>
      </c>
      <c r="D32" s="36">
        <f>Tabella15[[#This Row],[Percentage of Suppliers - Raw]]/$C$151</f>
        <v>0</v>
      </c>
      <c r="E32" s="23">
        <v>1.5E-3</v>
      </c>
      <c r="F32" s="40">
        <f>Tabella15[[#This Row],[Percentage of Supplier''s Facilities - Raw]]/$E$151</f>
        <v>1.5061753188071101E-3</v>
      </c>
    </row>
    <row r="33" spans="1:6" ht="19" x14ac:dyDescent="0.25">
      <c r="A33" s="31" t="s">
        <v>46</v>
      </c>
      <c r="B33" s="43">
        <v>5.6489161047332477</v>
      </c>
      <c r="C33" s="22">
        <v>0</v>
      </c>
      <c r="D33" s="36">
        <f>Tabella15[[#This Row],[Percentage of Suppliers - Raw]]/$C$151</f>
        <v>0</v>
      </c>
      <c r="E33" s="23">
        <v>0</v>
      </c>
      <c r="F33" s="40">
        <f>Tabella15[[#This Row],[Percentage of Supplier''s Facilities - Raw]]/$E$151</f>
        <v>0</v>
      </c>
    </row>
    <row r="34" spans="1:6" ht="19" x14ac:dyDescent="0.25">
      <c r="A34" s="31" t="s">
        <v>47</v>
      </c>
      <c r="B34" s="43">
        <v>4.2297467795287353</v>
      </c>
      <c r="C34" s="22">
        <v>0</v>
      </c>
      <c r="D34" s="36">
        <f>Tabella15[[#This Row],[Percentage of Suppliers - Raw]]/$C$151</f>
        <v>0</v>
      </c>
      <c r="E34" s="23">
        <v>1.5E-3</v>
      </c>
      <c r="F34" s="40">
        <f>Tabella15[[#This Row],[Percentage of Supplier''s Facilities - Raw]]/$E$151</f>
        <v>1.5061753188071101E-3</v>
      </c>
    </row>
    <row r="35" spans="1:6" ht="19" x14ac:dyDescent="0.25">
      <c r="A35" s="31" t="s">
        <v>48</v>
      </c>
      <c r="B35" s="43">
        <v>5.5958391680617687</v>
      </c>
      <c r="C35" s="22">
        <v>0</v>
      </c>
      <c r="D35" s="36">
        <f>Tabella15[[#This Row],[Percentage of Suppliers - Raw]]/$C$151</f>
        <v>0</v>
      </c>
      <c r="E35" s="23">
        <v>0</v>
      </c>
      <c r="F35" s="40">
        <f>Tabella15[[#This Row],[Percentage of Supplier''s Facilities - Raw]]/$E$151</f>
        <v>0</v>
      </c>
    </row>
    <row r="36" spans="1:6" ht="19" x14ac:dyDescent="0.25">
      <c r="A36" s="31" t="s">
        <v>49</v>
      </c>
      <c r="B36" s="43">
        <v>4.2818306896749707</v>
      </c>
      <c r="C36" s="22">
        <v>0</v>
      </c>
      <c r="D36" s="36">
        <f>Tabella15[[#This Row],[Percentage of Suppliers - Raw]]/$C$151</f>
        <v>0</v>
      </c>
      <c r="E36" s="23">
        <v>1.1000000000000001E-3</v>
      </c>
      <c r="F36" s="40">
        <f>Tabella15[[#This Row],[Percentage of Supplier''s Facilities - Raw]]/$E$151</f>
        <v>1.104528567125214E-3</v>
      </c>
    </row>
    <row r="37" spans="1:6" ht="19" x14ac:dyDescent="0.25">
      <c r="A37" s="31" t="s">
        <v>50</v>
      </c>
      <c r="B37" s="43">
        <v>4.665702306747229</v>
      </c>
      <c r="C37" s="22">
        <v>0</v>
      </c>
      <c r="D37" s="36">
        <f>Tabella15[[#This Row],[Percentage of Suppliers - Raw]]/$C$151</f>
        <v>0</v>
      </c>
      <c r="E37" s="23">
        <v>0</v>
      </c>
      <c r="F37" s="40">
        <f>Tabella15[[#This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2">
        <v>0</v>
      </c>
      <c r="D38" s="36">
        <f>Tabella15[[#This Row],[Percentage of Suppliers - Raw]]/$C$151</f>
        <v>0</v>
      </c>
      <c r="E38" s="23">
        <v>7.8000000000000005E-3</v>
      </c>
      <c r="F38" s="40">
        <f>Tabella15[[#This Row],[Percentage of Supplier''s Facilities - Raw]]/$E$151</f>
        <v>7.8321116577969724E-3</v>
      </c>
    </row>
    <row r="39" spans="1:6" ht="19" x14ac:dyDescent="0.25">
      <c r="A39" s="31" t="s">
        <v>52</v>
      </c>
      <c r="B39" s="43">
        <v>3.1990775661028361</v>
      </c>
      <c r="C39" s="22">
        <v>0</v>
      </c>
      <c r="D39" s="36">
        <f>Tabella15[[#This Row],[Percentage of Suppliers - Raw]]/$C$151</f>
        <v>0</v>
      </c>
      <c r="E39" s="23">
        <v>2.7000000000000001E-3</v>
      </c>
      <c r="F39" s="40">
        <f>Tabella15[[#This Row],[Percentage of Supplier''s Facilities - Raw]]/$E$151</f>
        <v>2.7111155738527982E-3</v>
      </c>
    </row>
    <row r="40" spans="1:6" ht="19" x14ac:dyDescent="0.25">
      <c r="A40" s="31" t="s">
        <v>53</v>
      </c>
      <c r="B40" s="43">
        <v>5.9780558706115094</v>
      </c>
      <c r="C40" s="22">
        <v>0</v>
      </c>
      <c r="D40" s="36">
        <f>Tabella15[[#This Row],[Percentage of Suppliers - Raw]]/$C$151</f>
        <v>0</v>
      </c>
      <c r="E40" s="23">
        <v>0</v>
      </c>
      <c r="F40" s="40">
        <f>Tabella15[[#This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2">
        <v>0</v>
      </c>
      <c r="D41" s="36">
        <f>Tabella15[[#This Row],[Percentage of Suppliers - Raw]]/$C$151</f>
        <v>0</v>
      </c>
      <c r="E41" s="23">
        <v>1.1000000000000001E-3</v>
      </c>
      <c r="F41" s="40">
        <f>Tabella15[[#This Row],[Percentage of Supplier''s Facilities - Raw]]/$E$151</f>
        <v>1.104528567125214E-3</v>
      </c>
    </row>
    <row r="42" spans="1:6" ht="19" x14ac:dyDescent="0.25">
      <c r="A42" s="31" t="s">
        <v>55</v>
      </c>
      <c r="B42" s="43">
        <v>5.7086243658486353</v>
      </c>
      <c r="C42" s="22">
        <v>0</v>
      </c>
      <c r="D42" s="36">
        <f>Tabella15[[#This Row],[Percentage of Suppliers - Raw]]/$C$151</f>
        <v>0</v>
      </c>
      <c r="E42" s="23">
        <v>2.0000000000000001E-4</v>
      </c>
      <c r="F42" s="40">
        <f>Tabella15[[#This Row],[Percentage of Supplier''s Facilities - Raw]]/$E$151</f>
        <v>2.00823375840948E-4</v>
      </c>
    </row>
    <row r="43" spans="1:6" ht="19" x14ac:dyDescent="0.25">
      <c r="A43" s="31" t="s">
        <v>56</v>
      </c>
      <c r="B43" s="43">
        <v>5.6039767437648544</v>
      </c>
      <c r="C43" s="22">
        <v>0</v>
      </c>
      <c r="D43" s="36">
        <f>Tabella15[[#This Row],[Percentage of Suppliers - Raw]]/$C$151</f>
        <v>0</v>
      </c>
      <c r="E43" s="23">
        <v>2.3999999999999998E-3</v>
      </c>
      <c r="F43" s="40">
        <f>Tabella15[[#This Row],[Percentage of Supplier''s Facilities - Raw]]/$E$151</f>
        <v>2.4098805100913759E-3</v>
      </c>
    </row>
    <row r="44" spans="1:6" ht="19" x14ac:dyDescent="0.25">
      <c r="A44" s="31" t="s">
        <v>57</v>
      </c>
      <c r="B44" s="43">
        <v>4.7929202889816001</v>
      </c>
      <c r="C44" s="22">
        <v>0</v>
      </c>
      <c r="D44" s="36">
        <f>Tabella15[[#This Row],[Percentage of Suppliers - Raw]]/$C$151</f>
        <v>0</v>
      </c>
      <c r="E44" s="23">
        <v>5.0000000000000001E-4</v>
      </c>
      <c r="F44" s="40">
        <f>Tabella15[[#This Row],[Percentage of Supplier''s Facilities - Raw]]/$E$151</f>
        <v>5.0205843960237002E-4</v>
      </c>
    </row>
    <row r="45" spans="1:6" ht="19" x14ac:dyDescent="0.25">
      <c r="A45" s="31" t="s">
        <v>58</v>
      </c>
      <c r="B45" s="43">
        <v>3.5745795767056725</v>
      </c>
      <c r="C45" s="22">
        <v>0</v>
      </c>
      <c r="D45" s="36">
        <f>Tabella15[[#This Row],[Percentage of Suppliers - Raw]]/$C$151</f>
        <v>0</v>
      </c>
      <c r="E45" s="23">
        <v>2.0000000000000001E-4</v>
      </c>
      <c r="F45" s="40">
        <f>Tabella15[[#This Row],[Percentage of Supplier''s Facilities - Raw]]/$E$151</f>
        <v>2.00823375840948E-4</v>
      </c>
    </row>
    <row r="46" spans="1:6" ht="19" x14ac:dyDescent="0.25">
      <c r="A46" s="31" t="s">
        <v>59</v>
      </c>
      <c r="B46" s="43">
        <v>4.4965923559879277</v>
      </c>
      <c r="C46" s="22">
        <v>0</v>
      </c>
      <c r="D46" s="36">
        <f>Tabella15[[#This Row],[Percentage of Suppliers - Raw]]/$C$151</f>
        <v>0</v>
      </c>
      <c r="E46" s="23">
        <v>0</v>
      </c>
      <c r="F46" s="40">
        <f>Tabella15[[#This Row],[Percentage of Supplier''s Facilities - Raw]]/$E$151</f>
        <v>0</v>
      </c>
    </row>
    <row r="47" spans="1:6" ht="19" x14ac:dyDescent="0.25">
      <c r="A47" s="31" t="s">
        <v>60</v>
      </c>
      <c r="B47" s="43">
        <v>6.927950682570712</v>
      </c>
      <c r="C47" s="22">
        <v>0</v>
      </c>
      <c r="D47" s="36">
        <f>Tabella15[[#This Row],[Percentage of Suppliers - Raw]]/$C$151</f>
        <v>0</v>
      </c>
      <c r="E47" s="23">
        <v>0</v>
      </c>
      <c r="F47" s="40">
        <f>Tabella15[[#This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2">
        <v>0</v>
      </c>
      <c r="D48" s="36">
        <f>Tabella15[[#This Row],[Percentage of Suppliers - Raw]]/$C$151</f>
        <v>0</v>
      </c>
      <c r="E48" s="23">
        <v>2E-3</v>
      </c>
      <c r="F48" s="40">
        <f>Tabella15[[#This Row],[Percentage of Supplier''s Facilities - Raw]]/$E$151</f>
        <v>2.0082337584094801E-3</v>
      </c>
    </row>
    <row r="49" spans="1:6" ht="19" x14ac:dyDescent="0.25">
      <c r="A49" s="31" t="s">
        <v>62</v>
      </c>
      <c r="B49" s="43">
        <v>3.6488472849850422</v>
      </c>
      <c r="C49" s="22">
        <v>2.2200000000000001E-2</v>
      </c>
      <c r="D49" s="36">
        <f>Tabella15[[#This Row],[Percentage of Suppliers - Raw]]/$C$151</f>
        <v>2.232053086668007E-2</v>
      </c>
      <c r="E49" s="23">
        <v>2.6800000000000001E-2</v>
      </c>
      <c r="F49" s="40">
        <f>Tabella15[[#This Row],[Percentage of Supplier''s Facilities - Raw]]/$E$151</f>
        <v>2.6910332362687032E-2</v>
      </c>
    </row>
    <row r="50" spans="1:6" ht="19" x14ac:dyDescent="0.25">
      <c r="A50" s="31" t="s">
        <v>63</v>
      </c>
      <c r="B50" s="43">
        <v>5.7823719673887926</v>
      </c>
      <c r="C50" s="22">
        <v>0</v>
      </c>
      <c r="D50" s="36">
        <f>Tabella15[[#This Row],[Percentage of Suppliers - Raw]]/$C$151</f>
        <v>0</v>
      </c>
      <c r="E50" s="23">
        <v>0</v>
      </c>
      <c r="F50" s="40">
        <f>Tabella15[[#This Row],[Percentage of Supplier''s Facilities - Raw]]/$E$151</f>
        <v>0</v>
      </c>
    </row>
    <row r="51" spans="1:6" ht="19" x14ac:dyDescent="0.25">
      <c r="A51" s="31" t="s">
        <v>64</v>
      </c>
      <c r="B51" s="43">
        <v>5.3790271999040362</v>
      </c>
      <c r="C51" s="22">
        <v>0</v>
      </c>
      <c r="D51" s="36">
        <f>Tabella15[[#This Row],[Percentage of Suppliers - Raw]]/$C$151</f>
        <v>0</v>
      </c>
      <c r="E51" s="23">
        <v>0</v>
      </c>
      <c r="F51" s="40">
        <f>Tabella15[[#This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2">
        <v>0</v>
      </c>
      <c r="D52" s="36">
        <f>Tabella15[[#This Row],[Percentage of Suppliers - Raw]]/$C$151</f>
        <v>0</v>
      </c>
      <c r="E52" s="23">
        <v>0</v>
      </c>
      <c r="F52" s="40">
        <f>Tabella15[[#This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2">
        <v>2.7799999999999998E-2</v>
      </c>
      <c r="D53" s="36">
        <f>Tabella15[[#This Row],[Percentage of Suppliers - Raw]]/$C$151</f>
        <v>2.7950935049266032E-2</v>
      </c>
      <c r="E53" s="23">
        <v>5.9299999999999999E-2</v>
      </c>
      <c r="F53" s="40">
        <f>Tabella15[[#This Row],[Percentage of Supplier''s Facilities - Raw]]/$E$151</f>
        <v>5.9544130936841078E-2</v>
      </c>
    </row>
    <row r="54" spans="1:6" ht="19" x14ac:dyDescent="0.25">
      <c r="A54" s="31" t="s">
        <v>67</v>
      </c>
      <c r="B54" s="43">
        <v>4.6272251474478185</v>
      </c>
      <c r="C54" s="22">
        <v>0</v>
      </c>
      <c r="D54" s="36">
        <f>Tabella15[[#This Row],[Percentage of Suppliers - Raw]]/$C$151</f>
        <v>0</v>
      </c>
      <c r="E54" s="23">
        <v>0</v>
      </c>
      <c r="F54" s="40">
        <f>Tabella15[[#This Row],[Percentage of Supplier''s Facilities - Raw]]/$E$151</f>
        <v>0</v>
      </c>
    </row>
    <row r="55" spans="1:6" ht="19" x14ac:dyDescent="0.25">
      <c r="A55" s="31" t="s">
        <v>68</v>
      </c>
      <c r="B55" s="43">
        <v>4.3382922337238083</v>
      </c>
      <c r="C55" s="22">
        <v>0</v>
      </c>
      <c r="D55" s="36">
        <f>Tabella15[[#This Row],[Percentage of Suppliers - Raw]]/$C$151</f>
        <v>0</v>
      </c>
      <c r="E55" s="23">
        <v>1.5E-3</v>
      </c>
      <c r="F55" s="40">
        <f>Tabella15[[#This Row],[Percentage of Supplier''s Facilities - Raw]]/$E$151</f>
        <v>1.5061753188071101E-3</v>
      </c>
    </row>
    <row r="56" spans="1:6" ht="19" x14ac:dyDescent="0.25">
      <c r="A56" s="31" t="s">
        <v>69</v>
      </c>
      <c r="B56" s="43">
        <v>5.450113492883502</v>
      </c>
      <c r="C56" s="22">
        <v>0</v>
      </c>
      <c r="D56" s="36">
        <f>Tabella15[[#This Row],[Percentage of Suppliers - Raw]]/$C$151</f>
        <v>0</v>
      </c>
      <c r="E56" s="23">
        <v>4.0000000000000002E-4</v>
      </c>
      <c r="F56" s="40">
        <f>Tabella15[[#This Row],[Percentage of Supplier''s Facilities - Raw]]/$E$151</f>
        <v>4.01646751681896E-4</v>
      </c>
    </row>
    <row r="57" spans="1:6" ht="19" x14ac:dyDescent="0.25">
      <c r="A57" s="31" t="s">
        <v>70</v>
      </c>
      <c r="B57" s="43">
        <v>6.3557356106090603</v>
      </c>
      <c r="C57" s="22">
        <v>0</v>
      </c>
      <c r="D57" s="36">
        <f>Tabella15[[#This Row],[Percentage of Suppliers - Raw]]/$C$151</f>
        <v>0</v>
      </c>
      <c r="E57" s="23">
        <v>0</v>
      </c>
      <c r="F57" s="40">
        <f>Tabella15[[#This Row],[Percentage of Supplier''s Facilities - Raw]]/$E$151</f>
        <v>0</v>
      </c>
    </row>
    <row r="58" spans="1:6" ht="19" x14ac:dyDescent="0.25">
      <c r="A58" s="31" t="s">
        <v>71</v>
      </c>
      <c r="B58" s="43">
        <v>5.9434838790990074</v>
      </c>
      <c r="C58" s="22">
        <v>0</v>
      </c>
      <c r="D58" s="36">
        <f>Tabella15[[#This Row],[Percentage of Suppliers - Raw]]/$C$151</f>
        <v>0</v>
      </c>
      <c r="E58" s="23">
        <v>0</v>
      </c>
      <c r="F58" s="40">
        <f>Tabella15[[#This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2">
        <v>0</v>
      </c>
      <c r="D59" s="36">
        <f>Tabella15[[#This Row],[Percentage of Suppliers - Raw]]/$C$151</f>
        <v>0</v>
      </c>
      <c r="E59" s="23">
        <v>0</v>
      </c>
      <c r="F59" s="40">
        <f>Tabella15[[#This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2">
        <v>0</v>
      </c>
      <c r="D60" s="36">
        <f>Tabella15[[#This Row],[Percentage of Suppliers - Raw]]/$C$151</f>
        <v>0</v>
      </c>
      <c r="E60" s="23">
        <v>0</v>
      </c>
      <c r="F60" s="40">
        <f>Tabella15[[#This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2">
        <v>0</v>
      </c>
      <c r="D61" s="36">
        <f>Tabella15[[#This Row],[Percentage of Suppliers - Raw]]/$C$151</f>
        <v>0</v>
      </c>
      <c r="E61" s="23">
        <v>0</v>
      </c>
      <c r="F61" s="40">
        <f>Tabella15[[#This Row],[Percentage of Supplier''s Facilities - Raw]]/$E$151</f>
        <v>0</v>
      </c>
    </row>
    <row r="62" spans="1:6" ht="19" x14ac:dyDescent="0.25">
      <c r="A62" s="31" t="s">
        <v>75</v>
      </c>
      <c r="B62" s="43">
        <v>3.6278897079089987</v>
      </c>
      <c r="C62" s="22">
        <v>0</v>
      </c>
      <c r="D62" s="36">
        <f>Tabella15[[#This Row],[Percentage of Suppliers - Raw]]/$C$151</f>
        <v>0</v>
      </c>
      <c r="E62" s="23">
        <v>6.1999999999999998E-3</v>
      </c>
      <c r="F62" s="40">
        <f>Tabella15[[#This Row],[Percentage of Supplier''s Facilities - Raw]]/$E$151</f>
        <v>6.2255246510693873E-3</v>
      </c>
    </row>
    <row r="63" spans="1:6" ht="19" x14ac:dyDescent="0.25">
      <c r="A63" s="31" t="s">
        <v>76</v>
      </c>
      <c r="B63" s="43">
        <v>3.3752937482227585</v>
      </c>
      <c r="C63" s="22">
        <v>0</v>
      </c>
      <c r="D63" s="36">
        <f>Tabella15[[#This Row],[Percentage of Suppliers - Raw]]/$C$151</f>
        <v>0</v>
      </c>
      <c r="E63" s="23">
        <v>4.0000000000000002E-4</v>
      </c>
      <c r="F63" s="40">
        <f>Tabella15[[#This Row],[Percentage of Supplier''s Facilities - Raw]]/$E$151</f>
        <v>4.01646751681896E-4</v>
      </c>
    </row>
    <row r="64" spans="1:6" ht="19" x14ac:dyDescent="0.25">
      <c r="A64" s="31" t="s">
        <v>77</v>
      </c>
      <c r="B64" s="43">
        <v>5.0659580961290027</v>
      </c>
      <c r="C64" s="22">
        <v>1.67E-2</v>
      </c>
      <c r="D64" s="36">
        <f>Tabella15[[#This Row],[Percentage of Suppliers - Raw]]/$C$151</f>
        <v>1.6790669615925999E-2</v>
      </c>
      <c r="E64" s="23">
        <v>3.39E-2</v>
      </c>
      <c r="F64" s="40">
        <f>Tabella15[[#This Row],[Percentage of Supplier''s Facilities - Raw]]/$E$151</f>
        <v>3.4039562205040688E-2</v>
      </c>
    </row>
    <row r="65" spans="1:6" ht="19" x14ac:dyDescent="0.25">
      <c r="A65" s="31" t="s">
        <v>78</v>
      </c>
      <c r="B65" s="43">
        <v>4.9248047791749228</v>
      </c>
      <c r="C65" s="22">
        <v>0</v>
      </c>
      <c r="D65" s="36">
        <f>Tabella15[[#This Row],[Percentage of Suppliers - Raw]]/$C$151</f>
        <v>0</v>
      </c>
      <c r="E65" s="23">
        <v>8.3000000000000001E-3</v>
      </c>
      <c r="F65" s="40">
        <f>Tabella15[[#This Row],[Percentage of Supplier''s Facilities - Raw]]/$E$151</f>
        <v>8.3341700973993422E-3</v>
      </c>
    </row>
    <row r="66" spans="1:6" ht="19" x14ac:dyDescent="0.25">
      <c r="A66" s="31" t="s">
        <v>79</v>
      </c>
      <c r="B66" s="43">
        <v>5.8793658240107565</v>
      </c>
      <c r="C66" s="22">
        <v>0</v>
      </c>
      <c r="D66" s="36">
        <f>Tabella15[[#This Row],[Percentage of Suppliers - Raw]]/$C$151</f>
        <v>0</v>
      </c>
      <c r="E66" s="23">
        <v>2.0000000000000001E-4</v>
      </c>
      <c r="F66" s="40">
        <f>Tabella15[[#This Row],[Percentage of Supplier''s Facilities - Raw]]/$E$151</f>
        <v>2.00823375840948E-4</v>
      </c>
    </row>
    <row r="67" spans="1:6" ht="19" x14ac:dyDescent="0.25">
      <c r="A67" s="31" t="s">
        <v>80</v>
      </c>
      <c r="B67" s="43">
        <v>6.0491810448870345</v>
      </c>
      <c r="C67" s="22">
        <v>0</v>
      </c>
      <c r="D67" s="36">
        <f>Tabella15[[#This Row],[Percentage of Suppliers - Raw]]/$C$151</f>
        <v>0</v>
      </c>
      <c r="E67" s="23">
        <v>0</v>
      </c>
      <c r="F67" s="40">
        <f>Tabella15[[#This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2">
        <v>0</v>
      </c>
      <c r="D68" s="36">
        <f>Tabella15[[#This Row],[Percentage of Suppliers - Raw]]/$C$151</f>
        <v>0</v>
      </c>
      <c r="E68" s="23">
        <v>2.8999999999999998E-3</v>
      </c>
      <c r="F68" s="40">
        <f>Tabella15[[#This Row],[Percentage of Supplier''s Facilities - Raw]]/$E$151</f>
        <v>2.9119389496937457E-3</v>
      </c>
    </row>
    <row r="69" spans="1:6" ht="19" x14ac:dyDescent="0.25">
      <c r="A69" s="31" t="s">
        <v>82</v>
      </c>
      <c r="B69" s="43">
        <v>4.6082974679305195</v>
      </c>
      <c r="C69" s="22">
        <v>1.67E-2</v>
      </c>
      <c r="D69" s="36">
        <f>Tabella15[[#This Row],[Percentage of Suppliers - Raw]]/$C$151</f>
        <v>1.6790669615925999E-2</v>
      </c>
      <c r="E69" s="23">
        <v>5.7999999999999996E-3</v>
      </c>
      <c r="F69" s="40">
        <f>Tabella15[[#This Row],[Percentage of Supplier''s Facilities - Raw]]/$E$151</f>
        <v>5.8238778993874914E-3</v>
      </c>
    </row>
    <row r="70" spans="1:6" ht="19" x14ac:dyDescent="0.25">
      <c r="A70" s="31" t="s">
        <v>83</v>
      </c>
      <c r="B70" s="43">
        <v>3.8382882812123826</v>
      </c>
      <c r="C70" s="22">
        <v>0</v>
      </c>
      <c r="D70" s="36">
        <f>Tabella15[[#This Row],[Percentage of Suppliers - Raw]]/$C$151</f>
        <v>0</v>
      </c>
      <c r="E70" s="23">
        <v>1.11E-2</v>
      </c>
      <c r="F70" s="40">
        <f>Tabella15[[#This Row],[Percentage of Supplier''s Facilities - Raw]]/$E$151</f>
        <v>1.1145697359172615E-2</v>
      </c>
    </row>
    <row r="71" spans="1:6" ht="19" x14ac:dyDescent="0.25">
      <c r="A71" s="31" t="s">
        <v>84</v>
      </c>
      <c r="B71" s="43">
        <v>4.7451218036873231</v>
      </c>
      <c r="C71" s="22">
        <v>0</v>
      </c>
      <c r="D71" s="36">
        <f>Tabella15[[#This Row],[Percentage of Suppliers - Raw]]/$C$151</f>
        <v>0</v>
      </c>
      <c r="E71" s="23">
        <v>0</v>
      </c>
      <c r="F71" s="40">
        <f>Tabella15[[#This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2">
        <v>4.4400000000000002E-2</v>
      </c>
      <c r="D72" s="36">
        <f>Tabella15[[#This Row],[Percentage of Suppliers - Raw]]/$C$151</f>
        <v>4.4641061733360139E-2</v>
      </c>
      <c r="E72" s="23">
        <v>7.7399999999999997E-2</v>
      </c>
      <c r="F72" s="40">
        <f>Tabella15[[#This Row],[Percentage of Supplier''s Facilities - Raw]]/$E$151</f>
        <v>7.7718646450446877E-2</v>
      </c>
    </row>
    <row r="73" spans="1:6" ht="19" x14ac:dyDescent="0.25">
      <c r="A73" s="31" t="s">
        <v>86</v>
      </c>
      <c r="B73" s="43">
        <v>5.1303864841692146</v>
      </c>
      <c r="C73" s="22">
        <v>0</v>
      </c>
      <c r="D73" s="36">
        <f>Tabella15[[#This Row],[Percentage of Suppliers - Raw]]/$C$151</f>
        <v>0</v>
      </c>
      <c r="E73" s="23">
        <v>2.0000000000000001E-4</v>
      </c>
      <c r="F73" s="40">
        <f>Tabella15[[#This Row],[Percentage of Supplier''s Facilities - Raw]]/$E$151</f>
        <v>2.00823375840948E-4</v>
      </c>
    </row>
    <row r="74" spans="1:6" ht="19" x14ac:dyDescent="0.25">
      <c r="A74" s="31" t="s">
        <v>87</v>
      </c>
      <c r="B74" s="43">
        <v>4.5379079915092131</v>
      </c>
      <c r="C74" s="22">
        <v>0</v>
      </c>
      <c r="D74" s="36">
        <f>Tabella15[[#This Row],[Percentage of Suppliers - Raw]]/$C$151</f>
        <v>0</v>
      </c>
      <c r="E74" s="23">
        <v>0</v>
      </c>
      <c r="F74" s="40">
        <f>Tabella15[[#This Row],[Percentage of Supplier''s Facilities - Raw]]/$E$151</f>
        <v>0</v>
      </c>
    </row>
    <row r="75" spans="1:6" ht="19" x14ac:dyDescent="0.25">
      <c r="A75" s="31" t="s">
        <v>88</v>
      </c>
      <c r="B75" s="43">
        <v>6.1313349307646918</v>
      </c>
      <c r="C75" s="22">
        <v>0</v>
      </c>
      <c r="D75" s="36">
        <f>Tabella15[[#This Row],[Percentage of Suppliers - Raw]]/$C$151</f>
        <v>0</v>
      </c>
      <c r="E75" s="23">
        <v>2.0000000000000001E-4</v>
      </c>
      <c r="F75" s="40">
        <f>Tabella15[[#This Row],[Percentage of Supplier''s Facilities - Raw]]/$E$151</f>
        <v>2.00823375840948E-4</v>
      </c>
    </row>
    <row r="76" spans="1:6" ht="19" x14ac:dyDescent="0.25">
      <c r="A76" s="31" t="s">
        <v>89</v>
      </c>
      <c r="B76" s="43">
        <v>4.2961051501975707</v>
      </c>
      <c r="C76" s="22">
        <v>0</v>
      </c>
      <c r="D76" s="36">
        <f>Tabella15[[#This Row],[Percentage of Suppliers - Raw]]/$C$151</f>
        <v>0</v>
      </c>
      <c r="E76" s="23">
        <v>0</v>
      </c>
      <c r="F76" s="40">
        <f>Tabella15[[#This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2">
        <v>0</v>
      </c>
      <c r="D77" s="36">
        <f>Tabella15[[#This Row],[Percentage of Suppliers - Raw]]/$C$151</f>
        <v>0</v>
      </c>
      <c r="E77" s="23">
        <v>0</v>
      </c>
      <c r="F77" s="40">
        <f>Tabella15[[#This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2">
        <v>0</v>
      </c>
      <c r="D78" s="36">
        <f>Tabella15[[#This Row],[Percentage of Suppliers - Raw]]/$C$151</f>
        <v>0</v>
      </c>
      <c r="E78" s="23">
        <v>0</v>
      </c>
      <c r="F78" s="40">
        <f>Tabella15[[#This Row],[Percentage of Supplier''s Facilities - Raw]]/$E$151</f>
        <v>0</v>
      </c>
    </row>
    <row r="79" spans="1:6" ht="19" x14ac:dyDescent="0.25">
      <c r="A79" s="31" t="s">
        <v>92</v>
      </c>
      <c r="B79" s="43">
        <v>3.9664492327048539</v>
      </c>
      <c r="C79" s="22">
        <v>0</v>
      </c>
      <c r="D79" s="36">
        <f>Tabella15[[#This Row],[Percentage of Suppliers - Raw]]/$C$151</f>
        <v>0</v>
      </c>
      <c r="E79" s="23">
        <v>7.000000000000001E-4</v>
      </c>
      <c r="F79" s="40">
        <f>Tabella15[[#This Row],[Percentage of Supplier''s Facilities - Raw]]/$E$151</f>
        <v>7.0288181544331805E-4</v>
      </c>
    </row>
    <row r="80" spans="1:6" ht="19" x14ac:dyDescent="0.25">
      <c r="A80" s="31" t="s">
        <v>93</v>
      </c>
      <c r="B80" s="43">
        <v>6.1238543404169867</v>
      </c>
      <c r="C80" s="22">
        <v>0</v>
      </c>
      <c r="D80" s="36">
        <f>Tabella15[[#This Row],[Percentage of Suppliers - Raw]]/$C$151</f>
        <v>0</v>
      </c>
      <c r="E80" s="23">
        <v>4.0000000000000002E-4</v>
      </c>
      <c r="F80" s="40">
        <f>Tabella15[[#This Row],[Percentage of Supplier''s Facilities - Raw]]/$E$151</f>
        <v>4.01646751681896E-4</v>
      </c>
    </row>
    <row r="81" spans="1:6" ht="19" x14ac:dyDescent="0.25">
      <c r="A81" s="31" t="s">
        <v>94</v>
      </c>
      <c r="B81" s="43">
        <v>5.48860822118026</v>
      </c>
      <c r="C81" s="22">
        <v>0</v>
      </c>
      <c r="D81" s="36">
        <f>Tabella15[[#This Row],[Percentage of Suppliers - Raw]]/$C$151</f>
        <v>0</v>
      </c>
      <c r="E81" s="23">
        <v>2.0000000000000001E-4</v>
      </c>
      <c r="F81" s="40">
        <f>Tabella15[[#This Row],[Percentage of Supplier''s Facilities - Raw]]/$E$151</f>
        <v>2.00823375840948E-4</v>
      </c>
    </row>
    <row r="82" spans="1:6" ht="19" x14ac:dyDescent="0.25">
      <c r="A82" s="31" t="s">
        <v>95</v>
      </c>
      <c r="B82" s="43">
        <v>5.9675040107987867</v>
      </c>
      <c r="C82" s="22">
        <v>0</v>
      </c>
      <c r="D82" s="36">
        <f>Tabella15[[#This Row],[Percentage of Suppliers - Raw]]/$C$151</f>
        <v>0</v>
      </c>
      <c r="E82" s="23">
        <v>0</v>
      </c>
      <c r="F82" s="40">
        <f>Tabella15[[#This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2">
        <v>0</v>
      </c>
      <c r="D83" s="36">
        <f>Tabella15[[#This Row],[Percentage of Suppliers - Raw]]/$C$151</f>
        <v>0</v>
      </c>
      <c r="E83" s="23">
        <v>0</v>
      </c>
      <c r="F83" s="40">
        <f>Tabella15[[#This Row],[Percentage of Supplier''s Facilities - Raw]]/$E$151</f>
        <v>0</v>
      </c>
    </row>
    <row r="84" spans="1:6" ht="19" x14ac:dyDescent="0.25">
      <c r="A84" s="31" t="s">
        <v>97</v>
      </c>
      <c r="B84" s="43">
        <v>3.9263549476589308</v>
      </c>
      <c r="C84" s="22">
        <v>0</v>
      </c>
      <c r="D84" s="36">
        <f>Tabella15[[#This Row],[Percentage of Suppliers - Raw]]/$C$151</f>
        <v>0</v>
      </c>
      <c r="E84" s="23">
        <v>4.0000000000000002E-4</v>
      </c>
      <c r="F84" s="40">
        <f>Tabella15[[#This Row],[Percentage of Supplier''s Facilities - Raw]]/$E$151</f>
        <v>4.01646751681896E-4</v>
      </c>
    </row>
    <row r="85" spans="1:6" ht="19" x14ac:dyDescent="0.25">
      <c r="A85" s="31" t="s">
        <v>98</v>
      </c>
      <c r="B85" s="43">
        <v>5.8210372928345899</v>
      </c>
      <c r="C85" s="22">
        <v>0</v>
      </c>
      <c r="D85" s="36">
        <f>Tabella15[[#This Row],[Percentage of Suppliers - Raw]]/$C$151</f>
        <v>0</v>
      </c>
      <c r="E85" s="23">
        <v>0</v>
      </c>
      <c r="F85" s="40">
        <f>Tabella15[[#This Row],[Percentage of Supplier''s Facilities - Raw]]/$E$151</f>
        <v>0</v>
      </c>
    </row>
    <row r="86" spans="1:6" ht="19" x14ac:dyDescent="0.25">
      <c r="A86" s="31" t="s">
        <v>99</v>
      </c>
      <c r="B86" s="43">
        <v>5.5779364438856991</v>
      </c>
      <c r="C86" s="22">
        <v>0</v>
      </c>
      <c r="D86" s="36">
        <f>Tabella15[[#This Row],[Percentage of Suppliers - Raw]]/$C$151</f>
        <v>0</v>
      </c>
      <c r="E86" s="23">
        <v>0</v>
      </c>
      <c r="F86" s="40">
        <f>Tabella15[[#This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2">
        <v>0</v>
      </c>
      <c r="D87" s="36">
        <f>Tabella15[[#This Row],[Percentage of Suppliers - Raw]]/$C$151</f>
        <v>0</v>
      </c>
      <c r="E87" s="23">
        <v>1.54E-2</v>
      </c>
      <c r="F87" s="40">
        <f>Tabella15[[#This Row],[Percentage of Supplier''s Facilities - Raw]]/$E$151</f>
        <v>1.5463399939752997E-2</v>
      </c>
    </row>
    <row r="88" spans="1:6" ht="19" x14ac:dyDescent="0.25">
      <c r="A88" s="31" t="s">
        <v>101</v>
      </c>
      <c r="B88" s="43">
        <v>7.1049758774245326</v>
      </c>
      <c r="C88" s="22">
        <v>0</v>
      </c>
      <c r="D88" s="36">
        <f>Tabella15[[#This Row],[Percentage of Suppliers - Raw]]/$C$151</f>
        <v>0</v>
      </c>
      <c r="E88" s="23">
        <v>0</v>
      </c>
      <c r="F88" s="40">
        <f>Tabella15[[#This Row],[Percentage of Supplier''s Facilities - Raw]]/$E$151</f>
        <v>0</v>
      </c>
    </row>
    <row r="89" spans="1:6" ht="19" x14ac:dyDescent="0.25">
      <c r="A89" s="31" t="s">
        <v>102</v>
      </c>
      <c r="B89" s="43">
        <v>6.2753028505143282</v>
      </c>
      <c r="C89" s="22">
        <v>0</v>
      </c>
      <c r="D89" s="36">
        <f>Tabella15[[#This Row],[Percentage of Suppliers - Raw]]/$C$151</f>
        <v>0</v>
      </c>
      <c r="E89" s="23">
        <v>0</v>
      </c>
      <c r="F89" s="40">
        <f>Tabella15[[#This Row],[Percentage of Supplier''s Facilities - Raw]]/$E$151</f>
        <v>0</v>
      </c>
    </row>
    <row r="90" spans="1:6" ht="19" x14ac:dyDescent="0.25">
      <c r="A90" s="31" t="s">
        <v>103</v>
      </c>
      <c r="B90" s="43">
        <v>3.4654790256975891</v>
      </c>
      <c r="C90" s="22">
        <v>0</v>
      </c>
      <c r="D90" s="36">
        <f>Tabella15[[#This Row],[Percentage of Suppliers - Raw]]/$C$151</f>
        <v>0</v>
      </c>
      <c r="E90" s="23">
        <v>0</v>
      </c>
      <c r="F90" s="40">
        <f>Tabella15[[#This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2">
        <v>0</v>
      </c>
      <c r="D91" s="36">
        <f>Tabella15[[#This Row],[Percentage of Suppliers - Raw]]/$C$151</f>
        <v>0</v>
      </c>
      <c r="E91" s="23">
        <v>2.81E-2</v>
      </c>
      <c r="F91" s="40">
        <f>Tabella15[[#This Row],[Percentage of Supplier''s Facilities - Raw]]/$E$151</f>
        <v>2.8215684305653195E-2</v>
      </c>
    </row>
    <row r="92" spans="1:6" ht="19" x14ac:dyDescent="0.25">
      <c r="A92" s="31" t="s">
        <v>105</v>
      </c>
      <c r="B92" s="43">
        <v>5.1376667464547303</v>
      </c>
      <c r="C92" s="22">
        <v>0</v>
      </c>
      <c r="D92" s="36">
        <f>Tabella15[[#This Row],[Percentage of Suppliers - Raw]]/$C$151</f>
        <v>0</v>
      </c>
      <c r="E92" s="23">
        <v>2.0000000000000001E-4</v>
      </c>
      <c r="F92" s="40">
        <f>Tabella15[[#This Row],[Percentage of Supplier''s Facilities - Raw]]/$E$151</f>
        <v>2.00823375840948E-4</v>
      </c>
    </row>
    <row r="93" spans="1:6" ht="19" x14ac:dyDescent="0.25">
      <c r="A93" s="31" t="s">
        <v>106</v>
      </c>
      <c r="B93" s="43">
        <v>4.6510069196773065</v>
      </c>
      <c r="C93" s="22">
        <v>0</v>
      </c>
      <c r="D93" s="36">
        <f>Tabella15[[#This Row],[Percentage of Suppliers - Raw]]/$C$151</f>
        <v>0</v>
      </c>
      <c r="E93" s="23">
        <v>0</v>
      </c>
      <c r="F93" s="40">
        <f>Tabella15[[#This Row],[Percentage of Supplier''s Facilities - Raw]]/$E$151</f>
        <v>0</v>
      </c>
    </row>
    <row r="94" spans="1:6" ht="19" x14ac:dyDescent="0.25">
      <c r="A94" s="31" t="s">
        <v>107</v>
      </c>
      <c r="B94" s="43">
        <v>5.1009280794553211</v>
      </c>
      <c r="C94" s="22">
        <v>0</v>
      </c>
      <c r="D94" s="36">
        <f>Tabella15[[#This Row],[Percentage of Suppliers - Raw]]/$C$151</f>
        <v>0</v>
      </c>
      <c r="E94" s="23">
        <v>2E-3</v>
      </c>
      <c r="F94" s="40">
        <f>Tabella15[[#This Row],[Percentage of Supplier''s Facilities - Raw]]/$E$151</f>
        <v>2.0082337584094801E-3</v>
      </c>
    </row>
    <row r="95" spans="1:6" ht="19" x14ac:dyDescent="0.25">
      <c r="A95" s="31" t="s">
        <v>108</v>
      </c>
      <c r="B95" s="43">
        <v>6.2957088620382402</v>
      </c>
      <c r="C95" s="22">
        <v>0</v>
      </c>
      <c r="D95" s="36">
        <f>Tabella15[[#This Row],[Percentage of Suppliers - Raw]]/$C$151</f>
        <v>0</v>
      </c>
      <c r="E95" s="23">
        <v>0</v>
      </c>
      <c r="F95" s="40">
        <f>Tabella15[[#This Row],[Percentage of Supplier''s Facilities - Raw]]/$E$151</f>
        <v>0</v>
      </c>
    </row>
    <row r="96" spans="1:6" ht="19" x14ac:dyDescent="0.25">
      <c r="A96" s="31" t="s">
        <v>109</v>
      </c>
      <c r="B96" s="43">
        <v>4.6400800634309949</v>
      </c>
      <c r="C96" s="22">
        <v>0</v>
      </c>
      <c r="D96" s="36">
        <f>Tabella15[[#This Row],[Percentage of Suppliers - Raw]]/$C$151</f>
        <v>0</v>
      </c>
      <c r="E96" s="23">
        <v>0</v>
      </c>
      <c r="F96" s="40">
        <f>Tabella15[[#This Row],[Percentage of Supplier''s Facilities - Raw]]/$E$151</f>
        <v>0</v>
      </c>
    </row>
    <row r="97" spans="1:6" ht="19" x14ac:dyDescent="0.25">
      <c r="A97" s="31" t="s">
        <v>110</v>
      </c>
      <c r="B97" s="43">
        <v>5.7812106231736005</v>
      </c>
      <c r="C97" s="22">
        <v>0</v>
      </c>
      <c r="D97" s="36">
        <f>Tabella15[[#This Row],[Percentage of Suppliers - Raw]]/$C$151</f>
        <v>0</v>
      </c>
      <c r="E97" s="23">
        <v>0</v>
      </c>
      <c r="F97" s="40">
        <f>Tabella15[[#This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2">
        <v>1.67E-2</v>
      </c>
      <c r="D98" s="36">
        <f>Tabella15[[#This Row],[Percentage of Suppliers - Raw]]/$C$151</f>
        <v>1.6790669615925999E-2</v>
      </c>
      <c r="E98" s="23">
        <v>4.6999999999999993E-3</v>
      </c>
      <c r="F98" s="40">
        <f>Tabella15[[#This Row],[Percentage of Supplier''s Facilities - Raw]]/$E$151</f>
        <v>4.719349332262277E-3</v>
      </c>
    </row>
    <row r="99" spans="1:6" ht="19" x14ac:dyDescent="0.25">
      <c r="A99" s="31" t="s">
        <v>112</v>
      </c>
      <c r="B99" s="43">
        <v>3.3163390659638341</v>
      </c>
      <c r="C99" s="22">
        <v>0</v>
      </c>
      <c r="D99" s="36">
        <f>Tabella15[[#This Row],[Percentage of Suppliers - Raw]]/$C$151</f>
        <v>0</v>
      </c>
      <c r="E99" s="23">
        <v>8.9999999999999998E-4</v>
      </c>
      <c r="F99" s="40">
        <f>Tabella15[[#This Row],[Percentage of Supplier''s Facilities - Raw]]/$E$151</f>
        <v>9.0370519128426597E-4</v>
      </c>
    </row>
    <row r="100" spans="1:6" ht="19" x14ac:dyDescent="0.25">
      <c r="A100" s="31" t="s">
        <v>113</v>
      </c>
      <c r="B100" s="43">
        <v>5.8020732010296063</v>
      </c>
      <c r="C100" s="22">
        <v>0</v>
      </c>
      <c r="D100" s="36">
        <f>Tabella15[[#This Row],[Percentage of Suppliers - Raw]]/$C$151</f>
        <v>0</v>
      </c>
      <c r="E100" s="23">
        <v>0</v>
      </c>
      <c r="F100" s="40">
        <f>Tabella15[[#This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2">
        <v>0</v>
      </c>
      <c r="D101" s="36">
        <f>Tabella15[[#This Row],[Percentage of Suppliers - Raw]]/$C$151</f>
        <v>0</v>
      </c>
      <c r="E101" s="23">
        <v>0</v>
      </c>
      <c r="F101" s="40">
        <f>Tabella15[[#This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2">
        <v>0</v>
      </c>
      <c r="D102" s="36">
        <f>Tabella15[[#This Row],[Percentage of Suppliers - Raw]]/$C$151</f>
        <v>0</v>
      </c>
      <c r="E102" s="23">
        <v>2.0000000000000001E-4</v>
      </c>
      <c r="F102" s="40">
        <f>Tabella15[[#This Row],[Percentage of Supplier''s Facilities - Raw]]/$E$151</f>
        <v>2.00823375840948E-4</v>
      </c>
    </row>
    <row r="103" spans="1:6" ht="19" x14ac:dyDescent="0.25">
      <c r="A103" s="31" t="s">
        <v>116</v>
      </c>
      <c r="B103" s="43">
        <v>4.1624840904381539</v>
      </c>
      <c r="C103" s="22">
        <v>0</v>
      </c>
      <c r="D103" s="36">
        <f>Tabella15[[#This Row],[Percentage of Suppliers - Raw]]/$C$151</f>
        <v>0</v>
      </c>
      <c r="E103" s="23">
        <v>2.0000000000000001E-4</v>
      </c>
      <c r="F103" s="40">
        <f>Tabella15[[#This Row],[Percentage of Supplier''s Facilities - Raw]]/$E$151</f>
        <v>2.00823375840948E-4</v>
      </c>
    </row>
    <row r="104" spans="1:6" ht="19" x14ac:dyDescent="0.25">
      <c r="A104" s="31" t="s">
        <v>117</v>
      </c>
      <c r="B104" s="43">
        <v>3.3787152608913655</v>
      </c>
      <c r="C104" s="22">
        <v>0</v>
      </c>
      <c r="D104" s="36">
        <f>Tabella15[[#This Row],[Percentage of Suppliers - Raw]]/$C$151</f>
        <v>0</v>
      </c>
      <c r="E104" s="23">
        <v>2.7000000000000001E-3</v>
      </c>
      <c r="F104" s="40">
        <f>Tabella15[[#This Row],[Percentage of Supplier''s Facilities - Raw]]/$E$151</f>
        <v>2.7111155738527982E-3</v>
      </c>
    </row>
    <row r="105" spans="1:6" ht="19" x14ac:dyDescent="0.25">
      <c r="A105" s="31" t="s">
        <v>118</v>
      </c>
      <c r="B105" s="43">
        <v>4.0162254988757935</v>
      </c>
      <c r="C105" s="22">
        <v>0</v>
      </c>
      <c r="D105" s="36">
        <f>Tabella15[[#This Row],[Percentage of Suppliers - Raw]]/$C$151</f>
        <v>0</v>
      </c>
      <c r="E105" s="23">
        <v>2.0000000000000001E-4</v>
      </c>
      <c r="F105" s="40">
        <f>Tabella15[[#This Row],[Percentage of Supplier''s Facilities - Raw]]/$E$151</f>
        <v>2.00823375840948E-4</v>
      </c>
    </row>
    <row r="106" spans="1:6" ht="19" x14ac:dyDescent="0.25">
      <c r="A106" s="31" t="s">
        <v>119</v>
      </c>
      <c r="B106" s="43">
        <v>6.648668082818161</v>
      </c>
      <c r="C106" s="22">
        <v>0</v>
      </c>
      <c r="D106" s="36">
        <f>Tabella15[[#This Row],[Percentage of Suppliers - Raw]]/$C$151</f>
        <v>0</v>
      </c>
      <c r="E106" s="23">
        <v>7.000000000000001E-4</v>
      </c>
      <c r="F106" s="40">
        <f>Tabella15[[#This Row],[Percentage of Supplier''s Facilities - Raw]]/$E$151</f>
        <v>7.0288181544331805E-4</v>
      </c>
    </row>
    <row r="107" spans="1:6" ht="19" x14ac:dyDescent="0.25">
      <c r="A107" s="31" t="s">
        <v>120</v>
      </c>
      <c r="B107" s="43">
        <v>4.5635733416096631</v>
      </c>
      <c r="C107" s="22">
        <v>0</v>
      </c>
      <c r="D107" s="36">
        <f>Tabella15[[#This Row],[Percentage of Suppliers - Raw]]/$C$151</f>
        <v>0</v>
      </c>
      <c r="E107" s="23">
        <v>0</v>
      </c>
      <c r="F107" s="40">
        <f>Tabella15[[#This Row],[Percentage of Supplier''s Facilities - Raw]]/$E$151</f>
        <v>0</v>
      </c>
    </row>
    <row r="108" spans="1:6" ht="19" x14ac:dyDescent="0.25">
      <c r="A108" s="31" t="s">
        <v>121</v>
      </c>
      <c r="B108" s="43">
        <v>5.3398873222843388</v>
      </c>
      <c r="C108" s="22">
        <v>0</v>
      </c>
      <c r="D108" s="36">
        <f>Tabella15[[#This Row],[Percentage of Suppliers - Raw]]/$C$151</f>
        <v>0</v>
      </c>
      <c r="E108" s="23">
        <v>0</v>
      </c>
      <c r="F108" s="40">
        <f>Tabella15[[#This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2">
        <v>0</v>
      </c>
      <c r="D109" s="36">
        <f>Tabella15[[#This Row],[Percentage of Suppliers - Raw]]/$C$151</f>
        <v>0</v>
      </c>
      <c r="E109" s="23">
        <v>2.0000000000000001E-4</v>
      </c>
      <c r="F109" s="40">
        <f>Tabella15[[#This Row],[Percentage of Supplier''s Facilities - Raw]]/$E$151</f>
        <v>2.00823375840948E-4</v>
      </c>
    </row>
    <row r="110" spans="1:6" ht="19" x14ac:dyDescent="0.25">
      <c r="A110" s="31" t="s">
        <v>123</v>
      </c>
      <c r="B110" s="43">
        <v>5.2817219635350439</v>
      </c>
      <c r="C110" s="22">
        <v>0</v>
      </c>
      <c r="D110" s="36">
        <f>Tabella15[[#This Row],[Percentage of Suppliers - Raw]]/$C$151</f>
        <v>0</v>
      </c>
      <c r="E110" s="23">
        <v>1.2999999999999999E-3</v>
      </c>
      <c r="F110" s="40">
        <f>Tabella15[[#This Row],[Percentage of Supplier''s Facilities - Raw]]/$E$151</f>
        <v>1.3053519429661619E-3</v>
      </c>
    </row>
    <row r="111" spans="1:6" ht="19" x14ac:dyDescent="0.25">
      <c r="A111" s="31" t="s">
        <v>124</v>
      </c>
      <c r="B111" s="43">
        <v>5.8016442493647551</v>
      </c>
      <c r="C111" s="22">
        <v>0</v>
      </c>
      <c r="D111" s="36">
        <f>Tabella15[[#This Row],[Percentage of Suppliers - Raw]]/$C$151</f>
        <v>0</v>
      </c>
      <c r="E111" s="23">
        <v>6.7000000000000002E-3</v>
      </c>
      <c r="F111" s="40">
        <f>Tabella15[[#This Row],[Percentage of Supplier''s Facilities - Raw]]/$E$151</f>
        <v>6.7275830906717579E-3</v>
      </c>
    </row>
    <row r="112" spans="1:6" ht="19" x14ac:dyDescent="0.25">
      <c r="A112" s="31" t="s">
        <v>125</v>
      </c>
      <c r="B112" s="43">
        <v>4.1502930814875194</v>
      </c>
      <c r="C112" s="22">
        <v>0</v>
      </c>
      <c r="D112" s="36">
        <f>Tabella15[[#This Row],[Percentage of Suppliers - Raw]]/$C$151</f>
        <v>0</v>
      </c>
      <c r="E112" s="23">
        <v>9.1999999999999998E-3</v>
      </c>
      <c r="F112" s="40">
        <f>Tabella15[[#This Row],[Percentage of Supplier''s Facilities - Raw]]/$E$151</f>
        <v>9.2378752886836078E-3</v>
      </c>
    </row>
    <row r="113" spans="1:6" ht="19" x14ac:dyDescent="0.25">
      <c r="A113" s="31" t="s">
        <v>126</v>
      </c>
      <c r="B113" s="43">
        <v>3.4281858950270068</v>
      </c>
      <c r="C113" s="22">
        <v>0</v>
      </c>
      <c r="D113" s="36">
        <f>Tabella15[[#This Row],[Percentage of Suppliers - Raw]]/$C$151</f>
        <v>0</v>
      </c>
      <c r="E113" s="23">
        <v>2.8999999999999998E-3</v>
      </c>
      <c r="F113" s="40">
        <f>Tabella15[[#This Row],[Percentage of Supplier''s Facilities - Raw]]/$E$151</f>
        <v>2.9119389496937457E-3</v>
      </c>
    </row>
    <row r="114" spans="1:6" ht="19" x14ac:dyDescent="0.25">
      <c r="A114" s="31" t="s">
        <v>127</v>
      </c>
      <c r="B114" s="43">
        <v>3.1959809471990606</v>
      </c>
      <c r="C114" s="22">
        <v>0</v>
      </c>
      <c r="D114" s="36">
        <f>Tabella15[[#This Row],[Percentage of Suppliers - Raw]]/$C$151</f>
        <v>0</v>
      </c>
      <c r="E114" s="23">
        <v>2.0000000000000001E-4</v>
      </c>
      <c r="F114" s="40">
        <f>Tabella15[[#This Row],[Percentage of Supplier''s Facilities - Raw]]/$E$151</f>
        <v>2.00823375840948E-4</v>
      </c>
    </row>
    <row r="115" spans="1:6" ht="19" x14ac:dyDescent="0.25">
      <c r="A115" s="31" t="s">
        <v>128</v>
      </c>
      <c r="B115" s="43">
        <v>4.0482582591129548</v>
      </c>
      <c r="C115" s="22">
        <v>0</v>
      </c>
      <c r="D115" s="36">
        <f>Tabella15[[#This Row],[Percentage of Suppliers - Raw]]/$C$151</f>
        <v>0</v>
      </c>
      <c r="E115" s="23">
        <v>2.5000000000000001E-3</v>
      </c>
      <c r="F115" s="40">
        <f>Tabella15[[#This Row],[Percentage of Supplier''s Facilities - Raw]]/$E$151</f>
        <v>2.5102921980118499E-3</v>
      </c>
    </row>
    <row r="116" spans="1:6" ht="19" x14ac:dyDescent="0.25">
      <c r="A116" s="31" t="s">
        <v>129</v>
      </c>
      <c r="B116" s="43">
        <v>5.9582623064002229</v>
      </c>
      <c r="C116" s="22">
        <v>0</v>
      </c>
      <c r="D116" s="36">
        <f>Tabella15[[#This Row],[Percentage of Suppliers - Raw]]/$C$151</f>
        <v>0</v>
      </c>
      <c r="E116" s="23">
        <v>2.2000000000000001E-3</v>
      </c>
      <c r="F116" s="40">
        <f>Tabella15[[#This Row],[Percentage of Supplier''s Facilities - Raw]]/$E$151</f>
        <v>2.209057134250428E-3</v>
      </c>
    </row>
    <row r="117" spans="1:6" ht="19" x14ac:dyDescent="0.25">
      <c r="A117" s="31" t="s">
        <v>130</v>
      </c>
      <c r="B117" s="43">
        <v>5.4717687502053103</v>
      </c>
      <c r="C117" s="22">
        <v>0</v>
      </c>
      <c r="D117" s="36">
        <f>Tabella15[[#This Row],[Percentage of Suppliers - Raw]]/$C$151</f>
        <v>0</v>
      </c>
      <c r="E117" s="23">
        <v>0</v>
      </c>
      <c r="F117" s="40">
        <f>Tabella15[[#This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2">
        <v>0</v>
      </c>
      <c r="D118" s="36">
        <f>Tabella15[[#This Row],[Percentage of Suppliers - Raw]]/$C$151</f>
        <v>0</v>
      </c>
      <c r="E118" s="23">
        <v>4.1999999999999997E-3</v>
      </c>
      <c r="F118" s="40">
        <f>Tabella15[[#This Row],[Percentage of Supplier''s Facilities - Raw]]/$E$151</f>
        <v>4.2172908926599081E-3</v>
      </c>
    </row>
    <row r="119" spans="1:6" ht="19" x14ac:dyDescent="0.25">
      <c r="A119" s="31" t="s">
        <v>132</v>
      </c>
      <c r="B119" s="43">
        <v>5.3961053213656953</v>
      </c>
      <c r="C119" s="22">
        <v>0</v>
      </c>
      <c r="D119" s="36">
        <f>Tabella15[[#This Row],[Percentage of Suppliers - Raw]]/$C$151</f>
        <v>0</v>
      </c>
      <c r="E119" s="23">
        <v>0</v>
      </c>
      <c r="F119" s="40">
        <f>Tabella15[[#This Row],[Percentage of Supplier''s Facilities - Raw]]/$E$151</f>
        <v>0</v>
      </c>
    </row>
    <row r="120" spans="1:6" ht="19" x14ac:dyDescent="0.25">
      <c r="A120" s="31" t="s">
        <v>133</v>
      </c>
      <c r="B120" s="43">
        <v>5.0353573500743858</v>
      </c>
      <c r="C120" s="22">
        <v>0</v>
      </c>
      <c r="D120" s="36">
        <f>Tabella15[[#This Row],[Percentage of Suppliers - Raw]]/$C$151</f>
        <v>0</v>
      </c>
      <c r="E120" s="23">
        <v>5.0000000000000001E-4</v>
      </c>
      <c r="F120" s="40">
        <f>Tabella15[[#This Row],[Percentage of Supplier''s Facilities - Raw]]/$E$151</f>
        <v>5.0205843960237002E-4</v>
      </c>
    </row>
    <row r="121" spans="1:6" ht="19" x14ac:dyDescent="0.25">
      <c r="A121" s="31" t="s">
        <v>134</v>
      </c>
      <c r="B121" s="43">
        <v>5.6408231615395454</v>
      </c>
      <c r="C121" s="22">
        <v>0</v>
      </c>
      <c r="D121" s="36">
        <f>Tabella15[[#This Row],[Percentage of Suppliers - Raw]]/$C$151</f>
        <v>0</v>
      </c>
      <c r="E121" s="23">
        <v>0</v>
      </c>
      <c r="F121" s="40">
        <f>Tabella15[[#This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2">
        <v>5.5999999999999999E-3</v>
      </c>
      <c r="D122" s="36">
        <f>Tabella15[[#This Row],[Percentage of Suppliers - Raw]]/$C$151</f>
        <v>5.6304041825859632E-3</v>
      </c>
      <c r="E122" s="23">
        <v>8.8999999999999999E-3</v>
      </c>
      <c r="F122" s="40">
        <f>Tabella15[[#This Row],[Percentage of Supplier''s Facilities - Raw]]/$E$151</f>
        <v>8.9366402249221859E-3</v>
      </c>
    </row>
    <row r="123" spans="1:6" ht="19" x14ac:dyDescent="0.25">
      <c r="A123" s="31" t="s">
        <v>136</v>
      </c>
      <c r="B123" s="43">
        <v>3.791880207241451</v>
      </c>
      <c r="C123" s="22">
        <v>0</v>
      </c>
      <c r="D123" s="36">
        <f>Tabella15[[#This Row],[Percentage of Suppliers - Raw]]/$C$151</f>
        <v>0</v>
      </c>
      <c r="E123" s="23">
        <v>1.8E-3</v>
      </c>
      <c r="F123" s="40">
        <f>Tabella15[[#This Row],[Percentage of Supplier''s Facilities - Raw]]/$E$151</f>
        <v>1.8074103825685319E-3</v>
      </c>
    </row>
    <row r="124" spans="1:6" ht="19" x14ac:dyDescent="0.25">
      <c r="A124" s="31" t="s">
        <v>137</v>
      </c>
      <c r="B124" s="43">
        <v>3.4781584832038352</v>
      </c>
      <c r="C124" s="22">
        <v>0</v>
      </c>
      <c r="D124" s="36">
        <f>Tabella15[[#This Row],[Percentage of Suppliers - Raw]]/$C$151</f>
        <v>0</v>
      </c>
      <c r="E124" s="23">
        <v>5.0000000000000001E-4</v>
      </c>
      <c r="F124" s="40">
        <f>Tabella15[[#This Row],[Percentage of Supplier''s Facilities - Raw]]/$E$151</f>
        <v>5.0205843960237002E-4</v>
      </c>
    </row>
    <row r="125" spans="1:6" ht="19" x14ac:dyDescent="0.25">
      <c r="A125" s="31" t="s">
        <v>138</v>
      </c>
      <c r="B125" s="43">
        <v>5.2224005392752639</v>
      </c>
      <c r="C125" s="22">
        <v>0</v>
      </c>
      <c r="D125" s="36">
        <f>Tabella15[[#This Row],[Percentage of Suppliers - Raw]]/$C$151</f>
        <v>0</v>
      </c>
      <c r="E125" s="23">
        <v>5.1000000000000004E-3</v>
      </c>
      <c r="F125" s="40">
        <f>Tabella15[[#This Row],[Percentage of Supplier''s Facilities - Raw]]/$E$151</f>
        <v>5.1209960839441746E-3</v>
      </c>
    </row>
    <row r="126" spans="1:6" ht="19" x14ac:dyDescent="0.25">
      <c r="A126" s="31" t="s">
        <v>139</v>
      </c>
      <c r="B126" s="43">
        <v>3.5667851803481079</v>
      </c>
      <c r="C126" s="22">
        <v>4.4400000000000002E-2</v>
      </c>
      <c r="D126" s="36">
        <f>Tabella15[[#This Row],[Percentage of Suppliers - Raw]]/$C$151</f>
        <v>4.4641061733360139E-2</v>
      </c>
      <c r="E126" s="23">
        <v>2.12E-2</v>
      </c>
      <c r="F126" s="40">
        <f>Tabella15[[#This Row],[Percentage of Supplier''s Facilities - Raw]]/$E$151</f>
        <v>2.1287277839140487E-2</v>
      </c>
    </row>
    <row r="127" spans="1:6" ht="19" x14ac:dyDescent="0.25">
      <c r="A127" s="31" t="s">
        <v>140</v>
      </c>
      <c r="B127" s="43">
        <v>3.7006443947932954</v>
      </c>
      <c r="C127" s="22">
        <v>0</v>
      </c>
      <c r="D127" s="36">
        <f>Tabella15[[#This Row],[Percentage of Suppliers - Raw]]/$C$151</f>
        <v>0</v>
      </c>
      <c r="E127" s="23">
        <v>1.2699999999999999E-2</v>
      </c>
      <c r="F127" s="40">
        <f>Tabella15[[#This Row],[Percentage of Supplier''s Facilities - Raw]]/$E$151</f>
        <v>1.2752284365900196E-2</v>
      </c>
    </row>
    <row r="128" spans="1:6" ht="19" x14ac:dyDescent="0.25">
      <c r="A128" s="32" t="s">
        <v>141</v>
      </c>
      <c r="B128" s="43">
        <v>5.1109914616879202</v>
      </c>
      <c r="C128" s="22">
        <v>0</v>
      </c>
      <c r="D128" s="36">
        <f>Tabella15[[#This Row],[Percentage of Suppliers - Raw]]/$C$151</f>
        <v>0</v>
      </c>
      <c r="E128" s="23">
        <v>2.0000000000000001E-4</v>
      </c>
      <c r="F128" s="40">
        <f>Tabella15[[#This Row],[Percentage of Supplier''s Facilities - Raw]]/$E$151</f>
        <v>2.00823375840948E-4</v>
      </c>
    </row>
    <row r="129" spans="1:6" ht="19" x14ac:dyDescent="0.25">
      <c r="A129" s="31" t="s">
        <v>142</v>
      </c>
      <c r="B129" s="43">
        <v>7.0987237940608701</v>
      </c>
      <c r="C129" s="22">
        <v>0</v>
      </c>
      <c r="D129" s="36">
        <f>Tabella15[[#This Row],[Percentage of Suppliers - Raw]]/$C$151</f>
        <v>0</v>
      </c>
      <c r="E129" s="23">
        <v>0</v>
      </c>
      <c r="F129" s="40">
        <f>Tabella15[[#This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2">
        <v>1.11E-2</v>
      </c>
      <c r="D130" s="36">
        <f>Tabella15[[#This Row],[Percentage of Suppliers - Raw]]/$C$151</f>
        <v>1.1160265433340035E-2</v>
      </c>
      <c r="E130" s="23">
        <v>4.8999999999999998E-3</v>
      </c>
      <c r="F130" s="40">
        <f>Tabella15[[#This Row],[Percentage of Supplier''s Facilities - Raw]]/$E$151</f>
        <v>4.9201727081032258E-3</v>
      </c>
    </row>
    <row r="131" spans="1:6" ht="19" x14ac:dyDescent="0.25">
      <c r="A131" s="31" t="s">
        <v>144</v>
      </c>
      <c r="B131" s="43">
        <v>2.7770010876672497</v>
      </c>
      <c r="C131" s="22">
        <v>1.11E-2</v>
      </c>
      <c r="D131" s="36">
        <f>Tabella15[[#This Row],[Percentage of Suppliers - Raw]]/$C$151</f>
        <v>1.1160265433340035E-2</v>
      </c>
      <c r="E131" s="23">
        <v>1.0500000000000001E-2</v>
      </c>
      <c r="F131" s="40">
        <f>Tabella15[[#This Row],[Percentage of Supplier''s Facilities - Raw]]/$E$151</f>
        <v>1.0543227231649771E-2</v>
      </c>
    </row>
    <row r="132" spans="1:6" ht="19" x14ac:dyDescent="0.25">
      <c r="A132" s="31" t="s">
        <v>145</v>
      </c>
      <c r="B132" s="43">
        <v>7.3330533031040499</v>
      </c>
      <c r="C132" s="22">
        <v>0</v>
      </c>
      <c r="D132" s="36">
        <f>Tabella15[[#This Row],[Percentage of Suppliers - Raw]]/$C$151</f>
        <v>0</v>
      </c>
      <c r="E132" s="23">
        <v>2.0000000000000001E-4</v>
      </c>
      <c r="F132" s="40">
        <f>Tabella15[[#This Row],[Percentage of Supplier''s Facilities - Raw]]/$E$151</f>
        <v>2.00823375840948E-4</v>
      </c>
    </row>
    <row r="133" spans="1:6" ht="19" x14ac:dyDescent="0.25">
      <c r="A133" s="31" t="s">
        <v>146</v>
      </c>
      <c r="B133" s="43">
        <v>5.6864357260548895</v>
      </c>
      <c r="C133" s="22">
        <v>0</v>
      </c>
      <c r="D133" s="36">
        <f>Tabella15[[#This Row],[Percentage of Suppliers - Raw]]/$C$151</f>
        <v>0</v>
      </c>
      <c r="E133" s="23">
        <v>0</v>
      </c>
      <c r="F133" s="40">
        <f>Tabella15[[#This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2">
        <v>5.5999999999999999E-3</v>
      </c>
      <c r="D134" s="36">
        <f>Tabella15[[#This Row],[Percentage of Suppliers - Raw]]/$C$151</f>
        <v>5.6304041825859632E-3</v>
      </c>
      <c r="E134" s="23">
        <v>1.1200000000000002E-2</v>
      </c>
      <c r="F134" s="40">
        <f>Tabella15[[#This Row],[Percentage of Supplier''s Facilities - Raw]]/$E$151</f>
        <v>1.1246109047093089E-2</v>
      </c>
    </row>
    <row r="135" spans="1:6" ht="19" x14ac:dyDescent="0.25">
      <c r="A135" s="31" t="s">
        <v>148</v>
      </c>
      <c r="B135" s="43">
        <v>5.1473122500344015</v>
      </c>
      <c r="C135" s="22">
        <v>0</v>
      </c>
      <c r="D135" s="36">
        <f>Tabella15[[#This Row],[Percentage of Suppliers - Raw]]/$C$151</f>
        <v>0</v>
      </c>
      <c r="E135" s="23">
        <v>0</v>
      </c>
      <c r="F135" s="40">
        <f>Tabella15[[#This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2">
        <v>0</v>
      </c>
      <c r="D136" s="36">
        <f>Tabella15[[#This Row],[Percentage of Suppliers - Raw]]/$C$151</f>
        <v>0</v>
      </c>
      <c r="E136" s="23">
        <v>0</v>
      </c>
      <c r="F136" s="40">
        <f>Tabella15[[#This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2">
        <v>0</v>
      </c>
      <c r="D137" s="36">
        <f>Tabella15[[#This Row],[Percentage of Suppliers - Raw]]/$C$151</f>
        <v>0</v>
      </c>
      <c r="E137" s="23">
        <v>0</v>
      </c>
      <c r="F137" s="40">
        <f>Tabella15[[#This Row],[Percentage of Supplier''s Facilities - Raw]]/$E$151</f>
        <v>0</v>
      </c>
    </row>
    <row r="138" spans="1:6" ht="19" x14ac:dyDescent="0.25">
      <c r="A138" s="31" t="s">
        <v>151</v>
      </c>
      <c r="B138" s="43">
        <v>5.1269871649881278</v>
      </c>
      <c r="C138" s="22">
        <v>0</v>
      </c>
      <c r="D138" s="36">
        <f>Tabella15[[#This Row],[Percentage of Suppliers - Raw]]/$C$151</f>
        <v>0</v>
      </c>
      <c r="E138" s="23">
        <v>1.5E-3</v>
      </c>
      <c r="F138" s="40">
        <f>Tabella15[[#This Row],[Percentage of Supplier''s Facilities - Raw]]/$E$151</f>
        <v>1.5061753188071101E-3</v>
      </c>
    </row>
    <row r="139" spans="1:6" ht="19" x14ac:dyDescent="0.25">
      <c r="A139" s="31" t="s">
        <v>152</v>
      </c>
      <c r="B139" s="43">
        <v>5.2574384214456868</v>
      </c>
      <c r="C139" s="22">
        <v>0</v>
      </c>
      <c r="D139" s="36">
        <f>Tabella15[[#This Row],[Percentage of Suppliers - Raw]]/$C$151</f>
        <v>0</v>
      </c>
      <c r="E139" s="23">
        <v>4.6999999999999993E-3</v>
      </c>
      <c r="F139" s="40">
        <f>Tabella15[[#This Row],[Percentage of Supplier''s Facilities - Raw]]/$E$151</f>
        <v>4.719349332262277E-3</v>
      </c>
    </row>
    <row r="140" spans="1:6" ht="19" x14ac:dyDescent="0.25">
      <c r="A140" s="31" t="s">
        <v>153</v>
      </c>
      <c r="B140" s="43">
        <v>6.2888889425300309</v>
      </c>
      <c r="C140" s="22">
        <v>0</v>
      </c>
      <c r="D140" s="36">
        <f>Tabella15[[#This Row],[Percentage of Suppliers - Raw]]/$C$151</f>
        <v>0</v>
      </c>
      <c r="E140" s="23">
        <v>0</v>
      </c>
      <c r="F140" s="40">
        <f>Tabella15[[#This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2">
        <v>0</v>
      </c>
      <c r="D141" s="36">
        <f>Tabella15[[#This Row],[Percentage of Suppliers - Raw]]/$C$151</f>
        <v>0</v>
      </c>
      <c r="E141" s="23">
        <v>1.6000000000000001E-3</v>
      </c>
      <c r="F141" s="40">
        <f>Tabella15[[#This Row],[Percentage of Supplier''s Facilities - Raw]]/$E$151</f>
        <v>1.606587006727584E-3</v>
      </c>
    </row>
    <row r="142" spans="1:6" ht="19" x14ac:dyDescent="0.25">
      <c r="A142" s="31" t="s">
        <v>155</v>
      </c>
      <c r="B142" s="43">
        <v>3.7156413836197295</v>
      </c>
      <c r="C142" s="22">
        <v>0</v>
      </c>
      <c r="D142" s="36">
        <f>Tabella15[[#This Row],[Percentage of Suppliers - Raw]]/$C$151</f>
        <v>0</v>
      </c>
      <c r="E142" s="23">
        <v>3.3E-3</v>
      </c>
      <c r="F142" s="40">
        <f>Tabella15[[#This Row],[Percentage of Supplier''s Facilities - Raw]]/$E$151</f>
        <v>3.313585701375642E-3</v>
      </c>
    </row>
    <row r="143" spans="1:6" ht="19" x14ac:dyDescent="0.25">
      <c r="A143" s="31" t="s">
        <v>156</v>
      </c>
      <c r="B143" s="43">
        <v>3.3179607898236139</v>
      </c>
      <c r="C143" s="22">
        <v>3.8899999999999997E-2</v>
      </c>
      <c r="D143" s="36">
        <f>Tabella15[[#This Row],[Percentage of Suppliers - Raw]]/$C$151</f>
        <v>3.9111200482606065E-2</v>
      </c>
      <c r="E143" s="23">
        <v>2.9399999999999999E-2</v>
      </c>
      <c r="F143" s="40">
        <f>Tabella15[[#This Row],[Percentage of Supplier''s Facilities - Raw]]/$E$151</f>
        <v>2.9521036248619355E-2</v>
      </c>
    </row>
    <row r="144" spans="1:6" ht="19" x14ac:dyDescent="0.25">
      <c r="A144" s="31" t="s">
        <v>157</v>
      </c>
      <c r="B144" s="43">
        <v>4.1903553610988471</v>
      </c>
      <c r="C144" s="22">
        <v>0.41670000000000001</v>
      </c>
      <c r="D144" s="36">
        <f>Tabella15[[#This Row],[Percentage of Suppliers - Raw]]/$C$151</f>
        <v>0.4189623969434948</v>
      </c>
      <c r="E144" s="23">
        <v>0.24760000000000001</v>
      </c>
      <c r="F144" s="40">
        <f>Tabella15[[#This Row],[Percentage of Supplier''s Facilities - Raw]]/$E$151</f>
        <v>0.24861933929109364</v>
      </c>
    </row>
    <row r="145" spans="1:6" ht="19" x14ac:dyDescent="0.25">
      <c r="A145" s="31" t="s">
        <v>158</v>
      </c>
      <c r="B145" s="43">
        <v>3.9104307580301834</v>
      </c>
      <c r="C145" s="22">
        <v>0</v>
      </c>
      <c r="D145" s="36">
        <f>Tabella15[[#This Row],[Percentage of Suppliers - Raw]]/$C$151</f>
        <v>0</v>
      </c>
      <c r="E145" s="23">
        <v>2.0000000000000001E-4</v>
      </c>
      <c r="F145" s="40">
        <f>Tabella15[[#This Row],[Percentage of Supplier''s Facilities - Raw]]/$E$151</f>
        <v>2.00823375840948E-4</v>
      </c>
    </row>
    <row r="146" spans="1:6" ht="19" x14ac:dyDescent="0.25">
      <c r="A146" s="31" t="s">
        <v>159</v>
      </c>
      <c r="B146" s="43">
        <v>5.7741934156294281</v>
      </c>
      <c r="C146" s="22">
        <v>0</v>
      </c>
      <c r="D146" s="36">
        <f>Tabella15[[#This Row],[Percentage of Suppliers - Raw]]/$C$151</f>
        <v>0</v>
      </c>
      <c r="E146" s="23">
        <v>2.0000000000000001E-4</v>
      </c>
      <c r="F146" s="40">
        <f>Tabella15[[#This Row],[Percentage of Supplier''s Facilities - Raw]]/$E$151</f>
        <v>2.00823375840948E-4</v>
      </c>
    </row>
    <row r="147" spans="1:6" ht="19" x14ac:dyDescent="0.25">
      <c r="A147" s="31" t="s">
        <v>160</v>
      </c>
      <c r="B147" s="43">
        <v>4.3230065548271748</v>
      </c>
      <c r="C147" s="22">
        <v>0</v>
      </c>
      <c r="D147" s="36">
        <f>Tabella15[[#This Row],[Percentage of Suppliers - Raw]]/$C$151</f>
        <v>0</v>
      </c>
      <c r="E147" s="23">
        <v>1.54E-2</v>
      </c>
      <c r="F147" s="40">
        <f>Tabella15[[#This Row],[Percentage of Supplier''s Facilities - Raw]]/$E$151</f>
        <v>1.5463399939752997E-2</v>
      </c>
    </row>
    <row r="148" spans="1:6" ht="19" x14ac:dyDescent="0.25">
      <c r="A148" s="31" t="s">
        <v>161</v>
      </c>
      <c r="B148" s="43">
        <v>6.3044304196425287</v>
      </c>
      <c r="C148" s="22">
        <v>0</v>
      </c>
      <c r="D148" s="36">
        <f>Tabella15[[#This Row],[Percentage of Suppliers - Raw]]/$C$151</f>
        <v>0</v>
      </c>
      <c r="E148" s="23">
        <v>0</v>
      </c>
      <c r="F148" s="40">
        <f>Tabella15[[#This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2">
        <v>0</v>
      </c>
      <c r="D149" s="36">
        <f>Tabella15[[#This Row],[Percentage of Suppliers - Raw]]/$C$151</f>
        <v>0</v>
      </c>
      <c r="E149" s="23">
        <v>0</v>
      </c>
      <c r="F149" s="40">
        <f>Tabella15[[#This Row],[Percentage of Supplier''s Facilities - Raw]]/$E$151</f>
        <v>0</v>
      </c>
    </row>
    <row r="150" spans="1:6" ht="19" x14ac:dyDescent="0.25">
      <c r="A150" s="31" t="s">
        <v>163</v>
      </c>
      <c r="B150" s="43">
        <v>6.1447845309536486</v>
      </c>
      <c r="C150" s="22">
        <v>0</v>
      </c>
      <c r="D150" s="36">
        <f>Tabella15[[#This Row],[Percentage of Suppliers - Raw]]/$C$151</f>
        <v>0</v>
      </c>
      <c r="E150" s="23">
        <v>0</v>
      </c>
      <c r="F150" s="40">
        <f>Tabella15[[#This Row],[Percentage of Supplier''s Facilities - Raw]]/$E$151</f>
        <v>0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0.99460000000000015</v>
      </c>
      <c r="D151" s="39">
        <f>Tabella15[[#This Row],[Percentage of Suppliers - Raw]]/$C$151</f>
        <v>1</v>
      </c>
      <c r="E151" s="25">
        <f>SUM(E4:E150)</f>
        <v>0.99589999999999945</v>
      </c>
      <c r="F151" s="41">
        <f>SUM(F4:F150)</f>
        <v>1.0000000000000004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C2DE-988A-F74E-93D8-E08EA385402E}">
  <dimension ref="A1:P151"/>
  <sheetViews>
    <sheetView topLeftCell="G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169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19" x14ac:dyDescent="0.25">
      <c r="A4" s="31" t="s">
        <v>8</v>
      </c>
      <c r="B4" s="43">
        <v>4.3705708278452811</v>
      </c>
      <c r="C4" s="22">
        <v>0</v>
      </c>
      <c r="D4" s="36">
        <f>Tabella16[[#This Row],[Percentage of Suppliers - Raw]]/$C$151</f>
        <v>0</v>
      </c>
      <c r="E4" s="23">
        <v>0</v>
      </c>
      <c r="F4" s="40">
        <f>Tabella16[[#This Row],[Percentage of Supplier''s Facilities - Raw]]/$E$151</f>
        <v>0</v>
      </c>
    </row>
    <row r="5" spans="1:16" ht="19" x14ac:dyDescent="0.25">
      <c r="A5" s="31" t="s">
        <v>9</v>
      </c>
      <c r="B5" s="43">
        <v>5.2136193198580543</v>
      </c>
      <c r="C5" s="22">
        <v>0</v>
      </c>
      <c r="D5" s="36">
        <f>Tabella16[[#This Row],[Percentage of Suppliers - Raw]]/$C$151</f>
        <v>0</v>
      </c>
      <c r="E5" s="23">
        <v>5.0000000000000001E-4</v>
      </c>
      <c r="F5" s="40">
        <f>Tabella16[[#This Row],[Percentage of Supplier''s Facilities - Raw]]/$E$151</f>
        <v>5.0418473328627629E-4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19" x14ac:dyDescent="0.25">
      <c r="A6" s="31" t="s">
        <v>11</v>
      </c>
      <c r="B6" s="43">
        <v>5.6305966049142544</v>
      </c>
      <c r="C6" s="22">
        <v>0</v>
      </c>
      <c r="D6" s="36">
        <f>Tabella16[[#This Row],[Percentage of Suppliers - Raw]]/$C$151</f>
        <v>0</v>
      </c>
      <c r="E6" s="23">
        <v>2.9999999999999997E-4</v>
      </c>
      <c r="F6" s="40">
        <f>Tabella16[[#This Row],[Percentage of Supplier''s Facilities - Raw]]/$E$151</f>
        <v>3.0251083997176573E-4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2">
        <v>3.5999999999999999E-3</v>
      </c>
      <c r="D7" s="36">
        <f>Tabella16[[#This Row],[Percentage of Suppliers - Raw]]/$C$151</f>
        <v>3.71440363186133E-3</v>
      </c>
      <c r="E7" s="23">
        <v>4.8999999999999998E-3</v>
      </c>
      <c r="F7" s="40">
        <f>Tabella16[[#This Row],[Percentage of Supplier''s Facilities - Raw]]/$E$151</f>
        <v>4.9410103862055068E-3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4.3705708278452811</v>
      </c>
      <c r="P7" s="16">
        <f>INDEX(F4:F150,MATCH(MIN(F4:F150),F4:F150,0))</f>
        <v>0</v>
      </c>
    </row>
    <row r="8" spans="1:16" ht="19" x14ac:dyDescent="0.25">
      <c r="A8" s="31" t="s">
        <v>17</v>
      </c>
      <c r="B8" s="43">
        <v>4.7882033268855917</v>
      </c>
      <c r="C8" s="22">
        <v>0</v>
      </c>
      <c r="D8" s="36">
        <f>Tabella16[[#This Row],[Percentage of Suppliers - Raw]]/$C$151</f>
        <v>0</v>
      </c>
      <c r="E8" s="23">
        <v>0</v>
      </c>
      <c r="F8" s="40">
        <f>Tabella16[[#This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4.2558827981073541</v>
      </c>
      <c r="K8" s="19">
        <f>INDEX(D4:D150,MATCH(MAX(D4:D150),D4:D150,0))</f>
        <v>0.34647131654973184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4.2558827981073541</v>
      </c>
      <c r="P8" s="19">
        <f>INDEX(F4:F150,MATCH(MAX(F4:F150),F4:F150,0))</f>
        <v>0.19199354643541397</v>
      </c>
    </row>
    <row r="9" spans="1:16" ht="22" x14ac:dyDescent="0.3">
      <c r="A9" s="31" t="s">
        <v>19</v>
      </c>
      <c r="B9" s="43">
        <v>3.2228923328507717</v>
      </c>
      <c r="C9" s="22">
        <v>9.5999999999999992E-3</v>
      </c>
      <c r="D9" s="36">
        <f>Tabella16[[#This Row],[Percentage of Suppliers - Raw]]/$C$151</f>
        <v>9.9050763516302116E-3</v>
      </c>
      <c r="E9" s="23">
        <v>1.0200000000000001E-2</v>
      </c>
      <c r="F9" s="40">
        <f>Tabella16[[#This Row],[Percentage of Supplier''s Facilities - Raw]]/$E$151</f>
        <v>1.0285368559040036E-2</v>
      </c>
      <c r="H9" s="20" t="s">
        <v>20</v>
      </c>
      <c r="I9" s="21"/>
      <c r="J9" s="21"/>
      <c r="K9" s="175">
        <f>SUMPRODUCT(B4:B150,D4:D150)</f>
        <v>4.0446342577883962</v>
      </c>
      <c r="M9" s="20" t="s">
        <v>21</v>
      </c>
      <c r="N9" s="21"/>
      <c r="O9" s="21"/>
      <c r="P9" s="175">
        <f>SUMPRODUCT(B4:B150,F4:F150)</f>
        <v>4.1522496138519509</v>
      </c>
    </row>
    <row r="10" spans="1:16" ht="19" x14ac:dyDescent="0.25">
      <c r="A10" s="31" t="s">
        <v>22</v>
      </c>
      <c r="B10" s="43">
        <v>3.4101851325072063</v>
      </c>
      <c r="C10" s="22">
        <v>0</v>
      </c>
      <c r="D10" s="36">
        <f>Tabella16[[#This Row],[Percentage of Suppliers - Raw]]/$C$151</f>
        <v>0</v>
      </c>
      <c r="E10" s="23">
        <v>6.7000000000000002E-3</v>
      </c>
      <c r="F10" s="40">
        <f>Tabella16[[#This Row],[Percentage of Supplier''s Facilities - Raw]]/$E$151</f>
        <v>6.7560754260361016E-3</v>
      </c>
    </row>
    <row r="11" spans="1:16" ht="19" x14ac:dyDescent="0.25">
      <c r="A11" s="31" t="s">
        <v>23</v>
      </c>
      <c r="B11" s="43">
        <v>5.2109258806256893</v>
      </c>
      <c r="C11" s="22">
        <v>0</v>
      </c>
      <c r="D11" s="36">
        <f>Tabella16[[#This Row],[Percentage of Suppliers - Raw]]/$C$151</f>
        <v>0</v>
      </c>
      <c r="E11" s="23">
        <v>0</v>
      </c>
      <c r="F11" s="40">
        <f>Tabella16[[#This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2">
        <v>0</v>
      </c>
      <c r="D12" s="36">
        <f>Tabella16[[#This Row],[Percentage of Suppliers - Raw]]/$C$151</f>
        <v>0</v>
      </c>
      <c r="E12" s="23">
        <v>0</v>
      </c>
      <c r="F12" s="40">
        <f>Tabella16[[#This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2">
        <v>0</v>
      </c>
      <c r="D13" s="36">
        <f>Tabella16[[#This Row],[Percentage of Suppliers - Raw]]/$C$151</f>
        <v>0</v>
      </c>
      <c r="E13" s="23">
        <v>2.0000000000000001E-4</v>
      </c>
      <c r="F13" s="40">
        <f>Tabella16[[#This Row],[Percentage of Supplier''s Facilities - Raw]]/$E$151</f>
        <v>2.016738933145105E-4</v>
      </c>
    </row>
    <row r="14" spans="1:16" ht="19" x14ac:dyDescent="0.25">
      <c r="A14" s="31" t="s">
        <v>26</v>
      </c>
      <c r="B14" s="43">
        <v>5.4470391561857463</v>
      </c>
      <c r="C14" s="22">
        <v>0</v>
      </c>
      <c r="D14" s="36">
        <f>Tabella16[[#This Row],[Percentage of Suppliers - Raw]]/$C$151</f>
        <v>0</v>
      </c>
      <c r="E14" s="23">
        <v>2.9999999999999997E-4</v>
      </c>
      <c r="F14" s="40">
        <f>Tabella16[[#This Row],[Percentage of Supplier''s Facilities - Raw]]/$E$151</f>
        <v>3.0251083997176573E-4</v>
      </c>
    </row>
    <row r="15" spans="1:16" ht="19" x14ac:dyDescent="0.25">
      <c r="A15" s="31" t="s">
        <v>27</v>
      </c>
      <c r="B15" s="43">
        <v>3.3272157363952584</v>
      </c>
      <c r="C15" s="22">
        <v>3.5999999999999999E-3</v>
      </c>
      <c r="D15" s="36">
        <f>Tabella16[[#This Row],[Percentage of Suppliers - Raw]]/$C$151</f>
        <v>3.71440363186133E-3</v>
      </c>
      <c r="E15" s="23">
        <v>5.6999999999999993E-3</v>
      </c>
      <c r="F15" s="40">
        <f>Tabella16[[#This Row],[Percentage of Supplier''s Facilities - Raw]]/$E$151</f>
        <v>5.7477059594635482E-3</v>
      </c>
    </row>
    <row r="16" spans="1:16" ht="19" x14ac:dyDescent="0.25">
      <c r="A16" s="31" t="s">
        <v>28</v>
      </c>
      <c r="B16" s="43">
        <v>5.9976203843116958</v>
      </c>
      <c r="C16" s="22">
        <v>0</v>
      </c>
      <c r="D16" s="36">
        <f>Tabella16[[#This Row],[Percentage of Suppliers - Raw]]/$C$151</f>
        <v>0</v>
      </c>
      <c r="E16" s="23">
        <v>0</v>
      </c>
      <c r="F16" s="40">
        <f>Tabella16[[#This Row],[Percentage of Supplier''s Facilities - Raw]]/$E$151</f>
        <v>0</v>
      </c>
    </row>
    <row r="17" spans="1:7" ht="19" x14ac:dyDescent="0.25">
      <c r="A17" s="31" t="s">
        <v>29</v>
      </c>
      <c r="B17" s="43">
        <v>5.0248646415497609</v>
      </c>
      <c r="C17" s="22">
        <v>0</v>
      </c>
      <c r="D17" s="36">
        <f>Tabella16[[#This Row],[Percentage of Suppliers - Raw]]/$C$151</f>
        <v>0</v>
      </c>
      <c r="E17" s="23">
        <v>0</v>
      </c>
      <c r="F17" s="40">
        <f>Tabella16[[#This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2">
        <v>0</v>
      </c>
      <c r="D18" s="36">
        <f>Tabella16[[#This Row],[Percentage of Suppliers - Raw]]/$C$151</f>
        <v>0</v>
      </c>
      <c r="E18" s="23">
        <v>1E-4</v>
      </c>
      <c r="F18" s="40">
        <f>Tabella16[[#This Row],[Percentage of Supplier''s Facilities - Raw]]/$E$151</f>
        <v>1.0083694665725525E-4</v>
      </c>
    </row>
    <row r="19" spans="1:7" ht="19" x14ac:dyDescent="0.25">
      <c r="A19" s="31" t="s">
        <v>31</v>
      </c>
      <c r="B19" s="43">
        <v>5.3424605477454783</v>
      </c>
      <c r="C19" s="22">
        <v>0</v>
      </c>
      <c r="D19" s="36">
        <f>Tabella16[[#This Row],[Percentage of Suppliers - Raw]]/$C$151</f>
        <v>0</v>
      </c>
      <c r="E19" s="23">
        <v>2.9999999999999997E-4</v>
      </c>
      <c r="F19" s="40">
        <f>Tabella16[[#This Row],[Percentage of Supplier''s Facilities - Raw]]/$E$151</f>
        <v>3.0251083997176573E-4</v>
      </c>
    </row>
    <row r="20" spans="1:7" ht="19" x14ac:dyDescent="0.25">
      <c r="A20" s="31" t="s">
        <v>32</v>
      </c>
      <c r="B20" s="43">
        <v>4.3392269255836116</v>
      </c>
      <c r="C20" s="22">
        <v>0</v>
      </c>
      <c r="D20" s="36">
        <f>Tabella16[[#This Row],[Percentage of Suppliers - Raw]]/$C$151</f>
        <v>0</v>
      </c>
      <c r="E20" s="23">
        <v>1E-4</v>
      </c>
      <c r="F20" s="40">
        <f>Tabella16[[#This Row],[Percentage of Supplier''s Facilities - Raw]]/$E$151</f>
        <v>1.0083694665725525E-4</v>
      </c>
    </row>
    <row r="21" spans="1:7" ht="19" x14ac:dyDescent="0.25">
      <c r="A21" s="31" t="s">
        <v>33</v>
      </c>
      <c r="B21" s="43">
        <v>5.3528879548903774</v>
      </c>
      <c r="C21" s="22">
        <v>1.0800000000000001E-2</v>
      </c>
      <c r="D21" s="36">
        <f>Tabella16[[#This Row],[Percentage of Suppliers - Raw]]/$C$151</f>
        <v>1.1143210895583991E-2</v>
      </c>
      <c r="E21" s="23">
        <v>2.3799999999999998E-2</v>
      </c>
      <c r="F21" s="40">
        <f>Tabella16[[#This Row],[Percentage of Supplier''s Facilities - Raw]]/$E$151</f>
        <v>2.3999193304426746E-2</v>
      </c>
    </row>
    <row r="22" spans="1:7" ht="19" x14ac:dyDescent="0.25">
      <c r="A22" s="31" t="s">
        <v>34</v>
      </c>
      <c r="B22" s="43">
        <v>4.4305511295739555</v>
      </c>
      <c r="C22" s="22">
        <v>0</v>
      </c>
      <c r="D22" s="36">
        <f>Tabella16[[#This Row],[Percentage of Suppliers - Raw]]/$C$151</f>
        <v>0</v>
      </c>
      <c r="E22" s="23">
        <v>1.7000000000000001E-3</v>
      </c>
      <c r="F22" s="40">
        <f>Tabella16[[#This Row],[Percentage of Supplier''s Facilities - Raw]]/$E$151</f>
        <v>1.7142280931733394E-3</v>
      </c>
    </row>
    <row r="23" spans="1:7" ht="19" x14ac:dyDescent="0.25">
      <c r="A23" s="31" t="s">
        <v>35</v>
      </c>
      <c r="B23" s="43">
        <v>6.5469989858167894</v>
      </c>
      <c r="C23" s="22">
        <v>0</v>
      </c>
      <c r="D23" s="36">
        <f>Tabella16[[#This Row],[Percentage of Suppliers - Raw]]/$C$151</f>
        <v>0</v>
      </c>
      <c r="E23" s="23">
        <v>0</v>
      </c>
      <c r="F23" s="40">
        <f>Tabella16[[#This Row],[Percentage of Supplier''s Facilities - Raw]]/$E$151</f>
        <v>0</v>
      </c>
    </row>
    <row r="24" spans="1:7" ht="19" x14ac:dyDescent="0.25">
      <c r="A24" s="31" t="s">
        <v>36</v>
      </c>
      <c r="B24" s="43">
        <v>6.3316257862325482</v>
      </c>
      <c r="C24" s="22">
        <v>0</v>
      </c>
      <c r="D24" s="36">
        <f>Tabella16[[#This Row],[Percentage of Suppliers - Raw]]/$C$151</f>
        <v>0</v>
      </c>
      <c r="E24" s="23">
        <v>0</v>
      </c>
      <c r="F24" s="40">
        <f>Tabella16[[#This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2">
        <v>0</v>
      </c>
      <c r="D25" s="36">
        <f>Tabella16[[#This Row],[Percentage of Suppliers - Raw]]/$C$151</f>
        <v>0</v>
      </c>
      <c r="E25" s="23">
        <v>4.0000000000000002E-4</v>
      </c>
      <c r="F25" s="40">
        <f>Tabella16[[#This Row],[Percentage of Supplier''s Facilities - Raw]]/$E$151</f>
        <v>4.0334778662902101E-4</v>
      </c>
    </row>
    <row r="26" spans="1:7" ht="19" x14ac:dyDescent="0.25">
      <c r="A26" s="31" t="s">
        <v>38</v>
      </c>
      <c r="B26" s="43">
        <v>6.8290168498118629</v>
      </c>
      <c r="C26" s="22">
        <v>0</v>
      </c>
      <c r="D26" s="36">
        <f>Tabella16[[#This Row],[Percentage of Suppliers - Raw]]/$C$151</f>
        <v>0</v>
      </c>
      <c r="E26" s="23">
        <v>1E-4</v>
      </c>
      <c r="F26" s="40">
        <f>Tabella16[[#This Row],[Percentage of Supplier''s Facilities - Raw]]/$E$151</f>
        <v>1.0083694665725525E-4</v>
      </c>
    </row>
    <row r="27" spans="1:7" ht="19" x14ac:dyDescent="0.25">
      <c r="A27" s="31" t="s">
        <v>39</v>
      </c>
      <c r="B27" s="43">
        <v>3.4431913474650511</v>
      </c>
      <c r="C27" s="22">
        <v>1.32E-2</v>
      </c>
      <c r="D27" s="36">
        <f>Tabella16[[#This Row],[Percentage of Suppliers - Raw]]/$C$151</f>
        <v>1.3619479983491544E-2</v>
      </c>
      <c r="E27" s="23">
        <v>2.1099999999999997E-2</v>
      </c>
      <c r="F27" s="40">
        <f>Tabella16[[#This Row],[Percentage of Supplier''s Facilities - Raw]]/$E$151</f>
        <v>2.1276595744680854E-2</v>
      </c>
    </row>
    <row r="28" spans="1:7" ht="19" x14ac:dyDescent="0.25">
      <c r="A28" s="31" t="s">
        <v>40</v>
      </c>
      <c r="B28" s="43">
        <v>6.7936201324767405</v>
      </c>
      <c r="C28" s="22">
        <v>0</v>
      </c>
      <c r="D28" s="36">
        <f>Tabella16[[#This Row],[Percentage of Suppliers - Raw]]/$C$151</f>
        <v>0</v>
      </c>
      <c r="E28" s="23">
        <v>0</v>
      </c>
      <c r="F28" s="40">
        <f>Tabella16[[#This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2">
        <v>0</v>
      </c>
      <c r="D29" s="36">
        <f>Tabella16[[#This Row],[Percentage of Suppliers - Raw]]/$C$151</f>
        <v>0</v>
      </c>
      <c r="E29" s="23">
        <v>0</v>
      </c>
      <c r="F29" s="40">
        <f>Tabella16[[#This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2">
        <v>1.1999999999999999E-3</v>
      </c>
      <c r="D30" s="36">
        <f>Tabella16[[#This Row],[Percentage of Suppliers - Raw]]/$C$151</f>
        <v>1.2381345439537764E-3</v>
      </c>
      <c r="E30" s="23">
        <v>1.6000000000000001E-3</v>
      </c>
      <c r="F30" s="40">
        <f>Tabella16[[#This Row],[Percentage of Supplier''s Facilities - Raw]]/$E$151</f>
        <v>1.613391146516084E-3</v>
      </c>
    </row>
    <row r="31" spans="1:7" ht="19" x14ac:dyDescent="0.25">
      <c r="A31" s="31" t="s">
        <v>43</v>
      </c>
      <c r="B31" s="43">
        <v>4.2558827981073541</v>
      </c>
      <c r="C31" s="22">
        <f xml:space="preserve"> 29.02% + 4.56%</f>
        <v>0.33579999999999999</v>
      </c>
      <c r="D31" s="36">
        <f>Tabella16[[#This Row],[Percentage of Suppliers - Raw]]/$C$151</f>
        <v>0.34647131654973184</v>
      </c>
      <c r="E31" s="23">
        <v>0.19039999999999999</v>
      </c>
      <c r="F31" s="40">
        <f>Tabella16[[#This Row],[Percentage of Supplier''s Facilities - Raw]]/$E$151</f>
        <v>0.19199354643541397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2">
        <v>0</v>
      </c>
      <c r="D32" s="36">
        <f>Tabella16[[#This Row],[Percentage of Suppliers - Raw]]/$C$151</f>
        <v>0</v>
      </c>
      <c r="E32" s="23">
        <v>1.2999999999999999E-3</v>
      </c>
      <c r="F32" s="40">
        <f>Tabella16[[#This Row],[Percentage of Supplier''s Facilities - Raw]]/$E$151</f>
        <v>1.3108803065443181E-3</v>
      </c>
    </row>
    <row r="33" spans="1:6" ht="19" x14ac:dyDescent="0.25">
      <c r="A33" s="31" t="s">
        <v>46</v>
      </c>
      <c r="B33" s="43">
        <v>5.6489161047332477</v>
      </c>
      <c r="C33" s="22">
        <v>0</v>
      </c>
      <c r="D33" s="36">
        <f>Tabella16[[#This Row],[Percentage of Suppliers - Raw]]/$C$151</f>
        <v>0</v>
      </c>
      <c r="E33" s="23">
        <v>1E-4</v>
      </c>
      <c r="F33" s="40">
        <f>Tabella16[[#This Row],[Percentage of Supplier''s Facilities - Raw]]/$E$151</f>
        <v>1.0083694665725525E-4</v>
      </c>
    </row>
    <row r="34" spans="1:6" ht="19" x14ac:dyDescent="0.25">
      <c r="A34" s="31" t="s">
        <v>47</v>
      </c>
      <c r="B34" s="43">
        <v>4.2297467795287353</v>
      </c>
      <c r="C34" s="22">
        <v>0</v>
      </c>
      <c r="D34" s="36">
        <f>Tabella16[[#This Row],[Percentage of Suppliers - Raw]]/$C$151</f>
        <v>0</v>
      </c>
      <c r="E34" s="23">
        <v>8.9999999999999998E-4</v>
      </c>
      <c r="F34" s="40">
        <f>Tabella16[[#This Row],[Percentage of Supplier''s Facilities - Raw]]/$E$151</f>
        <v>9.0753251991529719E-4</v>
      </c>
    </row>
    <row r="35" spans="1:6" ht="19" x14ac:dyDescent="0.25">
      <c r="A35" s="31" t="s">
        <v>48</v>
      </c>
      <c r="B35" s="43">
        <v>5.5958391680617687</v>
      </c>
      <c r="C35" s="22">
        <v>0</v>
      </c>
      <c r="D35" s="36">
        <f>Tabella16[[#This Row],[Percentage of Suppliers - Raw]]/$C$151</f>
        <v>0</v>
      </c>
      <c r="E35" s="23">
        <v>5.0000000000000001E-4</v>
      </c>
      <c r="F35" s="40">
        <f>Tabella16[[#This Row],[Percentage of Supplier''s Facilities - Raw]]/$E$151</f>
        <v>5.0418473328627629E-4</v>
      </c>
    </row>
    <row r="36" spans="1:6" ht="19" x14ac:dyDescent="0.25">
      <c r="A36" s="31" t="s">
        <v>49</v>
      </c>
      <c r="B36" s="43">
        <v>4.2818306896749707</v>
      </c>
      <c r="C36" s="22">
        <v>1.1999999999999999E-3</v>
      </c>
      <c r="D36" s="36">
        <f>Tabella16[[#This Row],[Percentage of Suppliers - Raw]]/$C$151</f>
        <v>1.2381345439537764E-3</v>
      </c>
      <c r="E36" s="23">
        <v>8.0000000000000004E-4</v>
      </c>
      <c r="F36" s="40">
        <f>Tabella16[[#This Row],[Percentage of Supplier''s Facilities - Raw]]/$E$151</f>
        <v>8.0669557325804202E-4</v>
      </c>
    </row>
    <row r="37" spans="1:6" ht="19" x14ac:dyDescent="0.25">
      <c r="A37" s="31" t="s">
        <v>50</v>
      </c>
      <c r="B37" s="43">
        <v>4.665702306747229</v>
      </c>
      <c r="C37" s="22">
        <v>0</v>
      </c>
      <c r="D37" s="36">
        <f>Tabella16[[#This Row],[Percentage of Suppliers - Raw]]/$C$151</f>
        <v>0</v>
      </c>
      <c r="E37" s="23">
        <v>0</v>
      </c>
      <c r="F37" s="40">
        <f>Tabella16[[#This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2">
        <v>0</v>
      </c>
      <c r="D38" s="36">
        <f>Tabella16[[#This Row],[Percentage of Suppliers - Raw]]/$C$151</f>
        <v>0</v>
      </c>
      <c r="E38" s="23">
        <v>1.09E-2</v>
      </c>
      <c r="F38" s="40">
        <f>Tabella16[[#This Row],[Percentage of Supplier''s Facilities - Raw]]/$E$151</f>
        <v>1.0991227185640821E-2</v>
      </c>
    </row>
    <row r="39" spans="1:6" ht="19" x14ac:dyDescent="0.25">
      <c r="A39" s="31" t="s">
        <v>52</v>
      </c>
      <c r="B39" s="43">
        <v>3.1990775661028361</v>
      </c>
      <c r="C39" s="22">
        <v>1.1999999999999999E-3</v>
      </c>
      <c r="D39" s="36">
        <f>Tabella16[[#This Row],[Percentage of Suppliers - Raw]]/$C$151</f>
        <v>1.2381345439537764E-3</v>
      </c>
      <c r="E39" s="23">
        <v>3.0000000000000001E-3</v>
      </c>
      <c r="F39" s="40">
        <f>Tabella16[[#This Row],[Percentage of Supplier''s Facilities - Raw]]/$E$151</f>
        <v>3.0251083997176577E-3</v>
      </c>
    </row>
    <row r="40" spans="1:6" ht="19" x14ac:dyDescent="0.25">
      <c r="A40" s="31" t="s">
        <v>53</v>
      </c>
      <c r="B40" s="43">
        <v>5.9780558706115094</v>
      </c>
      <c r="C40" s="22">
        <v>0</v>
      </c>
      <c r="D40" s="36">
        <f>Tabella16[[#This Row],[Percentage of Suppliers - Raw]]/$C$151</f>
        <v>0</v>
      </c>
      <c r="E40" s="23">
        <v>0</v>
      </c>
      <c r="F40" s="40">
        <f>Tabella16[[#This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2">
        <v>0</v>
      </c>
      <c r="D41" s="36">
        <f>Tabella16[[#This Row],[Percentage of Suppliers - Raw]]/$C$151</f>
        <v>0</v>
      </c>
      <c r="E41" s="23">
        <v>5.9999999999999995E-4</v>
      </c>
      <c r="F41" s="40">
        <f>Tabella16[[#This Row],[Percentage of Supplier''s Facilities - Raw]]/$E$151</f>
        <v>6.0502167994353146E-4</v>
      </c>
    </row>
    <row r="42" spans="1:6" ht="19" x14ac:dyDescent="0.25">
      <c r="A42" s="31" t="s">
        <v>55</v>
      </c>
      <c r="B42" s="43">
        <v>5.7086243658486353</v>
      </c>
      <c r="C42" s="22">
        <v>0</v>
      </c>
      <c r="D42" s="36">
        <f>Tabella16[[#This Row],[Percentage of Suppliers - Raw]]/$C$151</f>
        <v>0</v>
      </c>
      <c r="E42" s="23">
        <v>8.0000000000000004E-4</v>
      </c>
      <c r="F42" s="40">
        <f>Tabella16[[#This Row],[Percentage of Supplier''s Facilities - Raw]]/$E$151</f>
        <v>8.0669557325804202E-4</v>
      </c>
    </row>
    <row r="43" spans="1:6" ht="19" x14ac:dyDescent="0.25">
      <c r="A43" s="31" t="s">
        <v>56</v>
      </c>
      <c r="B43" s="43">
        <v>5.6039767437648544</v>
      </c>
      <c r="C43" s="22">
        <v>0</v>
      </c>
      <c r="D43" s="36">
        <f>Tabella16[[#This Row],[Percentage of Suppliers - Raw]]/$C$151</f>
        <v>0</v>
      </c>
      <c r="E43" s="23">
        <v>1.1999999999999999E-3</v>
      </c>
      <c r="F43" s="40">
        <f>Tabella16[[#This Row],[Percentage of Supplier''s Facilities - Raw]]/$E$151</f>
        <v>1.2100433598870629E-3</v>
      </c>
    </row>
    <row r="44" spans="1:6" ht="19" x14ac:dyDescent="0.25">
      <c r="A44" s="31" t="s">
        <v>57</v>
      </c>
      <c r="B44" s="43">
        <v>4.7929202889816001</v>
      </c>
      <c r="C44" s="22">
        <v>0</v>
      </c>
      <c r="D44" s="36">
        <f>Tabella16[[#This Row],[Percentage of Suppliers - Raw]]/$C$151</f>
        <v>0</v>
      </c>
      <c r="E44" s="23">
        <v>5.0000000000000001E-4</v>
      </c>
      <c r="F44" s="40">
        <f>Tabella16[[#This Row],[Percentage of Supplier''s Facilities - Raw]]/$E$151</f>
        <v>5.0418473328627629E-4</v>
      </c>
    </row>
    <row r="45" spans="1:6" ht="19" x14ac:dyDescent="0.25">
      <c r="A45" s="31" t="s">
        <v>58</v>
      </c>
      <c r="B45" s="43">
        <v>3.5745795767056725</v>
      </c>
      <c r="C45" s="22">
        <v>0</v>
      </c>
      <c r="D45" s="36">
        <f>Tabella16[[#This Row],[Percentage of Suppliers - Raw]]/$C$151</f>
        <v>0</v>
      </c>
      <c r="E45" s="23">
        <v>1E-3</v>
      </c>
      <c r="F45" s="40">
        <f>Tabella16[[#This Row],[Percentage of Supplier''s Facilities - Raw]]/$E$151</f>
        <v>1.0083694665725526E-3</v>
      </c>
    </row>
    <row r="46" spans="1:6" ht="19" x14ac:dyDescent="0.25">
      <c r="A46" s="31" t="s">
        <v>59</v>
      </c>
      <c r="B46" s="43">
        <v>4.4965923559879277</v>
      </c>
      <c r="C46" s="22">
        <v>0</v>
      </c>
      <c r="D46" s="36">
        <f>Tabella16[[#This Row],[Percentage of Suppliers - Raw]]/$C$151</f>
        <v>0</v>
      </c>
      <c r="E46" s="23">
        <v>0</v>
      </c>
      <c r="F46" s="40">
        <f>Tabella16[[#This Row],[Percentage of Supplier''s Facilities - Raw]]/$E$151</f>
        <v>0</v>
      </c>
    </row>
    <row r="47" spans="1:6" ht="19" x14ac:dyDescent="0.25">
      <c r="A47" s="31" t="s">
        <v>60</v>
      </c>
      <c r="B47" s="43">
        <v>6.927950682570712</v>
      </c>
      <c r="C47" s="22">
        <v>0</v>
      </c>
      <c r="D47" s="36">
        <f>Tabella16[[#This Row],[Percentage of Suppliers - Raw]]/$C$151</f>
        <v>0</v>
      </c>
      <c r="E47" s="23">
        <v>0</v>
      </c>
      <c r="F47" s="40">
        <f>Tabella16[[#This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2">
        <v>1.1999999999999999E-3</v>
      </c>
      <c r="D48" s="36">
        <f>Tabella16[[#This Row],[Percentage of Suppliers - Raw]]/$C$151</f>
        <v>1.2381345439537764E-3</v>
      </c>
      <c r="E48" s="23">
        <v>2.5000000000000001E-3</v>
      </c>
      <c r="F48" s="40">
        <f>Tabella16[[#This Row],[Percentage of Supplier''s Facilities - Raw]]/$E$151</f>
        <v>2.5209236664313814E-3</v>
      </c>
    </row>
    <row r="49" spans="1:6" ht="19" x14ac:dyDescent="0.25">
      <c r="A49" s="31" t="s">
        <v>62</v>
      </c>
      <c r="B49" s="43">
        <v>3.6488472849850422</v>
      </c>
      <c r="C49" s="22">
        <v>3.8399999999999997E-2</v>
      </c>
      <c r="D49" s="36">
        <f>Tabella16[[#This Row],[Percentage of Suppliers - Raw]]/$C$151</f>
        <v>3.9620305406520846E-2</v>
      </c>
      <c r="E49" s="23">
        <v>3.0699999999999998E-2</v>
      </c>
      <c r="F49" s="40">
        <f>Tabella16[[#This Row],[Percentage of Supplier''s Facilities - Raw]]/$E$151</f>
        <v>3.0956942623777361E-2</v>
      </c>
    </row>
    <row r="50" spans="1:6" ht="19" x14ac:dyDescent="0.25">
      <c r="A50" s="31" t="s">
        <v>63</v>
      </c>
      <c r="B50" s="43">
        <v>5.7823719673887926</v>
      </c>
      <c r="C50" s="22">
        <v>0</v>
      </c>
      <c r="D50" s="36">
        <f>Tabella16[[#This Row],[Percentage of Suppliers - Raw]]/$C$151</f>
        <v>0</v>
      </c>
      <c r="E50" s="23">
        <v>0</v>
      </c>
      <c r="F50" s="40">
        <f>Tabella16[[#This Row],[Percentage of Supplier''s Facilities - Raw]]/$E$151</f>
        <v>0</v>
      </c>
    </row>
    <row r="51" spans="1:6" ht="19" x14ac:dyDescent="0.25">
      <c r="A51" s="31" t="s">
        <v>64</v>
      </c>
      <c r="B51" s="43">
        <v>5.3790271999040362</v>
      </c>
      <c r="C51" s="22">
        <v>0</v>
      </c>
      <c r="D51" s="36">
        <f>Tabella16[[#This Row],[Percentage of Suppliers - Raw]]/$C$151</f>
        <v>0</v>
      </c>
      <c r="E51" s="23">
        <v>0</v>
      </c>
      <c r="F51" s="40">
        <f>Tabella16[[#This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2">
        <v>0</v>
      </c>
      <c r="D52" s="36">
        <f>Tabella16[[#This Row],[Percentage of Suppliers - Raw]]/$C$151</f>
        <v>0</v>
      </c>
      <c r="E52" s="23">
        <v>0</v>
      </c>
      <c r="F52" s="40">
        <f>Tabella16[[#This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2">
        <v>5.6399999999999999E-2</v>
      </c>
      <c r="D53" s="36">
        <f>Tabella16[[#This Row],[Percentage of Suppliers - Raw]]/$C$151</f>
        <v>5.81923235658275E-2</v>
      </c>
      <c r="E53" s="23">
        <v>6.8600000000000008E-2</v>
      </c>
      <c r="F53" s="40">
        <f>Tabella16[[#This Row],[Percentage of Supplier''s Facilities - Raw]]/$E$151</f>
        <v>6.9174145406877108E-2</v>
      </c>
    </row>
    <row r="54" spans="1:6" ht="19" x14ac:dyDescent="0.25">
      <c r="A54" s="31" t="s">
        <v>67</v>
      </c>
      <c r="B54" s="43">
        <v>4.6272251474478185</v>
      </c>
      <c r="C54" s="22">
        <v>0</v>
      </c>
      <c r="D54" s="36">
        <f>Tabella16[[#This Row],[Percentage of Suppliers - Raw]]/$C$151</f>
        <v>0</v>
      </c>
      <c r="E54" s="23">
        <v>2.0000000000000001E-4</v>
      </c>
      <c r="F54" s="40">
        <f>Tabella16[[#This Row],[Percentage of Supplier''s Facilities - Raw]]/$E$151</f>
        <v>2.016738933145105E-4</v>
      </c>
    </row>
    <row r="55" spans="1:6" ht="19" x14ac:dyDescent="0.25">
      <c r="A55" s="31" t="s">
        <v>68</v>
      </c>
      <c r="B55" s="43">
        <v>4.3382922337238083</v>
      </c>
      <c r="C55" s="22">
        <v>0</v>
      </c>
      <c r="D55" s="36">
        <f>Tabella16[[#This Row],[Percentage of Suppliers - Raw]]/$C$151</f>
        <v>0</v>
      </c>
      <c r="E55" s="23">
        <v>7.000000000000001E-4</v>
      </c>
      <c r="F55" s="40">
        <f>Tabella16[[#This Row],[Percentage of Supplier''s Facilities - Raw]]/$E$151</f>
        <v>7.0585862660078685E-4</v>
      </c>
    </row>
    <row r="56" spans="1:6" ht="19" x14ac:dyDescent="0.25">
      <c r="A56" s="31" t="s">
        <v>69</v>
      </c>
      <c r="B56" s="43">
        <v>5.450113492883502</v>
      </c>
      <c r="C56" s="22">
        <v>0</v>
      </c>
      <c r="D56" s="36">
        <f>Tabella16[[#This Row],[Percentage of Suppliers - Raw]]/$C$151</f>
        <v>0</v>
      </c>
      <c r="E56" s="23">
        <v>7.000000000000001E-4</v>
      </c>
      <c r="F56" s="40">
        <f>Tabella16[[#This Row],[Percentage of Supplier''s Facilities - Raw]]/$E$151</f>
        <v>7.0585862660078685E-4</v>
      </c>
    </row>
    <row r="57" spans="1:6" ht="19" x14ac:dyDescent="0.25">
      <c r="A57" s="31" t="s">
        <v>70</v>
      </c>
      <c r="B57" s="43">
        <v>6.3557356106090603</v>
      </c>
      <c r="C57" s="22">
        <v>0</v>
      </c>
      <c r="D57" s="36">
        <f>Tabella16[[#This Row],[Percentage of Suppliers - Raw]]/$C$151</f>
        <v>0</v>
      </c>
      <c r="E57" s="23">
        <v>1E-4</v>
      </c>
      <c r="F57" s="40">
        <f>Tabella16[[#This Row],[Percentage of Supplier''s Facilities - Raw]]/$E$151</f>
        <v>1.0083694665725525E-4</v>
      </c>
    </row>
    <row r="58" spans="1:6" ht="19" x14ac:dyDescent="0.25">
      <c r="A58" s="31" t="s">
        <v>71</v>
      </c>
      <c r="B58" s="43">
        <v>5.9434838790990074</v>
      </c>
      <c r="C58" s="22">
        <v>0</v>
      </c>
      <c r="D58" s="36">
        <f>Tabella16[[#This Row],[Percentage of Suppliers - Raw]]/$C$151</f>
        <v>0</v>
      </c>
      <c r="E58" s="23">
        <v>0</v>
      </c>
      <c r="F58" s="40">
        <f>Tabella16[[#This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2">
        <v>0</v>
      </c>
      <c r="D59" s="36">
        <f>Tabella16[[#This Row],[Percentage of Suppliers - Raw]]/$C$151</f>
        <v>0</v>
      </c>
      <c r="E59" s="23">
        <v>0</v>
      </c>
      <c r="F59" s="40">
        <f>Tabella16[[#This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2">
        <v>0</v>
      </c>
      <c r="D60" s="36">
        <f>Tabella16[[#This Row],[Percentage of Suppliers - Raw]]/$C$151</f>
        <v>0</v>
      </c>
      <c r="E60" s="23">
        <v>0</v>
      </c>
      <c r="F60" s="40">
        <f>Tabella16[[#This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2">
        <v>0</v>
      </c>
      <c r="D61" s="36">
        <f>Tabella16[[#This Row],[Percentage of Suppliers - Raw]]/$C$151</f>
        <v>0</v>
      </c>
      <c r="E61" s="23">
        <v>2.9999999999999997E-4</v>
      </c>
      <c r="F61" s="40">
        <f>Tabella16[[#This Row],[Percentage of Supplier''s Facilities - Raw]]/$E$151</f>
        <v>3.0251083997176573E-4</v>
      </c>
    </row>
    <row r="62" spans="1:6" ht="19" x14ac:dyDescent="0.25">
      <c r="A62" s="31" t="s">
        <v>75</v>
      </c>
      <c r="B62" s="43">
        <v>3.6278897079089987</v>
      </c>
      <c r="C62" s="22">
        <v>1.1999999999999999E-3</v>
      </c>
      <c r="D62" s="36">
        <f>Tabella16[[#This Row],[Percentage of Suppliers - Raw]]/$C$151</f>
        <v>1.2381345439537764E-3</v>
      </c>
      <c r="E62" s="23">
        <v>6.9999999999999993E-3</v>
      </c>
      <c r="F62" s="40">
        <f>Tabella16[[#This Row],[Percentage of Supplier''s Facilities - Raw]]/$E$151</f>
        <v>7.0585862660078671E-3</v>
      </c>
    </row>
    <row r="63" spans="1:6" ht="19" x14ac:dyDescent="0.25">
      <c r="A63" s="31" t="s">
        <v>76</v>
      </c>
      <c r="B63" s="43">
        <v>3.3752937482227585</v>
      </c>
      <c r="C63" s="22">
        <v>0</v>
      </c>
      <c r="D63" s="36">
        <f>Tabella16[[#This Row],[Percentage of Suppliers - Raw]]/$C$151</f>
        <v>0</v>
      </c>
      <c r="E63" s="23">
        <v>1E-4</v>
      </c>
      <c r="F63" s="40">
        <f>Tabella16[[#This Row],[Percentage of Supplier''s Facilities - Raw]]/$E$151</f>
        <v>1.0083694665725525E-4</v>
      </c>
    </row>
    <row r="64" spans="1:6" ht="19" x14ac:dyDescent="0.25">
      <c r="A64" s="31" t="s">
        <v>77</v>
      </c>
      <c r="B64" s="43">
        <v>5.0659580961290027</v>
      </c>
      <c r="C64" s="22">
        <v>0.06</v>
      </c>
      <c r="D64" s="36">
        <f>Tabella16[[#This Row],[Percentage of Suppliers - Raw]]/$C$151</f>
        <v>6.1906727197688832E-2</v>
      </c>
      <c r="E64" s="23">
        <v>6.6199999999999995E-2</v>
      </c>
      <c r="F64" s="40">
        <f>Tabella16[[#This Row],[Percentage of Supplier''s Facilities - Raw]]/$E$151</f>
        <v>6.6754058687102977E-2</v>
      </c>
    </row>
    <row r="65" spans="1:6" ht="19" x14ac:dyDescent="0.25">
      <c r="A65" s="31" t="s">
        <v>78</v>
      </c>
      <c r="B65" s="43">
        <v>4.9248047791749228</v>
      </c>
      <c r="C65" s="22">
        <v>3.5999999999999999E-3</v>
      </c>
      <c r="D65" s="36">
        <f>Tabella16[[#This Row],[Percentage of Suppliers - Raw]]/$C$151</f>
        <v>3.71440363186133E-3</v>
      </c>
      <c r="E65" s="23">
        <v>8.1000000000000013E-3</v>
      </c>
      <c r="F65" s="40">
        <f>Tabella16[[#This Row],[Percentage of Supplier''s Facilities - Raw]]/$E$151</f>
        <v>8.1677926792376766E-3</v>
      </c>
    </row>
    <row r="66" spans="1:6" ht="19" x14ac:dyDescent="0.25">
      <c r="A66" s="31" t="s">
        <v>79</v>
      </c>
      <c r="B66" s="43">
        <v>5.8793658240107565</v>
      </c>
      <c r="C66" s="22">
        <v>0</v>
      </c>
      <c r="D66" s="36">
        <f>Tabella16[[#This Row],[Percentage of Suppliers - Raw]]/$C$151</f>
        <v>0</v>
      </c>
      <c r="E66" s="23">
        <v>0</v>
      </c>
      <c r="F66" s="40">
        <f>Tabella16[[#This Row],[Percentage of Supplier''s Facilities - Raw]]/$E$151</f>
        <v>0</v>
      </c>
    </row>
    <row r="67" spans="1:6" ht="19" x14ac:dyDescent="0.25">
      <c r="A67" s="31" t="s">
        <v>80</v>
      </c>
      <c r="B67" s="43">
        <v>6.0491810448870345</v>
      </c>
      <c r="C67" s="22">
        <v>0</v>
      </c>
      <c r="D67" s="36">
        <f>Tabella16[[#This Row],[Percentage of Suppliers - Raw]]/$C$151</f>
        <v>0</v>
      </c>
      <c r="E67" s="23">
        <v>0</v>
      </c>
      <c r="F67" s="40">
        <f>Tabella16[[#This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2">
        <v>3.5999999999999999E-3</v>
      </c>
      <c r="D68" s="36">
        <f>Tabella16[[#This Row],[Percentage of Suppliers - Raw]]/$C$151</f>
        <v>3.71440363186133E-3</v>
      </c>
      <c r="E68" s="23">
        <v>1.1999999999999999E-3</v>
      </c>
      <c r="F68" s="40">
        <f>Tabella16[[#This Row],[Percentage of Supplier''s Facilities - Raw]]/$E$151</f>
        <v>1.2100433598870629E-3</v>
      </c>
    </row>
    <row r="69" spans="1:6" ht="19" x14ac:dyDescent="0.25">
      <c r="A69" s="31" t="s">
        <v>82</v>
      </c>
      <c r="B69" s="43">
        <v>4.6082974679305195</v>
      </c>
      <c r="C69" s="22">
        <v>6.0000000000000001E-3</v>
      </c>
      <c r="D69" s="36">
        <f>Tabella16[[#This Row],[Percentage of Suppliers - Raw]]/$C$151</f>
        <v>6.1906727197688837E-3</v>
      </c>
      <c r="E69" s="23">
        <v>1.1999999999999999E-3</v>
      </c>
      <c r="F69" s="40">
        <f>Tabella16[[#This Row],[Percentage of Supplier''s Facilities - Raw]]/$E$151</f>
        <v>1.2100433598870629E-3</v>
      </c>
    </row>
    <row r="70" spans="1:6" ht="19" x14ac:dyDescent="0.25">
      <c r="A70" s="31" t="s">
        <v>83</v>
      </c>
      <c r="B70" s="43">
        <v>3.8382882812123826</v>
      </c>
      <c r="C70" s="22">
        <v>1.6799999999999999E-2</v>
      </c>
      <c r="D70" s="36">
        <f>Tabella16[[#This Row],[Percentage of Suppliers - Raw]]/$C$151</f>
        <v>1.7333883615352871E-2</v>
      </c>
      <c r="E70" s="23">
        <v>1.77E-2</v>
      </c>
      <c r="F70" s="40">
        <f>Tabella16[[#This Row],[Percentage of Supplier''s Facilities - Raw]]/$E$151</f>
        <v>1.784813955833418E-2</v>
      </c>
    </row>
    <row r="71" spans="1:6" ht="19" x14ac:dyDescent="0.25">
      <c r="A71" s="31" t="s">
        <v>84</v>
      </c>
      <c r="B71" s="43">
        <v>4.7451218036873231</v>
      </c>
      <c r="C71" s="22">
        <v>0</v>
      </c>
      <c r="D71" s="36">
        <f>Tabella16[[#This Row],[Percentage of Suppliers - Raw]]/$C$151</f>
        <v>0</v>
      </c>
      <c r="E71" s="23">
        <v>0</v>
      </c>
      <c r="F71" s="40">
        <f>Tabella16[[#This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2">
        <v>0.06</v>
      </c>
      <c r="D72" s="36">
        <f>Tabella16[[#This Row],[Percentage of Suppliers - Raw]]/$C$151</f>
        <v>6.1906727197688832E-2</v>
      </c>
      <c r="E72" s="23">
        <v>5.6500000000000002E-2</v>
      </c>
      <c r="F72" s="40">
        <f>Tabella16[[#This Row],[Percentage of Supplier''s Facilities - Raw]]/$E$151</f>
        <v>5.6972874861349221E-2</v>
      </c>
    </row>
    <row r="73" spans="1:6" ht="19" x14ac:dyDescent="0.25">
      <c r="A73" s="31" t="s">
        <v>86</v>
      </c>
      <c r="B73" s="43">
        <v>5.1303864841692146</v>
      </c>
      <c r="C73" s="22">
        <v>0</v>
      </c>
      <c r="D73" s="36">
        <f>Tabella16[[#This Row],[Percentage of Suppliers - Raw]]/$C$151</f>
        <v>0</v>
      </c>
      <c r="E73" s="23">
        <v>2.0000000000000001E-4</v>
      </c>
      <c r="F73" s="40">
        <f>Tabella16[[#This Row],[Percentage of Supplier''s Facilities - Raw]]/$E$151</f>
        <v>2.016738933145105E-4</v>
      </c>
    </row>
    <row r="74" spans="1:6" ht="19" x14ac:dyDescent="0.25">
      <c r="A74" s="31" t="s">
        <v>87</v>
      </c>
      <c r="B74" s="43">
        <v>4.5379079915092131</v>
      </c>
      <c r="C74" s="22">
        <v>0</v>
      </c>
      <c r="D74" s="36">
        <f>Tabella16[[#This Row],[Percentage of Suppliers - Raw]]/$C$151</f>
        <v>0</v>
      </c>
      <c r="E74" s="23">
        <v>4.0000000000000002E-4</v>
      </c>
      <c r="F74" s="40">
        <f>Tabella16[[#This Row],[Percentage of Supplier''s Facilities - Raw]]/$E$151</f>
        <v>4.0334778662902101E-4</v>
      </c>
    </row>
    <row r="75" spans="1:6" ht="19" x14ac:dyDescent="0.25">
      <c r="A75" s="31" t="s">
        <v>88</v>
      </c>
      <c r="B75" s="43">
        <v>6.1313349307646918</v>
      </c>
      <c r="C75" s="22">
        <v>0</v>
      </c>
      <c r="D75" s="36">
        <f>Tabella16[[#This Row],[Percentage of Suppliers - Raw]]/$C$151</f>
        <v>0</v>
      </c>
      <c r="E75" s="23">
        <v>2.0000000000000001E-4</v>
      </c>
      <c r="F75" s="40">
        <f>Tabella16[[#This Row],[Percentage of Supplier''s Facilities - Raw]]/$E$151</f>
        <v>2.016738933145105E-4</v>
      </c>
    </row>
    <row r="76" spans="1:6" ht="19" x14ac:dyDescent="0.25">
      <c r="A76" s="31" t="s">
        <v>89</v>
      </c>
      <c r="B76" s="43">
        <v>4.2961051501975707</v>
      </c>
      <c r="C76" s="22">
        <v>0</v>
      </c>
      <c r="D76" s="36">
        <f>Tabella16[[#This Row],[Percentage of Suppliers - Raw]]/$C$151</f>
        <v>0</v>
      </c>
      <c r="E76" s="23">
        <v>0</v>
      </c>
      <c r="F76" s="40">
        <f>Tabella16[[#This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2">
        <v>0</v>
      </c>
      <c r="D77" s="36">
        <f>Tabella16[[#This Row],[Percentage of Suppliers - Raw]]/$C$151</f>
        <v>0</v>
      </c>
      <c r="E77" s="23">
        <v>0</v>
      </c>
      <c r="F77" s="40">
        <f>Tabella16[[#This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2">
        <v>0</v>
      </c>
      <c r="D78" s="36">
        <f>Tabella16[[#This Row],[Percentage of Suppliers - Raw]]/$C$151</f>
        <v>0</v>
      </c>
      <c r="E78" s="23">
        <v>0</v>
      </c>
      <c r="F78" s="40">
        <f>Tabella16[[#This Row],[Percentage of Supplier''s Facilities - Raw]]/$E$151</f>
        <v>0</v>
      </c>
    </row>
    <row r="79" spans="1:6" ht="19" x14ac:dyDescent="0.25">
      <c r="A79" s="31" t="s">
        <v>92</v>
      </c>
      <c r="B79" s="43">
        <v>3.9664492327048539</v>
      </c>
      <c r="C79" s="22">
        <v>0</v>
      </c>
      <c r="D79" s="36">
        <f>Tabella16[[#This Row],[Percentage of Suppliers - Raw]]/$C$151</f>
        <v>0</v>
      </c>
      <c r="E79" s="23">
        <v>2.9999999999999997E-4</v>
      </c>
      <c r="F79" s="40">
        <f>Tabella16[[#This Row],[Percentage of Supplier''s Facilities - Raw]]/$E$151</f>
        <v>3.0251083997176573E-4</v>
      </c>
    </row>
    <row r="80" spans="1:6" ht="19" x14ac:dyDescent="0.25">
      <c r="A80" s="31" t="s">
        <v>93</v>
      </c>
      <c r="B80" s="43">
        <v>6.1238543404169867</v>
      </c>
      <c r="C80" s="22">
        <v>0</v>
      </c>
      <c r="D80" s="36">
        <f>Tabella16[[#This Row],[Percentage of Suppliers - Raw]]/$C$151</f>
        <v>0</v>
      </c>
      <c r="E80" s="23">
        <v>0</v>
      </c>
      <c r="F80" s="40">
        <f>Tabella16[[#This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2">
        <v>0</v>
      </c>
      <c r="D81" s="36">
        <f>Tabella16[[#This Row],[Percentage of Suppliers - Raw]]/$C$151</f>
        <v>0</v>
      </c>
      <c r="E81" s="23">
        <v>1E-4</v>
      </c>
      <c r="F81" s="40">
        <f>Tabella16[[#This Row],[Percentage of Supplier''s Facilities - Raw]]/$E$151</f>
        <v>1.0083694665725525E-4</v>
      </c>
    </row>
    <row r="82" spans="1:6" ht="19" x14ac:dyDescent="0.25">
      <c r="A82" s="31" t="s">
        <v>95</v>
      </c>
      <c r="B82" s="43">
        <v>5.9675040107987867</v>
      </c>
      <c r="C82" s="22">
        <v>0</v>
      </c>
      <c r="D82" s="36">
        <f>Tabella16[[#This Row],[Percentage of Suppliers - Raw]]/$C$151</f>
        <v>0</v>
      </c>
      <c r="E82" s="23">
        <v>0</v>
      </c>
      <c r="F82" s="40">
        <f>Tabella16[[#This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2">
        <v>0</v>
      </c>
      <c r="D83" s="36">
        <f>Tabella16[[#This Row],[Percentage of Suppliers - Raw]]/$C$151</f>
        <v>0</v>
      </c>
      <c r="E83" s="23">
        <v>1E-4</v>
      </c>
      <c r="F83" s="40">
        <f>Tabella16[[#This Row],[Percentage of Supplier''s Facilities - Raw]]/$E$151</f>
        <v>1.0083694665725525E-4</v>
      </c>
    </row>
    <row r="84" spans="1:6" ht="19" x14ac:dyDescent="0.25">
      <c r="A84" s="31" t="s">
        <v>97</v>
      </c>
      <c r="B84" s="43">
        <v>3.9263549476589308</v>
      </c>
      <c r="C84" s="22">
        <v>0</v>
      </c>
      <c r="D84" s="36">
        <f>Tabella16[[#This Row],[Percentage of Suppliers - Raw]]/$C$151</f>
        <v>0</v>
      </c>
      <c r="E84" s="23">
        <v>7.000000000000001E-4</v>
      </c>
      <c r="F84" s="40">
        <f>Tabella16[[#This Row],[Percentage of Supplier''s Facilities - Raw]]/$E$151</f>
        <v>7.0585862660078685E-4</v>
      </c>
    </row>
    <row r="85" spans="1:6" ht="19" x14ac:dyDescent="0.25">
      <c r="A85" s="31" t="s">
        <v>98</v>
      </c>
      <c r="B85" s="43">
        <v>5.8210372928345899</v>
      </c>
      <c r="C85" s="22">
        <v>0</v>
      </c>
      <c r="D85" s="36">
        <f>Tabella16[[#This Row],[Percentage of Suppliers - Raw]]/$C$151</f>
        <v>0</v>
      </c>
      <c r="E85" s="23">
        <v>1E-4</v>
      </c>
      <c r="F85" s="40">
        <f>Tabella16[[#This Row],[Percentage of Supplier''s Facilities - Raw]]/$E$151</f>
        <v>1.0083694665725525E-4</v>
      </c>
    </row>
    <row r="86" spans="1:6" ht="19" x14ac:dyDescent="0.25">
      <c r="A86" s="31" t="s">
        <v>99</v>
      </c>
      <c r="B86" s="43">
        <v>5.5779364438856991</v>
      </c>
      <c r="C86" s="22">
        <v>0</v>
      </c>
      <c r="D86" s="36">
        <f>Tabella16[[#This Row],[Percentage of Suppliers - Raw]]/$C$151</f>
        <v>0</v>
      </c>
      <c r="E86" s="23">
        <v>0</v>
      </c>
      <c r="F86" s="40">
        <f>Tabella16[[#This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2">
        <v>2.3999999999999998E-3</v>
      </c>
      <c r="D87" s="36">
        <f>Tabella16[[#This Row],[Percentage of Suppliers - Raw]]/$C$151</f>
        <v>2.4762690879075529E-3</v>
      </c>
      <c r="E87" s="23">
        <v>1.01E-2</v>
      </c>
      <c r="F87" s="40">
        <f>Tabella16[[#This Row],[Percentage of Supplier''s Facilities - Raw]]/$E$151</f>
        <v>1.018453161238278E-2</v>
      </c>
    </row>
    <row r="88" spans="1:6" ht="19" x14ac:dyDescent="0.25">
      <c r="A88" s="31" t="s">
        <v>101</v>
      </c>
      <c r="B88" s="43">
        <v>7.1049758774245326</v>
      </c>
      <c r="C88" s="22">
        <v>0</v>
      </c>
      <c r="D88" s="36">
        <f>Tabella16[[#This Row],[Percentage of Suppliers - Raw]]/$C$151</f>
        <v>0</v>
      </c>
      <c r="E88" s="23">
        <v>2.0000000000000001E-4</v>
      </c>
      <c r="F88" s="40">
        <f>Tabella16[[#This Row],[Percentage of Supplier''s Facilities - Raw]]/$E$151</f>
        <v>2.016738933145105E-4</v>
      </c>
    </row>
    <row r="89" spans="1:6" ht="19" x14ac:dyDescent="0.25">
      <c r="A89" s="31" t="s">
        <v>102</v>
      </c>
      <c r="B89" s="43">
        <v>6.2753028505143282</v>
      </c>
      <c r="C89" s="22">
        <v>0</v>
      </c>
      <c r="D89" s="36">
        <f>Tabella16[[#This Row],[Percentage of Suppliers - Raw]]/$C$151</f>
        <v>0</v>
      </c>
      <c r="E89" s="23">
        <v>1E-4</v>
      </c>
      <c r="F89" s="40">
        <f>Tabella16[[#This Row],[Percentage of Supplier''s Facilities - Raw]]/$E$151</f>
        <v>1.0083694665725525E-4</v>
      </c>
    </row>
    <row r="90" spans="1:6" ht="19" x14ac:dyDescent="0.25">
      <c r="A90" s="31" t="s">
        <v>103</v>
      </c>
      <c r="B90" s="43">
        <v>3.4654790256975891</v>
      </c>
      <c r="C90" s="22">
        <v>0</v>
      </c>
      <c r="D90" s="36">
        <f>Tabella16[[#This Row],[Percentage of Suppliers - Raw]]/$C$151</f>
        <v>0</v>
      </c>
      <c r="E90" s="23">
        <v>0</v>
      </c>
      <c r="F90" s="40">
        <f>Tabella16[[#This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2">
        <v>1.2E-2</v>
      </c>
      <c r="D91" s="36">
        <f>Tabella16[[#This Row],[Percentage of Suppliers - Raw]]/$C$151</f>
        <v>1.2381345439537767E-2</v>
      </c>
      <c r="E91" s="23">
        <v>4.0300000000000002E-2</v>
      </c>
      <c r="F91" s="40">
        <f>Tabella16[[#This Row],[Percentage of Supplier''s Facilities - Raw]]/$E$151</f>
        <v>4.0637289502873868E-2</v>
      </c>
    </row>
    <row r="92" spans="1:6" ht="19" x14ac:dyDescent="0.25">
      <c r="A92" s="31" t="s">
        <v>105</v>
      </c>
      <c r="B92" s="43">
        <v>5.1376667464547303</v>
      </c>
      <c r="C92" s="22">
        <v>0</v>
      </c>
      <c r="D92" s="36">
        <f>Tabella16[[#This Row],[Percentage of Suppliers - Raw]]/$C$151</f>
        <v>0</v>
      </c>
      <c r="E92" s="23">
        <v>0</v>
      </c>
      <c r="F92" s="40">
        <f>Tabella16[[#This Row],[Percentage of Supplier''s Facilities - Raw]]/$E$151</f>
        <v>0</v>
      </c>
    </row>
    <row r="93" spans="1:6" ht="19" x14ac:dyDescent="0.25">
      <c r="A93" s="31" t="s">
        <v>106</v>
      </c>
      <c r="B93" s="43">
        <v>4.6510069196773065</v>
      </c>
      <c r="C93" s="22">
        <v>0</v>
      </c>
      <c r="D93" s="36">
        <f>Tabella16[[#This Row],[Percentage of Suppliers - Raw]]/$C$151</f>
        <v>0</v>
      </c>
      <c r="E93" s="23">
        <v>1E-4</v>
      </c>
      <c r="F93" s="40">
        <f>Tabella16[[#This Row],[Percentage of Supplier''s Facilities - Raw]]/$E$151</f>
        <v>1.0083694665725525E-4</v>
      </c>
    </row>
    <row r="94" spans="1:6" ht="19" x14ac:dyDescent="0.25">
      <c r="A94" s="31" t="s">
        <v>107</v>
      </c>
      <c r="B94" s="43">
        <v>5.1009280794553211</v>
      </c>
      <c r="C94" s="22">
        <v>0</v>
      </c>
      <c r="D94" s="36">
        <f>Tabella16[[#This Row],[Percentage of Suppliers - Raw]]/$C$151</f>
        <v>0</v>
      </c>
      <c r="E94" s="23">
        <v>2.7000000000000001E-3</v>
      </c>
      <c r="F94" s="40">
        <f>Tabella16[[#This Row],[Percentage of Supplier''s Facilities - Raw]]/$E$151</f>
        <v>2.7225975597458918E-3</v>
      </c>
    </row>
    <row r="95" spans="1:6" ht="19" x14ac:dyDescent="0.25">
      <c r="A95" s="31" t="s">
        <v>108</v>
      </c>
      <c r="B95" s="43">
        <v>6.2957088620382402</v>
      </c>
      <c r="C95" s="22">
        <v>0</v>
      </c>
      <c r="D95" s="36">
        <f>Tabella16[[#This Row],[Percentage of Suppliers - Raw]]/$C$151</f>
        <v>0</v>
      </c>
      <c r="E95" s="23">
        <v>2.0000000000000001E-4</v>
      </c>
      <c r="F95" s="40">
        <f>Tabella16[[#This Row],[Percentage of Supplier''s Facilities - Raw]]/$E$151</f>
        <v>2.016738933145105E-4</v>
      </c>
    </row>
    <row r="96" spans="1:6" ht="19" x14ac:dyDescent="0.25">
      <c r="A96" s="31" t="s">
        <v>109</v>
      </c>
      <c r="B96" s="43">
        <v>4.6400800634309949</v>
      </c>
      <c r="C96" s="22">
        <v>0</v>
      </c>
      <c r="D96" s="36">
        <f>Tabella16[[#This Row],[Percentage of Suppliers - Raw]]/$C$151</f>
        <v>0</v>
      </c>
      <c r="E96" s="23">
        <v>2.0000000000000001E-4</v>
      </c>
      <c r="F96" s="40">
        <f>Tabella16[[#This Row],[Percentage of Supplier''s Facilities - Raw]]/$E$151</f>
        <v>2.016738933145105E-4</v>
      </c>
    </row>
    <row r="97" spans="1:6" ht="19" x14ac:dyDescent="0.25">
      <c r="A97" s="31" t="s">
        <v>110</v>
      </c>
      <c r="B97" s="43">
        <v>5.7812106231736005</v>
      </c>
      <c r="C97" s="22">
        <v>0</v>
      </c>
      <c r="D97" s="36">
        <f>Tabella16[[#This Row],[Percentage of Suppliers - Raw]]/$C$151</f>
        <v>0</v>
      </c>
      <c r="E97" s="23">
        <v>0</v>
      </c>
      <c r="F97" s="40">
        <f>Tabella16[[#This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2">
        <v>8.3999999999999995E-3</v>
      </c>
      <c r="D98" s="36">
        <f>Tabella16[[#This Row],[Percentage of Suppliers - Raw]]/$C$151</f>
        <v>8.6669418076764353E-3</v>
      </c>
      <c r="E98" s="23">
        <v>9.0000000000000011E-3</v>
      </c>
      <c r="F98" s="40">
        <f>Tabella16[[#This Row],[Percentage of Supplier''s Facilities - Raw]]/$E$151</f>
        <v>9.075325199152974E-3</v>
      </c>
    </row>
    <row r="99" spans="1:6" ht="19" x14ac:dyDescent="0.25">
      <c r="A99" s="31" t="s">
        <v>112</v>
      </c>
      <c r="B99" s="43">
        <v>3.3163390659638341</v>
      </c>
      <c r="C99" s="22">
        <v>1.1999999999999999E-3</v>
      </c>
      <c r="D99" s="36">
        <f>Tabella16[[#This Row],[Percentage of Suppliers - Raw]]/$C$151</f>
        <v>1.2381345439537764E-3</v>
      </c>
      <c r="E99" s="23">
        <v>1.1000000000000001E-3</v>
      </c>
      <c r="F99" s="40">
        <f>Tabella16[[#This Row],[Percentage of Supplier''s Facilities - Raw]]/$E$151</f>
        <v>1.1092064132298077E-3</v>
      </c>
    </row>
    <row r="100" spans="1:6" ht="19" x14ac:dyDescent="0.25">
      <c r="A100" s="31" t="s">
        <v>113</v>
      </c>
      <c r="B100" s="43">
        <v>5.8020732010296063</v>
      </c>
      <c r="C100" s="22">
        <v>0</v>
      </c>
      <c r="D100" s="36">
        <f>Tabella16[[#This Row],[Percentage of Suppliers - Raw]]/$C$151</f>
        <v>0</v>
      </c>
      <c r="E100" s="23">
        <v>2.0000000000000001E-4</v>
      </c>
      <c r="F100" s="40">
        <f>Tabella16[[#This Row],[Percentage of Supplier''s Facilities - Raw]]/$E$151</f>
        <v>2.016738933145105E-4</v>
      </c>
    </row>
    <row r="101" spans="1:6" ht="19" x14ac:dyDescent="0.25">
      <c r="A101" s="31" t="s">
        <v>114</v>
      </c>
      <c r="B101" s="43">
        <v>7.0685249610665801</v>
      </c>
      <c r="C101" s="22">
        <v>0</v>
      </c>
      <c r="D101" s="36">
        <f>Tabella16[[#This Row],[Percentage of Suppliers - Raw]]/$C$151</f>
        <v>0</v>
      </c>
      <c r="E101" s="23">
        <v>0</v>
      </c>
      <c r="F101" s="40">
        <f>Tabella16[[#This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2">
        <v>0</v>
      </c>
      <c r="D102" s="36">
        <f>Tabella16[[#This Row],[Percentage of Suppliers - Raw]]/$C$151</f>
        <v>0</v>
      </c>
      <c r="E102" s="23">
        <v>4.0000000000000002E-4</v>
      </c>
      <c r="F102" s="40">
        <f>Tabella16[[#This Row],[Percentage of Supplier''s Facilities - Raw]]/$E$151</f>
        <v>4.0334778662902101E-4</v>
      </c>
    </row>
    <row r="103" spans="1:6" ht="19" x14ac:dyDescent="0.25">
      <c r="A103" s="31" t="s">
        <v>116</v>
      </c>
      <c r="B103" s="43">
        <v>4.1624840904381539</v>
      </c>
      <c r="C103" s="22">
        <v>0</v>
      </c>
      <c r="D103" s="36">
        <f>Tabella16[[#This Row],[Percentage of Suppliers - Raw]]/$C$151</f>
        <v>0</v>
      </c>
      <c r="E103" s="23">
        <v>7.000000000000001E-4</v>
      </c>
      <c r="F103" s="40">
        <f>Tabella16[[#This Row],[Percentage of Supplier''s Facilities - Raw]]/$E$151</f>
        <v>7.0585862660078685E-4</v>
      </c>
    </row>
    <row r="104" spans="1:6" ht="19" x14ac:dyDescent="0.25">
      <c r="A104" s="31" t="s">
        <v>117</v>
      </c>
      <c r="B104" s="43">
        <v>3.3787152608913655</v>
      </c>
      <c r="C104" s="22">
        <v>6.0000000000000001E-3</v>
      </c>
      <c r="D104" s="36">
        <f>Tabella16[[#This Row],[Percentage of Suppliers - Raw]]/$C$151</f>
        <v>6.1906727197688837E-3</v>
      </c>
      <c r="E104" s="23">
        <v>2.7000000000000001E-3</v>
      </c>
      <c r="F104" s="40">
        <f>Tabella16[[#This Row],[Percentage of Supplier''s Facilities - Raw]]/$E$151</f>
        <v>2.7225975597458918E-3</v>
      </c>
    </row>
    <row r="105" spans="1:6" ht="19" x14ac:dyDescent="0.25">
      <c r="A105" s="31" t="s">
        <v>118</v>
      </c>
      <c r="B105" s="43">
        <v>4.0162254988757935</v>
      </c>
      <c r="C105" s="22">
        <v>1.1999999999999999E-3</v>
      </c>
      <c r="D105" s="36">
        <f>Tabella16[[#This Row],[Percentage of Suppliers - Raw]]/$C$151</f>
        <v>1.2381345439537764E-3</v>
      </c>
      <c r="E105" s="23">
        <v>2.9999999999999997E-4</v>
      </c>
      <c r="F105" s="40">
        <f>Tabella16[[#This Row],[Percentage of Supplier''s Facilities - Raw]]/$E$151</f>
        <v>3.0251083997176573E-4</v>
      </c>
    </row>
    <row r="106" spans="1:6" ht="19" x14ac:dyDescent="0.25">
      <c r="A106" s="31" t="s">
        <v>119</v>
      </c>
      <c r="B106" s="43">
        <v>6.648668082818161</v>
      </c>
      <c r="C106" s="22">
        <v>0</v>
      </c>
      <c r="D106" s="36">
        <f>Tabella16[[#This Row],[Percentage of Suppliers - Raw]]/$C$151</f>
        <v>0</v>
      </c>
      <c r="E106" s="23">
        <v>5.0000000000000001E-4</v>
      </c>
      <c r="F106" s="40">
        <f>Tabella16[[#This Row],[Percentage of Supplier''s Facilities - Raw]]/$E$151</f>
        <v>5.0418473328627629E-4</v>
      </c>
    </row>
    <row r="107" spans="1:6" ht="19" x14ac:dyDescent="0.25">
      <c r="A107" s="31" t="s">
        <v>120</v>
      </c>
      <c r="B107" s="43">
        <v>4.5635733416096631</v>
      </c>
      <c r="C107" s="22">
        <v>0</v>
      </c>
      <c r="D107" s="36">
        <f>Tabella16[[#This Row],[Percentage of Suppliers - Raw]]/$C$151</f>
        <v>0</v>
      </c>
      <c r="E107" s="23">
        <v>4.0000000000000002E-4</v>
      </c>
      <c r="F107" s="40">
        <f>Tabella16[[#This Row],[Percentage of Supplier''s Facilities - Raw]]/$E$151</f>
        <v>4.0334778662902101E-4</v>
      </c>
    </row>
    <row r="108" spans="1:6" ht="19" x14ac:dyDescent="0.25">
      <c r="A108" s="31" t="s">
        <v>121</v>
      </c>
      <c r="B108" s="43">
        <v>5.3398873222843388</v>
      </c>
      <c r="C108" s="22">
        <v>0</v>
      </c>
      <c r="D108" s="36">
        <f>Tabella16[[#This Row],[Percentage of Suppliers - Raw]]/$C$151</f>
        <v>0</v>
      </c>
      <c r="E108" s="23">
        <v>0</v>
      </c>
      <c r="F108" s="40">
        <f>Tabella16[[#This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2">
        <v>0</v>
      </c>
      <c r="D109" s="36">
        <f>Tabella16[[#This Row],[Percentage of Suppliers - Raw]]/$C$151</f>
        <v>0</v>
      </c>
      <c r="E109" s="23">
        <v>2.0000000000000001E-4</v>
      </c>
      <c r="F109" s="40">
        <f>Tabella16[[#This Row],[Percentage of Supplier''s Facilities - Raw]]/$E$151</f>
        <v>2.016738933145105E-4</v>
      </c>
    </row>
    <row r="110" spans="1:6" ht="19" x14ac:dyDescent="0.25">
      <c r="A110" s="31" t="s">
        <v>123</v>
      </c>
      <c r="B110" s="43">
        <v>5.2817219635350439</v>
      </c>
      <c r="C110" s="22">
        <v>0</v>
      </c>
      <c r="D110" s="36">
        <f>Tabella16[[#This Row],[Percentage of Suppliers - Raw]]/$C$151</f>
        <v>0</v>
      </c>
      <c r="E110" s="23">
        <v>8.0000000000000004E-4</v>
      </c>
      <c r="F110" s="40">
        <f>Tabella16[[#This Row],[Percentage of Supplier''s Facilities - Raw]]/$E$151</f>
        <v>8.0669557325804202E-4</v>
      </c>
    </row>
    <row r="111" spans="1:6" ht="19" x14ac:dyDescent="0.25">
      <c r="A111" s="31" t="s">
        <v>124</v>
      </c>
      <c r="B111" s="43">
        <v>5.8016442493647551</v>
      </c>
      <c r="C111" s="22">
        <v>0</v>
      </c>
      <c r="D111" s="36">
        <f>Tabella16[[#This Row],[Percentage of Suppliers - Raw]]/$C$151</f>
        <v>0</v>
      </c>
      <c r="E111" s="23">
        <v>3.8E-3</v>
      </c>
      <c r="F111" s="40">
        <f>Tabella16[[#This Row],[Percentage of Supplier''s Facilities - Raw]]/$E$151</f>
        <v>3.8318039729756995E-3</v>
      </c>
    </row>
    <row r="112" spans="1:6" ht="19" x14ac:dyDescent="0.25">
      <c r="A112" s="31" t="s">
        <v>125</v>
      </c>
      <c r="B112" s="43">
        <v>4.1502930814875194</v>
      </c>
      <c r="C112" s="22">
        <v>2.3999999999999998E-3</v>
      </c>
      <c r="D112" s="36">
        <f>Tabella16[[#This Row],[Percentage of Suppliers - Raw]]/$C$151</f>
        <v>2.4762690879075529E-3</v>
      </c>
      <c r="E112" s="23">
        <v>1.43E-2</v>
      </c>
      <c r="F112" s="40">
        <f>Tabella16[[#This Row],[Percentage of Supplier''s Facilities - Raw]]/$E$151</f>
        <v>1.4419683371987501E-2</v>
      </c>
    </row>
    <row r="113" spans="1:6" ht="19" x14ac:dyDescent="0.25">
      <c r="A113" s="31" t="s">
        <v>126</v>
      </c>
      <c r="B113" s="43">
        <v>3.4281858950270068</v>
      </c>
      <c r="C113" s="22">
        <v>2.3999999999999998E-3</v>
      </c>
      <c r="D113" s="36">
        <f>Tabella16[[#This Row],[Percentage of Suppliers - Raw]]/$C$151</f>
        <v>2.4762690879075529E-3</v>
      </c>
      <c r="E113" s="23">
        <v>3.3E-3</v>
      </c>
      <c r="F113" s="40">
        <f>Tabella16[[#This Row],[Percentage of Supplier''s Facilities - Raw]]/$E$151</f>
        <v>3.3276192396894232E-3</v>
      </c>
    </row>
    <row r="114" spans="1:6" ht="19" x14ac:dyDescent="0.25">
      <c r="A114" s="31" t="s">
        <v>127</v>
      </c>
      <c r="B114" s="43">
        <v>3.1959809471990606</v>
      </c>
      <c r="C114" s="22">
        <v>1.1999999999999999E-3</v>
      </c>
      <c r="D114" s="36">
        <f>Tabella16[[#This Row],[Percentage of Suppliers - Raw]]/$C$151</f>
        <v>1.2381345439537764E-3</v>
      </c>
      <c r="E114" s="23">
        <v>2.0000000000000001E-4</v>
      </c>
      <c r="F114" s="40">
        <f>Tabella16[[#This Row],[Percentage of Supplier''s Facilities - Raw]]/$E$151</f>
        <v>2.016738933145105E-4</v>
      </c>
    </row>
    <row r="115" spans="1:6" ht="19" x14ac:dyDescent="0.25">
      <c r="A115" s="31" t="s">
        <v>128</v>
      </c>
      <c r="B115" s="43">
        <v>4.0482582591129548</v>
      </c>
      <c r="C115" s="22">
        <v>0</v>
      </c>
      <c r="D115" s="36">
        <f>Tabella16[[#This Row],[Percentage of Suppliers - Raw]]/$C$151</f>
        <v>0</v>
      </c>
      <c r="E115" s="23">
        <v>6.0000000000000001E-3</v>
      </c>
      <c r="F115" s="40">
        <f>Tabella16[[#This Row],[Percentage of Supplier''s Facilities - Raw]]/$E$151</f>
        <v>6.0502167994353154E-3</v>
      </c>
    </row>
    <row r="116" spans="1:6" ht="19" x14ac:dyDescent="0.25">
      <c r="A116" s="31" t="s">
        <v>129</v>
      </c>
      <c r="B116" s="43">
        <v>5.9582623064002229</v>
      </c>
      <c r="C116" s="22">
        <v>0</v>
      </c>
      <c r="D116" s="36">
        <f>Tabella16[[#This Row],[Percentage of Suppliers - Raw]]/$C$151</f>
        <v>0</v>
      </c>
      <c r="E116" s="23">
        <v>2.3E-3</v>
      </c>
      <c r="F116" s="40">
        <f>Tabella16[[#This Row],[Percentage of Supplier''s Facilities - Raw]]/$E$151</f>
        <v>2.3192497731168707E-3</v>
      </c>
    </row>
    <row r="117" spans="1:6" ht="19" x14ac:dyDescent="0.25">
      <c r="A117" s="31" t="s">
        <v>130</v>
      </c>
      <c r="B117" s="43">
        <v>5.4717687502053103</v>
      </c>
      <c r="C117" s="22">
        <v>0</v>
      </c>
      <c r="D117" s="36">
        <f>Tabella16[[#This Row],[Percentage of Suppliers - Raw]]/$C$151</f>
        <v>0</v>
      </c>
      <c r="E117" s="23">
        <v>0</v>
      </c>
      <c r="F117" s="40">
        <f>Tabella16[[#This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2">
        <v>0</v>
      </c>
      <c r="D118" s="36">
        <f>Tabella16[[#This Row],[Percentage of Suppliers - Raw]]/$C$151</f>
        <v>0</v>
      </c>
      <c r="E118" s="23">
        <v>1.8E-3</v>
      </c>
      <c r="F118" s="40">
        <f>Tabella16[[#This Row],[Percentage of Supplier''s Facilities - Raw]]/$E$151</f>
        <v>1.8150650398305944E-3</v>
      </c>
    </row>
    <row r="119" spans="1:6" ht="19" x14ac:dyDescent="0.25">
      <c r="A119" s="31" t="s">
        <v>132</v>
      </c>
      <c r="B119" s="43">
        <v>5.3961053213656953</v>
      </c>
      <c r="C119" s="22">
        <v>0</v>
      </c>
      <c r="D119" s="36">
        <f>Tabella16[[#This Row],[Percentage of Suppliers - Raw]]/$C$151</f>
        <v>0</v>
      </c>
      <c r="E119" s="23">
        <v>2.9999999999999997E-4</v>
      </c>
      <c r="F119" s="40">
        <f>Tabella16[[#This Row],[Percentage of Supplier''s Facilities - Raw]]/$E$151</f>
        <v>3.0251083997176573E-4</v>
      </c>
    </row>
    <row r="120" spans="1:6" ht="19" x14ac:dyDescent="0.25">
      <c r="A120" s="31" t="s">
        <v>133</v>
      </c>
      <c r="B120" s="43">
        <v>5.0353573500743858</v>
      </c>
      <c r="C120" s="22">
        <v>0</v>
      </c>
      <c r="D120" s="36">
        <f>Tabella16[[#This Row],[Percentage of Suppliers - Raw]]/$C$151</f>
        <v>0</v>
      </c>
      <c r="E120" s="23">
        <v>2.0999999999999999E-3</v>
      </c>
      <c r="F120" s="40">
        <f>Tabella16[[#This Row],[Percentage of Supplier''s Facilities - Raw]]/$E$151</f>
        <v>2.1175758798023603E-3</v>
      </c>
    </row>
    <row r="121" spans="1:6" ht="19" x14ac:dyDescent="0.25">
      <c r="A121" s="31" t="s">
        <v>134</v>
      </c>
      <c r="B121" s="43">
        <v>5.6408231615395454</v>
      </c>
      <c r="C121" s="22">
        <v>0</v>
      </c>
      <c r="D121" s="36">
        <f>Tabella16[[#This Row],[Percentage of Suppliers - Raw]]/$C$151</f>
        <v>0</v>
      </c>
      <c r="E121" s="23">
        <v>0</v>
      </c>
      <c r="F121" s="40">
        <f>Tabella16[[#This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2">
        <v>3.5999999999999999E-3</v>
      </c>
      <c r="D122" s="36">
        <f>Tabella16[[#This Row],[Percentage of Suppliers - Raw]]/$C$151</f>
        <v>3.71440363186133E-3</v>
      </c>
      <c r="E122" s="23">
        <v>4.5999999999999999E-3</v>
      </c>
      <c r="F122" s="40">
        <f>Tabella16[[#This Row],[Percentage of Supplier''s Facilities - Raw]]/$E$151</f>
        <v>4.6384995462337413E-3</v>
      </c>
    </row>
    <row r="123" spans="1:6" ht="19" x14ac:dyDescent="0.25">
      <c r="A123" s="31" t="s">
        <v>136</v>
      </c>
      <c r="B123" s="43">
        <v>3.791880207241451</v>
      </c>
      <c r="C123" s="22">
        <v>0</v>
      </c>
      <c r="D123" s="36">
        <f>Tabella16[[#This Row],[Percentage of Suppliers - Raw]]/$C$151</f>
        <v>0</v>
      </c>
      <c r="E123" s="23">
        <v>5.0000000000000001E-3</v>
      </c>
      <c r="F123" s="40">
        <f>Tabella16[[#This Row],[Percentage of Supplier''s Facilities - Raw]]/$E$151</f>
        <v>5.0418473328627629E-3</v>
      </c>
    </row>
    <row r="124" spans="1:6" ht="19" x14ac:dyDescent="0.25">
      <c r="A124" s="31" t="s">
        <v>137</v>
      </c>
      <c r="B124" s="43">
        <v>3.4781584832038352</v>
      </c>
      <c r="C124" s="22">
        <v>0</v>
      </c>
      <c r="D124" s="36">
        <f>Tabella16[[#This Row],[Percentage of Suppliers - Raw]]/$C$151</f>
        <v>0</v>
      </c>
      <c r="E124" s="23">
        <v>1.1999999999999999E-3</v>
      </c>
      <c r="F124" s="40">
        <f>Tabella16[[#This Row],[Percentage of Supplier''s Facilities - Raw]]/$E$151</f>
        <v>1.2100433598870629E-3</v>
      </c>
    </row>
    <row r="125" spans="1:6" ht="19" x14ac:dyDescent="0.25">
      <c r="A125" s="31" t="s">
        <v>138</v>
      </c>
      <c r="B125" s="43">
        <v>5.2224005392752639</v>
      </c>
      <c r="C125" s="22">
        <v>4.7999999999999996E-3</v>
      </c>
      <c r="D125" s="36">
        <f>Tabella16[[#This Row],[Percentage of Suppliers - Raw]]/$C$151</f>
        <v>4.9525381758151058E-3</v>
      </c>
      <c r="E125" s="23">
        <v>7.0999999999999995E-3</v>
      </c>
      <c r="F125" s="40">
        <f>Tabella16[[#This Row],[Percentage of Supplier''s Facilities - Raw]]/$E$151</f>
        <v>7.1594232126651223E-3</v>
      </c>
    </row>
    <row r="126" spans="1:6" ht="19" x14ac:dyDescent="0.25">
      <c r="A126" s="31" t="s">
        <v>139</v>
      </c>
      <c r="B126" s="43">
        <v>3.5667851803481079</v>
      </c>
      <c r="C126" s="22">
        <v>8.9899999999999994E-2</v>
      </c>
      <c r="D126" s="36">
        <f>Tabella16[[#This Row],[Percentage of Suppliers - Raw]]/$C$151</f>
        <v>9.2756912917870429E-2</v>
      </c>
      <c r="E126" s="23">
        <v>3.2899999999999999E-2</v>
      </c>
      <c r="F126" s="40">
        <f>Tabella16[[#This Row],[Percentage of Supplier''s Facilities - Raw]]/$E$151</f>
        <v>3.3175355450236976E-2</v>
      </c>
    </row>
    <row r="127" spans="1:6" ht="19" x14ac:dyDescent="0.25">
      <c r="A127" s="31" t="s">
        <v>140</v>
      </c>
      <c r="B127" s="43">
        <v>3.7006443947932954</v>
      </c>
      <c r="C127" s="22">
        <v>1.44E-2</v>
      </c>
      <c r="D127" s="36">
        <f>Tabella16[[#This Row],[Percentage of Suppliers - Raw]]/$C$151</f>
        <v>1.485761452744532E-2</v>
      </c>
      <c r="E127" s="23">
        <v>2.0299999999999999E-2</v>
      </c>
      <c r="F127" s="40">
        <f>Tabella16[[#This Row],[Percentage of Supplier''s Facilities - Raw]]/$E$151</f>
        <v>2.0469900171422813E-2</v>
      </c>
    </row>
    <row r="128" spans="1:6" ht="19" x14ac:dyDescent="0.25">
      <c r="A128" s="32" t="s">
        <v>141</v>
      </c>
      <c r="B128" s="43">
        <v>5.1109914616879202</v>
      </c>
      <c r="C128" s="22">
        <v>0</v>
      </c>
      <c r="D128" s="36">
        <f>Tabella16[[#This Row],[Percentage of Suppliers - Raw]]/$C$151</f>
        <v>0</v>
      </c>
      <c r="E128" s="23">
        <v>5.9999999999999995E-4</v>
      </c>
      <c r="F128" s="40">
        <f>Tabella16[[#This Row],[Percentage of Supplier''s Facilities - Raw]]/$E$151</f>
        <v>6.0502167994353146E-4</v>
      </c>
    </row>
    <row r="129" spans="1:6" ht="19" x14ac:dyDescent="0.25">
      <c r="A129" s="31" t="s">
        <v>142</v>
      </c>
      <c r="B129" s="43">
        <v>7.0987237940608701</v>
      </c>
      <c r="C129" s="22">
        <v>0</v>
      </c>
      <c r="D129" s="36">
        <f>Tabella16[[#This Row],[Percentage of Suppliers - Raw]]/$C$151</f>
        <v>0</v>
      </c>
      <c r="E129" s="23">
        <v>0</v>
      </c>
      <c r="F129" s="40">
        <f>Tabella16[[#This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2">
        <v>1.6799999999999999E-2</v>
      </c>
      <c r="D130" s="36">
        <f>Tabella16[[#This Row],[Percentage of Suppliers - Raw]]/$C$151</f>
        <v>1.7333883615352871E-2</v>
      </c>
      <c r="E130" s="23">
        <v>7.6E-3</v>
      </c>
      <c r="F130" s="40">
        <f>Tabella16[[#This Row],[Percentage of Supplier''s Facilities - Raw]]/$E$151</f>
        <v>7.663607945951399E-3</v>
      </c>
    </row>
    <row r="131" spans="1:6" ht="19" x14ac:dyDescent="0.25">
      <c r="A131" s="31" t="s">
        <v>144</v>
      </c>
      <c r="B131" s="43">
        <v>2.7770010876672497</v>
      </c>
      <c r="C131" s="22">
        <v>0</v>
      </c>
      <c r="D131" s="36">
        <f>Tabella16[[#This Row],[Percentage of Suppliers - Raw]]/$C$151</f>
        <v>0</v>
      </c>
      <c r="E131" s="23">
        <v>6.8000000000000005E-3</v>
      </c>
      <c r="F131" s="40">
        <f>Tabella16[[#This Row],[Percentage of Supplier''s Facilities - Raw]]/$E$151</f>
        <v>6.8569123726933577E-3</v>
      </c>
    </row>
    <row r="132" spans="1:6" ht="19" x14ac:dyDescent="0.25">
      <c r="A132" s="31" t="s">
        <v>145</v>
      </c>
      <c r="B132" s="43">
        <v>7.3330533031040499</v>
      </c>
      <c r="C132" s="22">
        <v>0</v>
      </c>
      <c r="D132" s="36">
        <f>Tabella16[[#This Row],[Percentage of Suppliers - Raw]]/$C$151</f>
        <v>0</v>
      </c>
      <c r="E132" s="23">
        <v>0</v>
      </c>
      <c r="F132" s="40">
        <f>Tabella16[[#This Row],[Percentage of Supplier''s Facilities - Raw]]/$E$151</f>
        <v>0</v>
      </c>
    </row>
    <row r="133" spans="1:6" ht="19" x14ac:dyDescent="0.25">
      <c r="A133" s="31" t="s">
        <v>146</v>
      </c>
      <c r="B133" s="43">
        <v>5.6864357260548895</v>
      </c>
      <c r="C133" s="22">
        <v>0</v>
      </c>
      <c r="D133" s="36">
        <f>Tabella16[[#This Row],[Percentage of Suppliers - Raw]]/$C$151</f>
        <v>0</v>
      </c>
      <c r="E133" s="23">
        <v>0</v>
      </c>
      <c r="F133" s="40">
        <f>Tabella16[[#This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2">
        <v>6.0000000000000001E-3</v>
      </c>
      <c r="D134" s="36">
        <f>Tabella16[[#This Row],[Percentage of Suppliers - Raw]]/$C$151</f>
        <v>6.1906727197688837E-3</v>
      </c>
      <c r="E134" s="23">
        <v>1.41E-2</v>
      </c>
      <c r="F134" s="40">
        <f>Tabella16[[#This Row],[Percentage of Supplier''s Facilities - Raw]]/$E$151</f>
        <v>1.421800947867299E-2</v>
      </c>
    </row>
    <row r="135" spans="1:6" ht="19" x14ac:dyDescent="0.25">
      <c r="A135" s="31" t="s">
        <v>148</v>
      </c>
      <c r="B135" s="43">
        <v>5.1473122500344015</v>
      </c>
      <c r="C135" s="22">
        <v>0</v>
      </c>
      <c r="D135" s="36">
        <f>Tabella16[[#This Row],[Percentage of Suppliers - Raw]]/$C$151</f>
        <v>0</v>
      </c>
      <c r="E135" s="23">
        <v>0</v>
      </c>
      <c r="F135" s="40">
        <f>Tabella16[[#This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2">
        <v>0</v>
      </c>
      <c r="D136" s="36">
        <f>Tabella16[[#This Row],[Percentage of Suppliers - Raw]]/$C$151</f>
        <v>0</v>
      </c>
      <c r="E136" s="23">
        <v>0</v>
      </c>
      <c r="F136" s="40">
        <f>Tabella16[[#This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2">
        <v>0</v>
      </c>
      <c r="D137" s="36">
        <f>Tabella16[[#This Row],[Percentage of Suppliers - Raw]]/$C$151</f>
        <v>0</v>
      </c>
      <c r="E137" s="23">
        <v>2.0000000000000001E-4</v>
      </c>
      <c r="F137" s="40">
        <f>Tabella16[[#This Row],[Percentage of Supplier''s Facilities - Raw]]/$E$151</f>
        <v>2.016738933145105E-4</v>
      </c>
    </row>
    <row r="138" spans="1:6" ht="19" x14ac:dyDescent="0.25">
      <c r="A138" s="31" t="s">
        <v>151</v>
      </c>
      <c r="B138" s="43">
        <v>5.1269871649881278</v>
      </c>
      <c r="C138" s="22">
        <v>0</v>
      </c>
      <c r="D138" s="36">
        <f>Tabella16[[#This Row],[Percentage of Suppliers - Raw]]/$C$151</f>
        <v>0</v>
      </c>
      <c r="E138" s="23">
        <v>1.6000000000000001E-3</v>
      </c>
      <c r="F138" s="40">
        <f>Tabella16[[#This Row],[Percentage of Supplier''s Facilities - Raw]]/$E$151</f>
        <v>1.613391146516084E-3</v>
      </c>
    </row>
    <row r="139" spans="1:6" ht="19" x14ac:dyDescent="0.25">
      <c r="A139" s="31" t="s">
        <v>152</v>
      </c>
      <c r="B139" s="43">
        <v>5.2574384214456868</v>
      </c>
      <c r="C139" s="22">
        <v>0</v>
      </c>
      <c r="D139" s="36">
        <f>Tabella16[[#This Row],[Percentage of Suppliers - Raw]]/$C$151</f>
        <v>0</v>
      </c>
      <c r="E139" s="23">
        <v>7.7000000000000002E-3</v>
      </c>
      <c r="F139" s="40">
        <f>Tabella16[[#This Row],[Percentage of Supplier''s Facilities - Raw]]/$E$151</f>
        <v>7.7644448926086542E-3</v>
      </c>
    </row>
    <row r="140" spans="1:6" ht="19" x14ac:dyDescent="0.25">
      <c r="A140" s="31" t="s">
        <v>153</v>
      </c>
      <c r="B140" s="43">
        <v>6.2888889425300309</v>
      </c>
      <c r="C140" s="22">
        <v>0</v>
      </c>
      <c r="D140" s="36">
        <f>Tabella16[[#This Row],[Percentage of Suppliers - Raw]]/$C$151</f>
        <v>0</v>
      </c>
      <c r="E140" s="23">
        <v>0</v>
      </c>
      <c r="F140" s="40">
        <f>Tabella16[[#This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2">
        <v>0</v>
      </c>
      <c r="D141" s="36">
        <f>Tabella16[[#This Row],[Percentage of Suppliers - Raw]]/$C$151</f>
        <v>0</v>
      </c>
      <c r="E141" s="23">
        <v>1E-3</v>
      </c>
      <c r="F141" s="40">
        <f>Tabella16[[#This Row],[Percentage of Supplier''s Facilities - Raw]]/$E$151</f>
        <v>1.0083694665725526E-3</v>
      </c>
    </row>
    <row r="142" spans="1:6" ht="19" x14ac:dyDescent="0.25">
      <c r="A142" s="31" t="s">
        <v>155</v>
      </c>
      <c r="B142" s="43">
        <v>3.7156413836197295</v>
      </c>
      <c r="C142" s="22">
        <v>1.1999999999999999E-3</v>
      </c>
      <c r="D142" s="36">
        <f>Tabella16[[#This Row],[Percentage of Suppliers - Raw]]/$C$151</f>
        <v>1.2381345439537764E-3</v>
      </c>
      <c r="E142" s="23">
        <v>2.5000000000000001E-3</v>
      </c>
      <c r="F142" s="40">
        <f>Tabella16[[#This Row],[Percentage of Supplier''s Facilities - Raw]]/$E$151</f>
        <v>2.5209236664313814E-3</v>
      </c>
    </row>
    <row r="143" spans="1:6" ht="19" x14ac:dyDescent="0.25">
      <c r="A143" s="31" t="s">
        <v>156</v>
      </c>
      <c r="B143" s="43">
        <v>3.3179607898236139</v>
      </c>
      <c r="C143" s="22">
        <v>2.1600000000000001E-2</v>
      </c>
      <c r="D143" s="36">
        <f>Tabella16[[#This Row],[Percentage of Suppliers - Raw]]/$C$151</f>
        <v>2.2286421791167983E-2</v>
      </c>
      <c r="E143" s="23">
        <v>2.2499999999999999E-2</v>
      </c>
      <c r="F143" s="40">
        <f>Tabella16[[#This Row],[Percentage of Supplier''s Facilities - Raw]]/$E$151</f>
        <v>2.2688312997882432E-2</v>
      </c>
    </row>
    <row r="144" spans="1:6" ht="19" x14ac:dyDescent="0.25">
      <c r="A144" s="31" t="s">
        <v>157</v>
      </c>
      <c r="B144" s="43">
        <v>4.1903553610988471</v>
      </c>
      <c r="C144" s="22">
        <v>0.14630000000000001</v>
      </c>
      <c r="D144" s="36">
        <f>Tabella16[[#This Row],[Percentage of Suppliers - Raw]]/$C$151</f>
        <v>0.15094923648369796</v>
      </c>
      <c r="E144" s="23">
        <v>0.18920000000000001</v>
      </c>
      <c r="F144" s="40">
        <f>Tabella16[[#This Row],[Percentage of Supplier''s Facilities - Raw]]/$E$151</f>
        <v>0.19078350307552694</v>
      </c>
    </row>
    <row r="145" spans="1:6" ht="19" x14ac:dyDescent="0.25">
      <c r="A145" s="31" t="s">
        <v>158</v>
      </c>
      <c r="B145" s="43">
        <v>3.9104307580301834</v>
      </c>
      <c r="C145" s="22">
        <v>0</v>
      </c>
      <c r="D145" s="36">
        <f>Tabella16[[#This Row],[Percentage of Suppliers - Raw]]/$C$151</f>
        <v>0</v>
      </c>
      <c r="E145" s="23">
        <v>4.0000000000000002E-4</v>
      </c>
      <c r="F145" s="40">
        <f>Tabella16[[#This Row],[Percentage of Supplier''s Facilities - Raw]]/$E$151</f>
        <v>4.0334778662902101E-4</v>
      </c>
    </row>
    <row r="146" spans="1:6" ht="19" x14ac:dyDescent="0.25">
      <c r="A146" s="31" t="s">
        <v>159</v>
      </c>
      <c r="B146" s="43">
        <v>5.7741934156294281</v>
      </c>
      <c r="C146" s="22">
        <v>0</v>
      </c>
      <c r="D146" s="36">
        <f>Tabella16[[#This Row],[Percentage of Suppliers - Raw]]/$C$151</f>
        <v>0</v>
      </c>
      <c r="E146" s="23">
        <v>4.0000000000000002E-4</v>
      </c>
      <c r="F146" s="40">
        <f>Tabella16[[#This Row],[Percentage of Supplier''s Facilities - Raw]]/$E$151</f>
        <v>4.0334778662902101E-4</v>
      </c>
    </row>
    <row r="147" spans="1:6" ht="19" x14ac:dyDescent="0.25">
      <c r="A147" s="31" t="s">
        <v>160</v>
      </c>
      <c r="B147" s="43">
        <v>4.3230065548271748</v>
      </c>
      <c r="C147" s="22">
        <v>0</v>
      </c>
      <c r="D147" s="36">
        <f>Tabella16[[#This Row],[Percentage of Suppliers - Raw]]/$C$151</f>
        <v>0</v>
      </c>
      <c r="E147" s="23">
        <v>7.6E-3</v>
      </c>
      <c r="F147" s="40">
        <f>Tabella16[[#This Row],[Percentage of Supplier''s Facilities - Raw]]/$E$151</f>
        <v>7.663607945951399E-3</v>
      </c>
    </row>
    <row r="148" spans="1:6" ht="19" x14ac:dyDescent="0.25">
      <c r="A148" s="31" t="s">
        <v>161</v>
      </c>
      <c r="B148" s="43">
        <v>6.3044304196425287</v>
      </c>
      <c r="C148" s="22">
        <v>0</v>
      </c>
      <c r="D148" s="36">
        <f>Tabella16[[#This Row],[Percentage of Suppliers - Raw]]/$C$151</f>
        <v>0</v>
      </c>
      <c r="E148" s="23">
        <v>0</v>
      </c>
      <c r="F148" s="40">
        <f>Tabella16[[#This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2">
        <v>0</v>
      </c>
      <c r="D149" s="36">
        <f>Tabella16[[#This Row],[Percentage of Suppliers - Raw]]/$C$151</f>
        <v>0</v>
      </c>
      <c r="E149" s="23">
        <v>1E-4</v>
      </c>
      <c r="F149" s="40">
        <f>Tabella16[[#This Row],[Percentage of Supplier''s Facilities - Raw]]/$E$151</f>
        <v>1.0083694665725525E-4</v>
      </c>
    </row>
    <row r="150" spans="1:6" ht="19" x14ac:dyDescent="0.25">
      <c r="A150" s="31" t="s">
        <v>163</v>
      </c>
      <c r="B150" s="43">
        <v>6.1447845309536486</v>
      </c>
      <c r="C150" s="22">
        <v>0</v>
      </c>
      <c r="D150" s="36">
        <f>Tabella16[[#This Row],[Percentage of Suppliers - Raw]]/$C$151</f>
        <v>0</v>
      </c>
      <c r="E150" s="23">
        <v>1E-4</v>
      </c>
      <c r="F150" s="40">
        <f>Tabella16[[#This Row],[Percentage of Supplier''s Facilities - Raw]]/$E$151</f>
        <v>1.0083694665725525E-4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0.96919999999999973</v>
      </c>
      <c r="D151" s="39">
        <f>Tabella16[[#This Row],[Percentage of Suppliers - Raw]]/$C$151</f>
        <v>1</v>
      </c>
      <c r="E151" s="25">
        <f>SUM(E4:E150)</f>
        <v>0.99169999999999969</v>
      </c>
      <c r="F151" s="41">
        <f>SUM(F4:F150)</f>
        <v>1.0000000000000002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3509-0C01-C04A-9199-2EE9CBF46713}">
  <dimension ref="A1:P151"/>
  <sheetViews>
    <sheetView topLeftCell="A62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170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</row>
    <row r="4" spans="1:16" ht="19" x14ac:dyDescent="0.25">
      <c r="A4" s="31" t="s">
        <v>8</v>
      </c>
      <c r="B4" s="43">
        <v>4.3705708278452811</v>
      </c>
      <c r="C4" s="22">
        <v>0</v>
      </c>
      <c r="D4" s="36">
        <f>Tabella17[[#This Row],[Percentage of Suppliers - Raw]]/$C$151</f>
        <v>0</v>
      </c>
      <c r="E4" s="23">
        <v>0</v>
      </c>
      <c r="F4" s="40">
        <f>Tabella17[[#This Row],[Percentage of Supplier''s Facilities - Raw]]/$E$151</f>
        <v>0</v>
      </c>
    </row>
    <row r="5" spans="1:16" ht="19" x14ac:dyDescent="0.25">
      <c r="A5" s="31" t="s">
        <v>9</v>
      </c>
      <c r="B5" s="43">
        <v>5.2136193198580543</v>
      </c>
      <c r="C5" s="22">
        <v>0</v>
      </c>
      <c r="D5" s="36">
        <f>Tabella17[[#This Row],[Percentage of Suppliers - Raw]]/$C$151</f>
        <v>0</v>
      </c>
      <c r="E5" s="23">
        <v>8.9999999999999998E-4</v>
      </c>
      <c r="F5" s="40">
        <f>Tabella17[[#This Row],[Percentage of Supplier''s Facilities - Raw]]/$E$151</f>
        <v>9.0982612211888486E-4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19" x14ac:dyDescent="0.25">
      <c r="A6" s="31" t="s">
        <v>11</v>
      </c>
      <c r="B6" s="43">
        <v>5.6305966049142544</v>
      </c>
      <c r="C6" s="22">
        <v>0</v>
      </c>
      <c r="D6" s="36">
        <f>Tabella17[[#This Row],[Percentage of Suppliers - Raw]]/$C$151</f>
        <v>0</v>
      </c>
      <c r="E6" s="23">
        <v>8.9999999999999998E-4</v>
      </c>
      <c r="F6" s="40">
        <f>Tabella17[[#This Row],[Percentage of Supplier''s Facilities - Raw]]/$E$151</f>
        <v>9.0982612211888486E-4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2">
        <v>0</v>
      </c>
      <c r="D7" s="36">
        <f>Tabella17[[#This Row],[Percentage of Suppliers - Raw]]/$C$151</f>
        <v>0</v>
      </c>
      <c r="E7" s="23">
        <v>4.4000000000000003E-3</v>
      </c>
      <c r="F7" s="40">
        <f>Tabella17[[#This Row],[Percentage of Supplier''s Facilities - Raw]]/$E$151</f>
        <v>4.4480388192478819E-3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4.3705708278452811</v>
      </c>
      <c r="P7" s="16">
        <f>INDEX(F4:F150,MATCH(MIN(F4:F150),F4:F150,0))</f>
        <v>0</v>
      </c>
    </row>
    <row r="8" spans="1:16" ht="19" x14ac:dyDescent="0.25">
      <c r="A8" s="31" t="s">
        <v>17</v>
      </c>
      <c r="B8" s="43">
        <v>4.7882033268855917</v>
      </c>
      <c r="C8" s="22">
        <v>0</v>
      </c>
      <c r="D8" s="36">
        <f>Tabella17[[#This Row],[Percentage of Suppliers - Raw]]/$C$151</f>
        <v>0</v>
      </c>
      <c r="E8" s="23">
        <v>1E-4</v>
      </c>
      <c r="F8" s="40">
        <f>Tabella17[[#This Row],[Percentage of Supplier''s Facilities - Raw]]/$E$151</f>
        <v>1.0109179134654278E-4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4.1903553610988471</v>
      </c>
      <c r="K8" s="19">
        <f>INDEX(D4:D150,MATCH(MAX(D4:D150),D4:D150,0))</f>
        <v>0.3927705977382876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4.1903553610988471</v>
      </c>
      <c r="P8" s="19">
        <f>INDEX(F4:F150,MATCH(MAX(F4:F150),F4:F150,0))</f>
        <v>0.23200566114031562</v>
      </c>
    </row>
    <row r="9" spans="1:16" ht="22" x14ac:dyDescent="0.3">
      <c r="A9" s="31" t="s">
        <v>19</v>
      </c>
      <c r="B9" s="43">
        <v>3.2228923328507717</v>
      </c>
      <c r="C9" s="22">
        <v>2.47E-2</v>
      </c>
      <c r="D9" s="36">
        <f>Tabella17[[#This Row],[Percentage of Suppliers - Raw]]/$C$151</f>
        <v>2.4939418416801293E-2</v>
      </c>
      <c r="E9" s="23">
        <v>1.1699999999999999E-2</v>
      </c>
      <c r="F9" s="40">
        <f>Tabella17[[#This Row],[Percentage of Supplier''s Facilities - Raw]]/$E$151</f>
        <v>1.1827739587545502E-2</v>
      </c>
      <c r="H9" s="20" t="s">
        <v>20</v>
      </c>
      <c r="I9" s="21"/>
      <c r="J9" s="21"/>
      <c r="K9" s="175">
        <f>SUMPRODUCT(B4:B150,D4:D150)</f>
        <v>3.9656529762286628</v>
      </c>
      <c r="M9" s="20" t="s">
        <v>21</v>
      </c>
      <c r="N9" s="21"/>
      <c r="O9" s="21"/>
      <c r="P9" s="175">
        <f>SUMPRODUCT(B4:B150,F4:F150)</f>
        <v>4.1566790013106978</v>
      </c>
    </row>
    <row r="10" spans="1:16" ht="19" x14ac:dyDescent="0.25">
      <c r="A10" s="31" t="s">
        <v>22</v>
      </c>
      <c r="B10" s="43">
        <v>3.4101851325072063</v>
      </c>
      <c r="C10" s="22">
        <v>4.1000000000000003E-3</v>
      </c>
      <c r="D10" s="36">
        <f>Tabella17[[#This Row],[Percentage of Suppliers - Raw]]/$C$151</f>
        <v>4.1397415185783527E-3</v>
      </c>
      <c r="E10" s="23">
        <v>3.8E-3</v>
      </c>
      <c r="F10" s="40">
        <f>Tabella17[[#This Row],[Percentage of Supplier''s Facilities - Raw]]/$E$151</f>
        <v>3.8414880711686249E-3</v>
      </c>
    </row>
    <row r="11" spans="1:16" ht="19" x14ac:dyDescent="0.25">
      <c r="A11" s="31" t="s">
        <v>23</v>
      </c>
      <c r="B11" s="43">
        <v>5.2109258806256893</v>
      </c>
      <c r="C11" s="22">
        <v>0</v>
      </c>
      <c r="D11" s="36">
        <f>Tabella17[[#This Row],[Percentage of Suppliers - Raw]]/$C$151</f>
        <v>0</v>
      </c>
      <c r="E11" s="23">
        <v>0</v>
      </c>
      <c r="F11" s="40">
        <f>Tabella17[[#This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2">
        <v>0</v>
      </c>
      <c r="D12" s="36">
        <f>Tabella17[[#This Row],[Percentage of Suppliers - Raw]]/$C$151</f>
        <v>0</v>
      </c>
      <c r="E12" s="23">
        <v>1E-4</v>
      </c>
      <c r="F12" s="40">
        <f>Tabella17[[#This Row],[Percentage of Supplier''s Facilities - Raw]]/$E$151</f>
        <v>1.0109179134654278E-4</v>
      </c>
    </row>
    <row r="13" spans="1:16" ht="19" x14ac:dyDescent="0.25">
      <c r="A13" s="31" t="s">
        <v>25</v>
      </c>
      <c r="B13" s="43">
        <v>6.2938646029657299</v>
      </c>
      <c r="C13" s="22">
        <v>0</v>
      </c>
      <c r="D13" s="36">
        <f>Tabella17[[#This Row],[Percentage of Suppliers - Raw]]/$C$151</f>
        <v>0</v>
      </c>
      <c r="E13" s="23">
        <v>2.9999999999999997E-4</v>
      </c>
      <c r="F13" s="40">
        <f>Tabella17[[#This Row],[Percentage of Supplier''s Facilities - Raw]]/$E$151</f>
        <v>3.0327537403962825E-4</v>
      </c>
    </row>
    <row r="14" spans="1:16" ht="19" x14ac:dyDescent="0.25">
      <c r="A14" s="31" t="s">
        <v>26</v>
      </c>
      <c r="B14" s="43">
        <v>5.4470391561857463</v>
      </c>
      <c r="C14" s="22">
        <v>0</v>
      </c>
      <c r="D14" s="36">
        <f>Tabella17[[#This Row],[Percentage of Suppliers - Raw]]/$C$151</f>
        <v>0</v>
      </c>
      <c r="E14" s="23">
        <v>0</v>
      </c>
      <c r="F14" s="40">
        <f>Tabella17[[#This Row],[Percentage of Supplier''s Facilities - Raw]]/$E$151</f>
        <v>0</v>
      </c>
    </row>
    <row r="15" spans="1:16" ht="19" x14ac:dyDescent="0.25">
      <c r="A15" s="31" t="s">
        <v>27</v>
      </c>
      <c r="B15" s="43">
        <v>3.3272157363952584</v>
      </c>
      <c r="C15" s="22">
        <v>1.4E-3</v>
      </c>
      <c r="D15" s="36">
        <f>Tabella17[[#This Row],[Percentage of Suppliers - Raw]]/$C$151</f>
        <v>1.4135702746365106E-3</v>
      </c>
      <c r="E15" s="23">
        <v>4.6999999999999993E-3</v>
      </c>
      <c r="F15" s="40">
        <f>Tabella17[[#This Row],[Percentage of Supplier''s Facilities - Raw]]/$E$151</f>
        <v>4.7513141932875097E-3</v>
      </c>
    </row>
    <row r="16" spans="1:16" ht="19" x14ac:dyDescent="0.25">
      <c r="A16" s="31" t="s">
        <v>28</v>
      </c>
      <c r="B16" s="43">
        <v>5.9976203843116958</v>
      </c>
      <c r="C16" s="22">
        <v>0</v>
      </c>
      <c r="D16" s="36">
        <f>Tabella17[[#This Row],[Percentage of Suppliers - Raw]]/$C$151</f>
        <v>0</v>
      </c>
      <c r="E16" s="23">
        <v>0</v>
      </c>
      <c r="F16" s="40">
        <f>Tabella17[[#This Row],[Percentage of Supplier''s Facilities - Raw]]/$E$151</f>
        <v>0</v>
      </c>
    </row>
    <row r="17" spans="1:7" ht="19" x14ac:dyDescent="0.25">
      <c r="A17" s="31" t="s">
        <v>29</v>
      </c>
      <c r="B17" s="43">
        <v>5.0248646415497609</v>
      </c>
      <c r="C17" s="22">
        <v>0</v>
      </c>
      <c r="D17" s="36">
        <f>Tabella17[[#This Row],[Percentage of Suppliers - Raw]]/$C$151</f>
        <v>0</v>
      </c>
      <c r="E17" s="23">
        <v>0</v>
      </c>
      <c r="F17" s="40">
        <f>Tabella17[[#This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2">
        <v>0</v>
      </c>
      <c r="D18" s="36">
        <f>Tabella17[[#This Row],[Percentage of Suppliers - Raw]]/$C$151</f>
        <v>0</v>
      </c>
      <c r="E18" s="23">
        <v>0</v>
      </c>
      <c r="F18" s="40">
        <f>Tabella17[[#This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2">
        <v>0</v>
      </c>
      <c r="D19" s="36">
        <f>Tabella17[[#This Row],[Percentage of Suppliers - Raw]]/$C$151</f>
        <v>0</v>
      </c>
      <c r="E19" s="23">
        <v>1E-4</v>
      </c>
      <c r="F19" s="40">
        <f>Tabella17[[#This Row],[Percentage of Supplier''s Facilities - Raw]]/$E$151</f>
        <v>1.0109179134654278E-4</v>
      </c>
    </row>
    <row r="20" spans="1:7" ht="19" x14ac:dyDescent="0.25">
      <c r="A20" s="31" t="s">
        <v>32</v>
      </c>
      <c r="B20" s="43">
        <v>4.3392269255836116</v>
      </c>
      <c r="C20" s="22">
        <v>0</v>
      </c>
      <c r="D20" s="36">
        <f>Tabella17[[#This Row],[Percentage of Suppliers - Raw]]/$C$151</f>
        <v>0</v>
      </c>
      <c r="E20" s="23">
        <v>1E-4</v>
      </c>
      <c r="F20" s="40">
        <f>Tabella17[[#This Row],[Percentage of Supplier''s Facilities - Raw]]/$E$151</f>
        <v>1.0109179134654278E-4</v>
      </c>
    </row>
    <row r="21" spans="1:7" ht="19" x14ac:dyDescent="0.25">
      <c r="A21" s="31" t="s">
        <v>33</v>
      </c>
      <c r="B21" s="43">
        <v>5.3528879548903774</v>
      </c>
      <c r="C21" s="22">
        <v>0</v>
      </c>
      <c r="D21" s="36">
        <f>Tabella17[[#This Row],[Percentage of Suppliers - Raw]]/$C$151</f>
        <v>0</v>
      </c>
      <c r="E21" s="23">
        <v>1.77E-2</v>
      </c>
      <c r="F21" s="40">
        <f>Tabella17[[#This Row],[Percentage of Supplier''s Facilities - Raw]]/$E$151</f>
        <v>1.7893247068338069E-2</v>
      </c>
    </row>
    <row r="22" spans="1:7" ht="19" x14ac:dyDescent="0.25">
      <c r="A22" s="31" t="s">
        <v>34</v>
      </c>
      <c r="B22" s="43">
        <v>4.4305511295739555</v>
      </c>
      <c r="C22" s="22">
        <v>0</v>
      </c>
      <c r="D22" s="36">
        <f>Tabella17[[#This Row],[Percentage of Suppliers - Raw]]/$C$151</f>
        <v>0</v>
      </c>
      <c r="E22" s="23">
        <v>1.2999999999999999E-3</v>
      </c>
      <c r="F22" s="40">
        <f>Tabella17[[#This Row],[Percentage of Supplier''s Facilities - Raw]]/$E$151</f>
        <v>1.314193287505056E-3</v>
      </c>
    </row>
    <row r="23" spans="1:7" ht="19" x14ac:dyDescent="0.25">
      <c r="A23" s="31" t="s">
        <v>35</v>
      </c>
      <c r="B23" s="43">
        <v>6.5469989858167894</v>
      </c>
      <c r="C23" s="22">
        <v>0</v>
      </c>
      <c r="D23" s="36">
        <f>Tabella17[[#This Row],[Percentage of Suppliers - Raw]]/$C$151</f>
        <v>0</v>
      </c>
      <c r="E23" s="23">
        <v>0</v>
      </c>
      <c r="F23" s="40">
        <f>Tabella17[[#This Row],[Percentage of Supplier''s Facilities - Raw]]/$E$151</f>
        <v>0</v>
      </c>
    </row>
    <row r="24" spans="1:7" ht="19" x14ac:dyDescent="0.25">
      <c r="A24" s="31" t="s">
        <v>36</v>
      </c>
      <c r="B24" s="43">
        <v>6.3316257862325482</v>
      </c>
      <c r="C24" s="22">
        <v>0</v>
      </c>
      <c r="D24" s="36">
        <f>Tabella17[[#This Row],[Percentage of Suppliers - Raw]]/$C$151</f>
        <v>0</v>
      </c>
      <c r="E24" s="23">
        <v>0</v>
      </c>
      <c r="F24" s="40">
        <f>Tabella17[[#This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2">
        <v>0</v>
      </c>
      <c r="D25" s="36">
        <f>Tabella17[[#This Row],[Percentage of Suppliers - Raw]]/$C$151</f>
        <v>0</v>
      </c>
      <c r="E25" s="23">
        <v>5.0000000000000001E-4</v>
      </c>
      <c r="F25" s="40">
        <f>Tabella17[[#This Row],[Percentage of Supplier''s Facilities - Raw]]/$E$151</f>
        <v>5.0545895673271386E-4</v>
      </c>
    </row>
    <row r="26" spans="1:7" ht="19" x14ac:dyDescent="0.25">
      <c r="A26" s="31" t="s">
        <v>38</v>
      </c>
      <c r="B26" s="43">
        <v>6.8290168498118629</v>
      </c>
      <c r="C26" s="22">
        <v>0</v>
      </c>
      <c r="D26" s="36">
        <f>Tabella17[[#This Row],[Percentage of Suppliers - Raw]]/$C$151</f>
        <v>0</v>
      </c>
      <c r="E26" s="23">
        <v>2.9999999999999997E-4</v>
      </c>
      <c r="F26" s="40">
        <f>Tabella17[[#This Row],[Percentage of Supplier''s Facilities - Raw]]/$E$151</f>
        <v>3.0327537403962825E-4</v>
      </c>
    </row>
    <row r="27" spans="1:7" ht="19" x14ac:dyDescent="0.25">
      <c r="A27" s="31" t="s">
        <v>39</v>
      </c>
      <c r="B27" s="43">
        <v>3.4431913474650511</v>
      </c>
      <c r="C27" s="22">
        <v>4.1099999999999998E-2</v>
      </c>
      <c r="D27" s="36">
        <f>Tabella17[[#This Row],[Percentage of Suppliers - Raw]]/$C$151</f>
        <v>4.1498384491114704E-2</v>
      </c>
      <c r="E27" s="23">
        <v>1.9099999999999999E-2</v>
      </c>
      <c r="F27" s="40">
        <f>Tabella17[[#This Row],[Percentage of Supplier''s Facilities - Raw]]/$E$151</f>
        <v>1.9308532147189666E-2</v>
      </c>
    </row>
    <row r="28" spans="1:7" ht="19" x14ac:dyDescent="0.25">
      <c r="A28" s="31" t="s">
        <v>40</v>
      </c>
      <c r="B28" s="43">
        <v>6.7936201324767405</v>
      </c>
      <c r="C28" s="22">
        <v>0</v>
      </c>
      <c r="D28" s="36">
        <f>Tabella17[[#This Row],[Percentage of Suppliers - Raw]]/$C$151</f>
        <v>0</v>
      </c>
      <c r="E28" s="23">
        <v>0</v>
      </c>
      <c r="F28" s="40">
        <f>Tabella17[[#This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2">
        <v>0</v>
      </c>
      <c r="D29" s="36">
        <f>Tabella17[[#This Row],[Percentage of Suppliers - Raw]]/$C$151</f>
        <v>0</v>
      </c>
      <c r="E29" s="23">
        <v>1E-4</v>
      </c>
      <c r="F29" s="40">
        <f>Tabella17[[#This Row],[Percentage of Supplier''s Facilities - Raw]]/$E$151</f>
        <v>1.0109179134654278E-4</v>
      </c>
    </row>
    <row r="30" spans="1:7" ht="19" x14ac:dyDescent="0.25">
      <c r="A30" s="31" t="s">
        <v>42</v>
      </c>
      <c r="B30" s="43">
        <v>4.3579262651505353</v>
      </c>
      <c r="C30" s="22">
        <v>0</v>
      </c>
      <c r="D30" s="36">
        <f>Tabella17[[#This Row],[Percentage of Suppliers - Raw]]/$C$151</f>
        <v>0</v>
      </c>
      <c r="E30" s="23">
        <v>3.9000000000000003E-3</v>
      </c>
      <c r="F30" s="40">
        <f>Tabella17[[#This Row],[Percentage of Supplier''s Facilities - Raw]]/$E$151</f>
        <v>3.9425798625151685E-3</v>
      </c>
    </row>
    <row r="31" spans="1:7" ht="19" x14ac:dyDescent="0.25">
      <c r="A31" s="31" t="s">
        <v>43</v>
      </c>
      <c r="B31" s="43">
        <v>4.2558827981073541</v>
      </c>
      <c r="C31" s="22">
        <f xml:space="preserve"> 8.08% + 9.04%</f>
        <v>0.17119999999999999</v>
      </c>
      <c r="D31" s="36">
        <f>Tabella17[[#This Row],[Percentage of Suppliers - Raw]]/$C$151</f>
        <v>0.172859450726979</v>
      </c>
      <c r="E31" s="23">
        <v>0.18909999999999999</v>
      </c>
      <c r="F31" s="40">
        <f>Tabella17[[#This Row],[Percentage of Supplier''s Facilities - Raw]]/$E$151</f>
        <v>0.19116457743631235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2">
        <v>0</v>
      </c>
      <c r="D32" s="36">
        <f>Tabella17[[#This Row],[Percentage of Suppliers - Raw]]/$C$151</f>
        <v>0</v>
      </c>
      <c r="E32" s="23">
        <v>2.5999999999999999E-3</v>
      </c>
      <c r="F32" s="40">
        <f>Tabella17[[#This Row],[Percentage of Supplier''s Facilities - Raw]]/$E$151</f>
        <v>2.6283865750101119E-3</v>
      </c>
    </row>
    <row r="33" spans="1:6" ht="19" x14ac:dyDescent="0.25">
      <c r="A33" s="31" t="s">
        <v>46</v>
      </c>
      <c r="B33" s="43">
        <v>5.6489161047332477</v>
      </c>
      <c r="C33" s="22">
        <v>0</v>
      </c>
      <c r="D33" s="36">
        <f>Tabella17[[#This Row],[Percentage of Suppliers - Raw]]/$C$151</f>
        <v>0</v>
      </c>
      <c r="E33" s="23">
        <v>2.9999999999999997E-4</v>
      </c>
      <c r="F33" s="40">
        <f>Tabella17[[#This Row],[Percentage of Supplier''s Facilities - Raw]]/$E$151</f>
        <v>3.0327537403962825E-4</v>
      </c>
    </row>
    <row r="34" spans="1:6" ht="19" x14ac:dyDescent="0.25">
      <c r="A34" s="31" t="s">
        <v>47</v>
      </c>
      <c r="B34" s="43">
        <v>4.2297467795287353</v>
      </c>
      <c r="C34" s="22">
        <v>0</v>
      </c>
      <c r="D34" s="36">
        <f>Tabella17[[#This Row],[Percentage of Suppliers - Raw]]/$C$151</f>
        <v>0</v>
      </c>
      <c r="E34" s="23">
        <v>2E-3</v>
      </c>
      <c r="F34" s="40">
        <f>Tabella17[[#This Row],[Percentage of Supplier''s Facilities - Raw]]/$E$151</f>
        <v>2.0218358269308554E-3</v>
      </c>
    </row>
    <row r="35" spans="1:6" ht="19" x14ac:dyDescent="0.25">
      <c r="A35" s="31" t="s">
        <v>48</v>
      </c>
      <c r="B35" s="43">
        <v>5.5958391680617687</v>
      </c>
      <c r="C35" s="22">
        <v>0</v>
      </c>
      <c r="D35" s="36">
        <f>Tabella17[[#This Row],[Percentage of Suppliers - Raw]]/$C$151</f>
        <v>0</v>
      </c>
      <c r="E35" s="23">
        <v>1.1000000000000001E-3</v>
      </c>
      <c r="F35" s="40">
        <f>Tabella17[[#This Row],[Percentage of Supplier''s Facilities - Raw]]/$E$151</f>
        <v>1.1120097048119705E-3</v>
      </c>
    </row>
    <row r="36" spans="1:6" ht="19" x14ac:dyDescent="0.25">
      <c r="A36" s="31" t="s">
        <v>49</v>
      </c>
      <c r="B36" s="43">
        <v>4.2818306896749707</v>
      </c>
      <c r="C36" s="22">
        <v>0</v>
      </c>
      <c r="D36" s="36">
        <f>Tabella17[[#This Row],[Percentage of Suppliers - Raw]]/$C$151</f>
        <v>0</v>
      </c>
      <c r="E36" s="23">
        <v>1.2999999999999999E-3</v>
      </c>
      <c r="F36" s="40">
        <f>Tabella17[[#This Row],[Percentage of Supplier''s Facilities - Raw]]/$E$151</f>
        <v>1.314193287505056E-3</v>
      </c>
    </row>
    <row r="37" spans="1:6" ht="19" x14ac:dyDescent="0.25">
      <c r="A37" s="31" t="s">
        <v>50</v>
      </c>
      <c r="B37" s="43">
        <v>4.665702306747229</v>
      </c>
      <c r="C37" s="22">
        <v>0</v>
      </c>
      <c r="D37" s="36">
        <f>Tabella17[[#This Row],[Percentage of Suppliers - Raw]]/$C$151</f>
        <v>0</v>
      </c>
      <c r="E37" s="23">
        <v>2.9999999999999997E-4</v>
      </c>
      <c r="F37" s="40">
        <f>Tabella17[[#This Row],[Percentage of Supplier''s Facilities - Raw]]/$E$151</f>
        <v>3.0327537403962825E-4</v>
      </c>
    </row>
    <row r="38" spans="1:6" ht="19" x14ac:dyDescent="0.25">
      <c r="A38" s="31" t="s">
        <v>51</v>
      </c>
      <c r="B38" s="43">
        <v>3.7484970292180693</v>
      </c>
      <c r="C38" s="22">
        <v>0</v>
      </c>
      <c r="D38" s="36">
        <f>Tabella17[[#This Row],[Percentage of Suppliers - Raw]]/$C$151</f>
        <v>0</v>
      </c>
      <c r="E38" s="23">
        <v>7.4999999999999997E-3</v>
      </c>
      <c r="F38" s="40">
        <f>Tabella17[[#This Row],[Percentage of Supplier''s Facilities - Raw]]/$E$151</f>
        <v>7.5818843509907075E-3</v>
      </c>
    </row>
    <row r="39" spans="1:6" ht="19" x14ac:dyDescent="0.25">
      <c r="A39" s="31" t="s">
        <v>52</v>
      </c>
      <c r="B39" s="43">
        <v>3.1990775661028361</v>
      </c>
      <c r="C39" s="22">
        <v>6.7999999999999996E-3</v>
      </c>
      <c r="D39" s="36">
        <f>Tabella17[[#This Row],[Percentage of Suppliers - Raw]]/$C$151</f>
        <v>6.8659127625201937E-3</v>
      </c>
      <c r="E39" s="23">
        <v>3.7000000000000002E-3</v>
      </c>
      <c r="F39" s="40">
        <f>Tabella17[[#This Row],[Percentage of Supplier''s Facilities - Raw]]/$E$151</f>
        <v>3.7403962798220826E-3</v>
      </c>
    </row>
    <row r="40" spans="1:6" ht="19" x14ac:dyDescent="0.25">
      <c r="A40" s="31" t="s">
        <v>53</v>
      </c>
      <c r="B40" s="43">
        <v>5.9780558706115094</v>
      </c>
      <c r="C40" s="22">
        <v>0</v>
      </c>
      <c r="D40" s="36">
        <f>Tabella17[[#This Row],[Percentage of Suppliers - Raw]]/$C$151</f>
        <v>0</v>
      </c>
      <c r="E40" s="23">
        <v>1E-4</v>
      </c>
      <c r="F40" s="40">
        <f>Tabella17[[#This Row],[Percentage of Supplier''s Facilities - Raw]]/$E$151</f>
        <v>1.0109179134654278E-4</v>
      </c>
    </row>
    <row r="41" spans="1:6" ht="19" x14ac:dyDescent="0.25">
      <c r="A41" s="31" t="s">
        <v>54</v>
      </c>
      <c r="B41" s="43">
        <v>4.6951385888474393</v>
      </c>
      <c r="C41" s="22">
        <v>0</v>
      </c>
      <c r="D41" s="36">
        <f>Tabella17[[#This Row],[Percentage of Suppliers - Raw]]/$C$151</f>
        <v>0</v>
      </c>
      <c r="E41" s="23">
        <v>8.9999999999999998E-4</v>
      </c>
      <c r="F41" s="40">
        <f>Tabella17[[#This Row],[Percentage of Supplier''s Facilities - Raw]]/$E$151</f>
        <v>9.0982612211888486E-4</v>
      </c>
    </row>
    <row r="42" spans="1:6" ht="19" x14ac:dyDescent="0.25">
      <c r="A42" s="31" t="s">
        <v>55</v>
      </c>
      <c r="B42" s="43">
        <v>5.7086243658486353</v>
      </c>
      <c r="C42" s="22">
        <v>0</v>
      </c>
      <c r="D42" s="36">
        <f>Tabella17[[#This Row],[Percentage of Suppliers - Raw]]/$C$151</f>
        <v>0</v>
      </c>
      <c r="E42" s="23">
        <v>1.2999999999999999E-3</v>
      </c>
      <c r="F42" s="40">
        <f>Tabella17[[#This Row],[Percentage of Supplier''s Facilities - Raw]]/$E$151</f>
        <v>1.314193287505056E-3</v>
      </c>
    </row>
    <row r="43" spans="1:6" ht="19" x14ac:dyDescent="0.25">
      <c r="A43" s="31" t="s">
        <v>56</v>
      </c>
      <c r="B43" s="43">
        <v>5.6039767437648544</v>
      </c>
      <c r="C43" s="22">
        <v>0</v>
      </c>
      <c r="D43" s="36">
        <f>Tabella17[[#This Row],[Percentage of Suppliers - Raw]]/$C$151</f>
        <v>0</v>
      </c>
      <c r="E43" s="23">
        <v>2.0999999999999999E-3</v>
      </c>
      <c r="F43" s="40">
        <f>Tabella17[[#This Row],[Percentage of Supplier''s Facilities - Raw]]/$E$151</f>
        <v>2.1229276182773977E-3</v>
      </c>
    </row>
    <row r="44" spans="1:6" ht="19" x14ac:dyDescent="0.25">
      <c r="A44" s="31" t="s">
        <v>57</v>
      </c>
      <c r="B44" s="43">
        <v>4.7929202889816001</v>
      </c>
      <c r="C44" s="22">
        <v>0</v>
      </c>
      <c r="D44" s="36">
        <f>Tabella17[[#This Row],[Percentage of Suppliers - Raw]]/$C$151</f>
        <v>0</v>
      </c>
      <c r="E44" s="23">
        <v>1.1999999999999999E-3</v>
      </c>
      <c r="F44" s="40">
        <f>Tabella17[[#This Row],[Percentage of Supplier''s Facilities - Raw]]/$E$151</f>
        <v>1.213101496158513E-3</v>
      </c>
    </row>
    <row r="45" spans="1:6" ht="19" x14ac:dyDescent="0.25">
      <c r="A45" s="31" t="s">
        <v>58</v>
      </c>
      <c r="B45" s="43">
        <v>3.5745795767056725</v>
      </c>
      <c r="C45" s="22">
        <v>0</v>
      </c>
      <c r="D45" s="36">
        <f>Tabella17[[#This Row],[Percentage of Suppliers - Raw]]/$C$151</f>
        <v>0</v>
      </c>
      <c r="E45" s="23">
        <v>1.2999999999999999E-3</v>
      </c>
      <c r="F45" s="40">
        <f>Tabella17[[#This Row],[Percentage of Supplier''s Facilities - Raw]]/$E$151</f>
        <v>1.314193287505056E-3</v>
      </c>
    </row>
    <row r="46" spans="1:6" ht="19" x14ac:dyDescent="0.25">
      <c r="A46" s="31" t="s">
        <v>59</v>
      </c>
      <c r="B46" s="43">
        <v>4.4965923559879277</v>
      </c>
      <c r="C46" s="22">
        <v>0</v>
      </c>
      <c r="D46" s="36">
        <f>Tabella17[[#This Row],[Percentage of Suppliers - Raw]]/$C$151</f>
        <v>0</v>
      </c>
      <c r="E46" s="23">
        <v>1E-4</v>
      </c>
      <c r="F46" s="40">
        <f>Tabella17[[#This Row],[Percentage of Supplier''s Facilities - Raw]]/$E$151</f>
        <v>1.0109179134654278E-4</v>
      </c>
    </row>
    <row r="47" spans="1:6" ht="19" x14ac:dyDescent="0.25">
      <c r="A47" s="31" t="s">
        <v>60</v>
      </c>
      <c r="B47" s="43">
        <v>6.927950682570712</v>
      </c>
      <c r="C47" s="22">
        <v>0</v>
      </c>
      <c r="D47" s="36">
        <f>Tabella17[[#This Row],[Percentage of Suppliers - Raw]]/$C$151</f>
        <v>0</v>
      </c>
      <c r="E47" s="23">
        <v>1E-4</v>
      </c>
      <c r="F47" s="40">
        <f>Tabella17[[#This Row],[Percentage of Supplier''s Facilities - Raw]]/$E$151</f>
        <v>1.0109179134654278E-4</v>
      </c>
    </row>
    <row r="48" spans="1:6" ht="19" x14ac:dyDescent="0.25">
      <c r="A48" s="31" t="s">
        <v>61</v>
      </c>
      <c r="B48" s="43">
        <v>3.3483394041152907</v>
      </c>
      <c r="C48" s="22">
        <v>4.1000000000000003E-3</v>
      </c>
      <c r="D48" s="36">
        <f>Tabella17[[#This Row],[Percentage of Suppliers - Raw]]/$C$151</f>
        <v>4.1397415185783527E-3</v>
      </c>
      <c r="E48" s="23">
        <v>3.9000000000000003E-3</v>
      </c>
      <c r="F48" s="40">
        <f>Tabella17[[#This Row],[Percentage of Supplier''s Facilities - Raw]]/$E$151</f>
        <v>3.9425798625151685E-3</v>
      </c>
    </row>
    <row r="49" spans="1:6" ht="19" x14ac:dyDescent="0.25">
      <c r="A49" s="31" t="s">
        <v>62</v>
      </c>
      <c r="B49" s="43">
        <v>3.6488472849850422</v>
      </c>
      <c r="C49" s="22">
        <v>2.7400000000000001E-2</v>
      </c>
      <c r="D49" s="36">
        <f>Tabella17[[#This Row],[Percentage of Suppliers - Raw]]/$C$151</f>
        <v>2.7665589660743135E-2</v>
      </c>
      <c r="E49" s="23">
        <v>2.9900000000000003E-2</v>
      </c>
      <c r="F49" s="40">
        <f>Tabella17[[#This Row],[Percentage of Supplier''s Facilities - Raw]]/$E$151</f>
        <v>3.0226445612616289E-2</v>
      </c>
    </row>
    <row r="50" spans="1:6" ht="19" x14ac:dyDescent="0.25">
      <c r="A50" s="31" t="s">
        <v>63</v>
      </c>
      <c r="B50" s="43">
        <v>5.7823719673887926</v>
      </c>
      <c r="C50" s="22">
        <v>0</v>
      </c>
      <c r="D50" s="36">
        <f>Tabella17[[#This Row],[Percentage of Suppliers - Raw]]/$C$151</f>
        <v>0</v>
      </c>
      <c r="E50" s="23">
        <v>2.9999999999999997E-4</v>
      </c>
      <c r="F50" s="40">
        <f>Tabella17[[#This Row],[Percentage of Supplier''s Facilities - Raw]]/$E$151</f>
        <v>3.0327537403962825E-4</v>
      </c>
    </row>
    <row r="51" spans="1:6" ht="19" x14ac:dyDescent="0.25">
      <c r="A51" s="31" t="s">
        <v>64</v>
      </c>
      <c r="B51" s="43">
        <v>5.3790271999040362</v>
      </c>
      <c r="C51" s="22">
        <v>0</v>
      </c>
      <c r="D51" s="36">
        <f>Tabella17[[#This Row],[Percentage of Suppliers - Raw]]/$C$151</f>
        <v>0</v>
      </c>
      <c r="E51" s="23">
        <v>1E-4</v>
      </c>
      <c r="F51" s="40">
        <f>Tabella17[[#This Row],[Percentage of Supplier''s Facilities - Raw]]/$E$151</f>
        <v>1.0109179134654278E-4</v>
      </c>
    </row>
    <row r="52" spans="1:6" ht="19" x14ac:dyDescent="0.25">
      <c r="A52" s="31" t="s">
        <v>65</v>
      </c>
      <c r="B52" s="43">
        <v>4.9290675473985939</v>
      </c>
      <c r="C52" s="22">
        <v>0</v>
      </c>
      <c r="D52" s="36">
        <f>Tabella17[[#This Row],[Percentage of Suppliers - Raw]]/$C$151</f>
        <v>0</v>
      </c>
      <c r="E52" s="23">
        <v>8.9999999999999998E-4</v>
      </c>
      <c r="F52" s="40">
        <f>Tabella17[[#This Row],[Percentage of Supplier''s Facilities - Raw]]/$E$151</f>
        <v>9.0982612211888486E-4</v>
      </c>
    </row>
    <row r="53" spans="1:6" ht="19" x14ac:dyDescent="0.25">
      <c r="A53" s="31" t="s">
        <v>66</v>
      </c>
      <c r="B53" s="43">
        <v>3.4167336021772097</v>
      </c>
      <c r="C53" s="22">
        <v>2.3300000000000001E-2</v>
      </c>
      <c r="D53" s="36">
        <f>Tabella17[[#This Row],[Percentage of Suppliers - Raw]]/$C$151</f>
        <v>2.3525848142164785E-2</v>
      </c>
      <c r="E53" s="23">
        <v>3.7000000000000005E-2</v>
      </c>
      <c r="F53" s="40">
        <f>Tabella17[[#This Row],[Percentage of Supplier''s Facilities - Raw]]/$E$151</f>
        <v>3.7403962798220829E-2</v>
      </c>
    </row>
    <row r="54" spans="1:6" ht="19" x14ac:dyDescent="0.25">
      <c r="A54" s="31" t="s">
        <v>67</v>
      </c>
      <c r="B54" s="43">
        <v>4.6272251474478185</v>
      </c>
      <c r="C54" s="22">
        <v>0</v>
      </c>
      <c r="D54" s="36">
        <f>Tabella17[[#This Row],[Percentage of Suppliers - Raw]]/$C$151</f>
        <v>0</v>
      </c>
      <c r="E54" s="23">
        <v>4.0000000000000002E-4</v>
      </c>
      <c r="F54" s="40">
        <f>Tabella17[[#This Row],[Percentage of Supplier''s Facilities - Raw]]/$E$151</f>
        <v>4.0436716538617111E-4</v>
      </c>
    </row>
    <row r="55" spans="1:6" ht="19" x14ac:dyDescent="0.25">
      <c r="A55" s="31" t="s">
        <v>68</v>
      </c>
      <c r="B55" s="43">
        <v>4.3382922337238083</v>
      </c>
      <c r="C55" s="22">
        <v>1.4E-3</v>
      </c>
      <c r="D55" s="36">
        <f>Tabella17[[#This Row],[Percentage of Suppliers - Raw]]/$C$151</f>
        <v>1.4135702746365106E-3</v>
      </c>
      <c r="E55" s="23">
        <v>2.0999999999999999E-3</v>
      </c>
      <c r="F55" s="40">
        <f>Tabella17[[#This Row],[Percentage of Supplier''s Facilities - Raw]]/$E$151</f>
        <v>2.1229276182773977E-3</v>
      </c>
    </row>
    <row r="56" spans="1:6" ht="19" x14ac:dyDescent="0.25">
      <c r="A56" s="31" t="s">
        <v>69</v>
      </c>
      <c r="B56" s="43">
        <v>5.450113492883502</v>
      </c>
      <c r="C56" s="22">
        <v>0</v>
      </c>
      <c r="D56" s="36">
        <f>Tabella17[[#This Row],[Percentage of Suppliers - Raw]]/$C$151</f>
        <v>0</v>
      </c>
      <c r="E56" s="23">
        <v>1.1000000000000001E-3</v>
      </c>
      <c r="F56" s="40">
        <f>Tabella17[[#This Row],[Percentage of Supplier''s Facilities - Raw]]/$E$151</f>
        <v>1.1120097048119705E-3</v>
      </c>
    </row>
    <row r="57" spans="1:6" ht="19" x14ac:dyDescent="0.25">
      <c r="A57" s="31" t="s">
        <v>70</v>
      </c>
      <c r="B57" s="43">
        <v>6.3557356106090603</v>
      </c>
      <c r="C57" s="22">
        <v>0</v>
      </c>
      <c r="D57" s="36">
        <f>Tabella17[[#This Row],[Percentage of Suppliers - Raw]]/$C$151</f>
        <v>0</v>
      </c>
      <c r="E57" s="23">
        <v>2.0000000000000001E-4</v>
      </c>
      <c r="F57" s="40">
        <f>Tabella17[[#This Row],[Percentage of Supplier''s Facilities - Raw]]/$E$151</f>
        <v>2.0218358269308555E-4</v>
      </c>
    </row>
    <row r="58" spans="1:6" ht="19" x14ac:dyDescent="0.25">
      <c r="A58" s="31" t="s">
        <v>71</v>
      </c>
      <c r="B58" s="43">
        <v>5.9434838790990074</v>
      </c>
      <c r="C58" s="22">
        <v>0</v>
      </c>
      <c r="D58" s="36">
        <f>Tabella17[[#This Row],[Percentage of Suppliers - Raw]]/$C$151</f>
        <v>0</v>
      </c>
      <c r="E58" s="23">
        <v>1E-4</v>
      </c>
      <c r="F58" s="40">
        <f>Tabella17[[#This Row],[Percentage of Supplier''s Facilities - Raw]]/$E$151</f>
        <v>1.0109179134654278E-4</v>
      </c>
    </row>
    <row r="59" spans="1:6" ht="19" x14ac:dyDescent="0.25">
      <c r="A59" s="31" t="s">
        <v>72</v>
      </c>
      <c r="B59" s="43">
        <v>4.9174638740379848</v>
      </c>
      <c r="C59" s="22">
        <v>0</v>
      </c>
      <c r="D59" s="36">
        <f>Tabella17[[#This Row],[Percentage of Suppliers - Raw]]/$C$151</f>
        <v>0</v>
      </c>
      <c r="E59" s="23">
        <v>2.0000000000000001E-4</v>
      </c>
      <c r="F59" s="40">
        <f>Tabella17[[#This Row],[Percentage of Supplier''s Facilities - Raw]]/$E$151</f>
        <v>2.0218358269308555E-4</v>
      </c>
    </row>
    <row r="60" spans="1:6" ht="19" x14ac:dyDescent="0.25">
      <c r="A60" s="31" t="s">
        <v>73</v>
      </c>
      <c r="B60" s="43">
        <v>6.5330241147248609</v>
      </c>
      <c r="C60" s="22">
        <v>0</v>
      </c>
      <c r="D60" s="36">
        <f>Tabella17[[#This Row],[Percentage of Suppliers - Raw]]/$C$151</f>
        <v>0</v>
      </c>
      <c r="E60" s="23">
        <v>1E-4</v>
      </c>
      <c r="F60" s="40">
        <f>Tabella17[[#This Row],[Percentage of Supplier''s Facilities - Raw]]/$E$151</f>
        <v>1.0109179134654278E-4</v>
      </c>
    </row>
    <row r="61" spans="1:6" ht="19" x14ac:dyDescent="0.25">
      <c r="A61" s="31" t="s">
        <v>74</v>
      </c>
      <c r="B61" s="43">
        <v>5.7658823887989872</v>
      </c>
      <c r="C61" s="22">
        <v>0</v>
      </c>
      <c r="D61" s="36">
        <f>Tabella17[[#This Row],[Percentage of Suppliers - Raw]]/$C$151</f>
        <v>0</v>
      </c>
      <c r="E61" s="23">
        <v>2.9999999999999997E-4</v>
      </c>
      <c r="F61" s="40">
        <f>Tabella17[[#This Row],[Percentage of Supplier''s Facilities - Raw]]/$E$151</f>
        <v>3.0327537403962825E-4</v>
      </c>
    </row>
    <row r="62" spans="1:6" ht="19" x14ac:dyDescent="0.25">
      <c r="A62" s="31" t="s">
        <v>75</v>
      </c>
      <c r="B62" s="43">
        <v>3.6278897079089987</v>
      </c>
      <c r="C62" s="22">
        <v>0</v>
      </c>
      <c r="D62" s="36">
        <f>Tabella17[[#This Row],[Percentage of Suppliers - Raw]]/$C$151</f>
        <v>0</v>
      </c>
      <c r="E62" s="23">
        <v>5.4000000000000003E-3</v>
      </c>
      <c r="F62" s="40">
        <f>Tabella17[[#This Row],[Percentage of Supplier''s Facilities - Raw]]/$E$151</f>
        <v>5.4589567327133093E-3</v>
      </c>
    </row>
    <row r="63" spans="1:6" ht="19" x14ac:dyDescent="0.25">
      <c r="A63" s="31" t="s">
        <v>76</v>
      </c>
      <c r="B63" s="43">
        <v>3.3752937482227585</v>
      </c>
      <c r="C63" s="22">
        <v>0</v>
      </c>
      <c r="D63" s="36">
        <f>Tabella17[[#This Row],[Percentage of Suppliers - Raw]]/$C$151</f>
        <v>0</v>
      </c>
      <c r="E63" s="23">
        <v>2.9999999999999997E-4</v>
      </c>
      <c r="F63" s="40">
        <f>Tabella17[[#This Row],[Percentage of Supplier''s Facilities - Raw]]/$E$151</f>
        <v>3.0327537403962825E-4</v>
      </c>
    </row>
    <row r="64" spans="1:6" ht="19" x14ac:dyDescent="0.25">
      <c r="A64" s="31" t="s">
        <v>77</v>
      </c>
      <c r="B64" s="43">
        <v>5.0659580961290027</v>
      </c>
      <c r="C64" s="22">
        <v>3.56E-2</v>
      </c>
      <c r="D64" s="36">
        <f>Tabella17[[#This Row],[Percentage of Suppliers - Raw]]/$C$151</f>
        <v>3.5945072697899837E-2</v>
      </c>
      <c r="E64" s="23">
        <v>4.7E-2</v>
      </c>
      <c r="F64" s="40">
        <f>Tabella17[[#This Row],[Percentage of Supplier''s Facilities - Raw]]/$E$151</f>
        <v>4.7513141932875098E-2</v>
      </c>
    </row>
    <row r="65" spans="1:6" ht="19" x14ac:dyDescent="0.25">
      <c r="A65" s="31" t="s">
        <v>78</v>
      </c>
      <c r="B65" s="43">
        <v>4.9248047791749228</v>
      </c>
      <c r="C65" s="22">
        <v>1.4E-3</v>
      </c>
      <c r="D65" s="36">
        <f>Tabella17[[#This Row],[Percentage of Suppliers - Raw]]/$C$151</f>
        <v>1.4135702746365106E-3</v>
      </c>
      <c r="E65" s="23">
        <v>1.0700000000000001E-2</v>
      </c>
      <c r="F65" s="40">
        <f>Tabella17[[#This Row],[Percentage of Supplier''s Facilities - Raw]]/$E$151</f>
        <v>1.0816821674080077E-2</v>
      </c>
    </row>
    <row r="66" spans="1:6" ht="19" x14ac:dyDescent="0.25">
      <c r="A66" s="31" t="s">
        <v>79</v>
      </c>
      <c r="B66" s="43">
        <v>5.8793658240107565</v>
      </c>
      <c r="C66" s="22">
        <v>0</v>
      </c>
      <c r="D66" s="36">
        <f>Tabella17[[#This Row],[Percentage of Suppliers - Raw]]/$C$151</f>
        <v>0</v>
      </c>
      <c r="E66" s="23">
        <v>1E-4</v>
      </c>
      <c r="F66" s="40">
        <f>Tabella17[[#This Row],[Percentage of Supplier''s Facilities - Raw]]/$E$151</f>
        <v>1.0109179134654278E-4</v>
      </c>
    </row>
    <row r="67" spans="1:6" ht="19" x14ac:dyDescent="0.25">
      <c r="A67" s="31" t="s">
        <v>80</v>
      </c>
      <c r="B67" s="43">
        <v>6.0491810448870345</v>
      </c>
      <c r="C67" s="22">
        <v>0</v>
      </c>
      <c r="D67" s="36">
        <f>Tabella17[[#This Row],[Percentage of Suppliers - Raw]]/$C$151</f>
        <v>0</v>
      </c>
      <c r="E67" s="23">
        <v>2.0000000000000001E-4</v>
      </c>
      <c r="F67" s="40">
        <f>Tabella17[[#This Row],[Percentage of Supplier''s Facilities - Raw]]/$E$151</f>
        <v>2.0218358269308555E-4</v>
      </c>
    </row>
    <row r="68" spans="1:6" ht="19" x14ac:dyDescent="0.25">
      <c r="A68" s="31" t="s">
        <v>81</v>
      </c>
      <c r="B68" s="43">
        <v>3.253942686762922</v>
      </c>
      <c r="C68" s="22">
        <v>8.2000000000000007E-3</v>
      </c>
      <c r="D68" s="36">
        <f>Tabella17[[#This Row],[Percentage of Suppliers - Raw]]/$C$151</f>
        <v>8.2794830371567055E-3</v>
      </c>
      <c r="E68" s="23">
        <v>2.7000000000000001E-3</v>
      </c>
      <c r="F68" s="40">
        <f>Tabella17[[#This Row],[Percentage of Supplier''s Facilities - Raw]]/$E$151</f>
        <v>2.7294783663566547E-3</v>
      </c>
    </row>
    <row r="69" spans="1:6" ht="19" x14ac:dyDescent="0.25">
      <c r="A69" s="31" t="s">
        <v>82</v>
      </c>
      <c r="B69" s="43">
        <v>4.6082974679305195</v>
      </c>
      <c r="C69" s="22">
        <v>1.5100000000000001E-2</v>
      </c>
      <c r="D69" s="36">
        <f>Tabella17[[#This Row],[Percentage of Suppliers - Raw]]/$C$151</f>
        <v>1.5246365105008078E-2</v>
      </c>
      <c r="E69" s="23">
        <v>4.5999999999999999E-3</v>
      </c>
      <c r="F69" s="40">
        <f>Tabella17[[#This Row],[Percentage of Supplier''s Facilities - Raw]]/$E$151</f>
        <v>4.6502224019409674E-3</v>
      </c>
    </row>
    <row r="70" spans="1:6" ht="19" x14ac:dyDescent="0.25">
      <c r="A70" s="31" t="s">
        <v>83</v>
      </c>
      <c r="B70" s="43">
        <v>3.8382882812123826</v>
      </c>
      <c r="C70" s="22">
        <v>8.2000000000000007E-3</v>
      </c>
      <c r="D70" s="36">
        <f>Tabella17[[#This Row],[Percentage of Suppliers - Raw]]/$C$151</f>
        <v>8.2794830371567055E-3</v>
      </c>
      <c r="E70" s="23">
        <v>1.6399999999999998E-2</v>
      </c>
      <c r="F70" s="40">
        <f>Tabella17[[#This Row],[Percentage of Supplier''s Facilities - Raw]]/$E$151</f>
        <v>1.6579053780833013E-2</v>
      </c>
    </row>
    <row r="71" spans="1:6" ht="19" x14ac:dyDescent="0.25">
      <c r="A71" s="31" t="s">
        <v>84</v>
      </c>
      <c r="B71" s="43">
        <v>4.7451218036873231</v>
      </c>
      <c r="C71" s="22">
        <v>0</v>
      </c>
      <c r="D71" s="36">
        <f>Tabella17[[#This Row],[Percentage of Suppliers - Raw]]/$C$151</f>
        <v>0</v>
      </c>
      <c r="E71" s="23">
        <v>2.0000000000000001E-4</v>
      </c>
      <c r="F71" s="40">
        <f>Tabella17[[#This Row],[Percentage of Supplier''s Facilities - Raw]]/$E$151</f>
        <v>2.0218358269308555E-4</v>
      </c>
    </row>
    <row r="72" spans="1:6" ht="19" x14ac:dyDescent="0.25">
      <c r="A72" s="31" t="s">
        <v>85</v>
      </c>
      <c r="B72" s="43">
        <v>3.3755878841798577</v>
      </c>
      <c r="C72" s="22">
        <v>4.7899999999999998E-2</v>
      </c>
      <c r="D72" s="36">
        <f>Tabella17[[#This Row],[Percentage of Suppliers - Raw]]/$C$151</f>
        <v>4.8364297253634898E-2</v>
      </c>
      <c r="E72" s="23">
        <v>6.3200000000000006E-2</v>
      </c>
      <c r="F72" s="40">
        <f>Tabella17[[#This Row],[Percentage of Supplier''s Facilities - Raw]]/$E$151</f>
        <v>6.3890012131015028E-2</v>
      </c>
    </row>
    <row r="73" spans="1:6" ht="19" x14ac:dyDescent="0.25">
      <c r="A73" s="31" t="s">
        <v>86</v>
      </c>
      <c r="B73" s="43">
        <v>5.1303864841692146</v>
      </c>
      <c r="C73" s="22">
        <v>0</v>
      </c>
      <c r="D73" s="36">
        <f>Tabella17[[#This Row],[Percentage of Suppliers - Raw]]/$C$151</f>
        <v>0</v>
      </c>
      <c r="E73" s="23">
        <v>4.0000000000000002E-4</v>
      </c>
      <c r="F73" s="40">
        <f>Tabella17[[#This Row],[Percentage of Supplier''s Facilities - Raw]]/$E$151</f>
        <v>4.0436716538617111E-4</v>
      </c>
    </row>
    <row r="74" spans="1:6" ht="19" x14ac:dyDescent="0.25">
      <c r="A74" s="31" t="s">
        <v>87</v>
      </c>
      <c r="B74" s="43">
        <v>4.5379079915092131</v>
      </c>
      <c r="C74" s="22">
        <v>0</v>
      </c>
      <c r="D74" s="36">
        <f>Tabella17[[#This Row],[Percentage of Suppliers - Raw]]/$C$151</f>
        <v>0</v>
      </c>
      <c r="E74" s="23">
        <v>0</v>
      </c>
      <c r="F74" s="40">
        <f>Tabella17[[#This Row],[Percentage of Supplier''s Facilities - Raw]]/$E$151</f>
        <v>0</v>
      </c>
    </row>
    <row r="75" spans="1:6" ht="19" x14ac:dyDescent="0.25">
      <c r="A75" s="31" t="s">
        <v>88</v>
      </c>
      <c r="B75" s="43">
        <v>6.1313349307646918</v>
      </c>
      <c r="C75" s="22">
        <v>0</v>
      </c>
      <c r="D75" s="36">
        <f>Tabella17[[#This Row],[Percentage of Suppliers - Raw]]/$C$151</f>
        <v>0</v>
      </c>
      <c r="E75" s="23">
        <v>5.0000000000000001E-4</v>
      </c>
      <c r="F75" s="40">
        <f>Tabella17[[#This Row],[Percentage of Supplier''s Facilities - Raw]]/$E$151</f>
        <v>5.0545895673271386E-4</v>
      </c>
    </row>
    <row r="76" spans="1:6" ht="19" x14ac:dyDescent="0.25">
      <c r="A76" s="31" t="s">
        <v>89</v>
      </c>
      <c r="B76" s="43">
        <v>4.2961051501975707</v>
      </c>
      <c r="C76" s="22">
        <v>0</v>
      </c>
      <c r="D76" s="36">
        <f>Tabella17[[#This Row],[Percentage of Suppliers - Raw]]/$C$151</f>
        <v>0</v>
      </c>
      <c r="E76" s="23">
        <v>1E-4</v>
      </c>
      <c r="F76" s="40">
        <f>Tabella17[[#This Row],[Percentage of Supplier''s Facilities - Raw]]/$E$151</f>
        <v>1.0109179134654278E-4</v>
      </c>
    </row>
    <row r="77" spans="1:6" ht="19" x14ac:dyDescent="0.25">
      <c r="A77" s="31" t="s">
        <v>90</v>
      </c>
      <c r="B77" s="43">
        <v>5.373680321889462</v>
      </c>
      <c r="C77" s="22">
        <v>0</v>
      </c>
      <c r="D77" s="36">
        <f>Tabella17[[#This Row],[Percentage of Suppliers - Raw]]/$C$151</f>
        <v>0</v>
      </c>
      <c r="E77" s="23">
        <v>0</v>
      </c>
      <c r="F77" s="40">
        <f>Tabella17[[#This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2">
        <v>0</v>
      </c>
      <c r="D78" s="36">
        <f>Tabella17[[#This Row],[Percentage of Suppliers - Raw]]/$C$151</f>
        <v>0</v>
      </c>
      <c r="E78" s="23">
        <v>0</v>
      </c>
      <c r="F78" s="40">
        <f>Tabella17[[#This Row],[Percentage of Supplier''s Facilities - Raw]]/$E$151</f>
        <v>0</v>
      </c>
    </row>
    <row r="79" spans="1:6" ht="19" x14ac:dyDescent="0.25">
      <c r="A79" s="31" t="s">
        <v>92</v>
      </c>
      <c r="B79" s="43">
        <v>3.9664492327048539</v>
      </c>
      <c r="C79" s="22">
        <v>0</v>
      </c>
      <c r="D79" s="36">
        <f>Tabella17[[#This Row],[Percentage of Suppliers - Raw]]/$C$151</f>
        <v>0</v>
      </c>
      <c r="E79" s="23">
        <v>1.1000000000000001E-3</v>
      </c>
      <c r="F79" s="40">
        <f>Tabella17[[#This Row],[Percentage of Supplier''s Facilities - Raw]]/$E$151</f>
        <v>1.1120097048119705E-3</v>
      </c>
    </row>
    <row r="80" spans="1:6" ht="19" x14ac:dyDescent="0.25">
      <c r="A80" s="31" t="s">
        <v>93</v>
      </c>
      <c r="B80" s="43">
        <v>6.1238543404169867</v>
      </c>
      <c r="C80" s="22">
        <v>0</v>
      </c>
      <c r="D80" s="36">
        <f>Tabella17[[#This Row],[Percentage of Suppliers - Raw]]/$C$151</f>
        <v>0</v>
      </c>
      <c r="E80" s="23">
        <v>0</v>
      </c>
      <c r="F80" s="40">
        <f>Tabella17[[#This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2">
        <v>0</v>
      </c>
      <c r="D81" s="36">
        <f>Tabella17[[#This Row],[Percentage of Suppliers - Raw]]/$C$151</f>
        <v>0</v>
      </c>
      <c r="E81" s="23">
        <v>1E-4</v>
      </c>
      <c r="F81" s="40">
        <f>Tabella17[[#This Row],[Percentage of Supplier''s Facilities - Raw]]/$E$151</f>
        <v>1.0109179134654278E-4</v>
      </c>
    </row>
    <row r="82" spans="1:6" ht="19" x14ac:dyDescent="0.25">
      <c r="A82" s="31" t="s">
        <v>95</v>
      </c>
      <c r="B82" s="43">
        <v>5.9675040107987867</v>
      </c>
      <c r="C82" s="22">
        <v>0</v>
      </c>
      <c r="D82" s="36">
        <f>Tabella17[[#This Row],[Percentage of Suppliers - Raw]]/$C$151</f>
        <v>0</v>
      </c>
      <c r="E82" s="23">
        <v>2.0000000000000001E-4</v>
      </c>
      <c r="F82" s="40">
        <f>Tabella17[[#This Row],[Percentage of Supplier''s Facilities - Raw]]/$E$151</f>
        <v>2.0218358269308555E-4</v>
      </c>
    </row>
    <row r="83" spans="1:6" ht="19" x14ac:dyDescent="0.25">
      <c r="A83" s="31" t="s">
        <v>96</v>
      </c>
      <c r="B83" s="43">
        <v>5.6755260890564418</v>
      </c>
      <c r="C83" s="22">
        <v>0</v>
      </c>
      <c r="D83" s="36">
        <f>Tabella17[[#This Row],[Percentage of Suppliers - Raw]]/$C$151</f>
        <v>0</v>
      </c>
      <c r="E83" s="23">
        <v>2.9999999999999997E-4</v>
      </c>
      <c r="F83" s="40">
        <f>Tabella17[[#This Row],[Percentage of Supplier''s Facilities - Raw]]/$E$151</f>
        <v>3.0327537403962825E-4</v>
      </c>
    </row>
    <row r="84" spans="1:6" ht="19" x14ac:dyDescent="0.25">
      <c r="A84" s="31" t="s">
        <v>97</v>
      </c>
      <c r="B84" s="43">
        <v>3.9263549476589308</v>
      </c>
      <c r="C84" s="22">
        <v>0</v>
      </c>
      <c r="D84" s="36">
        <f>Tabella17[[#This Row],[Percentage of Suppliers - Raw]]/$C$151</f>
        <v>0</v>
      </c>
      <c r="E84" s="23">
        <v>2.9999999999999997E-4</v>
      </c>
      <c r="F84" s="40">
        <f>Tabella17[[#This Row],[Percentage of Supplier''s Facilities - Raw]]/$E$151</f>
        <v>3.0327537403962825E-4</v>
      </c>
    </row>
    <row r="85" spans="1:6" ht="19" x14ac:dyDescent="0.25">
      <c r="A85" s="31" t="s">
        <v>98</v>
      </c>
      <c r="B85" s="43">
        <v>5.8210372928345899</v>
      </c>
      <c r="C85" s="22">
        <v>0</v>
      </c>
      <c r="D85" s="36">
        <f>Tabella17[[#This Row],[Percentage of Suppliers - Raw]]/$C$151</f>
        <v>0</v>
      </c>
      <c r="E85" s="23">
        <v>5.9999999999999995E-4</v>
      </c>
      <c r="F85" s="40">
        <f>Tabella17[[#This Row],[Percentage of Supplier''s Facilities - Raw]]/$E$151</f>
        <v>6.065507480792565E-4</v>
      </c>
    </row>
    <row r="86" spans="1:6" ht="19" x14ac:dyDescent="0.25">
      <c r="A86" s="31" t="s">
        <v>99</v>
      </c>
      <c r="B86" s="43">
        <v>5.5779364438856991</v>
      </c>
      <c r="C86" s="22">
        <v>0</v>
      </c>
      <c r="D86" s="36">
        <f>Tabella17[[#This Row],[Percentage of Suppliers - Raw]]/$C$151</f>
        <v>0</v>
      </c>
      <c r="E86" s="23">
        <v>1E-4</v>
      </c>
      <c r="F86" s="40">
        <f>Tabella17[[#This Row],[Percentage of Supplier''s Facilities - Raw]]/$E$151</f>
        <v>1.0109179134654278E-4</v>
      </c>
    </row>
    <row r="87" spans="1:6" ht="19" x14ac:dyDescent="0.25">
      <c r="A87" s="31" t="s">
        <v>100</v>
      </c>
      <c r="B87" s="43">
        <v>4.0335588563178906</v>
      </c>
      <c r="C87" s="22">
        <v>0</v>
      </c>
      <c r="D87" s="36">
        <f>Tabella17[[#This Row],[Percentage of Suppliers - Raw]]/$C$151</f>
        <v>0</v>
      </c>
      <c r="E87" s="23">
        <v>1.78E-2</v>
      </c>
      <c r="F87" s="40">
        <f>Tabella17[[#This Row],[Percentage of Supplier''s Facilities - Raw]]/$E$151</f>
        <v>1.7994338859684614E-2</v>
      </c>
    </row>
    <row r="88" spans="1:6" ht="19" x14ac:dyDescent="0.25">
      <c r="A88" s="31" t="s">
        <v>101</v>
      </c>
      <c r="B88" s="43">
        <v>7.1049758774245326</v>
      </c>
      <c r="C88" s="22">
        <v>0</v>
      </c>
      <c r="D88" s="36">
        <f>Tabella17[[#This Row],[Percentage of Suppliers - Raw]]/$C$151</f>
        <v>0</v>
      </c>
      <c r="E88" s="23">
        <v>2.9999999999999997E-4</v>
      </c>
      <c r="F88" s="40">
        <f>Tabella17[[#This Row],[Percentage of Supplier''s Facilities - Raw]]/$E$151</f>
        <v>3.0327537403962825E-4</v>
      </c>
    </row>
    <row r="89" spans="1:6" ht="19" x14ac:dyDescent="0.25">
      <c r="A89" s="31" t="s">
        <v>102</v>
      </c>
      <c r="B89" s="43">
        <v>6.2753028505143282</v>
      </c>
      <c r="C89" s="22">
        <v>0</v>
      </c>
      <c r="D89" s="36">
        <f>Tabella17[[#This Row],[Percentage of Suppliers - Raw]]/$C$151</f>
        <v>0</v>
      </c>
      <c r="E89" s="23">
        <v>2.9999999999999997E-4</v>
      </c>
      <c r="F89" s="40">
        <f>Tabella17[[#This Row],[Percentage of Supplier''s Facilities - Raw]]/$E$151</f>
        <v>3.0327537403962825E-4</v>
      </c>
    </row>
    <row r="90" spans="1:6" ht="19" x14ac:dyDescent="0.25">
      <c r="A90" s="31" t="s">
        <v>103</v>
      </c>
      <c r="B90" s="43">
        <v>3.4654790256975891</v>
      </c>
      <c r="C90" s="22">
        <v>0</v>
      </c>
      <c r="D90" s="36">
        <f>Tabella17[[#This Row],[Percentage of Suppliers - Raw]]/$C$151</f>
        <v>0</v>
      </c>
      <c r="E90" s="23">
        <v>2.0000000000000001E-4</v>
      </c>
      <c r="F90" s="40">
        <f>Tabella17[[#This Row],[Percentage of Supplier''s Facilities - Raw]]/$E$151</f>
        <v>2.0218358269308555E-4</v>
      </c>
    </row>
    <row r="91" spans="1:6" ht="19" x14ac:dyDescent="0.25">
      <c r="A91" s="31" t="s">
        <v>104</v>
      </c>
      <c r="B91" s="43">
        <v>5.4234078040770983</v>
      </c>
      <c r="C91" s="22">
        <v>2.7000000000000001E-3</v>
      </c>
      <c r="D91" s="36">
        <f>Tabella17[[#This Row],[Percentage of Suppliers - Raw]]/$C$151</f>
        <v>2.7261712439418419E-3</v>
      </c>
      <c r="E91" s="23">
        <v>2.6099999999999998E-2</v>
      </c>
      <c r="F91" s="40">
        <f>Tabella17[[#This Row],[Percentage of Supplier''s Facilities - Raw]]/$E$151</f>
        <v>2.6384957541447662E-2</v>
      </c>
    </row>
    <row r="92" spans="1:6" ht="19" x14ac:dyDescent="0.25">
      <c r="A92" s="31" t="s">
        <v>105</v>
      </c>
      <c r="B92" s="43">
        <v>5.1376667464547303</v>
      </c>
      <c r="C92" s="22">
        <v>0</v>
      </c>
      <c r="D92" s="36">
        <f>Tabella17[[#This Row],[Percentage of Suppliers - Raw]]/$C$151</f>
        <v>0</v>
      </c>
      <c r="E92" s="23">
        <v>1E-4</v>
      </c>
      <c r="F92" s="40">
        <f>Tabella17[[#This Row],[Percentage of Supplier''s Facilities - Raw]]/$E$151</f>
        <v>1.0109179134654278E-4</v>
      </c>
    </row>
    <row r="93" spans="1:6" ht="19" x14ac:dyDescent="0.25">
      <c r="A93" s="31" t="s">
        <v>106</v>
      </c>
      <c r="B93" s="43">
        <v>4.6510069196773065</v>
      </c>
      <c r="C93" s="22">
        <v>0</v>
      </c>
      <c r="D93" s="36">
        <f>Tabella17[[#This Row],[Percentage of Suppliers - Raw]]/$C$151</f>
        <v>0</v>
      </c>
      <c r="E93" s="23">
        <v>0</v>
      </c>
      <c r="F93" s="40">
        <f>Tabella17[[#This Row],[Percentage of Supplier''s Facilities - Raw]]/$E$151</f>
        <v>0</v>
      </c>
    </row>
    <row r="94" spans="1:6" ht="19" x14ac:dyDescent="0.25">
      <c r="A94" s="31" t="s">
        <v>107</v>
      </c>
      <c r="B94" s="43">
        <v>5.1009280794553211</v>
      </c>
      <c r="C94" s="22">
        <v>0</v>
      </c>
      <c r="D94" s="36">
        <f>Tabella17[[#This Row],[Percentage of Suppliers - Raw]]/$C$151</f>
        <v>0</v>
      </c>
      <c r="E94" s="23">
        <v>1.8E-3</v>
      </c>
      <c r="F94" s="40">
        <f>Tabella17[[#This Row],[Percentage of Supplier''s Facilities - Raw]]/$E$151</f>
        <v>1.8196522442377697E-3</v>
      </c>
    </row>
    <row r="95" spans="1:6" ht="19" x14ac:dyDescent="0.25">
      <c r="A95" s="31" t="s">
        <v>108</v>
      </c>
      <c r="B95" s="43">
        <v>6.2957088620382402</v>
      </c>
      <c r="C95" s="22">
        <v>0</v>
      </c>
      <c r="D95" s="36">
        <f>Tabella17[[#This Row],[Percentage of Suppliers - Raw]]/$C$151</f>
        <v>0</v>
      </c>
      <c r="E95" s="23">
        <v>5.0000000000000001E-4</v>
      </c>
      <c r="F95" s="40">
        <f>Tabella17[[#This Row],[Percentage of Supplier''s Facilities - Raw]]/$E$151</f>
        <v>5.0545895673271386E-4</v>
      </c>
    </row>
    <row r="96" spans="1:6" ht="19" x14ac:dyDescent="0.25">
      <c r="A96" s="31" t="s">
        <v>109</v>
      </c>
      <c r="B96" s="43">
        <v>4.6400800634309949</v>
      </c>
      <c r="C96" s="22">
        <v>0</v>
      </c>
      <c r="D96" s="36">
        <f>Tabella17[[#This Row],[Percentage of Suppliers - Raw]]/$C$151</f>
        <v>0</v>
      </c>
      <c r="E96" s="23">
        <v>4.0000000000000002E-4</v>
      </c>
      <c r="F96" s="40">
        <f>Tabella17[[#This Row],[Percentage of Supplier''s Facilities - Raw]]/$E$151</f>
        <v>4.0436716538617111E-4</v>
      </c>
    </row>
    <row r="97" spans="1:6" ht="19" x14ac:dyDescent="0.25">
      <c r="A97" s="31" t="s">
        <v>110</v>
      </c>
      <c r="B97" s="43">
        <v>5.7812106231736005</v>
      </c>
      <c r="C97" s="22">
        <v>0</v>
      </c>
      <c r="D97" s="36">
        <f>Tabella17[[#This Row],[Percentage of Suppliers - Raw]]/$C$151</f>
        <v>0</v>
      </c>
      <c r="E97" s="23">
        <v>2.0000000000000001E-4</v>
      </c>
      <c r="F97" s="40">
        <f>Tabella17[[#This Row],[Percentage of Supplier''s Facilities - Raw]]/$E$151</f>
        <v>2.0218358269308555E-4</v>
      </c>
    </row>
    <row r="98" spans="1:6" ht="19" x14ac:dyDescent="0.25">
      <c r="A98" s="31" t="s">
        <v>111</v>
      </c>
      <c r="B98" s="43">
        <v>3.5907872747385401</v>
      </c>
      <c r="C98" s="22">
        <v>1.23E-2</v>
      </c>
      <c r="D98" s="36">
        <f>Tabella17[[#This Row],[Percentage of Suppliers - Raw]]/$C$151</f>
        <v>1.2419224555735058E-2</v>
      </c>
      <c r="E98" s="23">
        <v>1.1399999999999999E-2</v>
      </c>
      <c r="F98" s="40">
        <f>Tabella17[[#This Row],[Percentage of Supplier''s Facilities - Raw]]/$E$151</f>
        <v>1.1524464213505874E-2</v>
      </c>
    </row>
    <row r="99" spans="1:6" ht="19" x14ac:dyDescent="0.25">
      <c r="A99" s="31" t="s">
        <v>112</v>
      </c>
      <c r="B99" s="43">
        <v>3.3163390659638341</v>
      </c>
      <c r="C99" s="22">
        <v>1.4E-3</v>
      </c>
      <c r="D99" s="36">
        <f>Tabella17[[#This Row],[Percentage of Suppliers - Raw]]/$C$151</f>
        <v>1.4135702746365106E-3</v>
      </c>
      <c r="E99" s="23">
        <v>3.4000000000000002E-3</v>
      </c>
      <c r="F99" s="40">
        <f>Tabella17[[#This Row],[Percentage of Supplier''s Facilities - Raw]]/$E$151</f>
        <v>3.4371209057824544E-3</v>
      </c>
    </row>
    <row r="100" spans="1:6" ht="19" x14ac:dyDescent="0.25">
      <c r="A100" s="31" t="s">
        <v>113</v>
      </c>
      <c r="B100" s="43">
        <v>5.8020732010296063</v>
      </c>
      <c r="C100" s="22">
        <v>0</v>
      </c>
      <c r="D100" s="36">
        <f>Tabella17[[#This Row],[Percentage of Suppliers - Raw]]/$C$151</f>
        <v>0</v>
      </c>
      <c r="E100" s="23">
        <v>0</v>
      </c>
      <c r="F100" s="40">
        <f>Tabella17[[#This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2">
        <v>0</v>
      </c>
      <c r="D101" s="36">
        <f>Tabella17[[#This Row],[Percentage of Suppliers - Raw]]/$C$151</f>
        <v>0</v>
      </c>
      <c r="E101" s="23">
        <v>0</v>
      </c>
      <c r="F101" s="40">
        <f>Tabella17[[#This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2">
        <v>0</v>
      </c>
      <c r="D102" s="36">
        <f>Tabella17[[#This Row],[Percentage of Suppliers - Raw]]/$C$151</f>
        <v>0</v>
      </c>
      <c r="E102" s="23">
        <v>8.9999999999999998E-4</v>
      </c>
      <c r="F102" s="40">
        <f>Tabella17[[#This Row],[Percentage of Supplier''s Facilities - Raw]]/$E$151</f>
        <v>9.0982612211888486E-4</v>
      </c>
    </row>
    <row r="103" spans="1:6" ht="19" x14ac:dyDescent="0.25">
      <c r="A103" s="31" t="s">
        <v>116</v>
      </c>
      <c r="B103" s="43">
        <v>4.1624840904381539</v>
      </c>
      <c r="C103" s="22">
        <v>0</v>
      </c>
      <c r="D103" s="36">
        <f>Tabella17[[#This Row],[Percentage of Suppliers - Raw]]/$C$151</f>
        <v>0</v>
      </c>
      <c r="E103" s="23">
        <v>2.9999999999999997E-4</v>
      </c>
      <c r="F103" s="40">
        <f>Tabella17[[#This Row],[Percentage of Supplier''s Facilities - Raw]]/$E$151</f>
        <v>3.0327537403962825E-4</v>
      </c>
    </row>
    <row r="104" spans="1:6" ht="19" x14ac:dyDescent="0.25">
      <c r="A104" s="31" t="s">
        <v>117</v>
      </c>
      <c r="B104" s="43">
        <v>3.3787152608913655</v>
      </c>
      <c r="C104" s="22">
        <v>6.7999999999999996E-3</v>
      </c>
      <c r="D104" s="36">
        <f>Tabella17[[#This Row],[Percentage of Suppliers - Raw]]/$C$151</f>
        <v>6.8659127625201937E-3</v>
      </c>
      <c r="E104" s="23">
        <v>4.5000000000000005E-3</v>
      </c>
      <c r="F104" s="40">
        <f>Tabella17[[#This Row],[Percentage of Supplier''s Facilities - Raw]]/$E$151</f>
        <v>4.549130610594425E-3</v>
      </c>
    </row>
    <row r="105" spans="1:6" ht="19" x14ac:dyDescent="0.25">
      <c r="A105" s="31" t="s">
        <v>118</v>
      </c>
      <c r="B105" s="43">
        <v>4.0162254988757935</v>
      </c>
      <c r="C105" s="22">
        <v>0</v>
      </c>
      <c r="D105" s="36">
        <f>Tabella17[[#This Row],[Percentage of Suppliers - Raw]]/$C$151</f>
        <v>0</v>
      </c>
      <c r="E105" s="23">
        <v>8.9999999999999998E-4</v>
      </c>
      <c r="F105" s="40">
        <f>Tabella17[[#This Row],[Percentage of Supplier''s Facilities - Raw]]/$E$151</f>
        <v>9.0982612211888486E-4</v>
      </c>
    </row>
    <row r="106" spans="1:6" ht="19" x14ac:dyDescent="0.25">
      <c r="A106" s="31" t="s">
        <v>119</v>
      </c>
      <c r="B106" s="43">
        <v>6.648668082818161</v>
      </c>
      <c r="C106" s="22">
        <v>1.4E-3</v>
      </c>
      <c r="D106" s="36">
        <f>Tabella17[[#This Row],[Percentage of Suppliers - Raw]]/$C$151</f>
        <v>1.4135702746365106E-3</v>
      </c>
      <c r="E106" s="23">
        <v>8.0000000000000004E-4</v>
      </c>
      <c r="F106" s="40">
        <f>Tabella17[[#This Row],[Percentage of Supplier''s Facilities - Raw]]/$E$151</f>
        <v>8.0873433077234221E-4</v>
      </c>
    </row>
    <row r="107" spans="1:6" ht="19" x14ac:dyDescent="0.25">
      <c r="A107" s="31" t="s">
        <v>120</v>
      </c>
      <c r="B107" s="43">
        <v>4.5635733416096631</v>
      </c>
      <c r="C107" s="22">
        <v>0</v>
      </c>
      <c r="D107" s="36">
        <f>Tabella17[[#This Row],[Percentage of Suppliers - Raw]]/$C$151</f>
        <v>0</v>
      </c>
      <c r="E107" s="23">
        <v>1.2999999999999999E-3</v>
      </c>
      <c r="F107" s="40">
        <f>Tabella17[[#This Row],[Percentage of Supplier''s Facilities - Raw]]/$E$151</f>
        <v>1.314193287505056E-3</v>
      </c>
    </row>
    <row r="108" spans="1:6" ht="19" x14ac:dyDescent="0.25">
      <c r="A108" s="31" t="s">
        <v>121</v>
      </c>
      <c r="B108" s="43">
        <v>5.3398873222843388</v>
      </c>
      <c r="C108" s="22">
        <v>0</v>
      </c>
      <c r="D108" s="36">
        <f>Tabella17[[#This Row],[Percentage of Suppliers - Raw]]/$C$151</f>
        <v>0</v>
      </c>
      <c r="E108" s="23">
        <v>2.9999999999999997E-4</v>
      </c>
      <c r="F108" s="40">
        <f>Tabella17[[#This Row],[Percentage of Supplier''s Facilities - Raw]]/$E$151</f>
        <v>3.0327537403962825E-4</v>
      </c>
    </row>
    <row r="109" spans="1:6" ht="19" x14ac:dyDescent="0.25">
      <c r="A109" s="31" t="s">
        <v>122</v>
      </c>
      <c r="B109" s="43">
        <v>4.7159164073345954</v>
      </c>
      <c r="C109" s="22">
        <v>0</v>
      </c>
      <c r="D109" s="36">
        <f>Tabella17[[#This Row],[Percentage of Suppliers - Raw]]/$C$151</f>
        <v>0</v>
      </c>
      <c r="E109" s="23">
        <v>0</v>
      </c>
      <c r="F109" s="40">
        <f>Tabella17[[#This Row],[Percentage of Supplier''s Facilities - Raw]]/$E$151</f>
        <v>0</v>
      </c>
    </row>
    <row r="110" spans="1:6" ht="19" x14ac:dyDescent="0.25">
      <c r="A110" s="31" t="s">
        <v>123</v>
      </c>
      <c r="B110" s="43">
        <v>5.2817219635350439</v>
      </c>
      <c r="C110" s="22">
        <v>0</v>
      </c>
      <c r="D110" s="36">
        <f>Tabella17[[#This Row],[Percentage of Suppliers - Raw]]/$C$151</f>
        <v>0</v>
      </c>
      <c r="E110" s="23">
        <v>2.3E-3</v>
      </c>
      <c r="F110" s="40">
        <f>Tabella17[[#This Row],[Percentage of Supplier''s Facilities - Raw]]/$E$151</f>
        <v>2.3251112009704837E-3</v>
      </c>
    </row>
    <row r="111" spans="1:6" ht="19" x14ac:dyDescent="0.25">
      <c r="A111" s="31" t="s">
        <v>124</v>
      </c>
      <c r="B111" s="43">
        <v>5.8016442493647551</v>
      </c>
      <c r="C111" s="22">
        <v>1.4E-3</v>
      </c>
      <c r="D111" s="36">
        <f>Tabella17[[#This Row],[Percentage of Suppliers - Raw]]/$C$151</f>
        <v>1.4135702746365106E-3</v>
      </c>
      <c r="E111" s="23">
        <v>8.5000000000000006E-3</v>
      </c>
      <c r="F111" s="40">
        <f>Tabella17[[#This Row],[Percentage of Supplier''s Facilities - Raw]]/$E$151</f>
        <v>8.5928022644561359E-3</v>
      </c>
    </row>
    <row r="112" spans="1:6" ht="19" x14ac:dyDescent="0.25">
      <c r="A112" s="31" t="s">
        <v>125</v>
      </c>
      <c r="B112" s="43">
        <v>4.1502930814875194</v>
      </c>
      <c r="C112" s="22">
        <v>1.4E-3</v>
      </c>
      <c r="D112" s="36">
        <f>Tabella17[[#This Row],[Percentage of Suppliers - Raw]]/$C$151</f>
        <v>1.4135702746365106E-3</v>
      </c>
      <c r="E112" s="23">
        <v>7.8000000000000005E-3</v>
      </c>
      <c r="F112" s="40">
        <f>Tabella17[[#This Row],[Percentage of Supplier''s Facilities - Raw]]/$E$151</f>
        <v>7.8851597250303371E-3</v>
      </c>
    </row>
    <row r="113" spans="1:6" ht="19" x14ac:dyDescent="0.25">
      <c r="A113" s="31" t="s">
        <v>126</v>
      </c>
      <c r="B113" s="43">
        <v>3.4281858950270068</v>
      </c>
      <c r="C113" s="22">
        <v>1.4E-3</v>
      </c>
      <c r="D113" s="36">
        <f>Tabella17[[#This Row],[Percentage of Suppliers - Raw]]/$C$151</f>
        <v>1.4135702746365106E-3</v>
      </c>
      <c r="E113" s="23">
        <v>2.7000000000000001E-3</v>
      </c>
      <c r="F113" s="40">
        <f>Tabella17[[#This Row],[Percentage of Supplier''s Facilities - Raw]]/$E$151</f>
        <v>2.7294783663566547E-3</v>
      </c>
    </row>
    <row r="114" spans="1:6" ht="19" x14ac:dyDescent="0.25">
      <c r="A114" s="31" t="s">
        <v>127</v>
      </c>
      <c r="B114" s="43">
        <v>3.1959809471990606</v>
      </c>
      <c r="C114" s="22">
        <v>1.4E-3</v>
      </c>
      <c r="D114" s="36">
        <f>Tabella17[[#This Row],[Percentage of Suppliers - Raw]]/$C$151</f>
        <v>1.4135702746365106E-3</v>
      </c>
      <c r="E114" s="23">
        <v>4.0000000000000002E-4</v>
      </c>
      <c r="F114" s="40">
        <f>Tabella17[[#This Row],[Percentage of Supplier''s Facilities - Raw]]/$E$151</f>
        <v>4.0436716538617111E-4</v>
      </c>
    </row>
    <row r="115" spans="1:6" ht="19" x14ac:dyDescent="0.25">
      <c r="A115" s="31" t="s">
        <v>128</v>
      </c>
      <c r="B115" s="43">
        <v>4.0482582591129548</v>
      </c>
      <c r="C115" s="22">
        <v>0</v>
      </c>
      <c r="D115" s="36">
        <f>Tabella17[[#This Row],[Percentage of Suppliers - Raw]]/$C$151</f>
        <v>0</v>
      </c>
      <c r="E115" s="23">
        <v>3.4000000000000002E-3</v>
      </c>
      <c r="F115" s="40">
        <f>Tabella17[[#This Row],[Percentage of Supplier''s Facilities - Raw]]/$E$151</f>
        <v>3.4371209057824544E-3</v>
      </c>
    </row>
    <row r="116" spans="1:6" ht="19" x14ac:dyDescent="0.25">
      <c r="A116" s="31" t="s">
        <v>129</v>
      </c>
      <c r="B116" s="43">
        <v>5.9582623064002229</v>
      </c>
      <c r="C116" s="22">
        <v>0</v>
      </c>
      <c r="D116" s="36">
        <f>Tabella17[[#This Row],[Percentage of Suppliers - Raw]]/$C$151</f>
        <v>0</v>
      </c>
      <c r="E116" s="23">
        <v>8.9999999999999998E-4</v>
      </c>
      <c r="F116" s="40">
        <f>Tabella17[[#This Row],[Percentage of Supplier''s Facilities - Raw]]/$E$151</f>
        <v>9.0982612211888486E-4</v>
      </c>
    </row>
    <row r="117" spans="1:6" ht="19" x14ac:dyDescent="0.25">
      <c r="A117" s="31" t="s">
        <v>130</v>
      </c>
      <c r="B117" s="43">
        <v>5.4717687502053103</v>
      </c>
      <c r="C117" s="22">
        <v>0</v>
      </c>
      <c r="D117" s="36">
        <f>Tabella17[[#This Row],[Percentage of Suppliers - Raw]]/$C$151</f>
        <v>0</v>
      </c>
      <c r="E117" s="23">
        <v>0</v>
      </c>
      <c r="F117" s="40">
        <f>Tabella17[[#This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2">
        <v>1.4E-3</v>
      </c>
      <c r="D118" s="36">
        <f>Tabella17[[#This Row],[Percentage of Suppliers - Raw]]/$C$151</f>
        <v>1.4135702746365106E-3</v>
      </c>
      <c r="E118" s="23">
        <v>4.1999999999999997E-3</v>
      </c>
      <c r="F118" s="40">
        <f>Tabella17[[#This Row],[Percentage of Supplier''s Facilities - Raw]]/$E$151</f>
        <v>4.2458552365547955E-3</v>
      </c>
    </row>
    <row r="119" spans="1:6" ht="19" x14ac:dyDescent="0.25">
      <c r="A119" s="31" t="s">
        <v>132</v>
      </c>
      <c r="B119" s="43">
        <v>5.3961053213656953</v>
      </c>
      <c r="C119" s="22">
        <v>0</v>
      </c>
      <c r="D119" s="36">
        <f>Tabella17[[#This Row],[Percentage of Suppliers - Raw]]/$C$151</f>
        <v>0</v>
      </c>
      <c r="E119" s="23">
        <v>5.9999999999999995E-4</v>
      </c>
      <c r="F119" s="40">
        <f>Tabella17[[#This Row],[Percentage of Supplier''s Facilities - Raw]]/$E$151</f>
        <v>6.065507480792565E-4</v>
      </c>
    </row>
    <row r="120" spans="1:6" ht="19" x14ac:dyDescent="0.25">
      <c r="A120" s="31" t="s">
        <v>133</v>
      </c>
      <c r="B120" s="43">
        <v>5.0353573500743858</v>
      </c>
      <c r="C120" s="22">
        <v>0</v>
      </c>
      <c r="D120" s="36">
        <f>Tabella17[[#This Row],[Percentage of Suppliers - Raw]]/$C$151</f>
        <v>0</v>
      </c>
      <c r="E120" s="23">
        <v>1.1999999999999999E-3</v>
      </c>
      <c r="F120" s="40">
        <f>Tabella17[[#This Row],[Percentage of Supplier''s Facilities - Raw]]/$E$151</f>
        <v>1.213101496158513E-3</v>
      </c>
    </row>
    <row r="121" spans="1:6" ht="19" x14ac:dyDescent="0.25">
      <c r="A121" s="31" t="s">
        <v>134</v>
      </c>
      <c r="B121" s="43">
        <v>5.6408231615395454</v>
      </c>
      <c r="C121" s="22">
        <v>0</v>
      </c>
      <c r="D121" s="36">
        <f>Tabella17[[#This Row],[Percentage of Suppliers - Raw]]/$C$151</f>
        <v>0</v>
      </c>
      <c r="E121" s="23">
        <v>1E-4</v>
      </c>
      <c r="F121" s="40">
        <f>Tabella17[[#This Row],[Percentage of Supplier''s Facilities - Raw]]/$E$151</f>
        <v>1.0109179134654278E-4</v>
      </c>
    </row>
    <row r="122" spans="1:6" ht="19" x14ac:dyDescent="0.25">
      <c r="A122" s="31" t="s">
        <v>135</v>
      </c>
      <c r="B122" s="43">
        <v>3.0386535635012972</v>
      </c>
      <c r="C122" s="22">
        <v>1.23E-2</v>
      </c>
      <c r="D122" s="36">
        <f>Tabella17[[#This Row],[Percentage of Suppliers - Raw]]/$C$151</f>
        <v>1.2419224555735058E-2</v>
      </c>
      <c r="E122" s="23">
        <v>1.03E-2</v>
      </c>
      <c r="F122" s="40">
        <f>Tabella17[[#This Row],[Percentage of Supplier''s Facilities - Raw]]/$E$151</f>
        <v>1.0412454508693905E-2</v>
      </c>
    </row>
    <row r="123" spans="1:6" ht="19" x14ac:dyDescent="0.25">
      <c r="A123" s="31" t="s">
        <v>136</v>
      </c>
      <c r="B123" s="43">
        <v>3.791880207241451</v>
      </c>
      <c r="C123" s="22">
        <v>0</v>
      </c>
      <c r="D123" s="36">
        <f>Tabella17[[#This Row],[Percentage of Suppliers - Raw]]/$C$151</f>
        <v>0</v>
      </c>
      <c r="E123" s="23">
        <v>2.8000000000000004E-3</v>
      </c>
      <c r="F123" s="40">
        <f>Tabella17[[#This Row],[Percentage of Supplier''s Facilities - Raw]]/$E$151</f>
        <v>2.8305701577031979E-3</v>
      </c>
    </row>
    <row r="124" spans="1:6" ht="19" x14ac:dyDescent="0.25">
      <c r="A124" s="31" t="s">
        <v>137</v>
      </c>
      <c r="B124" s="43">
        <v>3.4781584832038352</v>
      </c>
      <c r="C124" s="22">
        <v>0</v>
      </c>
      <c r="D124" s="36">
        <f>Tabella17[[#This Row],[Percentage of Suppliers - Raw]]/$C$151</f>
        <v>0</v>
      </c>
      <c r="E124" s="23">
        <v>1.4000000000000002E-3</v>
      </c>
      <c r="F124" s="40">
        <f>Tabella17[[#This Row],[Percentage of Supplier''s Facilities - Raw]]/$E$151</f>
        <v>1.4152850788515989E-3</v>
      </c>
    </row>
    <row r="125" spans="1:6" ht="19" x14ac:dyDescent="0.25">
      <c r="A125" s="31" t="s">
        <v>138</v>
      </c>
      <c r="B125" s="43">
        <v>5.2224005392752639</v>
      </c>
      <c r="C125" s="22">
        <v>0</v>
      </c>
      <c r="D125" s="36">
        <f>Tabella17[[#This Row],[Percentage of Suppliers - Raw]]/$C$151</f>
        <v>0</v>
      </c>
      <c r="E125" s="23">
        <v>3.9000000000000003E-3</v>
      </c>
      <c r="F125" s="40">
        <f>Tabella17[[#This Row],[Percentage of Supplier''s Facilities - Raw]]/$E$151</f>
        <v>3.9425798625151685E-3</v>
      </c>
    </row>
    <row r="126" spans="1:6" ht="19" x14ac:dyDescent="0.25">
      <c r="A126" s="31" t="s">
        <v>139</v>
      </c>
      <c r="B126" s="43">
        <v>3.5667851803481079</v>
      </c>
      <c r="C126" s="22">
        <v>3.6999999999999998E-2</v>
      </c>
      <c r="D126" s="36">
        <f>Tabella17[[#This Row],[Percentage of Suppliers - Raw]]/$C$151</f>
        <v>3.7358642972536348E-2</v>
      </c>
      <c r="E126" s="23">
        <v>2.4300000000000002E-2</v>
      </c>
      <c r="F126" s="40">
        <f>Tabella17[[#This Row],[Percentage of Supplier''s Facilities - Raw]]/$E$151</f>
        <v>2.4565305297209895E-2</v>
      </c>
    </row>
    <row r="127" spans="1:6" ht="19" x14ac:dyDescent="0.25">
      <c r="A127" s="31" t="s">
        <v>140</v>
      </c>
      <c r="B127" s="43">
        <v>3.7006443947932954</v>
      </c>
      <c r="C127" s="22">
        <v>8.2000000000000007E-3</v>
      </c>
      <c r="D127" s="36">
        <f>Tabella17[[#This Row],[Percentage of Suppliers - Raw]]/$C$151</f>
        <v>8.2794830371567055E-3</v>
      </c>
      <c r="E127" s="23">
        <v>1.44E-2</v>
      </c>
      <c r="F127" s="40">
        <f>Tabella17[[#This Row],[Percentage of Supplier''s Facilities - Raw]]/$E$151</f>
        <v>1.4557217953902158E-2</v>
      </c>
    </row>
    <row r="128" spans="1:6" ht="19" x14ac:dyDescent="0.25">
      <c r="A128" s="32" t="s">
        <v>141</v>
      </c>
      <c r="B128" s="43">
        <v>5.1109914616879202</v>
      </c>
      <c r="C128" s="22">
        <v>0</v>
      </c>
      <c r="D128" s="36">
        <f>Tabella17[[#This Row],[Percentage of Suppliers - Raw]]/$C$151</f>
        <v>0</v>
      </c>
      <c r="E128" s="23">
        <v>2.9999999999999997E-4</v>
      </c>
      <c r="F128" s="40">
        <f>Tabella17[[#This Row],[Percentage of Supplier''s Facilities - Raw]]/$E$151</f>
        <v>3.0327537403962825E-4</v>
      </c>
    </row>
    <row r="129" spans="1:6" ht="19" x14ac:dyDescent="0.25">
      <c r="A129" s="31" t="s">
        <v>142</v>
      </c>
      <c r="B129" s="43">
        <v>7.0987237940608701</v>
      </c>
      <c r="C129" s="22">
        <v>0</v>
      </c>
      <c r="D129" s="36">
        <f>Tabella17[[#This Row],[Percentage of Suppliers - Raw]]/$C$151</f>
        <v>0</v>
      </c>
      <c r="E129" s="23">
        <v>1E-4</v>
      </c>
      <c r="F129" s="40">
        <f>Tabella17[[#This Row],[Percentage of Supplier''s Facilities - Raw]]/$E$151</f>
        <v>1.0109179134654278E-4</v>
      </c>
    </row>
    <row r="130" spans="1:6" ht="19" x14ac:dyDescent="0.25">
      <c r="A130" s="31" t="s">
        <v>143</v>
      </c>
      <c r="B130" s="43">
        <v>3.5240069552478133</v>
      </c>
      <c r="C130" s="22">
        <v>1.6400000000000001E-2</v>
      </c>
      <c r="D130" s="36">
        <f>Tabella17[[#This Row],[Percentage of Suppliers - Raw]]/$C$151</f>
        <v>1.6558966074313411E-2</v>
      </c>
      <c r="E130" s="23">
        <v>4.8999999999999998E-3</v>
      </c>
      <c r="F130" s="40">
        <f>Tabella17[[#This Row],[Percentage of Supplier''s Facilities - Raw]]/$E$151</f>
        <v>4.9534977759805952E-3</v>
      </c>
    </row>
    <row r="131" spans="1:6" ht="19" x14ac:dyDescent="0.25">
      <c r="A131" s="31" t="s">
        <v>144</v>
      </c>
      <c r="B131" s="43">
        <v>2.7770010876672497</v>
      </c>
      <c r="C131" s="22">
        <v>1.0999999999999999E-2</v>
      </c>
      <c r="D131" s="36">
        <f>Tabella17[[#This Row],[Percentage of Suppliers - Raw]]/$C$151</f>
        <v>1.1106623586429725E-2</v>
      </c>
      <c r="E131" s="23">
        <v>6.8000000000000005E-3</v>
      </c>
      <c r="F131" s="40">
        <f>Tabella17[[#This Row],[Percentage of Supplier''s Facilities - Raw]]/$E$151</f>
        <v>6.8742418115649087E-3</v>
      </c>
    </row>
    <row r="132" spans="1:6" ht="19" x14ac:dyDescent="0.25">
      <c r="A132" s="31" t="s">
        <v>145</v>
      </c>
      <c r="B132" s="43">
        <v>7.3330533031040499</v>
      </c>
      <c r="C132" s="22">
        <v>0</v>
      </c>
      <c r="D132" s="36">
        <f>Tabella17[[#This Row],[Percentage of Suppliers - Raw]]/$C$151</f>
        <v>0</v>
      </c>
      <c r="E132" s="23">
        <v>2.0000000000000001E-4</v>
      </c>
      <c r="F132" s="40">
        <f>Tabella17[[#This Row],[Percentage of Supplier''s Facilities - Raw]]/$E$151</f>
        <v>2.0218358269308555E-4</v>
      </c>
    </row>
    <row r="133" spans="1:6" ht="19" x14ac:dyDescent="0.25">
      <c r="A133" s="31" t="s">
        <v>146</v>
      </c>
      <c r="B133" s="43">
        <v>5.6864357260548895</v>
      </c>
      <c r="C133" s="22">
        <v>0</v>
      </c>
      <c r="D133" s="36">
        <f>Tabella17[[#This Row],[Percentage of Suppliers - Raw]]/$C$151</f>
        <v>0</v>
      </c>
      <c r="E133" s="23">
        <v>0</v>
      </c>
      <c r="F133" s="40">
        <f>Tabella17[[#This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2">
        <v>4.1000000000000003E-3</v>
      </c>
      <c r="D134" s="36">
        <f>Tabella17[[#This Row],[Percentage of Suppliers - Raw]]/$C$151</f>
        <v>4.1397415185783527E-3</v>
      </c>
      <c r="E134" s="23">
        <v>1.3999999999999999E-2</v>
      </c>
      <c r="F134" s="40">
        <f>Tabella17[[#This Row],[Percentage of Supplier''s Facilities - Raw]]/$E$151</f>
        <v>1.4152850788515985E-2</v>
      </c>
    </row>
    <row r="135" spans="1:6" ht="19" x14ac:dyDescent="0.25">
      <c r="A135" s="31" t="s">
        <v>148</v>
      </c>
      <c r="B135" s="43">
        <v>5.1473122500344015</v>
      </c>
      <c r="C135" s="22">
        <v>0</v>
      </c>
      <c r="D135" s="36">
        <f>Tabella17[[#This Row],[Percentage of Suppliers - Raw]]/$C$151</f>
        <v>0</v>
      </c>
      <c r="E135" s="23">
        <v>0</v>
      </c>
      <c r="F135" s="40">
        <f>Tabella17[[#This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2">
        <v>0</v>
      </c>
      <c r="D136" s="36">
        <f>Tabella17[[#This Row],[Percentage of Suppliers - Raw]]/$C$151</f>
        <v>0</v>
      </c>
      <c r="E136" s="23">
        <v>2.0000000000000001E-4</v>
      </c>
      <c r="F136" s="40">
        <f>Tabella17[[#This Row],[Percentage of Supplier''s Facilities - Raw]]/$E$151</f>
        <v>2.0218358269308555E-4</v>
      </c>
    </row>
    <row r="137" spans="1:6" ht="19" x14ac:dyDescent="0.25">
      <c r="A137" s="31" t="s">
        <v>150</v>
      </c>
      <c r="B137" s="43">
        <v>4.3829710171749507</v>
      </c>
      <c r="C137" s="22">
        <v>0</v>
      </c>
      <c r="D137" s="36">
        <f>Tabella17[[#This Row],[Percentage of Suppliers - Raw]]/$C$151</f>
        <v>0</v>
      </c>
      <c r="E137" s="23">
        <v>4.0000000000000002E-4</v>
      </c>
      <c r="F137" s="40">
        <f>Tabella17[[#This Row],[Percentage of Supplier''s Facilities - Raw]]/$E$151</f>
        <v>4.0436716538617111E-4</v>
      </c>
    </row>
    <row r="138" spans="1:6" ht="19" x14ac:dyDescent="0.25">
      <c r="A138" s="31" t="s">
        <v>151</v>
      </c>
      <c r="B138" s="43">
        <v>5.1269871649881278</v>
      </c>
      <c r="C138" s="22">
        <v>0</v>
      </c>
      <c r="D138" s="36">
        <f>Tabella17[[#This Row],[Percentage of Suppliers - Raw]]/$C$151</f>
        <v>0</v>
      </c>
      <c r="E138" s="23">
        <v>1.6000000000000001E-3</v>
      </c>
      <c r="F138" s="40">
        <f>Tabella17[[#This Row],[Percentage of Supplier''s Facilities - Raw]]/$E$151</f>
        <v>1.6174686615446844E-3</v>
      </c>
    </row>
    <row r="139" spans="1:6" ht="19" x14ac:dyDescent="0.25">
      <c r="A139" s="31" t="s">
        <v>152</v>
      </c>
      <c r="B139" s="43">
        <v>5.2574384214456868</v>
      </c>
      <c r="C139" s="22">
        <v>0</v>
      </c>
      <c r="D139" s="36">
        <f>Tabella17[[#This Row],[Percentage of Suppliers - Raw]]/$C$151</f>
        <v>0</v>
      </c>
      <c r="E139" s="23">
        <v>7.1999999999999998E-3</v>
      </c>
      <c r="F139" s="40">
        <f>Tabella17[[#This Row],[Percentage of Supplier''s Facilities - Raw]]/$E$151</f>
        <v>7.2786089769510788E-3</v>
      </c>
    </row>
    <row r="140" spans="1:6" ht="19" x14ac:dyDescent="0.25">
      <c r="A140" s="31" t="s">
        <v>153</v>
      </c>
      <c r="B140" s="43">
        <v>6.2888889425300309</v>
      </c>
      <c r="C140" s="22">
        <v>0</v>
      </c>
      <c r="D140" s="36">
        <f>Tabella17[[#This Row],[Percentage of Suppliers - Raw]]/$C$151</f>
        <v>0</v>
      </c>
      <c r="E140" s="23">
        <v>0</v>
      </c>
      <c r="F140" s="40">
        <f>Tabella17[[#This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2">
        <v>0</v>
      </c>
      <c r="D141" s="36">
        <f>Tabella17[[#This Row],[Percentage of Suppliers - Raw]]/$C$151</f>
        <v>0</v>
      </c>
      <c r="E141" s="23">
        <v>1.2999999999999999E-3</v>
      </c>
      <c r="F141" s="40">
        <f>Tabella17[[#This Row],[Percentage of Supplier''s Facilities - Raw]]/$E$151</f>
        <v>1.314193287505056E-3</v>
      </c>
    </row>
    <row r="142" spans="1:6" ht="19" x14ac:dyDescent="0.25">
      <c r="A142" s="31" t="s">
        <v>155</v>
      </c>
      <c r="B142" s="43">
        <v>3.7156413836197295</v>
      </c>
      <c r="C142" s="22">
        <v>0</v>
      </c>
      <c r="D142" s="36">
        <f>Tabella17[[#This Row],[Percentage of Suppliers - Raw]]/$C$151</f>
        <v>0</v>
      </c>
      <c r="E142" s="23">
        <v>3.0999999999999999E-3</v>
      </c>
      <c r="F142" s="40">
        <f>Tabella17[[#This Row],[Percentage of Supplier''s Facilities - Raw]]/$E$151</f>
        <v>3.1338455317428257E-3</v>
      </c>
    </row>
    <row r="143" spans="1:6" ht="19" x14ac:dyDescent="0.25">
      <c r="A143" s="31" t="s">
        <v>156</v>
      </c>
      <c r="B143" s="43">
        <v>3.3179607898236139</v>
      </c>
      <c r="C143" s="22">
        <v>5.7500000000000002E-2</v>
      </c>
      <c r="D143" s="36">
        <f>Tabella17[[#This Row],[Percentage of Suppliers - Raw]]/$C$151</f>
        <v>5.8057350565428115E-2</v>
      </c>
      <c r="E143" s="23">
        <v>2.5099999999999997E-2</v>
      </c>
      <c r="F143" s="40">
        <f>Tabella17[[#This Row],[Percentage of Supplier''s Facilities - Raw]]/$E$151</f>
        <v>2.5374039627982233E-2</v>
      </c>
    </row>
    <row r="144" spans="1:6" ht="19" x14ac:dyDescent="0.25">
      <c r="A144" s="31" t="s">
        <v>157</v>
      </c>
      <c r="B144" s="43">
        <v>4.1903553610988471</v>
      </c>
      <c r="C144" s="22">
        <v>0.38900000000000001</v>
      </c>
      <c r="D144" s="36">
        <f>Tabella17[[#This Row],[Percentage of Suppliers - Raw]]/$C$151</f>
        <v>0.3927705977382876</v>
      </c>
      <c r="E144" s="23">
        <v>0.22949999999999998</v>
      </c>
      <c r="F144" s="40">
        <f>Tabella17[[#This Row],[Percentage of Supplier''s Facilities - Raw]]/$E$151</f>
        <v>0.23200566114031562</v>
      </c>
    </row>
    <row r="145" spans="1:6" ht="19" x14ac:dyDescent="0.25">
      <c r="A145" s="31" t="s">
        <v>158</v>
      </c>
      <c r="B145" s="43">
        <v>3.9104307580301834</v>
      </c>
      <c r="C145" s="22">
        <v>0</v>
      </c>
      <c r="D145" s="36">
        <f>Tabella17[[#This Row],[Percentage of Suppliers - Raw]]/$C$151</f>
        <v>0</v>
      </c>
      <c r="E145" s="23">
        <v>5.0000000000000001E-4</v>
      </c>
      <c r="F145" s="40">
        <f>Tabella17[[#This Row],[Percentage of Supplier''s Facilities - Raw]]/$E$151</f>
        <v>5.0545895673271386E-4</v>
      </c>
    </row>
    <row r="146" spans="1:6" ht="19" x14ac:dyDescent="0.25">
      <c r="A146" s="31" t="s">
        <v>159</v>
      </c>
      <c r="B146" s="43">
        <v>5.7741934156294281</v>
      </c>
      <c r="C146" s="22">
        <v>0</v>
      </c>
      <c r="D146" s="36">
        <f>Tabella17[[#This Row],[Percentage of Suppliers - Raw]]/$C$151</f>
        <v>0</v>
      </c>
      <c r="E146" s="23">
        <v>8.9999999999999998E-4</v>
      </c>
      <c r="F146" s="40">
        <f>Tabella17[[#This Row],[Percentage of Supplier''s Facilities - Raw]]/$E$151</f>
        <v>9.0982612211888486E-4</v>
      </c>
    </row>
    <row r="147" spans="1:6" ht="19" x14ac:dyDescent="0.25">
      <c r="A147" s="31" t="s">
        <v>160</v>
      </c>
      <c r="B147" s="43">
        <v>4.3230065548271748</v>
      </c>
      <c r="C147" s="22">
        <v>1.4E-3</v>
      </c>
      <c r="D147" s="36">
        <f>Tabella17[[#This Row],[Percentage of Suppliers - Raw]]/$C$151</f>
        <v>1.4135702746365106E-3</v>
      </c>
      <c r="E147" s="23">
        <v>1.55E-2</v>
      </c>
      <c r="F147" s="40">
        <f>Tabella17[[#This Row],[Percentage of Supplier''s Facilities - Raw]]/$E$151</f>
        <v>1.5669227658714129E-2</v>
      </c>
    </row>
    <row r="148" spans="1:6" ht="19" x14ac:dyDescent="0.25">
      <c r="A148" s="31" t="s">
        <v>161</v>
      </c>
      <c r="B148" s="43">
        <v>6.3044304196425287</v>
      </c>
      <c r="C148" s="22">
        <v>0</v>
      </c>
      <c r="D148" s="36">
        <f>Tabella17[[#This Row],[Percentage of Suppliers - Raw]]/$C$151</f>
        <v>0</v>
      </c>
      <c r="E148" s="23">
        <v>2.0000000000000001E-4</v>
      </c>
      <c r="F148" s="40">
        <f>Tabella17[[#This Row],[Percentage of Supplier''s Facilities - Raw]]/$E$151</f>
        <v>2.0218358269308555E-4</v>
      </c>
    </row>
    <row r="149" spans="1:6" ht="19" x14ac:dyDescent="0.25">
      <c r="A149" s="31" t="s">
        <v>162</v>
      </c>
      <c r="B149" s="43">
        <v>4.9494000233782742</v>
      </c>
      <c r="C149" s="22">
        <v>0</v>
      </c>
      <c r="D149" s="36">
        <f>Tabella17[[#This Row],[Percentage of Suppliers - Raw]]/$C$151</f>
        <v>0</v>
      </c>
      <c r="E149" s="23">
        <v>4.0000000000000002E-4</v>
      </c>
      <c r="F149" s="40">
        <f>Tabella17[[#This Row],[Percentage of Supplier''s Facilities - Raw]]/$E$151</f>
        <v>4.0436716538617111E-4</v>
      </c>
    </row>
    <row r="150" spans="1:6" ht="19" x14ac:dyDescent="0.25">
      <c r="A150" s="31" t="s">
        <v>163</v>
      </c>
      <c r="B150" s="43">
        <v>6.1447845309536486</v>
      </c>
      <c r="C150" s="22">
        <v>0</v>
      </c>
      <c r="D150" s="36">
        <f>Tabella17[[#This Row],[Percentage of Suppliers - Raw]]/$C$151</f>
        <v>0</v>
      </c>
      <c r="E150" s="23">
        <v>2.0000000000000001E-4</v>
      </c>
      <c r="F150" s="40">
        <f>Tabella17[[#This Row],[Percentage of Supplier''s Facilities - Raw]]/$E$151</f>
        <v>2.0218358269308555E-4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0.99039999999999995</v>
      </c>
      <c r="D151" s="39">
        <f>Tabella17[[#This Row],[Percentage of Suppliers - Raw]]/$C$151</f>
        <v>1</v>
      </c>
      <c r="E151" s="25">
        <f>SUM(E4:E150)</f>
        <v>0.98919999999999897</v>
      </c>
      <c r="F151" s="41">
        <f>SUM(F4:F150)</f>
        <v>1.0000000000000004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D3DE-A8FA-A643-8CF3-68BDED5BF131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171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Tabella18[[#This Row],[Percentage of Suppliers - Raw]]/$C$151</f>
        <v>0</v>
      </c>
      <c r="E4" s="23">
        <v>0</v>
      </c>
      <c r="F4" s="40">
        <f>Tabella18[[#This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Tabella18[[#This Row],[Percentage of Suppliers - Raw]]/$C$151</f>
        <v>0</v>
      </c>
      <c r="E5" s="23">
        <v>0</v>
      </c>
      <c r="F5" s="40">
        <f>Tabella18[[#This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Tabella18[[#This Row],[Percentage of Suppliers - Raw]]/$C$151</f>
        <v>0</v>
      </c>
      <c r="E6" s="23">
        <v>0</v>
      </c>
      <c r="F6" s="40">
        <f>Tabella18[[#This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Tabella18[[#This Row],[Percentage of Suppliers - Raw]]/$C$151</f>
        <v>0</v>
      </c>
      <c r="E7" s="23">
        <v>9.0000000000000011E-3</v>
      </c>
      <c r="F7" s="40">
        <f>Tabella18[[#This Row],[Percentage of Supplier''s Facilities - Raw]]/$E$151</f>
        <v>9.0452261306532711E-3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Tabella18[[#This Row],[Percentage of Suppliers - Raw]]/$C$151</f>
        <v>0</v>
      </c>
      <c r="E8" s="23">
        <v>0</v>
      </c>
      <c r="F8" s="40">
        <f>Tabella18[[#This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0.5699293642785066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0.32592964824120613</v>
      </c>
    </row>
    <row r="9" spans="1:16" ht="23" thickBot="1" x14ac:dyDescent="0.35">
      <c r="A9" s="31" t="s">
        <v>19</v>
      </c>
      <c r="B9" s="48">
        <v>3.22</v>
      </c>
      <c r="C9" s="22">
        <v>9.2999999999999992E-3</v>
      </c>
      <c r="D9" s="36">
        <f>Tabella18[[#This Row],[Percentage of Suppliers - Raw]]/$C$151</f>
        <v>9.3844601412714432E-3</v>
      </c>
      <c r="E9" s="23">
        <v>2.2499999999999999E-2</v>
      </c>
      <c r="F9" s="40">
        <f>Tabella18[[#This Row],[Percentage of Supplier''s Facilities - Raw]]/$E$151</f>
        <v>2.2613065326633174E-2</v>
      </c>
      <c r="H9" s="20" t="s">
        <v>20</v>
      </c>
      <c r="I9" s="21"/>
      <c r="J9" s="21"/>
      <c r="K9" s="175">
        <f>SUMPRODUCT(B4:B150,D4:D150)</f>
        <v>3.9976962663975786</v>
      </c>
      <c r="M9" s="20" t="s">
        <v>21</v>
      </c>
      <c r="N9" s="21"/>
      <c r="O9" s="21"/>
      <c r="P9" s="175">
        <f>SUMPRODUCT(B4:B150,F4:F150)</f>
        <v>4.2375296482412095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Tabella18[[#This Row],[Percentage of Suppliers - Raw]]/$C$151</f>
        <v>0</v>
      </c>
      <c r="E10" s="23">
        <v>4.5000000000000005E-3</v>
      </c>
      <c r="F10" s="40">
        <f>Tabella18[[#This Row],[Percentage of Supplier''s Facilities - Raw]]/$E$151</f>
        <v>4.5226130653266356E-3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Tabella18[[#This Row],[Percentage of Suppliers - Raw]]/$C$151</f>
        <v>0</v>
      </c>
      <c r="E11" s="23">
        <v>0</v>
      </c>
      <c r="F11" s="40">
        <f>Tabella18[[#This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Tabella18[[#This Row],[Percentage of Suppliers - Raw]]/$C$151</f>
        <v>0</v>
      </c>
      <c r="E12" s="23">
        <v>0</v>
      </c>
      <c r="F12" s="40">
        <f>Tabella18[[#This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Tabella18[[#This Row],[Percentage of Suppliers - Raw]]/$C$151</f>
        <v>0</v>
      </c>
      <c r="E13" s="23">
        <v>0</v>
      </c>
      <c r="F13" s="40">
        <f>Tabella18[[#This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Tabella18[[#This Row],[Percentage of Suppliers - Raw]]/$C$151</f>
        <v>0</v>
      </c>
      <c r="E14" s="23">
        <v>0</v>
      </c>
      <c r="F14" s="40">
        <f>Tabella18[[#This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Tabella18[[#This Row],[Percentage of Suppliers - Raw]]/$C$151</f>
        <v>0</v>
      </c>
      <c r="E15" s="23">
        <v>4.5000000000000005E-3</v>
      </c>
      <c r="F15" s="40">
        <f>Tabella18[[#This Row],[Percentage of Supplier''s Facilities - Raw]]/$E$151</f>
        <v>4.5226130653266356E-3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Tabella18[[#This Row],[Percentage of Suppliers - Raw]]/$C$151</f>
        <v>0</v>
      </c>
      <c r="E16" s="23">
        <v>0</v>
      </c>
      <c r="F16" s="40">
        <f>Tabella18[[#This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Tabella18[[#This Row],[Percentage of Suppliers - Raw]]/$C$151</f>
        <v>0</v>
      </c>
      <c r="E17" s="23">
        <v>0</v>
      </c>
      <c r="F17" s="40">
        <f>Tabella18[[#This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Tabella18[[#This Row],[Percentage of Suppliers - Raw]]/$C$151</f>
        <v>0</v>
      </c>
      <c r="E18" s="23">
        <v>0</v>
      </c>
      <c r="F18" s="40">
        <f>Tabella18[[#This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Tabella18[[#This Row],[Percentage of Suppliers - Raw]]/$C$151</f>
        <v>0</v>
      </c>
      <c r="E19" s="23">
        <v>0</v>
      </c>
      <c r="F19" s="40">
        <f>Tabella18[[#This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Tabella18[[#This Row],[Percentage of Suppliers - Raw]]/$C$151</f>
        <v>0</v>
      </c>
      <c r="E20" s="23">
        <v>0</v>
      </c>
      <c r="F20" s="40">
        <f>Tabella18[[#This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Tabella18[[#This Row],[Percentage of Suppliers - Raw]]/$C$151</f>
        <v>0</v>
      </c>
      <c r="E21" s="23">
        <v>4.4999999999999998E-2</v>
      </c>
      <c r="F21" s="40">
        <f>Tabella18[[#This Row],[Percentage of Supplier''s Facilities - Raw]]/$E$151</f>
        <v>4.5226130653266347E-2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Tabella18[[#This Row],[Percentage of Suppliers - Raw]]/$C$151</f>
        <v>0</v>
      </c>
      <c r="E22" s="23">
        <v>0</v>
      </c>
      <c r="F22" s="40">
        <f>Tabella18[[#This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Tabella18[[#This Row],[Percentage of Suppliers - Raw]]/$C$151</f>
        <v>0</v>
      </c>
      <c r="E23" s="23">
        <v>0</v>
      </c>
      <c r="F23" s="40">
        <f>Tabella18[[#This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Tabella18[[#This Row],[Percentage of Suppliers - Raw]]/$C$151</f>
        <v>0</v>
      </c>
      <c r="E24" s="23">
        <v>0</v>
      </c>
      <c r="F24" s="40">
        <f>Tabella18[[#This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Tabella18[[#This Row],[Percentage of Suppliers - Raw]]/$C$151</f>
        <v>0</v>
      </c>
      <c r="E25" s="23">
        <v>0</v>
      </c>
      <c r="F25" s="40">
        <f>Tabella18[[#This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Tabella18[[#This Row],[Percentage of Suppliers - Raw]]/$C$151</f>
        <v>0</v>
      </c>
      <c r="E26" s="23">
        <v>0</v>
      </c>
      <c r="F26" s="40">
        <f>Tabella18[[#This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Tabella18[[#This Row],[Percentage of Suppliers - Raw]]/$C$151</f>
        <v>0</v>
      </c>
      <c r="E27" s="23">
        <v>1.8000000000000002E-2</v>
      </c>
      <c r="F27" s="40">
        <f>Tabella18[[#This Row],[Percentage of Supplier''s Facilities - Raw]]/$E$151</f>
        <v>1.8090452261306542E-2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Tabella18[[#This Row],[Percentage of Suppliers - Raw]]/$C$151</f>
        <v>0</v>
      </c>
      <c r="E28" s="23">
        <v>0</v>
      </c>
      <c r="F28" s="40">
        <f>Tabella18[[#This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Tabella18[[#This Row],[Percentage of Suppliers - Raw]]/$C$151</f>
        <v>0</v>
      </c>
      <c r="E29" s="23">
        <v>0</v>
      </c>
      <c r="F29" s="40">
        <f>Tabella18[[#This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Tabella18[[#This Row],[Percentage of Suppliers - Raw]]/$C$151</f>
        <v>0</v>
      </c>
      <c r="E30" s="23">
        <v>3.15E-2</v>
      </c>
      <c r="F30" s="40">
        <f>Tabella18[[#This Row],[Percentage of Supplier''s Facilities - Raw]]/$E$151</f>
        <v>3.1658291457286443E-2</v>
      </c>
    </row>
    <row r="31" spans="1:7" ht="19" x14ac:dyDescent="0.25">
      <c r="A31" s="31" t="s">
        <v>43</v>
      </c>
      <c r="B31" s="50">
        <v>4.26</v>
      </c>
      <c r="C31" s="22">
        <f xml:space="preserve"> 0.93% + 0.93%</f>
        <v>1.8600000000000002E-2</v>
      </c>
      <c r="D31" s="36">
        <f>Tabella18[[#This Row],[Percentage of Suppliers - Raw]]/$C$151</f>
        <v>1.876892028254289E-2</v>
      </c>
      <c r="E31" s="23">
        <v>4.4999999999999998E-2</v>
      </c>
      <c r="F31" s="40">
        <f>Tabella18[[#This Row],[Percentage of Supplier''s Facilities - Raw]]/$E$151</f>
        <v>4.5226130653266347E-2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Tabella18[[#This Row],[Percentage of Suppliers - Raw]]/$C$151</f>
        <v>0</v>
      </c>
      <c r="E32" s="23">
        <v>9.0000000000000011E-3</v>
      </c>
      <c r="F32" s="40">
        <f>Tabella18[[#This Row],[Percentage of Supplier''s Facilities - Raw]]/$E$151</f>
        <v>9.0452261306532711E-3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Tabella18[[#This Row],[Percentage of Suppliers - Raw]]/$C$151</f>
        <v>0</v>
      </c>
      <c r="E33" s="23">
        <v>0</v>
      </c>
      <c r="F33" s="40">
        <f>Tabella18[[#This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Tabella18[[#This Row],[Percentage of Suppliers - Raw]]/$C$151</f>
        <v>0</v>
      </c>
      <c r="E34" s="23">
        <v>0</v>
      </c>
      <c r="F34" s="40">
        <f>Tabella18[[#This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Tabella18[[#This Row],[Percentage of Suppliers - Raw]]/$C$151</f>
        <v>0</v>
      </c>
      <c r="E35" s="23">
        <v>0</v>
      </c>
      <c r="F35" s="40">
        <f>Tabella18[[#This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Tabella18[[#This Row],[Percentage of Suppliers - Raw]]/$C$151</f>
        <v>0</v>
      </c>
      <c r="E36" s="23">
        <v>4.5000000000000005E-3</v>
      </c>
      <c r="F36" s="40">
        <f>Tabella18[[#This Row],[Percentage of Supplier''s Facilities - Raw]]/$E$151</f>
        <v>4.5226130653266356E-3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Tabella18[[#This Row],[Percentage of Suppliers - Raw]]/$C$151</f>
        <v>0</v>
      </c>
      <c r="E37" s="23">
        <v>0</v>
      </c>
      <c r="F37" s="40">
        <f>Tabella18[[#This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Tabella18[[#This Row],[Percentage of Suppliers - Raw]]/$C$151</f>
        <v>0</v>
      </c>
      <c r="E38" s="23">
        <v>4.5000000000000005E-3</v>
      </c>
      <c r="F38" s="40">
        <f>Tabella18[[#This Row],[Percentage of Supplier''s Facilities - Raw]]/$E$151</f>
        <v>4.5226130653266356E-3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Tabella18[[#This Row],[Percentage of Suppliers - Raw]]/$C$151</f>
        <v>0</v>
      </c>
      <c r="E39" s="23">
        <v>4.5000000000000005E-3</v>
      </c>
      <c r="F39" s="40">
        <f>Tabella18[[#This Row],[Percentage of Supplier''s Facilities - Raw]]/$E$151</f>
        <v>4.5226130653266356E-3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Tabella18[[#This Row],[Percentage of Suppliers - Raw]]/$C$151</f>
        <v>0</v>
      </c>
      <c r="E40" s="23">
        <v>0</v>
      </c>
      <c r="F40" s="40">
        <f>Tabella18[[#This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Tabella18[[#This Row],[Percentage of Suppliers - Raw]]/$C$151</f>
        <v>0</v>
      </c>
      <c r="E41" s="23">
        <v>0</v>
      </c>
      <c r="F41" s="40">
        <f>Tabella18[[#This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Tabella18[[#This Row],[Percentage of Suppliers - Raw]]/$C$151</f>
        <v>0</v>
      </c>
      <c r="E42" s="23">
        <v>0</v>
      </c>
      <c r="F42" s="40">
        <f>Tabella18[[#This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Tabella18[[#This Row],[Percentage of Suppliers - Raw]]/$C$151</f>
        <v>0</v>
      </c>
      <c r="E43" s="23">
        <v>9.0000000000000011E-3</v>
      </c>
      <c r="F43" s="40">
        <f>Tabella18[[#This Row],[Percentage of Supplier''s Facilities - Raw]]/$E$151</f>
        <v>9.0452261306532711E-3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Tabella18[[#This Row],[Percentage of Suppliers - Raw]]/$C$151</f>
        <v>0</v>
      </c>
      <c r="E44" s="23">
        <v>0</v>
      </c>
      <c r="F44" s="40">
        <f>Tabella18[[#This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Tabella18[[#This Row],[Percentage of Suppliers - Raw]]/$C$151</f>
        <v>0</v>
      </c>
      <c r="E45" s="23">
        <v>0</v>
      </c>
      <c r="F45" s="40">
        <f>Tabella18[[#This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Tabella18[[#This Row],[Percentage of Suppliers - Raw]]/$C$151</f>
        <v>0</v>
      </c>
      <c r="E46" s="23">
        <v>0</v>
      </c>
      <c r="F46" s="40">
        <f>Tabella18[[#This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Tabella18[[#This Row],[Percentage of Suppliers - Raw]]/$C$151</f>
        <v>0</v>
      </c>
      <c r="E47" s="23">
        <v>0</v>
      </c>
      <c r="F47" s="40">
        <f>Tabella18[[#This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Tabella18[[#This Row],[Percentage of Suppliers - Raw]]/$C$151</f>
        <v>0</v>
      </c>
      <c r="E48" s="23">
        <v>0</v>
      </c>
      <c r="F48" s="40">
        <f>Tabella18[[#This Row],[Percentage of Supplier''s Facilities - Raw]]/$E$151</f>
        <v>0</v>
      </c>
    </row>
    <row r="49" spans="1:6" ht="19" x14ac:dyDescent="0.25">
      <c r="A49" s="31" t="s">
        <v>62</v>
      </c>
      <c r="B49" s="84">
        <v>3.65</v>
      </c>
      <c r="C49" s="22">
        <v>5.5599999999999997E-2</v>
      </c>
      <c r="D49" s="36">
        <f>Tabella18[[#This Row],[Percentage of Suppliers - Raw]]/$C$151</f>
        <v>5.6104944500504544E-2</v>
      </c>
      <c r="E49" s="23">
        <v>0</v>
      </c>
      <c r="F49" s="40">
        <f>Tabella18[[#This Row],[Percentage of Supplier''s Facilities - Raw]]/$E$151</f>
        <v>0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Tabella18[[#This Row],[Percentage of Suppliers - Raw]]/$C$151</f>
        <v>0</v>
      </c>
      <c r="E50" s="23">
        <v>0</v>
      </c>
      <c r="F50" s="40">
        <f>Tabella18[[#This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Tabella18[[#This Row],[Percentage of Suppliers - Raw]]/$C$151</f>
        <v>0</v>
      </c>
      <c r="E51" s="23">
        <v>0</v>
      </c>
      <c r="F51" s="40">
        <f>Tabella18[[#This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Tabella18[[#This Row],[Percentage of Suppliers - Raw]]/$C$151</f>
        <v>0</v>
      </c>
      <c r="E52" s="23">
        <v>0</v>
      </c>
      <c r="F52" s="40">
        <f>Tabella18[[#This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2.7799999999999998E-2</v>
      </c>
      <c r="D53" s="36">
        <f>Tabella18[[#This Row],[Percentage of Suppliers - Raw]]/$C$151</f>
        <v>2.8052472250252272E-2</v>
      </c>
      <c r="E53" s="23">
        <v>3.15E-2</v>
      </c>
      <c r="F53" s="40">
        <f>Tabella18[[#This Row],[Percentage of Supplier''s Facilities - Raw]]/$E$151</f>
        <v>3.1658291457286443E-2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Tabella18[[#This Row],[Percentage of Suppliers - Raw]]/$C$151</f>
        <v>0</v>
      </c>
      <c r="E54" s="23">
        <v>4.5000000000000005E-3</v>
      </c>
      <c r="F54" s="40">
        <f>Tabella18[[#This Row],[Percentage of Supplier''s Facilities - Raw]]/$E$151</f>
        <v>4.5226130653266356E-3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Tabella18[[#This Row],[Percentage of Suppliers - Raw]]/$C$151</f>
        <v>0</v>
      </c>
      <c r="E55" s="23">
        <v>0</v>
      </c>
      <c r="F55" s="40">
        <f>Tabella18[[#This Row],[Percentage of Supplier''s Facilities - Raw]]/$E$151</f>
        <v>0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Tabella18[[#This Row],[Percentage of Suppliers - Raw]]/$C$151</f>
        <v>0</v>
      </c>
      <c r="E56" s="23">
        <v>0</v>
      </c>
      <c r="F56" s="40">
        <f>Tabella18[[#This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Tabella18[[#This Row],[Percentage of Suppliers - Raw]]/$C$151</f>
        <v>0</v>
      </c>
      <c r="E57" s="23">
        <v>0</v>
      </c>
      <c r="F57" s="40">
        <f>Tabella18[[#This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Tabella18[[#This Row],[Percentage of Suppliers - Raw]]/$C$151</f>
        <v>0</v>
      </c>
      <c r="E58" s="23">
        <v>0</v>
      </c>
      <c r="F58" s="40">
        <f>Tabella18[[#This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Tabella18[[#This Row],[Percentage of Suppliers - Raw]]/$C$151</f>
        <v>0</v>
      </c>
      <c r="E59" s="23">
        <v>0</v>
      </c>
      <c r="F59" s="40">
        <f>Tabella18[[#This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Tabella18[[#This Row],[Percentage of Suppliers - Raw]]/$C$151</f>
        <v>0</v>
      </c>
      <c r="E60" s="23">
        <v>0</v>
      </c>
      <c r="F60" s="40">
        <f>Tabella18[[#This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Tabella18[[#This Row],[Percentage of Suppliers - Raw]]/$C$151</f>
        <v>0</v>
      </c>
      <c r="E61" s="23">
        <v>0</v>
      </c>
      <c r="F61" s="40">
        <f>Tabella18[[#This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Tabella18[[#This Row],[Percentage of Suppliers - Raw]]/$C$151</f>
        <v>0</v>
      </c>
      <c r="E62" s="23">
        <v>4.5000000000000005E-3</v>
      </c>
      <c r="F62" s="40">
        <f>Tabella18[[#This Row],[Percentage of Supplier''s Facilities - Raw]]/$E$151</f>
        <v>4.5226130653266356E-3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Tabella18[[#This Row],[Percentage of Suppliers - Raw]]/$C$151</f>
        <v>0</v>
      </c>
      <c r="E63" s="23">
        <v>0</v>
      </c>
      <c r="F63" s="40">
        <f>Tabella18[[#This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6.4799999999999996E-2</v>
      </c>
      <c r="D64" s="36">
        <f>Tabella18[[#This Row],[Percentage of Suppliers - Raw]]/$C$151</f>
        <v>6.538849646821393E-2</v>
      </c>
      <c r="E64" s="23">
        <v>4.0500000000000001E-2</v>
      </c>
      <c r="F64" s="40">
        <f>Tabella18[[#This Row],[Percentage of Supplier''s Facilities - Raw]]/$E$151</f>
        <v>4.0703517587939712E-2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Tabella18[[#This Row],[Percentage of Suppliers - Raw]]/$C$151</f>
        <v>0</v>
      </c>
      <c r="E65" s="23">
        <v>0</v>
      </c>
      <c r="F65" s="40">
        <f>Tabella18[[#This Row],[Percentage of Supplier''s Facilities - Raw]]/$E$151</f>
        <v>0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Tabella18[[#This Row],[Percentage of Suppliers - Raw]]/$C$151</f>
        <v>0</v>
      </c>
      <c r="E66" s="23">
        <v>0</v>
      </c>
      <c r="F66" s="40">
        <f>Tabella18[[#This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Tabella18[[#This Row],[Percentage of Suppliers - Raw]]/$C$151</f>
        <v>0</v>
      </c>
      <c r="E67" s="23">
        <v>0</v>
      </c>
      <c r="F67" s="40">
        <f>Tabella18[[#This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Tabella18[[#This Row],[Percentage of Suppliers - Raw]]/$C$151</f>
        <v>0</v>
      </c>
      <c r="E68" s="23">
        <v>4.5000000000000005E-3</v>
      </c>
      <c r="F68" s="40">
        <f>Tabella18[[#This Row],[Percentage of Supplier''s Facilities - Raw]]/$E$151</f>
        <v>4.5226130653266356E-3</v>
      </c>
    </row>
    <row r="69" spans="1:6" ht="19" x14ac:dyDescent="0.25">
      <c r="A69" s="31" t="s">
        <v>82</v>
      </c>
      <c r="B69" s="103">
        <v>4.6100000000000003</v>
      </c>
      <c r="C69" s="22">
        <v>1.8499999999999999E-2</v>
      </c>
      <c r="D69" s="36">
        <f>Tabella18[[#This Row],[Percentage of Suppliers - Raw]]/$C$151</f>
        <v>1.8668012108980829E-2</v>
      </c>
      <c r="E69" s="23">
        <v>4.5000000000000005E-3</v>
      </c>
      <c r="F69" s="40">
        <f>Tabella18[[#This Row],[Percentage of Supplier''s Facilities - Raw]]/$E$151</f>
        <v>4.5226130653266356E-3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Tabella18[[#This Row],[Percentage of Suppliers - Raw]]/$C$151</f>
        <v>0</v>
      </c>
      <c r="E70" s="23">
        <v>9.0000000000000011E-3</v>
      </c>
      <c r="F70" s="40">
        <f>Tabella18[[#This Row],[Percentage of Supplier''s Facilities - Raw]]/$E$151</f>
        <v>9.0452261306532711E-3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Tabella18[[#This Row],[Percentage of Suppliers - Raw]]/$C$151</f>
        <v>0</v>
      </c>
      <c r="E71" s="23">
        <v>0</v>
      </c>
      <c r="F71" s="40">
        <f>Tabella18[[#This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1.8499999999999999E-2</v>
      </c>
      <c r="D72" s="36">
        <f>Tabella18[[#This Row],[Percentage of Suppliers - Raw]]/$C$151</f>
        <v>1.8668012108980829E-2</v>
      </c>
      <c r="E72" s="23">
        <v>8.1099999999999992E-2</v>
      </c>
      <c r="F72" s="40">
        <f>Tabella18[[#This Row],[Percentage of Supplier''s Facilities - Raw]]/$E$151</f>
        <v>8.1507537688442225E-2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Tabella18[[#This Row],[Percentage of Suppliers - Raw]]/$C$151</f>
        <v>0</v>
      </c>
      <c r="E73" s="23">
        <v>4.5000000000000005E-3</v>
      </c>
      <c r="F73" s="40">
        <f>Tabella18[[#This Row],[Percentage of Supplier''s Facilities - Raw]]/$E$151</f>
        <v>4.5226130653266356E-3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Tabella18[[#This Row],[Percentage of Suppliers - Raw]]/$C$151</f>
        <v>0</v>
      </c>
      <c r="E74" s="23">
        <v>0</v>
      </c>
      <c r="F74" s="40">
        <f>Tabella18[[#This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Tabella18[[#This Row],[Percentage of Suppliers - Raw]]/$C$151</f>
        <v>0</v>
      </c>
      <c r="E75" s="23">
        <v>0</v>
      </c>
      <c r="F75" s="40">
        <f>Tabella18[[#This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Tabella18[[#This Row],[Percentage of Suppliers - Raw]]/$C$151</f>
        <v>0</v>
      </c>
      <c r="E76" s="23">
        <v>0</v>
      </c>
      <c r="F76" s="40">
        <f>Tabella18[[#This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Tabella18[[#This Row],[Percentage of Suppliers - Raw]]/$C$151</f>
        <v>0</v>
      </c>
      <c r="E77" s="23">
        <v>0</v>
      </c>
      <c r="F77" s="40">
        <f>Tabella18[[#This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Tabella18[[#This Row],[Percentage of Suppliers - Raw]]/$C$151</f>
        <v>0</v>
      </c>
      <c r="E78" s="23">
        <v>0</v>
      </c>
      <c r="F78" s="40">
        <f>Tabella18[[#This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Tabella18[[#This Row],[Percentage of Suppliers - Raw]]/$C$151</f>
        <v>0</v>
      </c>
      <c r="E79" s="23">
        <v>0</v>
      </c>
      <c r="F79" s="40">
        <f>Tabella18[[#This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Tabella18[[#This Row],[Percentage of Suppliers - Raw]]/$C$151</f>
        <v>0</v>
      </c>
      <c r="E80" s="23">
        <v>0</v>
      </c>
      <c r="F80" s="40">
        <f>Tabella18[[#This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Tabella18[[#This Row],[Percentage of Suppliers - Raw]]/$C$151</f>
        <v>0</v>
      </c>
      <c r="E81" s="23">
        <v>0</v>
      </c>
      <c r="F81" s="40">
        <f>Tabella18[[#This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Tabella18[[#This Row],[Percentage of Suppliers - Raw]]/$C$151</f>
        <v>0</v>
      </c>
      <c r="E82" s="23">
        <v>0</v>
      </c>
      <c r="F82" s="40">
        <f>Tabella18[[#This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Tabella18[[#This Row],[Percentage of Suppliers - Raw]]/$C$151</f>
        <v>0</v>
      </c>
      <c r="E83" s="23">
        <v>0</v>
      </c>
      <c r="F83" s="40">
        <f>Tabella18[[#This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Tabella18[[#This Row],[Percentage of Suppliers - Raw]]/$C$151</f>
        <v>0</v>
      </c>
      <c r="E84" s="23">
        <v>0</v>
      </c>
      <c r="F84" s="40">
        <f>Tabella18[[#This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Tabella18[[#This Row],[Percentage of Suppliers - Raw]]/$C$151</f>
        <v>0</v>
      </c>
      <c r="E85" s="23">
        <v>0</v>
      </c>
      <c r="F85" s="40">
        <f>Tabella18[[#This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Tabella18[[#This Row],[Percentage of Suppliers - Raw]]/$C$151</f>
        <v>0</v>
      </c>
      <c r="E86" s="23">
        <v>0</v>
      </c>
      <c r="F86" s="40">
        <f>Tabella18[[#This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9.2999999999999992E-3</v>
      </c>
      <c r="D87" s="36">
        <f>Tabella18[[#This Row],[Percentage of Suppliers - Raw]]/$C$151</f>
        <v>9.3844601412714432E-3</v>
      </c>
      <c r="E87" s="23">
        <v>9.0000000000000011E-3</v>
      </c>
      <c r="F87" s="40">
        <f>Tabella18[[#This Row],[Percentage of Supplier''s Facilities - Raw]]/$E$151</f>
        <v>9.0452261306532711E-3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Tabella18[[#This Row],[Percentage of Suppliers - Raw]]/$C$151</f>
        <v>0</v>
      </c>
      <c r="E88" s="23">
        <v>0</v>
      </c>
      <c r="F88" s="40">
        <f>Tabella18[[#This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Tabella18[[#This Row],[Percentage of Suppliers - Raw]]/$C$151</f>
        <v>0</v>
      </c>
      <c r="E89" s="23">
        <v>0</v>
      </c>
      <c r="F89" s="40">
        <f>Tabella18[[#This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Tabella18[[#This Row],[Percentage of Suppliers - Raw]]/$C$151</f>
        <v>0</v>
      </c>
      <c r="E90" s="23">
        <v>0</v>
      </c>
      <c r="F90" s="40">
        <f>Tabella18[[#This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Tabella18[[#This Row],[Percentage of Suppliers - Raw]]/$C$151</f>
        <v>0</v>
      </c>
      <c r="E91" s="23">
        <v>6.3099999999999989E-2</v>
      </c>
      <c r="F91" s="40">
        <f>Tabella18[[#This Row],[Percentage of Supplier''s Facilities - Raw]]/$E$151</f>
        <v>6.3417085427135686E-2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Tabella18[[#This Row],[Percentage of Suppliers - Raw]]/$C$151</f>
        <v>0</v>
      </c>
      <c r="E92" s="23">
        <v>0</v>
      </c>
      <c r="F92" s="40">
        <f>Tabella18[[#This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Tabella18[[#This Row],[Percentage of Suppliers - Raw]]/$C$151</f>
        <v>0</v>
      </c>
      <c r="E93" s="23">
        <v>0</v>
      </c>
      <c r="F93" s="40">
        <f>Tabella18[[#This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Tabella18[[#This Row],[Percentage of Suppliers - Raw]]/$C$151</f>
        <v>0</v>
      </c>
      <c r="E94" s="23">
        <v>0</v>
      </c>
      <c r="F94" s="40">
        <f>Tabella18[[#This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Tabella18[[#This Row],[Percentage of Suppliers - Raw]]/$C$151</f>
        <v>0</v>
      </c>
      <c r="E95" s="23">
        <v>0</v>
      </c>
      <c r="F95" s="40">
        <f>Tabella18[[#This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Tabella18[[#This Row],[Percentage of Suppliers - Raw]]/$C$151</f>
        <v>0</v>
      </c>
      <c r="E96" s="23">
        <v>0</v>
      </c>
      <c r="F96" s="40">
        <f>Tabella18[[#This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Tabella18[[#This Row],[Percentage of Suppliers - Raw]]/$C$151</f>
        <v>0</v>
      </c>
      <c r="E97" s="23">
        <v>0</v>
      </c>
      <c r="F97" s="40">
        <f>Tabella18[[#This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0</v>
      </c>
      <c r="D98" s="36">
        <f>Tabella18[[#This Row],[Percentage of Suppliers - Raw]]/$C$151</f>
        <v>0</v>
      </c>
      <c r="E98" s="23">
        <v>0</v>
      </c>
      <c r="F98" s="40">
        <f>Tabella18[[#This Row],[Percentage of Supplier''s Facilities - Raw]]/$E$151</f>
        <v>0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Tabella18[[#This Row],[Percentage of Suppliers - Raw]]/$C$151</f>
        <v>0</v>
      </c>
      <c r="E99" s="23">
        <v>0</v>
      </c>
      <c r="F99" s="40">
        <f>Tabella18[[#This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Tabella18[[#This Row],[Percentage of Suppliers - Raw]]/$C$151</f>
        <v>0</v>
      </c>
      <c r="E100" s="23">
        <v>0</v>
      </c>
      <c r="F100" s="40">
        <f>Tabella18[[#This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Tabella18[[#This Row],[Percentage of Suppliers - Raw]]/$C$151</f>
        <v>0</v>
      </c>
      <c r="E101" s="23">
        <v>0</v>
      </c>
      <c r="F101" s="40">
        <f>Tabella18[[#This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Tabella18[[#This Row],[Percentage of Suppliers - Raw]]/$C$151</f>
        <v>0</v>
      </c>
      <c r="E102" s="23">
        <v>0</v>
      </c>
      <c r="F102" s="40">
        <f>Tabella18[[#This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Tabella18[[#This Row],[Percentage of Suppliers - Raw]]/$C$151</f>
        <v>0</v>
      </c>
      <c r="E103" s="23">
        <v>0</v>
      </c>
      <c r="F103" s="40">
        <f>Tabella18[[#This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Tabella18[[#This Row],[Percentage of Suppliers - Raw]]/$C$151</f>
        <v>0</v>
      </c>
      <c r="E104" s="23">
        <v>0</v>
      </c>
      <c r="F104" s="40">
        <f>Tabella18[[#This Row],[Percentage of Supplier''s Facilities - Raw]]/$E$151</f>
        <v>0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Tabella18[[#This Row],[Percentage of Suppliers - Raw]]/$C$151</f>
        <v>0</v>
      </c>
      <c r="E105" s="23">
        <v>3.15E-2</v>
      </c>
      <c r="F105" s="40">
        <f>Tabella18[[#This Row],[Percentage of Supplier''s Facilities - Raw]]/$E$151</f>
        <v>3.1658291457286443E-2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Tabella18[[#This Row],[Percentage of Suppliers - Raw]]/$C$151</f>
        <v>0</v>
      </c>
      <c r="E106" s="23">
        <v>4.5000000000000005E-3</v>
      </c>
      <c r="F106" s="40">
        <f>Tabella18[[#This Row],[Percentage of Supplier''s Facilities - Raw]]/$E$151</f>
        <v>4.5226130653266356E-3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Tabella18[[#This Row],[Percentage of Suppliers - Raw]]/$C$151</f>
        <v>0</v>
      </c>
      <c r="E107" s="23">
        <v>0</v>
      </c>
      <c r="F107" s="40">
        <f>Tabella18[[#This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Tabella18[[#This Row],[Percentage of Suppliers - Raw]]/$C$151</f>
        <v>0</v>
      </c>
      <c r="E108" s="23">
        <v>0</v>
      </c>
      <c r="F108" s="40">
        <f>Tabella18[[#This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Tabella18[[#This Row],[Percentage of Suppliers - Raw]]/$C$151</f>
        <v>0</v>
      </c>
      <c r="E109" s="23">
        <v>0</v>
      </c>
      <c r="F109" s="40">
        <f>Tabella18[[#This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Tabella18[[#This Row],[Percentage of Suppliers - Raw]]/$C$151</f>
        <v>0</v>
      </c>
      <c r="E110" s="23">
        <v>2.7000000000000003E-2</v>
      </c>
      <c r="F110" s="40">
        <f>Tabella18[[#This Row],[Percentage of Supplier''s Facilities - Raw]]/$E$151</f>
        <v>2.7135678391959812E-2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Tabella18[[#This Row],[Percentage of Suppliers - Raw]]/$C$151</f>
        <v>0</v>
      </c>
      <c r="E111" s="23">
        <v>0</v>
      </c>
      <c r="F111" s="40">
        <f>Tabella18[[#This Row],[Percentage of Supplier''s Facilities - Raw]]/$E$151</f>
        <v>0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Tabella18[[#This Row],[Percentage of Suppliers - Raw]]/$C$151</f>
        <v>0</v>
      </c>
      <c r="E112" s="23">
        <v>0</v>
      </c>
      <c r="F112" s="40">
        <f>Tabella18[[#This Row],[Percentage of Supplier''s Facilities - Raw]]/$E$151</f>
        <v>0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Tabella18[[#This Row],[Percentage of Suppliers - Raw]]/$C$151</f>
        <v>0</v>
      </c>
      <c r="E113" s="23">
        <v>0</v>
      </c>
      <c r="F113" s="40">
        <f>Tabella18[[#This Row],[Percentage of Supplier''s Facilities - Raw]]/$E$151</f>
        <v>0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Tabella18[[#This Row],[Percentage of Suppliers - Raw]]/$C$151</f>
        <v>0</v>
      </c>
      <c r="E114" s="23">
        <v>0</v>
      </c>
      <c r="F114" s="40">
        <f>Tabella18[[#This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Tabella18[[#This Row],[Percentage of Suppliers - Raw]]/$C$151</f>
        <v>0</v>
      </c>
      <c r="E115" s="23">
        <v>0</v>
      </c>
      <c r="F115" s="40">
        <f>Tabella18[[#This Row],[Percentage of Supplier''s Facilities - Raw]]/$E$151</f>
        <v>0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Tabella18[[#This Row],[Percentage of Suppliers - Raw]]/$C$151</f>
        <v>0</v>
      </c>
      <c r="E116" s="23">
        <v>0</v>
      </c>
      <c r="F116" s="40">
        <f>Tabella18[[#This Row],[Percentage of Supplier''s Facilities - Raw]]/$E$151</f>
        <v>0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Tabella18[[#This Row],[Percentage of Suppliers - Raw]]/$C$151</f>
        <v>0</v>
      </c>
      <c r="E117" s="23">
        <v>0</v>
      </c>
      <c r="F117" s="40">
        <f>Tabella18[[#This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Tabella18[[#This Row],[Percentage of Suppliers - Raw]]/$C$151</f>
        <v>0</v>
      </c>
      <c r="E118" s="23">
        <v>4.5000000000000005E-3</v>
      </c>
      <c r="F118" s="40">
        <f>Tabella18[[#This Row],[Percentage of Supplier''s Facilities - Raw]]/$E$151</f>
        <v>4.5226130653266356E-3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Tabella18[[#This Row],[Percentage of Suppliers - Raw]]/$C$151</f>
        <v>0</v>
      </c>
      <c r="E119" s="23">
        <v>0</v>
      </c>
      <c r="F119" s="40">
        <f>Tabella18[[#This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Tabella18[[#This Row],[Percentage of Suppliers - Raw]]/$C$151</f>
        <v>0</v>
      </c>
      <c r="E120" s="23">
        <v>0</v>
      </c>
      <c r="F120" s="40">
        <f>Tabella18[[#This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Tabella18[[#This Row],[Percentage of Suppliers - Raw]]/$C$151</f>
        <v>0</v>
      </c>
      <c r="E121" s="23">
        <v>0</v>
      </c>
      <c r="F121" s="40">
        <f>Tabella18[[#This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4.6300000000000001E-2</v>
      </c>
      <c r="D122" s="36">
        <f>Tabella18[[#This Row],[Percentage of Suppliers - Raw]]/$C$151</f>
        <v>4.6720484359233101E-2</v>
      </c>
      <c r="E122" s="23">
        <v>4.5000000000000005E-3</v>
      </c>
      <c r="F122" s="40">
        <f>Tabella18[[#This Row],[Percentage of Supplier''s Facilities - Raw]]/$E$151</f>
        <v>4.5226130653266356E-3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Tabella18[[#This Row],[Percentage of Suppliers - Raw]]/$C$151</f>
        <v>0</v>
      </c>
      <c r="E123" s="23">
        <v>4.5000000000000005E-3</v>
      </c>
      <c r="F123" s="40">
        <f>Tabella18[[#This Row],[Percentage of Supplier''s Facilities - Raw]]/$E$151</f>
        <v>4.5226130653266356E-3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Tabella18[[#This Row],[Percentage of Suppliers - Raw]]/$C$151</f>
        <v>0</v>
      </c>
      <c r="E124" s="23">
        <v>0</v>
      </c>
      <c r="F124" s="40">
        <f>Tabella18[[#This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Tabella18[[#This Row],[Percentage of Suppliers - Raw]]/$C$151</f>
        <v>0</v>
      </c>
      <c r="E125" s="23">
        <v>1.3500000000000002E-2</v>
      </c>
      <c r="F125" s="40">
        <f>Tabella18[[#This Row],[Percentage of Supplier''s Facilities - Raw]]/$E$151</f>
        <v>1.3567839195979906E-2</v>
      </c>
    </row>
    <row r="126" spans="1:6" ht="19" x14ac:dyDescent="0.25">
      <c r="A126" s="31" t="s">
        <v>139</v>
      </c>
      <c r="B126" s="151">
        <v>3.57</v>
      </c>
      <c r="C126" s="22">
        <v>9.2999999999999992E-3</v>
      </c>
      <c r="D126" s="36">
        <f>Tabella18[[#This Row],[Percentage of Suppliers - Raw]]/$C$151</f>
        <v>9.3844601412714432E-3</v>
      </c>
      <c r="E126" s="23">
        <v>3.6000000000000004E-2</v>
      </c>
      <c r="F126" s="40">
        <f>Tabella18[[#This Row],[Percentage of Supplier''s Facilities - Raw]]/$E$151</f>
        <v>3.6180904522613085E-2</v>
      </c>
    </row>
    <row r="127" spans="1:6" ht="19" x14ac:dyDescent="0.25">
      <c r="A127" s="31" t="s">
        <v>140</v>
      </c>
      <c r="B127" s="152">
        <v>3.7</v>
      </c>
      <c r="C127" s="22">
        <v>1.8499999999999999E-2</v>
      </c>
      <c r="D127" s="36">
        <f>Tabella18[[#This Row],[Percentage of Suppliers - Raw]]/$C$151</f>
        <v>1.8668012108980829E-2</v>
      </c>
      <c r="E127" s="23">
        <v>2.2499999999999999E-2</v>
      </c>
      <c r="F127" s="40">
        <f>Tabella18[[#This Row],[Percentage of Supplier''s Facilities - Raw]]/$E$151</f>
        <v>2.2613065326633174E-2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Tabella18[[#This Row],[Percentage of Suppliers - Raw]]/$C$151</f>
        <v>0</v>
      </c>
      <c r="E128" s="23">
        <v>0</v>
      </c>
      <c r="F128" s="40">
        <f>Tabella18[[#This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Tabella18[[#This Row],[Percentage of Suppliers - Raw]]/$C$151</f>
        <v>0</v>
      </c>
      <c r="E129" s="23">
        <v>0</v>
      </c>
      <c r="F129" s="40">
        <f>Tabella18[[#This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9.2999999999999992E-3</v>
      </c>
      <c r="D130" s="36">
        <f>Tabella18[[#This Row],[Percentage of Suppliers - Raw]]/$C$151</f>
        <v>9.3844601412714432E-3</v>
      </c>
      <c r="E130" s="23">
        <v>0</v>
      </c>
      <c r="F130" s="40">
        <f>Tabella18[[#This Row],[Percentage of Supplier''s Facilities - Raw]]/$E$151</f>
        <v>0</v>
      </c>
    </row>
    <row r="131" spans="1:6" ht="19" x14ac:dyDescent="0.25">
      <c r="A131" s="31" t="s">
        <v>144</v>
      </c>
      <c r="B131" s="154">
        <v>2.78</v>
      </c>
      <c r="C131" s="22">
        <v>1.8499999999999999E-2</v>
      </c>
      <c r="D131" s="36">
        <f>Tabella18[[#This Row],[Percentage of Suppliers - Raw]]/$C$151</f>
        <v>1.8668012108980829E-2</v>
      </c>
      <c r="E131" s="23">
        <v>4.5000000000000005E-3</v>
      </c>
      <c r="F131" s="40">
        <f>Tabella18[[#This Row],[Percentage of Supplier''s Facilities - Raw]]/$E$151</f>
        <v>4.5226130653266356E-3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Tabella18[[#This Row],[Percentage of Suppliers - Raw]]/$C$151</f>
        <v>0</v>
      </c>
      <c r="E132" s="23">
        <v>0</v>
      </c>
      <c r="F132" s="40">
        <f>Tabella18[[#This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Tabella18[[#This Row],[Percentage of Suppliers - Raw]]/$C$151</f>
        <v>0</v>
      </c>
      <c r="E133" s="23">
        <v>0</v>
      </c>
      <c r="F133" s="40">
        <f>Tabella18[[#This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Tabella18[[#This Row],[Percentage of Suppliers - Raw]]/$C$151</f>
        <v>0</v>
      </c>
      <c r="E134" s="23">
        <v>9.0000000000000011E-3</v>
      </c>
      <c r="F134" s="40">
        <f>Tabella18[[#This Row],[Percentage of Supplier''s Facilities - Raw]]/$E$151</f>
        <v>9.0452261306532711E-3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Tabella18[[#This Row],[Percentage of Suppliers - Raw]]/$C$151</f>
        <v>0</v>
      </c>
      <c r="E135" s="23">
        <v>0</v>
      </c>
      <c r="F135" s="40">
        <f>Tabella18[[#This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Tabella18[[#This Row],[Percentage of Suppliers - Raw]]/$C$151</f>
        <v>0</v>
      </c>
      <c r="E136" s="23">
        <v>0</v>
      </c>
      <c r="F136" s="40">
        <f>Tabella18[[#This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Tabella18[[#This Row],[Percentage of Suppliers - Raw]]/$C$151</f>
        <v>0</v>
      </c>
      <c r="E137" s="23">
        <v>0</v>
      </c>
      <c r="F137" s="40">
        <f>Tabella18[[#This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Tabella18[[#This Row],[Percentage of Suppliers - Raw]]/$C$151</f>
        <v>0</v>
      </c>
      <c r="E138" s="23">
        <v>0</v>
      </c>
      <c r="F138" s="40">
        <f>Tabella18[[#This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Tabella18[[#This Row],[Percentage of Suppliers - Raw]]/$C$151</f>
        <v>0</v>
      </c>
      <c r="E139" s="23">
        <v>0</v>
      </c>
      <c r="F139" s="40">
        <f>Tabella18[[#This Row],[Percentage of Supplier''s Facilities - Raw]]/$E$151</f>
        <v>0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Tabella18[[#This Row],[Percentage of Suppliers - Raw]]/$C$151</f>
        <v>0</v>
      </c>
      <c r="E140" s="23">
        <v>0</v>
      </c>
      <c r="F140" s="40">
        <f>Tabella18[[#This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Tabella18[[#This Row],[Percentage of Suppliers - Raw]]/$C$151</f>
        <v>0</v>
      </c>
      <c r="E141" s="23">
        <v>0</v>
      </c>
      <c r="F141" s="40">
        <f>Tabella18[[#This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Tabella18[[#This Row],[Percentage of Suppliers - Raw]]/$C$151</f>
        <v>0</v>
      </c>
      <c r="E142" s="23">
        <v>1.3500000000000002E-2</v>
      </c>
      <c r="F142" s="40">
        <f>Tabella18[[#This Row],[Percentage of Supplier''s Facilities - Raw]]/$E$151</f>
        <v>1.3567839195979906E-2</v>
      </c>
    </row>
    <row r="143" spans="1:6" ht="19" x14ac:dyDescent="0.25">
      <c r="A143" s="31" t="s">
        <v>156</v>
      </c>
      <c r="B143" s="128">
        <v>3.32</v>
      </c>
      <c r="C143" s="22">
        <v>9.2600000000000002E-2</v>
      </c>
      <c r="D143" s="36">
        <f>Tabella18[[#This Row],[Percentage of Suppliers - Raw]]/$C$151</f>
        <v>9.3440968718466202E-2</v>
      </c>
      <c r="E143" s="23">
        <v>2.2499999999999999E-2</v>
      </c>
      <c r="F143" s="40">
        <f>Tabella18[[#This Row],[Percentage of Supplier''s Facilities - Raw]]/$E$151</f>
        <v>2.2613065326633174E-2</v>
      </c>
    </row>
    <row r="144" spans="1:6" ht="19" x14ac:dyDescent="0.25">
      <c r="A144" s="31" t="s">
        <v>157</v>
      </c>
      <c r="B144" s="165">
        <v>4.1900000000000004</v>
      </c>
      <c r="C144" s="22">
        <v>0.56479999999999997</v>
      </c>
      <c r="D144" s="36">
        <f>Tabella18[[#This Row],[Percentage of Suppliers - Raw]]/$C$151</f>
        <v>0.5699293642785066</v>
      </c>
      <c r="E144" s="23">
        <v>0.32429999999999998</v>
      </c>
      <c r="F144" s="40">
        <f>Tabella18[[#This Row],[Percentage of Supplier''s Facilities - Raw]]/$E$151</f>
        <v>0.32592964824120613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Tabella18[[#This Row],[Percentage of Suppliers - Raw]]/$C$151</f>
        <v>0</v>
      </c>
      <c r="E145" s="23">
        <v>0</v>
      </c>
      <c r="F145" s="40">
        <f>Tabella18[[#This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Tabella18[[#This Row],[Percentage of Suppliers - Raw]]/$C$151</f>
        <v>0</v>
      </c>
      <c r="E146" s="23">
        <v>0</v>
      </c>
      <c r="F146" s="40">
        <f>Tabella18[[#This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9.2999999999999992E-3</v>
      </c>
      <c r="D147" s="36">
        <f>Tabella18[[#This Row],[Percentage of Suppliers - Raw]]/$C$151</f>
        <v>9.3844601412714432E-3</v>
      </c>
      <c r="E147" s="23">
        <v>4.5000000000000005E-3</v>
      </c>
      <c r="F147" s="40">
        <f>Tabella18[[#This Row],[Percentage of Supplier''s Facilities - Raw]]/$E$151</f>
        <v>4.5226130653266356E-3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Tabella18[[#This Row],[Percentage of Suppliers - Raw]]/$C$151</f>
        <v>0</v>
      </c>
      <c r="E148" s="23">
        <v>0</v>
      </c>
      <c r="F148" s="40">
        <f>Tabella18[[#This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Tabella18[[#This Row],[Percentage of Suppliers - Raw]]/$C$151</f>
        <v>0</v>
      </c>
      <c r="E149" s="23">
        <v>0</v>
      </c>
      <c r="F149" s="40">
        <f>Tabella18[[#This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Tabella18[[#This Row],[Percentage of Suppliers - Raw]]/$C$151</f>
        <v>0</v>
      </c>
      <c r="E150" s="23">
        <v>0</v>
      </c>
      <c r="F150" s="40">
        <f>Tabella18[[#This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8">
        <f>SUM(C4:C150)</f>
        <v>0.99099999999999988</v>
      </c>
      <c r="D151" s="39">
        <f>Tabella18[[#This Row],[Percentage of Suppliers - Raw]]/$C$151</f>
        <v>1</v>
      </c>
      <c r="E151" s="25">
        <f>SUM(E4:E150)</f>
        <v>0.99499999999999966</v>
      </c>
      <c r="F151" s="41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FFC0-A566-FA49-B651-C01105173E9B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173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Tabella19[[#This Row],[Percentage of Suppliers - Raw]]/$C$151</f>
        <v>0</v>
      </c>
      <c r="E4" s="23">
        <v>0</v>
      </c>
      <c r="F4" s="40">
        <f>Tabella19[[#This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Tabella19[[#This Row],[Percentage of Suppliers - Raw]]/$C$151</f>
        <v>0</v>
      </c>
      <c r="E5" s="23">
        <v>0</v>
      </c>
      <c r="F5" s="40">
        <f>Tabella19[[#This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Tabella19[[#This Row],[Percentage of Suppliers - Raw]]/$C$151</f>
        <v>0</v>
      </c>
      <c r="E6" s="23">
        <v>0</v>
      </c>
      <c r="F6" s="40">
        <f>Tabella19[[#This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Tabella19[[#This Row],[Percentage of Suppliers - Raw]]/$C$151</f>
        <v>0</v>
      </c>
      <c r="E7" s="23">
        <v>0</v>
      </c>
      <c r="F7" s="40">
        <f>Tabella19[[#This Row],[Percentage of Supplier''s Facilities - Raw]]/$E$151</f>
        <v>0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Tabella19[[#This Row],[Percentage of Suppliers - Raw]]/$C$151</f>
        <v>0</v>
      </c>
      <c r="E8" s="23">
        <v>0</v>
      </c>
      <c r="F8" s="40">
        <f>Tabella19[[#This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4.26</v>
      </c>
      <c r="K8" s="19">
        <f>INDEX(D4:D150,MATCH(MAX(D4:D150),D4:D150,0))</f>
        <v>0.73144242935470238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4.26</v>
      </c>
      <c r="P8" s="19">
        <f>INDEX(F4:F150,MATCH(MAX(F4:F150),F4:F150,0))</f>
        <v>0.58978766430738094</v>
      </c>
    </row>
    <row r="9" spans="1:16" ht="23" thickBot="1" x14ac:dyDescent="0.35">
      <c r="A9" s="31" t="s">
        <v>19</v>
      </c>
      <c r="B9" s="48">
        <v>3.22</v>
      </c>
      <c r="C9" s="22">
        <v>3.7000000000000002E-3</v>
      </c>
      <c r="D9" s="36">
        <f>Tabella19[[#This Row],[Percentage of Suppliers - Raw]]/$C$151</f>
        <v>3.9013074652045538E-3</v>
      </c>
      <c r="E9" s="23">
        <v>3.9000000000000003E-3</v>
      </c>
      <c r="F9" s="40">
        <f>Tabella19[[#This Row],[Percentage of Supplier''s Facilities - Raw]]/$E$151</f>
        <v>3.9433771486349842E-3</v>
      </c>
      <c r="H9" s="20" t="s">
        <v>20</v>
      </c>
      <c r="I9" s="21"/>
      <c r="J9" s="21"/>
      <c r="K9" s="175">
        <f>SUMPRODUCT(B4:B150,D4:D150)</f>
        <v>4.1219074230282571</v>
      </c>
      <c r="M9" s="20" t="s">
        <v>21</v>
      </c>
      <c r="N9" s="21"/>
      <c r="O9" s="21"/>
      <c r="P9" s="175">
        <f>SUMPRODUCT(B4:B150,F4:F150)</f>
        <v>4.1842032355915046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Tabella19[[#This Row],[Percentage of Suppliers - Raw]]/$C$151</f>
        <v>0</v>
      </c>
      <c r="E10" s="23">
        <v>0</v>
      </c>
      <c r="F10" s="40">
        <f>Tabella19[[#This Row],[Percentage of Supplier''s Facilities - Raw]]/$E$151</f>
        <v>0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Tabella19[[#This Row],[Percentage of Suppliers - Raw]]/$C$151</f>
        <v>0</v>
      </c>
      <c r="E11" s="23">
        <v>0</v>
      </c>
      <c r="F11" s="40">
        <f>Tabella19[[#This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Tabella19[[#This Row],[Percentage of Suppliers - Raw]]/$C$151</f>
        <v>0</v>
      </c>
      <c r="E12" s="23">
        <v>0</v>
      </c>
      <c r="F12" s="40">
        <f>Tabella19[[#This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Tabella19[[#This Row],[Percentage of Suppliers - Raw]]/$C$151</f>
        <v>0</v>
      </c>
      <c r="E13" s="23">
        <v>0</v>
      </c>
      <c r="F13" s="40">
        <f>Tabella19[[#This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Tabella19[[#This Row],[Percentage of Suppliers - Raw]]/$C$151</f>
        <v>0</v>
      </c>
      <c r="E14" s="23">
        <v>0</v>
      </c>
      <c r="F14" s="40">
        <f>Tabella19[[#This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Tabella19[[#This Row],[Percentage of Suppliers - Raw]]/$C$151</f>
        <v>0</v>
      </c>
      <c r="E15" s="23">
        <v>0</v>
      </c>
      <c r="F15" s="40">
        <f>Tabella19[[#This Row],[Percentage of Supplier''s Facilities - Raw]]/$E$151</f>
        <v>0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Tabella19[[#This Row],[Percentage of Suppliers - Raw]]/$C$151</f>
        <v>0</v>
      </c>
      <c r="E16" s="23">
        <v>0</v>
      </c>
      <c r="F16" s="40">
        <f>Tabella19[[#This Row],[Percentage of Supplier''s Facilities - Raw]]/$E$151</f>
        <v>0</v>
      </c>
    </row>
    <row r="17" spans="1:11" ht="19" x14ac:dyDescent="0.25">
      <c r="A17" s="31" t="s">
        <v>29</v>
      </c>
      <c r="B17" s="55">
        <v>5.0199999999999996</v>
      </c>
      <c r="C17" s="22">
        <v>0</v>
      </c>
      <c r="D17" s="36">
        <f>Tabella19[[#This Row],[Percentage of Suppliers - Raw]]/$C$151</f>
        <v>0</v>
      </c>
      <c r="E17" s="23">
        <v>0</v>
      </c>
      <c r="F17" s="40">
        <f>Tabella19[[#This Row],[Percentage of Supplier''s Facilities - Raw]]/$E$151</f>
        <v>0</v>
      </c>
    </row>
    <row r="18" spans="1:11" ht="19" x14ac:dyDescent="0.25">
      <c r="A18" s="31" t="s">
        <v>30</v>
      </c>
      <c r="B18" s="56">
        <v>5.41</v>
      </c>
      <c r="C18" s="22">
        <v>0</v>
      </c>
      <c r="D18" s="36">
        <f>Tabella19[[#This Row],[Percentage of Suppliers - Raw]]/$C$151</f>
        <v>0</v>
      </c>
      <c r="E18" s="23">
        <v>0</v>
      </c>
      <c r="F18" s="40">
        <f>Tabella19[[#This Row],[Percentage of Supplier''s Facilities - Raw]]/$E$151</f>
        <v>0</v>
      </c>
    </row>
    <row r="19" spans="1:11" ht="19" x14ac:dyDescent="0.25">
      <c r="A19" s="31" t="s">
        <v>31</v>
      </c>
      <c r="B19" s="57">
        <v>5.34</v>
      </c>
      <c r="C19" s="22">
        <v>0</v>
      </c>
      <c r="D19" s="36">
        <f>Tabella19[[#This Row],[Percentage of Suppliers - Raw]]/$C$151</f>
        <v>0</v>
      </c>
      <c r="E19" s="23">
        <v>0</v>
      </c>
      <c r="F19" s="40">
        <f>Tabella19[[#This Row],[Percentage of Supplier''s Facilities - Raw]]/$E$151</f>
        <v>0</v>
      </c>
    </row>
    <row r="20" spans="1:11" ht="19" x14ac:dyDescent="0.25">
      <c r="A20" s="31" t="s">
        <v>32</v>
      </c>
      <c r="B20" s="58">
        <v>4.34</v>
      </c>
      <c r="C20" s="22">
        <v>0</v>
      </c>
      <c r="D20" s="36">
        <f>Tabella19[[#This Row],[Percentage of Suppliers - Raw]]/$C$151</f>
        <v>0</v>
      </c>
      <c r="E20" s="23">
        <v>0</v>
      </c>
      <c r="F20" s="40">
        <f>Tabella19[[#This Row],[Percentage of Supplier''s Facilities - Raw]]/$E$151</f>
        <v>0</v>
      </c>
      <c r="K20" s="6"/>
    </row>
    <row r="21" spans="1:11" ht="19" x14ac:dyDescent="0.25">
      <c r="A21" s="31" t="s">
        <v>33</v>
      </c>
      <c r="B21" s="57">
        <v>5.35</v>
      </c>
      <c r="C21" s="22">
        <v>0</v>
      </c>
      <c r="D21" s="36">
        <f>Tabella19[[#This Row],[Percentage of Suppliers - Raw]]/$C$151</f>
        <v>0</v>
      </c>
      <c r="E21" s="23">
        <v>6.8999999999999999E-3</v>
      </c>
      <c r="F21" s="40">
        <f>Tabella19[[#This Row],[Percentage of Supplier''s Facilities - Raw]]/$E$151</f>
        <v>6.9767441860465089E-3</v>
      </c>
    </row>
    <row r="22" spans="1:11" ht="19" x14ac:dyDescent="0.25">
      <c r="A22" s="31" t="s">
        <v>34</v>
      </c>
      <c r="B22" s="59">
        <v>4.43</v>
      </c>
      <c r="C22" s="22">
        <v>0</v>
      </c>
      <c r="D22" s="36">
        <f>Tabella19[[#This Row],[Percentage of Suppliers - Raw]]/$C$151</f>
        <v>0</v>
      </c>
      <c r="E22" s="23">
        <v>0</v>
      </c>
      <c r="F22" s="40">
        <f>Tabella19[[#This Row],[Percentage of Supplier''s Facilities - Raw]]/$E$151</f>
        <v>0</v>
      </c>
    </row>
    <row r="23" spans="1:11" ht="19" x14ac:dyDescent="0.25">
      <c r="A23" s="31" t="s">
        <v>35</v>
      </c>
      <c r="B23" s="60">
        <v>6.55</v>
      </c>
      <c r="C23" s="22">
        <v>0</v>
      </c>
      <c r="D23" s="36">
        <f>Tabella19[[#This Row],[Percentage of Suppliers - Raw]]/$C$151</f>
        <v>0</v>
      </c>
      <c r="E23" s="23">
        <v>0</v>
      </c>
      <c r="F23" s="40">
        <f>Tabella19[[#This Row],[Percentage of Supplier''s Facilities - Raw]]/$E$151</f>
        <v>0</v>
      </c>
    </row>
    <row r="24" spans="1:11" ht="19" x14ac:dyDescent="0.25">
      <c r="A24" s="31" t="s">
        <v>36</v>
      </c>
      <c r="B24" s="61">
        <v>6.33</v>
      </c>
      <c r="C24" s="22">
        <v>0</v>
      </c>
      <c r="D24" s="36">
        <f>Tabella19[[#This Row],[Percentage of Suppliers - Raw]]/$C$151</f>
        <v>0</v>
      </c>
      <c r="E24" s="23">
        <v>0</v>
      </c>
      <c r="F24" s="40">
        <f>Tabella19[[#This Row],[Percentage of Supplier''s Facilities - Raw]]/$E$151</f>
        <v>0</v>
      </c>
    </row>
    <row r="25" spans="1:11" ht="19" x14ac:dyDescent="0.25">
      <c r="A25" s="31" t="s">
        <v>37</v>
      </c>
      <c r="B25" s="62">
        <v>5.64</v>
      </c>
      <c r="C25" s="22">
        <v>0</v>
      </c>
      <c r="D25" s="36">
        <f>Tabella19[[#This Row],[Percentage of Suppliers - Raw]]/$C$151</f>
        <v>0</v>
      </c>
      <c r="E25" s="23">
        <v>0</v>
      </c>
      <c r="F25" s="40">
        <f>Tabella19[[#This Row],[Percentage of Supplier''s Facilities - Raw]]/$E$151</f>
        <v>0</v>
      </c>
    </row>
    <row r="26" spans="1:11" ht="19" x14ac:dyDescent="0.25">
      <c r="A26" s="31" t="s">
        <v>38</v>
      </c>
      <c r="B26" s="63">
        <v>6.83</v>
      </c>
      <c r="C26" s="22">
        <v>0</v>
      </c>
      <c r="D26" s="36">
        <f>Tabella19[[#This Row],[Percentage of Suppliers - Raw]]/$C$151</f>
        <v>0</v>
      </c>
      <c r="E26" s="23">
        <v>0</v>
      </c>
      <c r="F26" s="40">
        <f>Tabella19[[#This Row],[Percentage of Supplier''s Facilities - Raw]]/$E$151</f>
        <v>0</v>
      </c>
    </row>
    <row r="27" spans="1:11" ht="19" x14ac:dyDescent="0.25">
      <c r="A27" s="31" t="s">
        <v>39</v>
      </c>
      <c r="B27" s="64">
        <v>3.44</v>
      </c>
      <c r="C27" s="22">
        <v>7.4000000000000003E-3</v>
      </c>
      <c r="D27" s="36">
        <f>Tabella19[[#This Row],[Percentage of Suppliers - Raw]]/$C$151</f>
        <v>7.8026149304091076E-3</v>
      </c>
      <c r="E27" s="23">
        <v>4.8999999999999998E-3</v>
      </c>
      <c r="F27" s="40">
        <f>Tabella19[[#This Row],[Percentage of Supplier''s Facilities - Raw]]/$E$151</f>
        <v>4.9544994944388252E-3</v>
      </c>
    </row>
    <row r="28" spans="1:11" ht="19" x14ac:dyDescent="0.25">
      <c r="A28" s="31" t="s">
        <v>40</v>
      </c>
      <c r="B28" s="65">
        <v>6.79</v>
      </c>
      <c r="C28" s="22">
        <v>0</v>
      </c>
      <c r="D28" s="36">
        <f>Tabella19[[#This Row],[Percentage of Suppliers - Raw]]/$C$151</f>
        <v>0</v>
      </c>
      <c r="E28" s="23">
        <v>0</v>
      </c>
      <c r="F28" s="40">
        <f>Tabella19[[#This Row],[Percentage of Supplier''s Facilities - Raw]]/$E$151</f>
        <v>0</v>
      </c>
    </row>
    <row r="29" spans="1:11" ht="19" x14ac:dyDescent="0.25">
      <c r="A29" s="31" t="s">
        <v>41</v>
      </c>
      <c r="B29" s="66">
        <v>6.84</v>
      </c>
      <c r="C29" s="22">
        <v>0</v>
      </c>
      <c r="D29" s="36">
        <f>Tabella19[[#This Row],[Percentage of Suppliers - Raw]]/$C$151</f>
        <v>0</v>
      </c>
      <c r="E29" s="23">
        <v>0</v>
      </c>
      <c r="F29" s="40">
        <f>Tabella19[[#This Row],[Percentage of Supplier''s Facilities - Raw]]/$E$151</f>
        <v>0</v>
      </c>
    </row>
    <row r="30" spans="1:11" ht="19" x14ac:dyDescent="0.25">
      <c r="A30" s="31" t="s">
        <v>42</v>
      </c>
      <c r="B30" s="67">
        <v>4.3600000000000003</v>
      </c>
      <c r="C30" s="22">
        <v>0</v>
      </c>
      <c r="D30" s="36">
        <f>Tabella19[[#This Row],[Percentage of Suppliers - Raw]]/$C$151</f>
        <v>0</v>
      </c>
      <c r="E30" s="23">
        <v>0</v>
      </c>
      <c r="F30" s="40">
        <f>Tabella19[[#This Row],[Percentage of Supplier''s Facilities - Raw]]/$E$151</f>
        <v>0</v>
      </c>
    </row>
    <row r="31" spans="1:11" ht="19" x14ac:dyDescent="0.25">
      <c r="A31" s="31" t="s">
        <v>43</v>
      </c>
      <c r="B31" s="50">
        <v>4.26</v>
      </c>
      <c r="C31" s="22">
        <f xml:space="preserve"> 66.05% + 3.32%</f>
        <v>0.69369999999999998</v>
      </c>
      <c r="D31" s="36">
        <f>Tabella19[[#This Row],[Percentage of Suppliers - Raw]]/$C$151</f>
        <v>0.73144242935470238</v>
      </c>
      <c r="E31" s="23">
        <v>0.58329999999999993</v>
      </c>
      <c r="F31" s="40">
        <f>Tabella19[[#This Row],[Percentage of Supplier''s Facilities - Raw]]/$E$151</f>
        <v>0.58978766430738094</v>
      </c>
      <c r="G31" s="1" t="s">
        <v>44</v>
      </c>
    </row>
    <row r="32" spans="1:11" ht="19" x14ac:dyDescent="0.25">
      <c r="A32" s="31" t="s">
        <v>45</v>
      </c>
      <c r="B32" s="68">
        <v>5.72</v>
      </c>
      <c r="C32" s="22">
        <v>0</v>
      </c>
      <c r="D32" s="36">
        <f>Tabella19[[#This Row],[Percentage of Suppliers - Raw]]/$C$151</f>
        <v>0</v>
      </c>
      <c r="E32" s="23">
        <v>0</v>
      </c>
      <c r="F32" s="40">
        <f>Tabella19[[#This Row],[Percentage of Supplier''s Facilities - Raw]]/$E$151</f>
        <v>0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Tabella19[[#This Row],[Percentage of Suppliers - Raw]]/$C$151</f>
        <v>0</v>
      </c>
      <c r="E33" s="23">
        <v>0</v>
      </c>
      <c r="F33" s="40">
        <f>Tabella19[[#This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Tabella19[[#This Row],[Percentage of Suppliers - Raw]]/$C$151</f>
        <v>0</v>
      </c>
      <c r="E34" s="23">
        <v>2.8999999999999998E-3</v>
      </c>
      <c r="F34" s="40">
        <f>Tabella19[[#This Row],[Percentage of Supplier''s Facilities - Raw]]/$E$151</f>
        <v>2.9322548028311414E-3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Tabella19[[#This Row],[Percentage of Suppliers - Raw]]/$C$151</f>
        <v>0</v>
      </c>
      <c r="E35" s="23">
        <v>0</v>
      </c>
      <c r="F35" s="40">
        <f>Tabella19[[#This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Tabella19[[#This Row],[Percentage of Suppliers - Raw]]/$C$151</f>
        <v>0</v>
      </c>
      <c r="E36" s="23">
        <v>1E-3</v>
      </c>
      <c r="F36" s="40">
        <f>Tabella19[[#This Row],[Percentage of Supplier''s Facilities - Raw]]/$E$151</f>
        <v>1.0111223458038419E-3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Tabella19[[#This Row],[Percentage of Suppliers - Raw]]/$C$151</f>
        <v>0</v>
      </c>
      <c r="E37" s="23">
        <v>0</v>
      </c>
      <c r="F37" s="40">
        <f>Tabella19[[#This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Tabella19[[#This Row],[Percentage of Suppliers - Raw]]/$C$151</f>
        <v>0</v>
      </c>
      <c r="E38" s="23">
        <v>2.8999999999999998E-3</v>
      </c>
      <c r="F38" s="40">
        <f>Tabella19[[#This Row],[Percentage of Supplier''s Facilities - Raw]]/$E$151</f>
        <v>2.9322548028311414E-3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Tabella19[[#This Row],[Percentage of Suppliers - Raw]]/$C$151</f>
        <v>0</v>
      </c>
      <c r="E39" s="23">
        <v>1E-3</v>
      </c>
      <c r="F39" s="40">
        <f>Tabella19[[#This Row],[Percentage of Supplier''s Facilities - Raw]]/$E$151</f>
        <v>1.0111223458038419E-3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Tabella19[[#This Row],[Percentage of Suppliers - Raw]]/$C$151</f>
        <v>0</v>
      </c>
      <c r="E40" s="23">
        <v>0</v>
      </c>
      <c r="F40" s="40">
        <f>Tabella19[[#This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Tabella19[[#This Row],[Percentage of Suppliers - Raw]]/$C$151</f>
        <v>0</v>
      </c>
      <c r="E41" s="23">
        <v>0</v>
      </c>
      <c r="F41" s="40">
        <f>Tabella19[[#This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Tabella19[[#This Row],[Percentage of Suppliers - Raw]]/$C$151</f>
        <v>0</v>
      </c>
      <c r="E42" s="23">
        <v>0</v>
      </c>
      <c r="F42" s="40">
        <f>Tabella19[[#This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Tabella19[[#This Row],[Percentage of Suppliers - Raw]]/$C$151</f>
        <v>0</v>
      </c>
      <c r="E43" s="23">
        <v>1E-3</v>
      </c>
      <c r="F43" s="40">
        <f>Tabella19[[#This Row],[Percentage of Supplier''s Facilities - Raw]]/$E$151</f>
        <v>1.0111223458038419E-3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Tabella19[[#This Row],[Percentage of Suppliers - Raw]]/$C$151</f>
        <v>0</v>
      </c>
      <c r="E44" s="23">
        <v>0</v>
      </c>
      <c r="F44" s="40">
        <f>Tabella19[[#This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Tabella19[[#This Row],[Percentage of Suppliers - Raw]]/$C$151</f>
        <v>0</v>
      </c>
      <c r="E45" s="23">
        <v>0</v>
      </c>
      <c r="F45" s="40">
        <f>Tabella19[[#This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Tabella19[[#This Row],[Percentage of Suppliers - Raw]]/$C$151</f>
        <v>0</v>
      </c>
      <c r="E46" s="23">
        <v>0</v>
      </c>
      <c r="F46" s="40">
        <f>Tabella19[[#This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Tabella19[[#This Row],[Percentage of Suppliers - Raw]]/$C$151</f>
        <v>0</v>
      </c>
      <c r="E47" s="23">
        <v>0</v>
      </c>
      <c r="F47" s="40">
        <f>Tabella19[[#This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3.7000000000000002E-3</v>
      </c>
      <c r="D48" s="36">
        <f>Tabella19[[#This Row],[Percentage of Suppliers - Raw]]/$C$151</f>
        <v>3.9013074652045538E-3</v>
      </c>
      <c r="E48" s="23">
        <v>2.8999999999999998E-3</v>
      </c>
      <c r="F48" s="40">
        <f>Tabella19[[#This Row],[Percentage of Supplier''s Facilities - Raw]]/$E$151</f>
        <v>2.9322548028311414E-3</v>
      </c>
    </row>
    <row r="49" spans="1:6" ht="19" x14ac:dyDescent="0.25">
      <c r="A49" s="31" t="s">
        <v>62</v>
      </c>
      <c r="B49" s="84">
        <v>3.65</v>
      </c>
      <c r="C49" s="22">
        <v>3.7000000000000002E-3</v>
      </c>
      <c r="D49" s="36">
        <f>Tabella19[[#This Row],[Percentage of Suppliers - Raw]]/$C$151</f>
        <v>3.9013074652045538E-3</v>
      </c>
      <c r="E49" s="23">
        <v>2.8999999999999998E-3</v>
      </c>
      <c r="F49" s="40">
        <f>Tabella19[[#This Row],[Percentage of Supplier''s Facilities - Raw]]/$E$151</f>
        <v>2.9322548028311414E-3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Tabella19[[#This Row],[Percentage of Suppliers - Raw]]/$C$151</f>
        <v>0</v>
      </c>
      <c r="E50" s="23">
        <v>0</v>
      </c>
      <c r="F50" s="40">
        <f>Tabella19[[#This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Tabella19[[#This Row],[Percentage of Suppliers - Raw]]/$C$151</f>
        <v>0</v>
      </c>
      <c r="E51" s="23">
        <v>0</v>
      </c>
      <c r="F51" s="40">
        <f>Tabella19[[#This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Tabella19[[#This Row],[Percentage of Suppliers - Raw]]/$C$151</f>
        <v>0</v>
      </c>
      <c r="E52" s="23">
        <v>0</v>
      </c>
      <c r="F52" s="40">
        <f>Tabella19[[#This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</v>
      </c>
      <c r="D53" s="36">
        <f>Tabella19[[#This Row],[Percentage of Suppliers - Raw]]/$C$151</f>
        <v>0</v>
      </c>
      <c r="E53" s="23">
        <v>2.75E-2</v>
      </c>
      <c r="F53" s="40">
        <f>Tabella19[[#This Row],[Percentage of Supplier''s Facilities - Raw]]/$E$151</f>
        <v>2.7805864509605652E-2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Tabella19[[#This Row],[Percentage of Suppliers - Raw]]/$C$151</f>
        <v>0</v>
      </c>
      <c r="E54" s="23">
        <v>0</v>
      </c>
      <c r="F54" s="40">
        <f>Tabella19[[#This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Tabella19[[#This Row],[Percentage of Suppliers - Raw]]/$C$151</f>
        <v>0</v>
      </c>
      <c r="E55" s="23">
        <v>0</v>
      </c>
      <c r="F55" s="40">
        <f>Tabella19[[#This Row],[Percentage of Supplier''s Facilities - Raw]]/$E$151</f>
        <v>0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Tabella19[[#This Row],[Percentage of Suppliers - Raw]]/$C$151</f>
        <v>0</v>
      </c>
      <c r="E56" s="23">
        <v>0</v>
      </c>
      <c r="F56" s="40">
        <f>Tabella19[[#This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Tabella19[[#This Row],[Percentage of Suppliers - Raw]]/$C$151</f>
        <v>0</v>
      </c>
      <c r="E57" s="23">
        <v>0</v>
      </c>
      <c r="F57" s="40">
        <f>Tabella19[[#This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Tabella19[[#This Row],[Percentage of Suppliers - Raw]]/$C$151</f>
        <v>0</v>
      </c>
      <c r="E58" s="23">
        <v>0</v>
      </c>
      <c r="F58" s="40">
        <f>Tabella19[[#This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Tabella19[[#This Row],[Percentage of Suppliers - Raw]]/$C$151</f>
        <v>0</v>
      </c>
      <c r="E59" s="23">
        <v>0</v>
      </c>
      <c r="F59" s="40">
        <f>Tabella19[[#This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Tabella19[[#This Row],[Percentage of Suppliers - Raw]]/$C$151</f>
        <v>0</v>
      </c>
      <c r="E60" s="23">
        <v>0</v>
      </c>
      <c r="F60" s="40">
        <f>Tabella19[[#This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Tabella19[[#This Row],[Percentage of Suppliers - Raw]]/$C$151</f>
        <v>0</v>
      </c>
      <c r="E61" s="23">
        <v>0</v>
      </c>
      <c r="F61" s="40">
        <f>Tabella19[[#This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Tabella19[[#This Row],[Percentage of Suppliers - Raw]]/$C$151</f>
        <v>0</v>
      </c>
      <c r="E62" s="23">
        <v>3.9000000000000003E-3</v>
      </c>
      <c r="F62" s="40">
        <f>Tabella19[[#This Row],[Percentage of Supplier''s Facilities - Raw]]/$E$151</f>
        <v>3.9433771486349842E-3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Tabella19[[#This Row],[Percentage of Suppliers - Raw]]/$C$151</f>
        <v>0</v>
      </c>
      <c r="E63" s="23">
        <v>0</v>
      </c>
      <c r="F63" s="40">
        <f>Tabella19[[#This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</v>
      </c>
      <c r="D64" s="36">
        <f>Tabella19[[#This Row],[Percentage of Suppliers - Raw]]/$C$151</f>
        <v>0</v>
      </c>
      <c r="E64" s="23">
        <v>1.2699999999999999E-2</v>
      </c>
      <c r="F64" s="40">
        <f>Tabella19[[#This Row],[Percentage of Supplier''s Facilities - Raw]]/$E$151</f>
        <v>1.2841253791708793E-2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Tabella19[[#This Row],[Percentage of Suppliers - Raw]]/$C$151</f>
        <v>0</v>
      </c>
      <c r="E65" s="23">
        <v>1.37E-2</v>
      </c>
      <c r="F65" s="40">
        <f>Tabella19[[#This Row],[Percentage of Supplier''s Facilities - Raw]]/$E$151</f>
        <v>1.3852376137512635E-2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Tabella19[[#This Row],[Percentage of Suppliers - Raw]]/$C$151</f>
        <v>0</v>
      </c>
      <c r="E66" s="23">
        <v>0</v>
      </c>
      <c r="F66" s="40">
        <f>Tabella19[[#This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Tabella19[[#This Row],[Percentage of Suppliers - Raw]]/$C$151</f>
        <v>0</v>
      </c>
      <c r="E67" s="23">
        <v>0</v>
      </c>
      <c r="F67" s="40">
        <f>Tabella19[[#This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3.7000000000000002E-3</v>
      </c>
      <c r="D68" s="36">
        <f>Tabella19[[#This Row],[Percentage of Suppliers - Raw]]/$C$151</f>
        <v>3.9013074652045538E-3</v>
      </c>
      <c r="E68" s="23">
        <v>4.8999999999999998E-3</v>
      </c>
      <c r="F68" s="40">
        <f>Tabella19[[#This Row],[Percentage of Supplier''s Facilities - Raw]]/$E$151</f>
        <v>4.9544994944388252E-3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Tabella19[[#This Row],[Percentage of Suppliers - Raw]]/$C$151</f>
        <v>0</v>
      </c>
      <c r="E69" s="23">
        <v>8.8000000000000005E-3</v>
      </c>
      <c r="F69" s="40">
        <f>Tabella19[[#This Row],[Percentage of Supplier''s Facilities - Raw]]/$E$151</f>
        <v>8.8978766430738102E-3</v>
      </c>
    </row>
    <row r="70" spans="1:6" ht="19" x14ac:dyDescent="0.25">
      <c r="A70" s="31" t="s">
        <v>83</v>
      </c>
      <c r="B70" s="104">
        <v>3.84</v>
      </c>
      <c r="C70" s="22">
        <v>3.7000000000000002E-3</v>
      </c>
      <c r="D70" s="36">
        <f>Tabella19[[#This Row],[Percentage of Suppliers - Raw]]/$C$151</f>
        <v>3.9013074652045538E-3</v>
      </c>
      <c r="E70" s="23">
        <v>2E-3</v>
      </c>
      <c r="F70" s="40">
        <f>Tabella19[[#This Row],[Percentage of Supplier''s Facilities - Raw]]/$E$151</f>
        <v>2.0222446916076837E-3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Tabella19[[#This Row],[Percentage of Suppliers - Raw]]/$C$151</f>
        <v>0</v>
      </c>
      <c r="E71" s="23">
        <v>0</v>
      </c>
      <c r="F71" s="40">
        <f>Tabella19[[#This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3.32E-2</v>
      </c>
      <c r="D72" s="36">
        <f>Tabella19[[#This Row],[Percentage of Suppliers - Raw]]/$C$151</f>
        <v>3.5006326444538154E-2</v>
      </c>
      <c r="E72" s="23">
        <v>5.8999999999999999E-3</v>
      </c>
      <c r="F72" s="40">
        <f>Tabella19[[#This Row],[Percentage of Supplier''s Facilities - Raw]]/$E$151</f>
        <v>5.9656218402426671E-3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Tabella19[[#This Row],[Percentage of Suppliers - Raw]]/$C$151</f>
        <v>0</v>
      </c>
      <c r="E73" s="23">
        <v>0</v>
      </c>
      <c r="F73" s="40">
        <f>Tabella19[[#This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Tabella19[[#This Row],[Percentage of Suppliers - Raw]]/$C$151</f>
        <v>0</v>
      </c>
      <c r="E74" s="23">
        <v>0</v>
      </c>
      <c r="F74" s="40">
        <f>Tabella19[[#This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Tabella19[[#This Row],[Percentage of Suppliers - Raw]]/$C$151</f>
        <v>0</v>
      </c>
      <c r="E75" s="23">
        <v>0</v>
      </c>
      <c r="F75" s="40">
        <f>Tabella19[[#This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Tabella19[[#This Row],[Percentage of Suppliers - Raw]]/$C$151</f>
        <v>0</v>
      </c>
      <c r="E76" s="23">
        <v>0</v>
      </c>
      <c r="F76" s="40">
        <f>Tabella19[[#This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Tabella19[[#This Row],[Percentage of Suppliers - Raw]]/$C$151</f>
        <v>0</v>
      </c>
      <c r="E77" s="23">
        <v>0</v>
      </c>
      <c r="F77" s="40">
        <f>Tabella19[[#This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Tabella19[[#This Row],[Percentage of Suppliers - Raw]]/$C$151</f>
        <v>0</v>
      </c>
      <c r="E78" s="23">
        <v>0</v>
      </c>
      <c r="F78" s="40">
        <f>Tabella19[[#This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Tabella19[[#This Row],[Percentage of Suppliers - Raw]]/$C$151</f>
        <v>0</v>
      </c>
      <c r="E79" s="23">
        <v>0</v>
      </c>
      <c r="F79" s="40">
        <f>Tabella19[[#This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Tabella19[[#This Row],[Percentage of Suppliers - Raw]]/$C$151</f>
        <v>0</v>
      </c>
      <c r="E80" s="23">
        <v>0</v>
      </c>
      <c r="F80" s="40">
        <f>Tabella19[[#This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Tabella19[[#This Row],[Percentage of Suppliers - Raw]]/$C$151</f>
        <v>0</v>
      </c>
      <c r="E81" s="23">
        <v>0</v>
      </c>
      <c r="F81" s="40">
        <f>Tabella19[[#This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Tabella19[[#This Row],[Percentage of Suppliers - Raw]]/$C$151</f>
        <v>0</v>
      </c>
      <c r="E82" s="23">
        <v>0</v>
      </c>
      <c r="F82" s="40">
        <f>Tabella19[[#This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Tabella19[[#This Row],[Percentage of Suppliers - Raw]]/$C$151</f>
        <v>0</v>
      </c>
      <c r="E83" s="23">
        <v>0</v>
      </c>
      <c r="F83" s="40">
        <f>Tabella19[[#This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Tabella19[[#This Row],[Percentage of Suppliers - Raw]]/$C$151</f>
        <v>0</v>
      </c>
      <c r="E84" s="23">
        <v>0</v>
      </c>
      <c r="F84" s="40">
        <f>Tabella19[[#This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Tabella19[[#This Row],[Percentage of Suppliers - Raw]]/$C$151</f>
        <v>0</v>
      </c>
      <c r="E85" s="23">
        <v>0</v>
      </c>
      <c r="F85" s="40">
        <f>Tabella19[[#This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Tabella19[[#This Row],[Percentage of Suppliers - Raw]]/$C$151</f>
        <v>0</v>
      </c>
      <c r="E86" s="23">
        <v>0</v>
      </c>
      <c r="F86" s="40">
        <f>Tabella19[[#This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Tabella19[[#This Row],[Percentage of Suppliers - Raw]]/$C$151</f>
        <v>0</v>
      </c>
      <c r="E87" s="23">
        <v>1.37E-2</v>
      </c>
      <c r="F87" s="40">
        <f>Tabella19[[#This Row],[Percentage of Supplier''s Facilities - Raw]]/$E$151</f>
        <v>1.3852376137512635E-2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Tabella19[[#This Row],[Percentage of Suppliers - Raw]]/$C$151</f>
        <v>0</v>
      </c>
      <c r="E88" s="23">
        <v>0</v>
      </c>
      <c r="F88" s="40">
        <f>Tabella19[[#This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Tabella19[[#This Row],[Percentage of Suppliers - Raw]]/$C$151</f>
        <v>0</v>
      </c>
      <c r="E89" s="23">
        <v>0</v>
      </c>
      <c r="F89" s="40">
        <f>Tabella19[[#This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Tabella19[[#This Row],[Percentage of Suppliers - Raw]]/$C$151</f>
        <v>0</v>
      </c>
      <c r="E90" s="23">
        <v>0</v>
      </c>
      <c r="F90" s="40">
        <f>Tabella19[[#This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Tabella19[[#This Row],[Percentage of Suppliers - Raw]]/$C$151</f>
        <v>0</v>
      </c>
      <c r="E91" s="23">
        <v>1.2699999999999999E-2</v>
      </c>
      <c r="F91" s="40">
        <f>Tabella19[[#This Row],[Percentage of Supplier''s Facilities - Raw]]/$E$151</f>
        <v>1.2841253791708793E-2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Tabella19[[#This Row],[Percentage of Suppliers - Raw]]/$C$151</f>
        <v>0</v>
      </c>
      <c r="E92" s="23">
        <v>0</v>
      </c>
      <c r="F92" s="40">
        <f>Tabella19[[#This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Tabella19[[#This Row],[Percentage of Suppliers - Raw]]/$C$151</f>
        <v>0</v>
      </c>
      <c r="E93" s="23">
        <v>0</v>
      </c>
      <c r="F93" s="40">
        <f>Tabella19[[#This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Tabella19[[#This Row],[Percentage of Suppliers - Raw]]/$C$151</f>
        <v>0</v>
      </c>
      <c r="E94" s="23">
        <v>0</v>
      </c>
      <c r="F94" s="40">
        <f>Tabella19[[#This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Tabella19[[#This Row],[Percentage of Suppliers - Raw]]/$C$151</f>
        <v>0</v>
      </c>
      <c r="E95" s="23">
        <v>0</v>
      </c>
      <c r="F95" s="40">
        <f>Tabella19[[#This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Tabella19[[#This Row],[Percentage of Suppliers - Raw]]/$C$151</f>
        <v>0</v>
      </c>
      <c r="E96" s="23">
        <v>0</v>
      </c>
      <c r="F96" s="40">
        <f>Tabella19[[#This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Tabella19[[#This Row],[Percentage of Suppliers - Raw]]/$C$151</f>
        <v>0</v>
      </c>
      <c r="E97" s="23">
        <v>0</v>
      </c>
      <c r="F97" s="40">
        <f>Tabella19[[#This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3.7000000000000002E-3</v>
      </c>
      <c r="D98" s="36">
        <f>Tabella19[[#This Row],[Percentage of Suppliers - Raw]]/$C$151</f>
        <v>3.9013074652045538E-3</v>
      </c>
      <c r="E98" s="23">
        <v>4.8999999999999998E-3</v>
      </c>
      <c r="F98" s="40">
        <f>Tabella19[[#This Row],[Percentage of Supplier''s Facilities - Raw]]/$E$151</f>
        <v>4.9544994944388252E-3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Tabella19[[#This Row],[Percentage of Suppliers - Raw]]/$C$151</f>
        <v>0</v>
      </c>
      <c r="E99" s="23">
        <v>0</v>
      </c>
      <c r="F99" s="40">
        <f>Tabella19[[#This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Tabella19[[#This Row],[Percentage of Suppliers - Raw]]/$C$151</f>
        <v>0</v>
      </c>
      <c r="E100" s="23">
        <v>0</v>
      </c>
      <c r="F100" s="40">
        <f>Tabella19[[#This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Tabella19[[#This Row],[Percentage of Suppliers - Raw]]/$C$151</f>
        <v>0</v>
      </c>
      <c r="E101" s="23">
        <v>0</v>
      </c>
      <c r="F101" s="40">
        <f>Tabella19[[#This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Tabella19[[#This Row],[Percentage of Suppliers - Raw]]/$C$151</f>
        <v>0</v>
      </c>
      <c r="E102" s="23">
        <v>0</v>
      </c>
      <c r="F102" s="40">
        <f>Tabella19[[#This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Tabella19[[#This Row],[Percentage of Suppliers - Raw]]/$C$151</f>
        <v>0</v>
      </c>
      <c r="E103" s="23">
        <v>0</v>
      </c>
      <c r="F103" s="40">
        <f>Tabella19[[#This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7.4000000000000003E-3</v>
      </c>
      <c r="D104" s="36">
        <f>Tabella19[[#This Row],[Percentage of Suppliers - Raw]]/$C$151</f>
        <v>7.8026149304091076E-3</v>
      </c>
      <c r="E104" s="23">
        <v>3.9000000000000003E-3</v>
      </c>
      <c r="F104" s="40">
        <f>Tabella19[[#This Row],[Percentage of Supplier''s Facilities - Raw]]/$E$151</f>
        <v>3.9433771486349842E-3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Tabella19[[#This Row],[Percentage of Suppliers - Raw]]/$C$151</f>
        <v>0</v>
      </c>
      <c r="E105" s="23">
        <v>0</v>
      </c>
      <c r="F105" s="40">
        <f>Tabella19[[#This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Tabella19[[#This Row],[Percentage of Suppliers - Raw]]/$C$151</f>
        <v>0</v>
      </c>
      <c r="E106" s="23">
        <v>0</v>
      </c>
      <c r="F106" s="40">
        <f>Tabella19[[#This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Tabella19[[#This Row],[Percentage of Suppliers - Raw]]/$C$151</f>
        <v>0</v>
      </c>
      <c r="E107" s="23">
        <v>0</v>
      </c>
      <c r="F107" s="40">
        <f>Tabella19[[#This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Tabella19[[#This Row],[Percentage of Suppliers - Raw]]/$C$151</f>
        <v>0</v>
      </c>
      <c r="E108" s="23">
        <v>0</v>
      </c>
      <c r="F108" s="40">
        <f>Tabella19[[#This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Tabella19[[#This Row],[Percentage of Suppliers - Raw]]/$C$151</f>
        <v>0</v>
      </c>
      <c r="E109" s="23">
        <v>0</v>
      </c>
      <c r="F109" s="40">
        <f>Tabella19[[#This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Tabella19[[#This Row],[Percentage of Suppliers - Raw]]/$C$151</f>
        <v>0</v>
      </c>
      <c r="E110" s="23">
        <v>1E-3</v>
      </c>
      <c r="F110" s="40">
        <f>Tabella19[[#This Row],[Percentage of Supplier''s Facilities - Raw]]/$E$151</f>
        <v>1.0111223458038419E-3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Tabella19[[#This Row],[Percentage of Suppliers - Raw]]/$C$151</f>
        <v>0</v>
      </c>
      <c r="E111" s="23">
        <v>5.8999999999999999E-3</v>
      </c>
      <c r="F111" s="40">
        <f>Tabella19[[#This Row],[Percentage of Supplier''s Facilities - Raw]]/$E$151</f>
        <v>5.9656218402426671E-3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Tabella19[[#This Row],[Percentage of Suppliers - Raw]]/$C$151</f>
        <v>0</v>
      </c>
      <c r="E112" s="23">
        <v>2.8999999999999998E-3</v>
      </c>
      <c r="F112" s="40">
        <f>Tabella19[[#This Row],[Percentage of Supplier''s Facilities - Raw]]/$E$151</f>
        <v>2.9322548028311414E-3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Tabella19[[#This Row],[Percentage of Suppliers - Raw]]/$C$151</f>
        <v>0</v>
      </c>
      <c r="E113" s="23">
        <v>0</v>
      </c>
      <c r="F113" s="40">
        <f>Tabella19[[#This Row],[Percentage of Supplier''s Facilities - Raw]]/$E$151</f>
        <v>0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Tabella19[[#This Row],[Percentage of Suppliers - Raw]]/$C$151</f>
        <v>0</v>
      </c>
      <c r="E114" s="23">
        <v>0</v>
      </c>
      <c r="F114" s="40">
        <f>Tabella19[[#This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Tabella19[[#This Row],[Percentage of Suppliers - Raw]]/$C$151</f>
        <v>0</v>
      </c>
      <c r="E115" s="23">
        <v>2E-3</v>
      </c>
      <c r="F115" s="40">
        <f>Tabella19[[#This Row],[Percentage of Supplier''s Facilities - Raw]]/$E$151</f>
        <v>2.0222446916076837E-3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Tabella19[[#This Row],[Percentage of Suppliers - Raw]]/$C$151</f>
        <v>0</v>
      </c>
      <c r="E116" s="23">
        <v>1E-3</v>
      </c>
      <c r="F116" s="40">
        <f>Tabella19[[#This Row],[Percentage of Supplier''s Facilities - Raw]]/$E$151</f>
        <v>1.0111223458038419E-3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Tabella19[[#This Row],[Percentage of Suppliers - Raw]]/$C$151</f>
        <v>0</v>
      </c>
      <c r="E117" s="23">
        <v>0</v>
      </c>
      <c r="F117" s="40">
        <f>Tabella19[[#This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Tabella19[[#This Row],[Percentage of Suppliers - Raw]]/$C$151</f>
        <v>0</v>
      </c>
      <c r="E118" s="23">
        <v>1E-3</v>
      </c>
      <c r="F118" s="40">
        <f>Tabella19[[#This Row],[Percentage of Supplier''s Facilities - Raw]]/$E$151</f>
        <v>1.0111223458038419E-3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Tabella19[[#This Row],[Percentage of Suppliers - Raw]]/$C$151</f>
        <v>0</v>
      </c>
      <c r="E119" s="23">
        <v>0</v>
      </c>
      <c r="F119" s="40">
        <f>Tabella19[[#This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Tabella19[[#This Row],[Percentage of Suppliers - Raw]]/$C$151</f>
        <v>0</v>
      </c>
      <c r="E120" s="23">
        <v>0</v>
      </c>
      <c r="F120" s="40">
        <f>Tabella19[[#This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Tabella19[[#This Row],[Percentage of Suppliers - Raw]]/$C$151</f>
        <v>0</v>
      </c>
      <c r="E121" s="23">
        <v>0</v>
      </c>
      <c r="F121" s="40">
        <f>Tabella19[[#This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3.7000000000000002E-3</v>
      </c>
      <c r="D122" s="36">
        <f>Tabella19[[#This Row],[Percentage of Suppliers - Raw]]/$C$151</f>
        <v>3.9013074652045538E-3</v>
      </c>
      <c r="E122" s="23">
        <v>2.75E-2</v>
      </c>
      <c r="F122" s="40">
        <f>Tabella19[[#This Row],[Percentage of Supplier''s Facilities - Raw]]/$E$151</f>
        <v>2.7805864509605652E-2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Tabella19[[#This Row],[Percentage of Suppliers - Raw]]/$C$151</f>
        <v>0</v>
      </c>
      <c r="E123" s="23">
        <v>2E-3</v>
      </c>
      <c r="F123" s="40">
        <f>Tabella19[[#This Row],[Percentage of Supplier''s Facilities - Raw]]/$E$151</f>
        <v>2.0222446916076837E-3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Tabella19[[#This Row],[Percentage of Suppliers - Raw]]/$C$151</f>
        <v>0</v>
      </c>
      <c r="E124" s="23">
        <v>0</v>
      </c>
      <c r="F124" s="40">
        <f>Tabella19[[#This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Tabella19[[#This Row],[Percentage of Suppliers - Raw]]/$C$151</f>
        <v>0</v>
      </c>
      <c r="E125" s="23">
        <v>2E-3</v>
      </c>
      <c r="F125" s="40">
        <f>Tabella19[[#This Row],[Percentage of Supplier''s Facilities - Raw]]/$E$151</f>
        <v>2.0222446916076837E-3</v>
      </c>
    </row>
    <row r="126" spans="1:6" ht="19" x14ac:dyDescent="0.25">
      <c r="A126" s="31" t="s">
        <v>139</v>
      </c>
      <c r="B126" s="151">
        <v>3.57</v>
      </c>
      <c r="C126" s="22">
        <v>3.6900000000000002E-2</v>
      </c>
      <c r="D126" s="36">
        <f>Tabella19[[#This Row],[Percentage of Suppliers - Raw]]/$C$151</f>
        <v>3.8907633909742716E-2</v>
      </c>
      <c r="E126" s="23">
        <v>3.9000000000000003E-3</v>
      </c>
      <c r="F126" s="40">
        <f>Tabella19[[#This Row],[Percentage of Supplier''s Facilities - Raw]]/$E$151</f>
        <v>3.9433771486349842E-3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Tabella19[[#This Row],[Percentage of Suppliers - Raw]]/$C$151</f>
        <v>0</v>
      </c>
      <c r="E127" s="23">
        <v>2.8999999999999998E-3</v>
      </c>
      <c r="F127" s="40">
        <f>Tabella19[[#This Row],[Percentage of Supplier''s Facilities - Raw]]/$E$151</f>
        <v>2.9322548028311414E-3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Tabella19[[#This Row],[Percentage of Suppliers - Raw]]/$C$151</f>
        <v>0</v>
      </c>
      <c r="E128" s="23">
        <v>0</v>
      </c>
      <c r="F128" s="40">
        <f>Tabella19[[#This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Tabella19[[#This Row],[Percentage of Suppliers - Raw]]/$C$151</f>
        <v>0</v>
      </c>
      <c r="E129" s="23">
        <v>0</v>
      </c>
      <c r="F129" s="40">
        <f>Tabella19[[#This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3.7000000000000002E-3</v>
      </c>
      <c r="D130" s="36">
        <f>Tabella19[[#This Row],[Percentage of Suppliers - Raw]]/$C$151</f>
        <v>3.9013074652045538E-3</v>
      </c>
      <c r="E130" s="23">
        <v>3.9000000000000003E-3</v>
      </c>
      <c r="F130" s="40">
        <f>Tabella19[[#This Row],[Percentage of Supplier''s Facilities - Raw]]/$E$151</f>
        <v>3.9433771486349842E-3</v>
      </c>
    </row>
    <row r="131" spans="1:6" ht="19" x14ac:dyDescent="0.25">
      <c r="A131" s="31" t="s">
        <v>144</v>
      </c>
      <c r="B131" s="154">
        <v>2.78</v>
      </c>
      <c r="C131" s="22">
        <v>3.7000000000000002E-3</v>
      </c>
      <c r="D131" s="36">
        <f>Tabella19[[#This Row],[Percentage of Suppliers - Raw]]/$C$151</f>
        <v>3.9013074652045538E-3</v>
      </c>
      <c r="E131" s="23">
        <v>4.8999999999999998E-3</v>
      </c>
      <c r="F131" s="40">
        <f>Tabella19[[#This Row],[Percentage of Supplier''s Facilities - Raw]]/$E$151</f>
        <v>4.9544994944388252E-3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Tabella19[[#This Row],[Percentage of Suppliers - Raw]]/$C$151</f>
        <v>0</v>
      </c>
      <c r="E132" s="23">
        <v>0</v>
      </c>
      <c r="F132" s="40">
        <f>Tabella19[[#This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Tabella19[[#This Row],[Percentage of Suppliers - Raw]]/$C$151</f>
        <v>0</v>
      </c>
      <c r="E133" s="23">
        <v>0</v>
      </c>
      <c r="F133" s="40">
        <f>Tabella19[[#This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Tabella19[[#This Row],[Percentage of Suppliers - Raw]]/$C$151</f>
        <v>0</v>
      </c>
      <c r="E134" s="23">
        <v>8.8000000000000005E-3</v>
      </c>
      <c r="F134" s="40">
        <f>Tabella19[[#This Row],[Percentage of Supplier''s Facilities - Raw]]/$E$151</f>
        <v>8.8978766430738102E-3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Tabella19[[#This Row],[Percentage of Suppliers - Raw]]/$C$151</f>
        <v>0</v>
      </c>
      <c r="E135" s="23">
        <v>0</v>
      </c>
      <c r="F135" s="40">
        <f>Tabella19[[#This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Tabella19[[#This Row],[Percentage of Suppliers - Raw]]/$C$151</f>
        <v>0</v>
      </c>
      <c r="E136" s="23">
        <v>0</v>
      </c>
      <c r="F136" s="40">
        <f>Tabella19[[#This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Tabella19[[#This Row],[Percentage of Suppliers - Raw]]/$C$151</f>
        <v>0</v>
      </c>
      <c r="E137" s="23">
        <v>0</v>
      </c>
      <c r="F137" s="40">
        <f>Tabella19[[#This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Tabella19[[#This Row],[Percentage of Suppliers - Raw]]/$C$151</f>
        <v>0</v>
      </c>
      <c r="E138" s="23">
        <v>0</v>
      </c>
      <c r="F138" s="40">
        <f>Tabella19[[#This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Tabella19[[#This Row],[Percentage of Suppliers - Raw]]/$C$151</f>
        <v>0</v>
      </c>
      <c r="E139" s="23">
        <v>1E-3</v>
      </c>
      <c r="F139" s="40">
        <f>Tabella19[[#This Row],[Percentage of Supplier''s Facilities - Raw]]/$E$151</f>
        <v>1.0111223458038419E-3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Tabella19[[#This Row],[Percentage of Suppliers - Raw]]/$C$151</f>
        <v>0</v>
      </c>
      <c r="E140" s="23">
        <v>0</v>
      </c>
      <c r="F140" s="40">
        <f>Tabella19[[#This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Tabella19[[#This Row],[Percentage of Suppliers - Raw]]/$C$151</f>
        <v>0</v>
      </c>
      <c r="E141" s="23">
        <v>0</v>
      </c>
      <c r="F141" s="40">
        <f>Tabella19[[#This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3.7000000000000002E-3</v>
      </c>
      <c r="D142" s="36">
        <f>Tabella19[[#This Row],[Percentage of Suppliers - Raw]]/$C$151</f>
        <v>3.9013074652045538E-3</v>
      </c>
      <c r="E142" s="23">
        <v>3.9000000000000003E-3</v>
      </c>
      <c r="F142" s="40">
        <f>Tabella19[[#This Row],[Percentage of Supplier''s Facilities - Raw]]/$E$151</f>
        <v>3.9433771486349842E-3</v>
      </c>
    </row>
    <row r="143" spans="1:6" ht="19" x14ac:dyDescent="0.25">
      <c r="A143" s="31" t="s">
        <v>156</v>
      </c>
      <c r="B143" s="128">
        <v>3.32</v>
      </c>
      <c r="C143" s="22">
        <v>2.58E-2</v>
      </c>
      <c r="D143" s="36">
        <f>Tabella19[[#This Row],[Percentage of Suppliers - Raw]]/$C$151</f>
        <v>2.720371151412905E-2</v>
      </c>
      <c r="E143" s="23">
        <v>2.35E-2</v>
      </c>
      <c r="F143" s="40">
        <f>Tabella19[[#This Row],[Percentage of Supplier''s Facilities - Raw]]/$E$151</f>
        <v>2.3761375126390285E-2</v>
      </c>
    </row>
    <row r="144" spans="1:6" ht="19" x14ac:dyDescent="0.25">
      <c r="A144" s="31" t="s">
        <v>157</v>
      </c>
      <c r="B144" s="165">
        <v>4.1900000000000004</v>
      </c>
      <c r="C144" s="22">
        <v>0.107</v>
      </c>
      <c r="D144" s="36">
        <f>Tabella19[[#This Row],[Percentage of Suppliers - Raw]]/$C$151</f>
        <v>0.11282159426402358</v>
      </c>
      <c r="E144" s="23">
        <v>0.1431</v>
      </c>
      <c r="F144" s="40">
        <f>Tabella19[[#This Row],[Percentage of Supplier''s Facilities - Raw]]/$E$151</f>
        <v>0.14469160768452979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Tabella19[[#This Row],[Percentage of Suppliers - Raw]]/$C$151</f>
        <v>0</v>
      </c>
      <c r="E145" s="23">
        <v>0</v>
      </c>
      <c r="F145" s="40">
        <f>Tabella19[[#This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Tabella19[[#This Row],[Percentage of Suppliers - Raw]]/$C$151</f>
        <v>0</v>
      </c>
      <c r="E146" s="23">
        <v>0</v>
      </c>
      <c r="F146" s="40">
        <f>Tabella19[[#This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Tabella19[[#This Row],[Percentage of Suppliers - Raw]]/$C$151</f>
        <v>0</v>
      </c>
      <c r="E147" s="23">
        <v>1.9599999999999999E-2</v>
      </c>
      <c r="F147" s="40">
        <f>Tabella19[[#This Row],[Percentage of Supplier''s Facilities - Raw]]/$E$151</f>
        <v>1.9817997977755301E-2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Tabella19[[#This Row],[Percentage of Suppliers - Raw]]/$C$151</f>
        <v>0</v>
      </c>
      <c r="E148" s="23">
        <v>0</v>
      </c>
      <c r="F148" s="40">
        <f>Tabella19[[#This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Tabella19[[#This Row],[Percentage of Suppliers - Raw]]/$C$151</f>
        <v>0</v>
      </c>
      <c r="E149" s="23">
        <v>0</v>
      </c>
      <c r="F149" s="40">
        <f>Tabella19[[#This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Tabella19[[#This Row],[Percentage of Suppliers - Raw]]/$C$151</f>
        <v>0</v>
      </c>
      <c r="E150" s="23">
        <v>0</v>
      </c>
      <c r="F150" s="40">
        <f>Tabella19[[#This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0.94840000000000035</v>
      </c>
      <c r="D151" s="39">
        <f>Tabella19[[#This Row],[Percentage of Suppliers - Raw]]/$C$151</f>
        <v>1</v>
      </c>
      <c r="E151" s="25">
        <f>SUM(E4:E150)</f>
        <v>0.98900000000000032</v>
      </c>
      <c r="F151" s="39">
        <f>SUM(F4:F150)</f>
        <v>0.99999999999999944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BEA4-151C-2A41-8A33-305B493C3234}">
  <dimension ref="A1:P151"/>
  <sheetViews>
    <sheetView topLeftCell="E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174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Tabella110[[#This Row],[Percentage of Suppliers - Raw]]/$C$151</f>
        <v>0</v>
      </c>
      <c r="E4" s="23">
        <v>0</v>
      </c>
      <c r="F4" s="40">
        <f>Tabella110[[#This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Tabella110[[#This Row],[Percentage of Suppliers - Raw]]/$C$151</f>
        <v>0</v>
      </c>
      <c r="E5" s="23">
        <v>4.0000000000000002E-4</v>
      </c>
      <c r="F5" s="40">
        <f>Tabella110[[#This Row],[Percentage of Supplier''s Facilities - Raw]]/$E$151</f>
        <v>4.0128410914927796E-4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Tabella110[[#This Row],[Percentage of Suppliers - Raw]]/$C$151</f>
        <v>0</v>
      </c>
      <c r="E6" s="23">
        <v>0</v>
      </c>
      <c r="F6" s="40">
        <f>Tabella110[[#This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Tabella110[[#This Row],[Percentage of Suppliers - Raw]]/$C$151</f>
        <v>0</v>
      </c>
      <c r="E7" s="23">
        <v>1.1999999999999999E-3</v>
      </c>
      <c r="F7" s="40">
        <f>Tabella110[[#This Row],[Percentage of Supplier''s Facilities - Raw]]/$E$151</f>
        <v>1.2038523274478337E-3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Tabella110[[#This Row],[Percentage of Suppliers - Raw]]/$C$151</f>
        <v>0</v>
      </c>
      <c r="E8" s="23">
        <v>0</v>
      </c>
      <c r="F8" s="40">
        <f>Tabella110[[#This Row],[Percentage of Supplier''s Facilities - Raw]]/$E$151</f>
        <v>0</v>
      </c>
      <c r="H8" s="17" t="s">
        <v>18</v>
      </c>
      <c r="I8" s="18" t="str">
        <f>INDEX(A4:A150,MATCH(MAX(D4:D150),D4:D150,0))</f>
        <v>India</v>
      </c>
      <c r="J8" s="18">
        <f>INDEX(B4:B150,MATCH(MAX(D4:D150),D4:D150,0))</f>
        <v>5.07</v>
      </c>
      <c r="K8" s="19">
        <f>INDEX(D4:D150,MATCH(MAX(D4:D150),D4:D150,0))</f>
        <v>0.69736974705230248</v>
      </c>
      <c r="M8" s="17" t="s">
        <v>18</v>
      </c>
      <c r="N8" s="18" t="str">
        <f>INDEX(A4:A150,MATCH(MAX(F4:F150),F4:F150,0))</f>
        <v>India</v>
      </c>
      <c r="O8" s="18">
        <f>INDEX(B4:B150,MATCH(MAX(F4:F150),F4:F150,0))</f>
        <v>5.07</v>
      </c>
      <c r="P8" s="19">
        <f>INDEX(F4:F150,MATCH(MAX(F4:F150),F4:F150,0))</f>
        <v>0.36958266452648503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Tabella110[[#This Row],[Percentage of Suppliers - Raw]]/$C$151</f>
        <v>0</v>
      </c>
      <c r="E9" s="23">
        <v>1.24E-2</v>
      </c>
      <c r="F9" s="40">
        <f>Tabella110[[#This Row],[Percentage of Supplier''s Facilities - Raw]]/$E$151</f>
        <v>1.2439807383627616E-2</v>
      </c>
      <c r="H9" s="20" t="s">
        <v>20</v>
      </c>
      <c r="I9" s="21"/>
      <c r="J9" s="21"/>
      <c r="K9" s="175">
        <f>SUMPRODUCT(B4:B150,D4:D150)</f>
        <v>4.7468174947092585</v>
      </c>
      <c r="M9" s="20" t="s">
        <v>21</v>
      </c>
      <c r="N9" s="21"/>
      <c r="O9" s="21"/>
      <c r="P9" s="175">
        <f>SUMPRODUCT(B4:B150,F4:F150)</f>
        <v>4.4696097512038566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Tabella110[[#This Row],[Percentage of Suppliers - Raw]]/$C$151</f>
        <v>0</v>
      </c>
      <c r="E10" s="23">
        <v>1.6000000000000001E-3</v>
      </c>
      <c r="F10" s="40">
        <f>Tabella110[[#This Row],[Percentage of Supplier''s Facilities - Raw]]/$E$151</f>
        <v>1.6051364365971118E-3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Tabella110[[#This Row],[Percentage of Suppliers - Raw]]/$C$151</f>
        <v>0</v>
      </c>
      <c r="E11" s="23">
        <v>0</v>
      </c>
      <c r="F11" s="40">
        <f>Tabella110[[#This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Tabella110[[#This Row],[Percentage of Suppliers - Raw]]/$C$151</f>
        <v>0</v>
      </c>
      <c r="E12" s="23">
        <v>0</v>
      </c>
      <c r="F12" s="40">
        <f>Tabella110[[#This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3.8E-3</v>
      </c>
      <c r="D13" s="36">
        <f>Tabella110[[#This Row],[Percentage of Suppliers - Raw]]/$C$151</f>
        <v>3.8294870502872105E-3</v>
      </c>
      <c r="E13" s="23">
        <v>2.8999999999999998E-3</v>
      </c>
      <c r="F13" s="40">
        <f>Tabella110[[#This Row],[Percentage of Supplier''s Facilities - Raw]]/$E$151</f>
        <v>2.909309791332265E-3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Tabella110[[#This Row],[Percentage of Suppliers - Raw]]/$C$151</f>
        <v>0</v>
      </c>
      <c r="E14" s="23">
        <v>0</v>
      </c>
      <c r="F14" s="40">
        <f>Tabella110[[#This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7.6E-3</v>
      </c>
      <c r="D15" s="36">
        <f>Tabella110[[#This Row],[Percentage of Suppliers - Raw]]/$C$151</f>
        <v>7.658974100574421E-3</v>
      </c>
      <c r="E15" s="23">
        <v>4.0999999999999995E-3</v>
      </c>
      <c r="F15" s="40">
        <f>Tabella110[[#This Row],[Percentage of Supplier''s Facilities - Raw]]/$E$151</f>
        <v>4.1131621187800987E-3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Tabella110[[#This Row],[Percentage of Suppliers - Raw]]/$C$151</f>
        <v>0</v>
      </c>
      <c r="E16" s="23">
        <v>0</v>
      </c>
      <c r="F16" s="40">
        <f>Tabella110[[#This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Tabella110[[#This Row],[Percentage of Suppliers - Raw]]/$C$151</f>
        <v>0</v>
      </c>
      <c r="E17" s="23">
        <v>0</v>
      </c>
      <c r="F17" s="40">
        <f>Tabella110[[#This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Tabella110[[#This Row],[Percentage of Suppliers - Raw]]/$C$151</f>
        <v>0</v>
      </c>
      <c r="E18" s="23">
        <v>0</v>
      </c>
      <c r="F18" s="40">
        <f>Tabella110[[#This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Tabella110[[#This Row],[Percentage of Suppliers - Raw]]/$C$151</f>
        <v>0</v>
      </c>
      <c r="E19" s="23">
        <v>0</v>
      </c>
      <c r="F19" s="40">
        <f>Tabella110[[#This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Tabella110[[#This Row],[Percentage of Suppliers - Raw]]/$C$151</f>
        <v>0</v>
      </c>
      <c r="E20" s="23">
        <v>0</v>
      </c>
      <c r="F20" s="40">
        <f>Tabella110[[#This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Tabella110[[#This Row],[Percentage of Suppliers - Raw]]/$C$151</f>
        <v>0</v>
      </c>
      <c r="E21" s="23">
        <v>1.24E-2</v>
      </c>
      <c r="F21" s="40">
        <f>Tabella110[[#This Row],[Percentage of Supplier''s Facilities - Raw]]/$E$151</f>
        <v>1.2439807383627616E-2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Tabella110[[#This Row],[Percentage of Suppliers - Raw]]/$C$151</f>
        <v>0</v>
      </c>
      <c r="E22" s="23">
        <v>4.0000000000000002E-4</v>
      </c>
      <c r="F22" s="40">
        <f>Tabella110[[#This Row],[Percentage of Supplier''s Facilities - Raw]]/$E$151</f>
        <v>4.0128410914927796E-4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Tabella110[[#This Row],[Percentage of Suppliers - Raw]]/$C$151</f>
        <v>0</v>
      </c>
      <c r="E23" s="23">
        <v>0</v>
      </c>
      <c r="F23" s="40">
        <f>Tabella110[[#This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Tabella110[[#This Row],[Percentage of Suppliers - Raw]]/$C$151</f>
        <v>0</v>
      </c>
      <c r="E24" s="23">
        <v>0</v>
      </c>
      <c r="F24" s="40">
        <f>Tabella110[[#This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Tabella110[[#This Row],[Percentage of Suppliers - Raw]]/$C$151</f>
        <v>0</v>
      </c>
      <c r="E25" s="23">
        <v>0</v>
      </c>
      <c r="F25" s="40">
        <f>Tabella110[[#This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Tabella110[[#This Row],[Percentage of Suppliers - Raw]]/$C$151</f>
        <v>0</v>
      </c>
      <c r="E26" s="23">
        <v>0</v>
      </c>
      <c r="F26" s="40">
        <f>Tabella110[[#This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3.8E-3</v>
      </c>
      <c r="D27" s="36">
        <f>Tabella110[[#This Row],[Percentage of Suppliers - Raw]]/$C$151</f>
        <v>3.8294870502872105E-3</v>
      </c>
      <c r="E27" s="23">
        <v>1.52E-2</v>
      </c>
      <c r="F27" s="40">
        <f>Tabella110[[#This Row],[Percentage of Supplier''s Facilities - Raw]]/$E$151</f>
        <v>1.5248796147672562E-2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Tabella110[[#This Row],[Percentage of Suppliers - Raw]]/$C$151</f>
        <v>0</v>
      </c>
      <c r="E28" s="23">
        <v>0</v>
      </c>
      <c r="F28" s="40">
        <f>Tabella110[[#This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Tabella110[[#This Row],[Percentage of Suppliers - Raw]]/$C$151</f>
        <v>0</v>
      </c>
      <c r="E29" s="23">
        <v>0</v>
      </c>
      <c r="F29" s="40">
        <f>Tabella110[[#This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Tabella110[[#This Row],[Percentage of Suppliers - Raw]]/$C$151</f>
        <v>0</v>
      </c>
      <c r="E30" s="23">
        <v>1.6000000000000001E-3</v>
      </c>
      <c r="F30" s="40">
        <f>Tabella110[[#This Row],[Percentage of Supplier''s Facilities - Raw]]/$E$151</f>
        <v>1.6051364365971118E-3</v>
      </c>
    </row>
    <row r="31" spans="1:7" ht="19" x14ac:dyDescent="0.25">
      <c r="A31" s="31" t="s">
        <v>43</v>
      </c>
      <c r="B31" s="50">
        <v>4.26</v>
      </c>
      <c r="C31" s="22">
        <f xml:space="preserve"> 5.32% + 0.76%</f>
        <v>6.0800000000000007E-2</v>
      </c>
      <c r="D31" s="36">
        <f>Tabella110[[#This Row],[Percentage of Suppliers - Raw]]/$C$151</f>
        <v>6.1271792804595375E-2</v>
      </c>
      <c r="E31" s="23">
        <v>7.9100000000000004E-2</v>
      </c>
      <c r="F31" s="40">
        <f>Tabella110[[#This Row],[Percentage of Supplier''s Facilities - Raw]]/$E$151</f>
        <v>7.9353932584269718E-2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Tabella110[[#This Row],[Percentage of Suppliers - Raw]]/$C$151</f>
        <v>0</v>
      </c>
      <c r="E32" s="23">
        <v>1.6000000000000001E-3</v>
      </c>
      <c r="F32" s="40">
        <f>Tabella110[[#This Row],[Percentage of Supplier''s Facilities - Raw]]/$E$151</f>
        <v>1.6051364365971118E-3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Tabella110[[#This Row],[Percentage of Suppliers - Raw]]/$C$151</f>
        <v>0</v>
      </c>
      <c r="E33" s="23">
        <v>0</v>
      </c>
      <c r="F33" s="40">
        <f>Tabella110[[#This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Tabella110[[#This Row],[Percentage of Suppliers - Raw]]/$C$151</f>
        <v>0</v>
      </c>
      <c r="E34" s="23">
        <v>2.8999999999999998E-3</v>
      </c>
      <c r="F34" s="40">
        <f>Tabella110[[#This Row],[Percentage of Supplier''s Facilities - Raw]]/$E$151</f>
        <v>2.909309791332265E-3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Tabella110[[#This Row],[Percentage of Suppliers - Raw]]/$C$151</f>
        <v>0</v>
      </c>
      <c r="E35" s="23">
        <v>0</v>
      </c>
      <c r="F35" s="40">
        <f>Tabella110[[#This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Tabella110[[#This Row],[Percentage of Suppliers - Raw]]/$C$151</f>
        <v>0</v>
      </c>
      <c r="E36" s="23">
        <v>8.0000000000000004E-4</v>
      </c>
      <c r="F36" s="40">
        <f>Tabella110[[#This Row],[Percentage of Supplier''s Facilities - Raw]]/$E$151</f>
        <v>8.0256821829855591E-4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Tabella110[[#This Row],[Percentage of Suppliers - Raw]]/$C$151</f>
        <v>0</v>
      </c>
      <c r="E37" s="23">
        <v>0</v>
      </c>
      <c r="F37" s="40">
        <f>Tabella110[[#This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Tabella110[[#This Row],[Percentage of Suppliers - Raw]]/$C$151</f>
        <v>0</v>
      </c>
      <c r="E38" s="23">
        <v>4.0999999999999995E-3</v>
      </c>
      <c r="F38" s="40">
        <f>Tabella110[[#This Row],[Percentage of Supplier''s Facilities - Raw]]/$E$151</f>
        <v>4.1131621187800987E-3</v>
      </c>
    </row>
    <row r="39" spans="1:6" ht="19" x14ac:dyDescent="0.25">
      <c r="A39" s="31" t="s">
        <v>52</v>
      </c>
      <c r="B39" s="75">
        <v>3.2</v>
      </c>
      <c r="C39" s="22">
        <v>3.8E-3</v>
      </c>
      <c r="D39" s="36">
        <f>Tabella110[[#This Row],[Percentage of Suppliers - Raw]]/$C$151</f>
        <v>3.8294870502872105E-3</v>
      </c>
      <c r="E39" s="23">
        <v>2.8999999999999998E-3</v>
      </c>
      <c r="F39" s="40">
        <f>Tabella110[[#This Row],[Percentage of Supplier''s Facilities - Raw]]/$E$151</f>
        <v>2.909309791332265E-3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Tabella110[[#This Row],[Percentage of Suppliers - Raw]]/$C$151</f>
        <v>0</v>
      </c>
      <c r="E40" s="23">
        <v>0</v>
      </c>
      <c r="F40" s="40">
        <f>Tabella110[[#This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Tabella110[[#This Row],[Percentage of Suppliers - Raw]]/$C$151</f>
        <v>0</v>
      </c>
      <c r="E41" s="23">
        <v>1.1999999999999999E-3</v>
      </c>
      <c r="F41" s="40">
        <f>Tabella110[[#This Row],[Percentage of Supplier''s Facilities - Raw]]/$E$151</f>
        <v>1.2038523274478337E-3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Tabella110[[#This Row],[Percentage of Suppliers - Raw]]/$C$151</f>
        <v>0</v>
      </c>
      <c r="E42" s="23">
        <v>4.0000000000000002E-4</v>
      </c>
      <c r="F42" s="40">
        <f>Tabella110[[#This Row],[Percentage of Supplier''s Facilities - Raw]]/$E$151</f>
        <v>4.0128410914927796E-4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Tabella110[[#This Row],[Percentage of Suppliers - Raw]]/$C$151</f>
        <v>0</v>
      </c>
      <c r="E43" s="23">
        <v>3.3E-3</v>
      </c>
      <c r="F43" s="40">
        <f>Tabella110[[#This Row],[Percentage of Supplier''s Facilities - Raw]]/$E$151</f>
        <v>3.3105939004815432E-3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Tabella110[[#This Row],[Percentage of Suppliers - Raw]]/$C$151</f>
        <v>0</v>
      </c>
      <c r="E44" s="23">
        <v>0</v>
      </c>
      <c r="F44" s="40">
        <f>Tabella110[[#This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Tabella110[[#This Row],[Percentage of Suppliers - Raw]]/$C$151</f>
        <v>0</v>
      </c>
      <c r="E45" s="23">
        <v>2.0999999999999999E-3</v>
      </c>
      <c r="F45" s="40">
        <f>Tabella110[[#This Row],[Percentage of Supplier''s Facilities - Raw]]/$E$151</f>
        <v>2.1067415730337091E-3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Tabella110[[#This Row],[Percentage of Suppliers - Raw]]/$C$151</f>
        <v>0</v>
      </c>
      <c r="E46" s="23">
        <v>0</v>
      </c>
      <c r="F46" s="40">
        <f>Tabella110[[#This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Tabella110[[#This Row],[Percentage of Suppliers - Raw]]/$C$151</f>
        <v>0</v>
      </c>
      <c r="E47" s="23">
        <v>4.0000000000000002E-4</v>
      </c>
      <c r="F47" s="40">
        <f>Tabella110[[#This Row],[Percentage of Supplier''s Facilities - Raw]]/$E$151</f>
        <v>4.0128410914927796E-4</v>
      </c>
    </row>
    <row r="48" spans="1:6" ht="19" x14ac:dyDescent="0.25">
      <c r="A48" s="31" t="s">
        <v>61</v>
      </c>
      <c r="B48" s="83">
        <v>3.35</v>
      </c>
      <c r="C48" s="22">
        <v>7.6E-3</v>
      </c>
      <c r="D48" s="36">
        <f>Tabella110[[#This Row],[Percentage of Suppliers - Raw]]/$C$151</f>
        <v>7.658974100574421E-3</v>
      </c>
      <c r="E48" s="23">
        <v>2.5000000000000001E-3</v>
      </c>
      <c r="F48" s="40">
        <f>Tabella110[[#This Row],[Percentage of Supplier''s Facilities - Raw]]/$E$151</f>
        <v>2.5080256821829873E-3</v>
      </c>
    </row>
    <row r="49" spans="1:6" ht="19" x14ac:dyDescent="0.25">
      <c r="A49" s="31" t="s">
        <v>62</v>
      </c>
      <c r="B49" s="84">
        <v>3.65</v>
      </c>
      <c r="C49" s="22">
        <v>1.9E-2</v>
      </c>
      <c r="D49" s="36">
        <f>Tabella110[[#This Row],[Percentage of Suppliers - Raw]]/$C$151</f>
        <v>1.914743525143605E-2</v>
      </c>
      <c r="E49" s="23">
        <v>1.52E-2</v>
      </c>
      <c r="F49" s="40">
        <f>Tabella110[[#This Row],[Percentage of Supplier''s Facilities - Raw]]/$E$151</f>
        <v>1.5248796147672562E-2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Tabella110[[#This Row],[Percentage of Suppliers - Raw]]/$C$151</f>
        <v>0</v>
      </c>
      <c r="E50" s="23">
        <v>0</v>
      </c>
      <c r="F50" s="40">
        <f>Tabella110[[#This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Tabella110[[#This Row],[Percentage of Suppliers - Raw]]/$C$151</f>
        <v>0</v>
      </c>
      <c r="E51" s="23">
        <v>0</v>
      </c>
      <c r="F51" s="40">
        <f>Tabella110[[#This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Tabella110[[#This Row],[Percentage of Suppliers - Raw]]/$C$151</f>
        <v>0</v>
      </c>
      <c r="E52" s="23">
        <v>0</v>
      </c>
      <c r="F52" s="40">
        <f>Tabella110[[#This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3.8E-3</v>
      </c>
      <c r="D53" s="36">
        <f>Tabella110[[#This Row],[Percentage of Suppliers - Raw]]/$C$151</f>
        <v>3.8294870502872105E-3</v>
      </c>
      <c r="E53" s="23">
        <v>1.9799999999999998E-2</v>
      </c>
      <c r="F53" s="40">
        <f>Tabella110[[#This Row],[Percentage of Supplier''s Facilities - Raw]]/$E$151</f>
        <v>1.9863563402889257E-2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Tabella110[[#This Row],[Percentage of Suppliers - Raw]]/$C$151</f>
        <v>0</v>
      </c>
      <c r="E54" s="23">
        <v>0</v>
      </c>
      <c r="F54" s="40">
        <f>Tabella110[[#This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3.8E-3</v>
      </c>
      <c r="D55" s="36">
        <f>Tabella110[[#This Row],[Percentage of Suppliers - Raw]]/$C$151</f>
        <v>3.8294870502872105E-3</v>
      </c>
      <c r="E55" s="23">
        <v>8.0000000000000004E-4</v>
      </c>
      <c r="F55" s="40">
        <f>Tabella110[[#This Row],[Percentage of Supplier''s Facilities - Raw]]/$E$151</f>
        <v>8.0256821829855591E-4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Tabella110[[#This Row],[Percentage of Suppliers - Raw]]/$C$151</f>
        <v>0</v>
      </c>
      <c r="E56" s="23">
        <v>0</v>
      </c>
      <c r="F56" s="40">
        <f>Tabella110[[#This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Tabella110[[#This Row],[Percentage of Suppliers - Raw]]/$C$151</f>
        <v>0</v>
      </c>
      <c r="E57" s="23">
        <v>0</v>
      </c>
      <c r="F57" s="40">
        <f>Tabella110[[#This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Tabella110[[#This Row],[Percentage of Suppliers - Raw]]/$C$151</f>
        <v>0</v>
      </c>
      <c r="E58" s="23">
        <v>0</v>
      </c>
      <c r="F58" s="40">
        <f>Tabella110[[#This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Tabella110[[#This Row],[Percentage of Suppliers - Raw]]/$C$151</f>
        <v>0</v>
      </c>
      <c r="E59" s="23">
        <v>0</v>
      </c>
      <c r="F59" s="40">
        <f>Tabella110[[#This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Tabella110[[#This Row],[Percentage of Suppliers - Raw]]/$C$151</f>
        <v>0</v>
      </c>
      <c r="E60" s="23">
        <v>0</v>
      </c>
      <c r="F60" s="40">
        <f>Tabella110[[#This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Tabella110[[#This Row],[Percentage of Suppliers - Raw]]/$C$151</f>
        <v>0</v>
      </c>
      <c r="E61" s="23">
        <v>0</v>
      </c>
      <c r="F61" s="40">
        <f>Tabella110[[#This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Tabella110[[#This Row],[Percentage of Suppliers - Raw]]/$C$151</f>
        <v>0</v>
      </c>
      <c r="E62" s="23">
        <v>5.4000000000000003E-3</v>
      </c>
      <c r="F62" s="40">
        <f>Tabella110[[#This Row],[Percentage of Supplier''s Facilities - Raw]]/$E$151</f>
        <v>5.4173354735152527E-3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Tabella110[[#This Row],[Percentage of Suppliers - Raw]]/$C$151</f>
        <v>0</v>
      </c>
      <c r="E63" s="23">
        <v>0</v>
      </c>
      <c r="F63" s="40">
        <f>Tabella110[[#This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0.69199999999999995</v>
      </c>
      <c r="D64" s="36">
        <f>Tabella110[[#This Row],[Percentage of Suppliers - Raw]]/$C$151</f>
        <v>0.69736974705230248</v>
      </c>
      <c r="E64" s="23">
        <v>0.36840000000000006</v>
      </c>
      <c r="F64" s="40">
        <f>Tabella110[[#This Row],[Percentage of Supplier''s Facilities - Raw]]/$E$151</f>
        <v>0.36958266452648503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Tabella110[[#This Row],[Percentage of Suppliers - Raw]]/$C$151</f>
        <v>0</v>
      </c>
      <c r="E65" s="23">
        <v>4.5000000000000005E-3</v>
      </c>
      <c r="F65" s="40">
        <f>Tabella110[[#This Row],[Percentage of Supplier''s Facilities - Raw]]/$E$151</f>
        <v>4.5144462279293777E-3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Tabella110[[#This Row],[Percentage of Suppliers - Raw]]/$C$151</f>
        <v>0</v>
      </c>
      <c r="E66" s="23">
        <v>0</v>
      </c>
      <c r="F66" s="40">
        <f>Tabella110[[#This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Tabella110[[#This Row],[Percentage of Suppliers - Raw]]/$C$151</f>
        <v>0</v>
      </c>
      <c r="E67" s="23">
        <v>0</v>
      </c>
      <c r="F67" s="40">
        <f>Tabella110[[#This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Tabella110[[#This Row],[Percentage of Suppliers - Raw]]/$C$151</f>
        <v>0</v>
      </c>
      <c r="E68" s="23">
        <v>6.6E-3</v>
      </c>
      <c r="F68" s="40">
        <f>Tabella110[[#This Row],[Percentage of Supplier''s Facilities - Raw]]/$E$151</f>
        <v>6.6211878009630864E-3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Tabella110[[#This Row],[Percentage of Suppliers - Raw]]/$C$151</f>
        <v>0</v>
      </c>
      <c r="E69" s="23">
        <v>1.1899999999999999E-2</v>
      </c>
      <c r="F69" s="40">
        <f>Tabella110[[#This Row],[Percentage of Supplier''s Facilities - Raw]]/$E$151</f>
        <v>1.1938202247191018E-2</v>
      </c>
    </row>
    <row r="70" spans="1:6" ht="19" x14ac:dyDescent="0.25">
      <c r="A70" s="31" t="s">
        <v>83</v>
      </c>
      <c r="B70" s="104">
        <v>3.84</v>
      </c>
      <c r="C70" s="22">
        <v>3.8E-3</v>
      </c>
      <c r="D70" s="36">
        <f>Tabella110[[#This Row],[Percentage of Suppliers - Raw]]/$C$151</f>
        <v>3.8294870502872105E-3</v>
      </c>
      <c r="E70" s="23">
        <v>1.77E-2</v>
      </c>
      <c r="F70" s="40">
        <f>Tabella110[[#This Row],[Percentage of Supplier''s Facilities - Raw]]/$E$151</f>
        <v>1.7756821829855551E-2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Tabella110[[#This Row],[Percentage of Suppliers - Raw]]/$C$151</f>
        <v>0</v>
      </c>
      <c r="E71" s="23">
        <v>4.0000000000000002E-4</v>
      </c>
      <c r="F71" s="40">
        <f>Tabella110[[#This Row],[Percentage of Supplier''s Facilities - Raw]]/$E$151</f>
        <v>4.0128410914927796E-4</v>
      </c>
    </row>
    <row r="72" spans="1:6" ht="19" x14ac:dyDescent="0.25">
      <c r="A72" s="31" t="s">
        <v>85</v>
      </c>
      <c r="B72" s="97">
        <v>3.38</v>
      </c>
      <c r="C72" s="22">
        <v>1.14E-2</v>
      </c>
      <c r="D72" s="36">
        <f>Tabella110[[#This Row],[Percentage of Suppliers - Raw]]/$C$151</f>
        <v>1.1488461150861632E-2</v>
      </c>
      <c r="E72" s="23">
        <v>1.1899999999999999E-2</v>
      </c>
      <c r="F72" s="40">
        <f>Tabella110[[#This Row],[Percentage of Supplier''s Facilities - Raw]]/$E$151</f>
        <v>1.1938202247191018E-2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Tabella110[[#This Row],[Percentage of Suppliers - Raw]]/$C$151</f>
        <v>0</v>
      </c>
      <c r="E73" s="23">
        <v>4.0000000000000002E-4</v>
      </c>
      <c r="F73" s="40">
        <f>Tabella110[[#This Row],[Percentage of Supplier''s Facilities - Raw]]/$E$151</f>
        <v>4.0128410914927796E-4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Tabella110[[#This Row],[Percentage of Suppliers - Raw]]/$C$151</f>
        <v>0</v>
      </c>
      <c r="E74" s="23">
        <v>0</v>
      </c>
      <c r="F74" s="40">
        <f>Tabella110[[#This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Tabella110[[#This Row],[Percentage of Suppliers - Raw]]/$C$151</f>
        <v>0</v>
      </c>
      <c r="E75" s="23">
        <v>8.0000000000000004E-4</v>
      </c>
      <c r="F75" s="40">
        <f>Tabella110[[#This Row],[Percentage of Supplier''s Facilities - Raw]]/$E$151</f>
        <v>8.0256821829855591E-4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Tabella110[[#This Row],[Percentage of Suppliers - Raw]]/$C$151</f>
        <v>0</v>
      </c>
      <c r="E76" s="23">
        <v>0</v>
      </c>
      <c r="F76" s="40">
        <f>Tabella110[[#This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Tabella110[[#This Row],[Percentage of Suppliers - Raw]]/$C$151</f>
        <v>0</v>
      </c>
      <c r="E77" s="23">
        <v>0</v>
      </c>
      <c r="F77" s="40">
        <f>Tabella110[[#This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Tabella110[[#This Row],[Percentage of Suppliers - Raw]]/$C$151</f>
        <v>0</v>
      </c>
      <c r="E78" s="23">
        <v>4.0000000000000002E-4</v>
      </c>
      <c r="F78" s="40">
        <f>Tabella110[[#This Row],[Percentage of Supplier''s Facilities - Raw]]/$E$151</f>
        <v>4.0128410914927796E-4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Tabella110[[#This Row],[Percentage of Suppliers - Raw]]/$C$151</f>
        <v>0</v>
      </c>
      <c r="E79" s="23">
        <v>0</v>
      </c>
      <c r="F79" s="40">
        <f>Tabella110[[#This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Tabella110[[#This Row],[Percentage of Suppliers - Raw]]/$C$151</f>
        <v>0</v>
      </c>
      <c r="E80" s="23">
        <v>0</v>
      </c>
      <c r="F80" s="40">
        <f>Tabella110[[#This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Tabella110[[#This Row],[Percentage of Suppliers - Raw]]/$C$151</f>
        <v>0</v>
      </c>
      <c r="E81" s="23">
        <v>0</v>
      </c>
      <c r="F81" s="40">
        <f>Tabella110[[#This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Tabella110[[#This Row],[Percentage of Suppliers - Raw]]/$C$151</f>
        <v>0</v>
      </c>
      <c r="E82" s="23">
        <v>0</v>
      </c>
      <c r="F82" s="40">
        <f>Tabella110[[#This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Tabella110[[#This Row],[Percentage of Suppliers - Raw]]/$C$151</f>
        <v>0</v>
      </c>
      <c r="E83" s="23">
        <v>0</v>
      </c>
      <c r="F83" s="40">
        <f>Tabella110[[#This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Tabella110[[#This Row],[Percentage of Suppliers - Raw]]/$C$151</f>
        <v>0</v>
      </c>
      <c r="E84" s="23">
        <v>0</v>
      </c>
      <c r="F84" s="40">
        <f>Tabella110[[#This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Tabella110[[#This Row],[Percentage of Suppliers - Raw]]/$C$151</f>
        <v>0</v>
      </c>
      <c r="E85" s="23">
        <v>0</v>
      </c>
      <c r="F85" s="40">
        <f>Tabella110[[#This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Tabella110[[#This Row],[Percentage of Suppliers - Raw]]/$C$151</f>
        <v>0</v>
      </c>
      <c r="E86" s="23">
        <v>0</v>
      </c>
      <c r="F86" s="40">
        <f>Tabella110[[#This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3.8E-3</v>
      </c>
      <c r="D87" s="36">
        <f>Tabella110[[#This Row],[Percentage of Suppliers - Raw]]/$C$151</f>
        <v>3.8294870502872105E-3</v>
      </c>
      <c r="E87" s="23">
        <v>1.44E-2</v>
      </c>
      <c r="F87" s="40">
        <f>Tabella110[[#This Row],[Percentage of Supplier''s Facilities - Raw]]/$E$151</f>
        <v>1.4446227929374006E-2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Tabella110[[#This Row],[Percentage of Suppliers - Raw]]/$C$151</f>
        <v>0</v>
      </c>
      <c r="E88" s="23">
        <v>0</v>
      </c>
      <c r="F88" s="40">
        <f>Tabella110[[#This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Tabella110[[#This Row],[Percentage of Suppliers - Raw]]/$C$151</f>
        <v>0</v>
      </c>
      <c r="E89" s="23">
        <v>0</v>
      </c>
      <c r="F89" s="40">
        <f>Tabella110[[#This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Tabella110[[#This Row],[Percentage of Suppliers - Raw]]/$C$151</f>
        <v>0</v>
      </c>
      <c r="E90" s="23">
        <v>0</v>
      </c>
      <c r="F90" s="40">
        <f>Tabella110[[#This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Tabella110[[#This Row],[Percentage of Suppliers - Raw]]/$C$151</f>
        <v>0</v>
      </c>
      <c r="E91" s="23">
        <v>1.9E-2</v>
      </c>
      <c r="F91" s="40">
        <f>Tabella110[[#This Row],[Percentage of Supplier''s Facilities - Raw]]/$E$151</f>
        <v>1.9060995184590701E-2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Tabella110[[#This Row],[Percentage of Suppliers - Raw]]/$C$151</f>
        <v>0</v>
      </c>
      <c r="E92" s="23">
        <v>4.0000000000000002E-4</v>
      </c>
      <c r="F92" s="40">
        <f>Tabella110[[#This Row],[Percentage of Supplier''s Facilities - Raw]]/$E$151</f>
        <v>4.0128410914927796E-4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Tabella110[[#This Row],[Percentage of Suppliers - Raw]]/$C$151</f>
        <v>0</v>
      </c>
      <c r="E93" s="23">
        <v>0</v>
      </c>
      <c r="F93" s="40">
        <f>Tabella110[[#This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Tabella110[[#This Row],[Percentage of Suppliers - Raw]]/$C$151</f>
        <v>0</v>
      </c>
      <c r="E94" s="23">
        <v>4.0000000000000002E-4</v>
      </c>
      <c r="F94" s="40">
        <f>Tabella110[[#This Row],[Percentage of Supplier''s Facilities - Raw]]/$E$151</f>
        <v>4.0128410914927796E-4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Tabella110[[#This Row],[Percentage of Suppliers - Raw]]/$C$151</f>
        <v>0</v>
      </c>
      <c r="E95" s="23">
        <v>0</v>
      </c>
      <c r="F95" s="40">
        <f>Tabella110[[#This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Tabella110[[#This Row],[Percentage of Suppliers - Raw]]/$C$151</f>
        <v>0</v>
      </c>
      <c r="E96" s="23">
        <v>0</v>
      </c>
      <c r="F96" s="40">
        <f>Tabella110[[#This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Tabella110[[#This Row],[Percentage of Suppliers - Raw]]/$C$151</f>
        <v>0</v>
      </c>
      <c r="E97" s="23">
        <v>4.5000000000000005E-3</v>
      </c>
      <c r="F97" s="40">
        <f>Tabella110[[#This Row],[Percentage of Supplier''s Facilities - Raw]]/$E$151</f>
        <v>4.5144462279293777E-3</v>
      </c>
    </row>
    <row r="98" spans="1:6" ht="19" x14ac:dyDescent="0.25">
      <c r="A98" s="31" t="s">
        <v>111</v>
      </c>
      <c r="B98" s="127">
        <v>3.59</v>
      </c>
      <c r="C98" s="22">
        <v>3.8E-3</v>
      </c>
      <c r="D98" s="36">
        <f>Tabella110[[#This Row],[Percentage of Suppliers - Raw]]/$C$151</f>
        <v>3.8294870502872105E-3</v>
      </c>
      <c r="E98" s="23">
        <v>1.15E-2</v>
      </c>
      <c r="F98" s="40">
        <f>Tabella110[[#This Row],[Percentage of Supplier''s Facilities - Raw]]/$E$151</f>
        <v>1.1536918138041741E-2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Tabella110[[#This Row],[Percentage of Suppliers - Raw]]/$C$151</f>
        <v>0</v>
      </c>
      <c r="E99" s="23">
        <v>2.5000000000000001E-3</v>
      </c>
      <c r="F99" s="40">
        <f>Tabella110[[#This Row],[Percentage of Supplier''s Facilities - Raw]]/$E$151</f>
        <v>2.5080256821829873E-3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Tabella110[[#This Row],[Percentage of Suppliers - Raw]]/$C$151</f>
        <v>0</v>
      </c>
      <c r="E100" s="23">
        <v>0</v>
      </c>
      <c r="F100" s="40">
        <f>Tabella110[[#This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Tabella110[[#This Row],[Percentage of Suppliers - Raw]]/$C$151</f>
        <v>0</v>
      </c>
      <c r="E101" s="23">
        <v>0</v>
      </c>
      <c r="F101" s="40">
        <f>Tabella110[[#This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Tabella110[[#This Row],[Percentage of Suppliers - Raw]]/$C$151</f>
        <v>0</v>
      </c>
      <c r="E102" s="23">
        <v>4.0000000000000002E-4</v>
      </c>
      <c r="F102" s="40">
        <f>Tabella110[[#This Row],[Percentage of Supplier''s Facilities - Raw]]/$E$151</f>
        <v>4.0128410914927796E-4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Tabella110[[#This Row],[Percentage of Suppliers - Raw]]/$C$151</f>
        <v>0</v>
      </c>
      <c r="E103" s="23">
        <v>0</v>
      </c>
      <c r="F103" s="40">
        <f>Tabella110[[#This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3.8E-3</v>
      </c>
      <c r="D104" s="36">
        <f>Tabella110[[#This Row],[Percentage of Suppliers - Raw]]/$C$151</f>
        <v>3.8294870502872105E-3</v>
      </c>
      <c r="E104" s="23">
        <v>2.0999999999999999E-3</v>
      </c>
      <c r="F104" s="40">
        <f>Tabella110[[#This Row],[Percentage of Supplier''s Facilities - Raw]]/$E$151</f>
        <v>2.1067415730337091E-3</v>
      </c>
    </row>
    <row r="105" spans="1:6" ht="19" x14ac:dyDescent="0.25">
      <c r="A105" s="31" t="s">
        <v>118</v>
      </c>
      <c r="B105" s="134">
        <v>4.0199999999999996</v>
      </c>
      <c r="C105" s="22">
        <v>3.8E-3</v>
      </c>
      <c r="D105" s="36">
        <f>Tabella110[[#This Row],[Percentage of Suppliers - Raw]]/$C$151</f>
        <v>3.8294870502872105E-3</v>
      </c>
      <c r="E105" s="23">
        <v>0</v>
      </c>
      <c r="F105" s="40">
        <f>Tabella110[[#This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Tabella110[[#This Row],[Percentage of Suppliers - Raw]]/$C$151</f>
        <v>0</v>
      </c>
      <c r="E106" s="23">
        <v>0</v>
      </c>
      <c r="F106" s="40">
        <f>Tabella110[[#This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Tabella110[[#This Row],[Percentage of Suppliers - Raw]]/$C$151</f>
        <v>0</v>
      </c>
      <c r="E107" s="23">
        <v>0</v>
      </c>
      <c r="F107" s="40">
        <f>Tabella110[[#This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Tabella110[[#This Row],[Percentage of Suppliers - Raw]]/$C$151</f>
        <v>0</v>
      </c>
      <c r="E108" s="23">
        <v>0</v>
      </c>
      <c r="F108" s="40">
        <f>Tabella110[[#This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Tabella110[[#This Row],[Percentage of Suppliers - Raw]]/$C$151</f>
        <v>0</v>
      </c>
      <c r="E109" s="23">
        <v>0</v>
      </c>
      <c r="F109" s="40">
        <f>Tabella110[[#This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Tabella110[[#This Row],[Percentage of Suppliers - Raw]]/$C$151</f>
        <v>0</v>
      </c>
      <c r="E110" s="23">
        <v>8.0000000000000004E-4</v>
      </c>
      <c r="F110" s="40">
        <f>Tabella110[[#This Row],[Percentage of Supplier''s Facilities - Raw]]/$E$151</f>
        <v>8.0256821829855591E-4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Tabella110[[#This Row],[Percentage of Suppliers - Raw]]/$C$151</f>
        <v>0</v>
      </c>
      <c r="E111" s="23">
        <v>2.5000000000000001E-3</v>
      </c>
      <c r="F111" s="40">
        <f>Tabella110[[#This Row],[Percentage of Supplier''s Facilities - Raw]]/$E$151</f>
        <v>2.5080256821829873E-3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Tabella110[[#This Row],[Percentage of Suppliers - Raw]]/$C$151</f>
        <v>0</v>
      </c>
      <c r="E112" s="23">
        <v>9.4999999999999998E-3</v>
      </c>
      <c r="F112" s="40">
        <f>Tabella110[[#This Row],[Percentage of Supplier''s Facilities - Raw]]/$E$151</f>
        <v>9.5304975922953505E-3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Tabella110[[#This Row],[Percentage of Suppliers - Raw]]/$C$151</f>
        <v>0</v>
      </c>
      <c r="E113" s="23">
        <v>4.0000000000000002E-4</v>
      </c>
      <c r="F113" s="40">
        <f>Tabella110[[#This Row],[Percentage of Supplier''s Facilities - Raw]]/$E$151</f>
        <v>4.0128410914927796E-4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Tabella110[[#This Row],[Percentage of Suppliers - Raw]]/$C$151</f>
        <v>0</v>
      </c>
      <c r="E114" s="23">
        <v>4.0000000000000002E-4</v>
      </c>
      <c r="F114" s="40">
        <f>Tabella110[[#This Row],[Percentage of Supplier''s Facilities - Raw]]/$E$151</f>
        <v>4.0128410914927796E-4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Tabella110[[#This Row],[Percentage of Suppliers - Raw]]/$C$151</f>
        <v>0</v>
      </c>
      <c r="E115" s="23">
        <v>4.0999999999999995E-3</v>
      </c>
      <c r="F115" s="40">
        <f>Tabella110[[#This Row],[Percentage of Supplier''s Facilities - Raw]]/$E$151</f>
        <v>4.1131621187800987E-3</v>
      </c>
    </row>
    <row r="116" spans="1:6" ht="19" x14ac:dyDescent="0.25">
      <c r="A116" s="31" t="s">
        <v>129</v>
      </c>
      <c r="B116" s="143">
        <v>5.96</v>
      </c>
      <c r="C116" s="22">
        <v>3.8E-3</v>
      </c>
      <c r="D116" s="36">
        <f>Tabella110[[#This Row],[Percentage of Suppliers - Raw]]/$C$151</f>
        <v>3.8294870502872105E-3</v>
      </c>
      <c r="E116" s="23">
        <v>1.6000000000000001E-3</v>
      </c>
      <c r="F116" s="40">
        <f>Tabella110[[#This Row],[Percentage of Supplier''s Facilities - Raw]]/$E$151</f>
        <v>1.6051364365971118E-3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Tabella110[[#This Row],[Percentage of Suppliers - Raw]]/$C$151</f>
        <v>0</v>
      </c>
      <c r="E117" s="23">
        <v>0</v>
      </c>
      <c r="F117" s="40">
        <f>Tabella110[[#This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Tabella110[[#This Row],[Percentage of Suppliers - Raw]]/$C$151</f>
        <v>0</v>
      </c>
      <c r="E118" s="23">
        <v>4.0999999999999995E-3</v>
      </c>
      <c r="F118" s="40">
        <f>Tabella110[[#This Row],[Percentage of Supplier''s Facilities - Raw]]/$E$151</f>
        <v>4.1131621187800987E-3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Tabella110[[#This Row],[Percentage of Suppliers - Raw]]/$C$151</f>
        <v>0</v>
      </c>
      <c r="E119" s="23">
        <v>0</v>
      </c>
      <c r="F119" s="40">
        <f>Tabella110[[#This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Tabella110[[#This Row],[Percentage of Suppliers - Raw]]/$C$151</f>
        <v>0</v>
      </c>
      <c r="E120" s="23">
        <v>0</v>
      </c>
      <c r="F120" s="40">
        <f>Tabella110[[#This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Tabella110[[#This Row],[Percentage of Suppliers - Raw]]/$C$151</f>
        <v>0</v>
      </c>
      <c r="E121" s="23">
        <v>0</v>
      </c>
      <c r="F121" s="40">
        <f>Tabella110[[#This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7.6E-3</v>
      </c>
      <c r="D122" s="36">
        <f>Tabella110[[#This Row],[Percentage of Suppliers - Raw]]/$C$151</f>
        <v>7.658974100574421E-3</v>
      </c>
      <c r="E122" s="23">
        <v>5.4000000000000003E-3</v>
      </c>
      <c r="F122" s="40">
        <f>Tabella110[[#This Row],[Percentage of Supplier''s Facilities - Raw]]/$E$151</f>
        <v>5.4173354735152527E-3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Tabella110[[#This Row],[Percentage of Suppliers - Raw]]/$C$151</f>
        <v>0</v>
      </c>
      <c r="E123" s="23">
        <v>1.6000000000000001E-3</v>
      </c>
      <c r="F123" s="40">
        <f>Tabella110[[#This Row],[Percentage of Supplier''s Facilities - Raw]]/$E$151</f>
        <v>1.6051364365971118E-3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Tabella110[[#This Row],[Percentage of Suppliers - Raw]]/$C$151</f>
        <v>0</v>
      </c>
      <c r="E124" s="23">
        <v>0</v>
      </c>
      <c r="F124" s="40">
        <f>Tabella110[[#This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7.6E-3</v>
      </c>
      <c r="D125" s="36">
        <f>Tabella110[[#This Row],[Percentage of Suppliers - Raw]]/$C$151</f>
        <v>7.658974100574421E-3</v>
      </c>
      <c r="E125" s="23">
        <v>5.7999999999999996E-3</v>
      </c>
      <c r="F125" s="40">
        <f>Tabella110[[#This Row],[Percentage of Supplier''s Facilities - Raw]]/$E$151</f>
        <v>5.81861958266453E-3</v>
      </c>
    </row>
    <row r="126" spans="1:6" ht="19" x14ac:dyDescent="0.25">
      <c r="A126" s="31" t="s">
        <v>139</v>
      </c>
      <c r="B126" s="151">
        <v>3.57</v>
      </c>
      <c r="C126" s="22">
        <v>1.9E-2</v>
      </c>
      <c r="D126" s="36">
        <f>Tabella110[[#This Row],[Percentage of Suppliers - Raw]]/$C$151</f>
        <v>1.914743525143605E-2</v>
      </c>
      <c r="E126" s="23">
        <v>3.0899999999999997E-2</v>
      </c>
      <c r="F126" s="40">
        <f>Tabella110[[#This Row],[Percentage of Supplier''s Facilities - Raw]]/$E$151</f>
        <v>3.0999197431781717E-2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Tabella110[[#This Row],[Percentage of Suppliers - Raw]]/$C$151</f>
        <v>0</v>
      </c>
      <c r="E127" s="23">
        <v>5.4000000000000003E-3</v>
      </c>
      <c r="F127" s="40">
        <f>Tabella110[[#This Row],[Percentage of Supplier''s Facilities - Raw]]/$E$151</f>
        <v>5.4173354735152527E-3</v>
      </c>
    </row>
    <row r="128" spans="1:6" ht="19" x14ac:dyDescent="0.25">
      <c r="A128" s="32" t="s">
        <v>141</v>
      </c>
      <c r="B128" s="125">
        <v>5.1100000000000003</v>
      </c>
      <c r="C128" s="22">
        <v>7.6E-3</v>
      </c>
      <c r="D128" s="36">
        <f>Tabella110[[#This Row],[Percentage of Suppliers - Raw]]/$C$151</f>
        <v>7.658974100574421E-3</v>
      </c>
      <c r="E128" s="23">
        <v>9.8999999999999991E-3</v>
      </c>
      <c r="F128" s="40">
        <f>Tabella110[[#This Row],[Percentage of Supplier''s Facilities - Raw]]/$E$151</f>
        <v>9.9317817014446287E-3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Tabella110[[#This Row],[Percentage of Suppliers - Raw]]/$C$151</f>
        <v>0</v>
      </c>
      <c r="E129" s="23">
        <v>0</v>
      </c>
      <c r="F129" s="40">
        <f>Tabella110[[#This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7.6E-3</v>
      </c>
      <c r="D130" s="36">
        <f>Tabella110[[#This Row],[Percentage of Suppliers - Raw]]/$C$151</f>
        <v>7.658974100574421E-3</v>
      </c>
      <c r="E130" s="23">
        <v>4.0999999999999995E-3</v>
      </c>
      <c r="F130" s="40">
        <f>Tabella110[[#This Row],[Percentage of Supplier''s Facilities - Raw]]/$E$151</f>
        <v>4.1131621187800987E-3</v>
      </c>
    </row>
    <row r="131" spans="1:6" ht="19" x14ac:dyDescent="0.25">
      <c r="A131" s="31" t="s">
        <v>144</v>
      </c>
      <c r="B131" s="154">
        <v>2.78</v>
      </c>
      <c r="C131" s="22">
        <v>3.8E-3</v>
      </c>
      <c r="D131" s="36">
        <f>Tabella110[[#This Row],[Percentage of Suppliers - Raw]]/$C$151</f>
        <v>3.8294870502872105E-3</v>
      </c>
      <c r="E131" s="23">
        <v>4.5000000000000005E-3</v>
      </c>
      <c r="F131" s="40">
        <f>Tabella110[[#This Row],[Percentage of Supplier''s Facilities - Raw]]/$E$151</f>
        <v>4.5144462279293777E-3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Tabella110[[#This Row],[Percentage of Suppliers - Raw]]/$C$151</f>
        <v>0</v>
      </c>
      <c r="E132" s="23">
        <v>0</v>
      </c>
      <c r="F132" s="40">
        <f>Tabella110[[#This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Tabella110[[#This Row],[Percentage of Suppliers - Raw]]/$C$151</f>
        <v>0</v>
      </c>
      <c r="E133" s="23">
        <v>0</v>
      </c>
      <c r="F133" s="40">
        <f>Tabella110[[#This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Tabella110[[#This Row],[Percentage of Suppliers - Raw]]/$C$151</f>
        <v>0</v>
      </c>
      <c r="E134" s="23">
        <v>5.7999999999999996E-3</v>
      </c>
      <c r="F134" s="40">
        <f>Tabella110[[#This Row],[Percentage of Supplier''s Facilities - Raw]]/$E$151</f>
        <v>5.81861958266453E-3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Tabella110[[#This Row],[Percentage of Suppliers - Raw]]/$C$151</f>
        <v>0</v>
      </c>
      <c r="E135" s="23">
        <v>0</v>
      </c>
      <c r="F135" s="40">
        <f>Tabella110[[#This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Tabella110[[#This Row],[Percentage of Suppliers - Raw]]/$C$151</f>
        <v>0</v>
      </c>
      <c r="E136" s="23">
        <v>0</v>
      </c>
      <c r="F136" s="40">
        <f>Tabella110[[#This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Tabella110[[#This Row],[Percentage of Suppliers - Raw]]/$C$151</f>
        <v>0</v>
      </c>
      <c r="E137" s="23">
        <v>0</v>
      </c>
      <c r="F137" s="40">
        <f>Tabella110[[#This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Tabella110[[#This Row],[Percentage of Suppliers - Raw]]/$C$151</f>
        <v>0</v>
      </c>
      <c r="E138" s="23">
        <v>0</v>
      </c>
      <c r="F138" s="40">
        <f>Tabella110[[#This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Tabella110[[#This Row],[Percentage of Suppliers - Raw]]/$C$151</f>
        <v>0</v>
      </c>
      <c r="E139" s="23">
        <v>4.5000000000000005E-3</v>
      </c>
      <c r="F139" s="40">
        <f>Tabella110[[#This Row],[Percentage of Supplier''s Facilities - Raw]]/$E$151</f>
        <v>4.5144462279293777E-3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Tabella110[[#This Row],[Percentage of Suppliers - Raw]]/$C$151</f>
        <v>0</v>
      </c>
      <c r="E140" s="23">
        <v>0</v>
      </c>
      <c r="F140" s="40">
        <f>Tabella110[[#This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Tabella110[[#This Row],[Percentage of Suppliers - Raw]]/$C$151</f>
        <v>0</v>
      </c>
      <c r="E141" s="23">
        <v>2.5000000000000001E-3</v>
      </c>
      <c r="F141" s="40">
        <f>Tabella110[[#This Row],[Percentage of Supplier''s Facilities - Raw]]/$E$151</f>
        <v>2.5080256821829873E-3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Tabella110[[#This Row],[Percentage of Suppliers - Raw]]/$C$151</f>
        <v>0</v>
      </c>
      <c r="E142" s="23">
        <v>5.7999999999999996E-3</v>
      </c>
      <c r="F142" s="40">
        <f>Tabella110[[#This Row],[Percentage of Supplier''s Facilities - Raw]]/$E$151</f>
        <v>5.81861958266453E-3</v>
      </c>
    </row>
    <row r="143" spans="1:6" ht="19" x14ac:dyDescent="0.25">
      <c r="A143" s="31" t="s">
        <v>156</v>
      </c>
      <c r="B143" s="128">
        <v>3.32</v>
      </c>
      <c r="C143" s="22">
        <v>1.14E-2</v>
      </c>
      <c r="D143" s="36">
        <f>Tabella110[[#This Row],[Percentage of Suppliers - Raw]]/$C$151</f>
        <v>1.1488461150861632E-2</v>
      </c>
      <c r="E143" s="23">
        <v>2.9700000000000001E-2</v>
      </c>
      <c r="F143" s="40">
        <f>Tabella110[[#This Row],[Percentage of Supplier''s Facilities - Raw]]/$E$151</f>
        <v>2.979534510433389E-2</v>
      </c>
    </row>
    <row r="144" spans="1:6" ht="19" x14ac:dyDescent="0.25">
      <c r="A144" s="31" t="s">
        <v>157</v>
      </c>
      <c r="B144" s="165">
        <v>4.1900000000000004</v>
      </c>
      <c r="C144" s="22">
        <v>8.7499999999999994E-2</v>
      </c>
      <c r="D144" s="36">
        <f>Tabella110[[#This Row],[Percentage of Suppliers - Raw]]/$C$151</f>
        <v>8.8178978131613392E-2</v>
      </c>
      <c r="E144" s="23">
        <v>0.17879999999999999</v>
      </c>
      <c r="F144" s="40">
        <f>Tabella110[[#This Row],[Percentage of Supplier''s Facilities - Raw]]/$E$151</f>
        <v>0.17937399678972724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Tabella110[[#This Row],[Percentage of Suppliers - Raw]]/$C$151</f>
        <v>0</v>
      </c>
      <c r="E145" s="23">
        <v>0</v>
      </c>
      <c r="F145" s="40">
        <f>Tabella110[[#This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Tabella110[[#This Row],[Percentage of Suppliers - Raw]]/$C$151</f>
        <v>0</v>
      </c>
      <c r="E146" s="23">
        <v>0</v>
      </c>
      <c r="F146" s="40">
        <f>Tabella110[[#This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Tabella110[[#This Row],[Percentage of Suppliers - Raw]]/$C$151</f>
        <v>0</v>
      </c>
      <c r="E147" s="23">
        <v>5.7999999999999996E-3</v>
      </c>
      <c r="F147" s="40">
        <f>Tabella110[[#This Row],[Percentage of Supplier''s Facilities - Raw]]/$E$151</f>
        <v>5.81861958266453E-3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Tabella110[[#This Row],[Percentage of Suppliers - Raw]]/$C$151</f>
        <v>0</v>
      </c>
      <c r="E148" s="23">
        <v>0</v>
      </c>
      <c r="F148" s="40">
        <f>Tabella110[[#This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Tabella110[[#This Row],[Percentage of Suppliers - Raw]]/$C$151</f>
        <v>0</v>
      </c>
      <c r="E149" s="23">
        <v>0</v>
      </c>
      <c r="F149" s="40">
        <f>Tabella110[[#This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Tabella110[[#This Row],[Percentage of Suppliers - Raw]]/$C$151</f>
        <v>0</v>
      </c>
      <c r="E150" s="23">
        <v>0</v>
      </c>
      <c r="F150" s="40">
        <f>Tabella110[[#This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0.99230000000000029</v>
      </c>
      <c r="D151" s="39">
        <f>Tabella110[[#This Row],[Percentage of Suppliers - Raw]]/$C$151</f>
        <v>1</v>
      </c>
      <c r="E151" s="25">
        <f>SUM(E4:E150)</f>
        <v>0.99679999999999935</v>
      </c>
      <c r="F151" s="39">
        <f>SUM(F4:F150)</f>
        <v>1.0000000000000009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6276-9FE7-224B-884E-005116A2AD7D}">
  <dimension ref="A1:P151"/>
  <sheetViews>
    <sheetView topLeftCell="C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175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Tabella111[[#This Row],[Percentage of Suppliers - Raw]]/$C$151</f>
        <v>0</v>
      </c>
      <c r="E4" s="23">
        <v>0</v>
      </c>
      <c r="F4" s="40">
        <f>Tabella111[[#This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Tabella111[[#This Row],[Percentage of Suppliers - Raw]]/$C$151</f>
        <v>0</v>
      </c>
      <c r="E5" s="23">
        <v>2.0000000000000001E-4</v>
      </c>
      <c r="F5" s="40">
        <f>Tabella111[[#This Row],[Percentage of Supplier''s Facilities - Raw]]/$E$151</f>
        <v>2.0126798832645679E-4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3.8999999999999998E-3</v>
      </c>
      <c r="D6" s="36">
        <f>Tabella111[[#This Row],[Percentage of Suppliers - Raw]]/$C$151</f>
        <v>4.071831280016704E-3</v>
      </c>
      <c r="E6" s="23">
        <v>2.3999999999999998E-3</v>
      </c>
      <c r="F6" s="40">
        <f>Tabella111[[#This Row],[Percentage of Supplier''s Facilities - Raw]]/$E$151</f>
        <v>2.415215859917481E-3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7.7999999999999996E-3</v>
      </c>
      <c r="D7" s="36">
        <f>Tabella111[[#This Row],[Percentage of Suppliers - Raw]]/$C$151</f>
        <v>8.143662560033408E-3</v>
      </c>
      <c r="E7" s="23">
        <v>6.3E-3</v>
      </c>
      <c r="F7" s="40">
        <f>Tabella111[[#This Row],[Percentage of Supplier''s Facilities - Raw]]/$E$151</f>
        <v>6.3399416322833888E-3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Tabella111[[#This Row],[Percentage of Suppliers - Raw]]/$C$151</f>
        <v>0</v>
      </c>
      <c r="E8" s="23">
        <v>0</v>
      </c>
      <c r="F8" s="40">
        <f>Tabella111[[#This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0.17801211108790976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0.26537184260843327</v>
      </c>
    </row>
    <row r="9" spans="1:16" ht="23" thickBot="1" x14ac:dyDescent="0.35">
      <c r="A9" s="31" t="s">
        <v>19</v>
      </c>
      <c r="B9" s="48">
        <v>3.22</v>
      </c>
      <c r="C9" s="22">
        <v>1.1599999999999999E-2</v>
      </c>
      <c r="D9" s="36">
        <f>Tabella111[[#This Row],[Percentage of Suppliers - Raw]]/$C$151</f>
        <v>1.2111087909793273E-2</v>
      </c>
      <c r="E9" s="23">
        <v>1.34E-2</v>
      </c>
      <c r="F9" s="40">
        <f>Tabella111[[#This Row],[Percentage of Supplier''s Facilities - Raw]]/$E$151</f>
        <v>1.3484955217872605E-2</v>
      </c>
      <c r="H9" s="20" t="s">
        <v>20</v>
      </c>
      <c r="I9" s="21"/>
      <c r="J9" s="21"/>
      <c r="K9" s="175">
        <f>SUMPRODUCT(B4:B150,D4:D150)</f>
        <v>4.037620588849447</v>
      </c>
      <c r="M9" s="20" t="s">
        <v>21</v>
      </c>
      <c r="N9" s="21"/>
      <c r="O9" s="21"/>
      <c r="P9" s="175">
        <f>SUMPRODUCT(B4:B150,F4:F150)</f>
        <v>4.0256848143302832</v>
      </c>
    </row>
    <row r="10" spans="1:16" ht="19" x14ac:dyDescent="0.25">
      <c r="A10" s="31" t="s">
        <v>22</v>
      </c>
      <c r="B10" s="49">
        <v>3.41</v>
      </c>
      <c r="C10" s="22">
        <v>7.7999999999999996E-3</v>
      </c>
      <c r="D10" s="36">
        <f>Tabella111[[#This Row],[Percentage of Suppliers - Raw]]/$C$151</f>
        <v>8.143662560033408E-3</v>
      </c>
      <c r="E10" s="23">
        <v>3.9000000000000003E-3</v>
      </c>
      <c r="F10" s="40">
        <f>Tabella111[[#This Row],[Percentage of Supplier''s Facilities - Raw]]/$E$151</f>
        <v>3.9247257723659078E-3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Tabella111[[#This Row],[Percentage of Suppliers - Raw]]/$C$151</f>
        <v>0</v>
      </c>
      <c r="E11" s="23">
        <v>2.9999999999999997E-4</v>
      </c>
      <c r="F11" s="40">
        <f>Tabella111[[#This Row],[Percentage of Supplier''s Facilities - Raw]]/$E$151</f>
        <v>3.0190198248968513E-4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Tabella111[[#This Row],[Percentage of Suppliers - Raw]]/$C$151</f>
        <v>0</v>
      </c>
      <c r="E12" s="23">
        <v>2.9999999999999997E-4</v>
      </c>
      <c r="F12" s="40">
        <f>Tabella111[[#This Row],[Percentage of Supplier''s Facilities - Raw]]/$E$151</f>
        <v>3.0190198248968513E-4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Tabella111[[#This Row],[Percentage of Suppliers - Raw]]/$C$151</f>
        <v>0</v>
      </c>
      <c r="E13" s="23">
        <v>0</v>
      </c>
      <c r="F13" s="40">
        <f>Tabella111[[#This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Tabella111[[#This Row],[Percentage of Suppliers - Raw]]/$C$151</f>
        <v>0</v>
      </c>
      <c r="E14" s="23">
        <v>0</v>
      </c>
      <c r="F14" s="40">
        <f>Tabella111[[#This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1.1599999999999999E-2</v>
      </c>
      <c r="D15" s="36">
        <f>Tabella111[[#This Row],[Percentage of Suppliers - Raw]]/$C$151</f>
        <v>1.2111087909793273E-2</v>
      </c>
      <c r="E15" s="23">
        <v>5.6000000000000008E-3</v>
      </c>
      <c r="F15" s="40">
        <f>Tabella111[[#This Row],[Percentage of Supplier''s Facilities - Raw]]/$E$151</f>
        <v>5.6355036731407905E-3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Tabella111[[#This Row],[Percentage of Suppliers - Raw]]/$C$151</f>
        <v>0</v>
      </c>
      <c r="E16" s="23">
        <v>2.0000000000000001E-4</v>
      </c>
      <c r="F16" s="40">
        <f>Tabella111[[#This Row],[Percentage of Supplier''s Facilities - Raw]]/$E$151</f>
        <v>2.0126798832645679E-4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Tabella111[[#This Row],[Percentage of Suppliers - Raw]]/$C$151</f>
        <v>0</v>
      </c>
      <c r="E17" s="23">
        <v>0</v>
      </c>
      <c r="F17" s="40">
        <f>Tabella111[[#This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Tabella111[[#This Row],[Percentage of Suppliers - Raw]]/$C$151</f>
        <v>0</v>
      </c>
      <c r="E18" s="23">
        <v>2.0000000000000001E-4</v>
      </c>
      <c r="F18" s="40">
        <f>Tabella111[[#This Row],[Percentage of Supplier''s Facilities - Raw]]/$E$151</f>
        <v>2.0126798832645679E-4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Tabella111[[#This Row],[Percentage of Suppliers - Raw]]/$C$151</f>
        <v>0</v>
      </c>
      <c r="E19" s="23">
        <v>0</v>
      </c>
      <c r="F19" s="40">
        <f>Tabella111[[#This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Tabella111[[#This Row],[Percentage of Suppliers - Raw]]/$C$151</f>
        <v>0</v>
      </c>
      <c r="E20" s="23">
        <v>2.0000000000000001E-4</v>
      </c>
      <c r="F20" s="40">
        <f>Tabella111[[#This Row],[Percentage of Supplier''s Facilities - Raw]]/$E$151</f>
        <v>2.0126798832645679E-4</v>
      </c>
    </row>
    <row r="21" spans="1:7" ht="19" x14ac:dyDescent="0.25">
      <c r="A21" s="31" t="s">
        <v>33</v>
      </c>
      <c r="B21" s="57">
        <v>5.35</v>
      </c>
      <c r="C21" s="22">
        <v>1.1599999999999999E-2</v>
      </c>
      <c r="D21" s="36">
        <f>Tabella111[[#This Row],[Percentage of Suppliers - Raw]]/$C$151</f>
        <v>1.2111087909793273E-2</v>
      </c>
      <c r="E21" s="23">
        <v>1.41E-2</v>
      </c>
      <c r="F21" s="40">
        <f>Tabella111[[#This Row],[Percentage of Supplier''s Facilities - Raw]]/$E$151</f>
        <v>1.4189393177015203E-2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Tabella111[[#This Row],[Percentage of Suppliers - Raw]]/$C$151</f>
        <v>0</v>
      </c>
      <c r="E22" s="23">
        <v>1E-3</v>
      </c>
      <c r="F22" s="40">
        <f>Tabella111[[#This Row],[Percentage of Supplier''s Facilities - Raw]]/$E$151</f>
        <v>1.0063399416322838E-3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Tabella111[[#This Row],[Percentage of Suppliers - Raw]]/$C$151</f>
        <v>0</v>
      </c>
      <c r="E23" s="23">
        <v>2.0000000000000001E-4</v>
      </c>
      <c r="F23" s="40">
        <f>Tabella111[[#This Row],[Percentage of Supplier''s Facilities - Raw]]/$E$151</f>
        <v>2.0126798832645679E-4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Tabella111[[#This Row],[Percentage of Suppliers - Raw]]/$C$151</f>
        <v>0</v>
      </c>
      <c r="E24" s="23">
        <v>0</v>
      </c>
      <c r="F24" s="40">
        <f>Tabella111[[#This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Tabella111[[#This Row],[Percentage of Suppliers - Raw]]/$C$151</f>
        <v>0</v>
      </c>
      <c r="E25" s="23">
        <v>2.0000000000000001E-4</v>
      </c>
      <c r="F25" s="40">
        <f>Tabella111[[#This Row],[Percentage of Supplier''s Facilities - Raw]]/$E$151</f>
        <v>2.0126798832645679E-4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Tabella111[[#This Row],[Percentage of Suppliers - Raw]]/$C$151</f>
        <v>0</v>
      </c>
      <c r="E26" s="23">
        <v>0</v>
      </c>
      <c r="F26" s="40">
        <f>Tabella111[[#This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1.55E-2</v>
      </c>
      <c r="D27" s="36">
        <f>Tabella111[[#This Row],[Percentage of Suppliers - Raw]]/$C$151</f>
        <v>1.6182919189809977E-2</v>
      </c>
      <c r="E27" s="23">
        <v>5.8899999999999994E-2</v>
      </c>
      <c r="F27" s="40">
        <f>Tabella111[[#This Row],[Percentage of Supplier''s Facilities - Raw]]/$E$151</f>
        <v>5.927342256214152E-2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Tabella111[[#This Row],[Percentage of Suppliers - Raw]]/$C$151</f>
        <v>0</v>
      </c>
      <c r="E28" s="23">
        <v>0</v>
      </c>
      <c r="F28" s="40">
        <f>Tabella111[[#This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Tabella111[[#This Row],[Percentage of Suppliers - Raw]]/$C$151</f>
        <v>0</v>
      </c>
      <c r="E29" s="23">
        <v>2.0000000000000001E-4</v>
      </c>
      <c r="F29" s="40">
        <f>Tabella111[[#This Row],[Percentage of Supplier''s Facilities - Raw]]/$E$151</f>
        <v>2.0126798832645679E-4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Tabella111[[#This Row],[Percentage of Suppliers - Raw]]/$C$151</f>
        <v>0</v>
      </c>
      <c r="E30" s="23">
        <v>1.2199999999999999E-2</v>
      </c>
      <c r="F30" s="40">
        <f>Tabella111[[#This Row],[Percentage of Supplier''s Facilities - Raw]]/$E$151</f>
        <v>1.2277347287913862E-2</v>
      </c>
    </row>
    <row r="31" spans="1:7" ht="19" x14ac:dyDescent="0.25">
      <c r="A31" s="31" t="s">
        <v>43</v>
      </c>
      <c r="B31" s="50">
        <v>4.26</v>
      </c>
      <c r="C31" s="22">
        <f xml:space="preserve"> 12.02% + 1.55%</f>
        <v>0.13569999999999999</v>
      </c>
      <c r="D31" s="36">
        <f>Tabella111[[#This Row],[Percentage of Suppliers - Raw]]/$C$151</f>
        <v>0.14167884735852992</v>
      </c>
      <c r="E31" s="23">
        <v>9.5199999999999993E-2</v>
      </c>
      <c r="F31" s="40">
        <f>Tabella111[[#This Row],[Percentage of Supplier''s Facilities - Raw]]/$E$151</f>
        <v>9.5803562443393428E-2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Tabella111[[#This Row],[Percentage of Suppliers - Raw]]/$C$151</f>
        <v>0</v>
      </c>
      <c r="E32" s="23">
        <v>3.4000000000000002E-3</v>
      </c>
      <c r="F32" s="40">
        <f>Tabella111[[#This Row],[Percentage of Supplier''s Facilities - Raw]]/$E$151</f>
        <v>3.4215558015497655E-3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Tabella111[[#This Row],[Percentage of Suppliers - Raw]]/$C$151</f>
        <v>0</v>
      </c>
      <c r="E33" s="23">
        <v>1E-4</v>
      </c>
      <c r="F33" s="40">
        <f>Tabella111[[#This Row],[Percentage of Supplier''s Facilities - Raw]]/$E$151</f>
        <v>1.0063399416322839E-4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Tabella111[[#This Row],[Percentage of Suppliers - Raw]]/$C$151</f>
        <v>0</v>
      </c>
      <c r="E34" s="23">
        <v>0</v>
      </c>
      <c r="F34" s="40">
        <f>Tabella111[[#This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Tabella111[[#This Row],[Percentage of Suppliers - Raw]]/$C$151</f>
        <v>0</v>
      </c>
      <c r="E35" s="23">
        <v>2.0000000000000001E-4</v>
      </c>
      <c r="F35" s="40">
        <f>Tabella111[[#This Row],[Percentage of Supplier''s Facilities - Raw]]/$E$151</f>
        <v>2.0126798832645679E-4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Tabella111[[#This Row],[Percentage of Suppliers - Raw]]/$C$151</f>
        <v>0</v>
      </c>
      <c r="E36" s="23">
        <v>2.9999999999999997E-4</v>
      </c>
      <c r="F36" s="40">
        <f>Tabella111[[#This Row],[Percentage of Supplier''s Facilities - Raw]]/$E$151</f>
        <v>3.0190198248968513E-4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Tabella111[[#This Row],[Percentage of Suppliers - Raw]]/$C$151</f>
        <v>0</v>
      </c>
      <c r="E37" s="23">
        <v>2.9999999999999997E-4</v>
      </c>
      <c r="F37" s="40">
        <f>Tabella111[[#This Row],[Percentage of Supplier''s Facilities - Raw]]/$E$151</f>
        <v>3.0190198248968513E-4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Tabella111[[#This Row],[Percentage of Suppliers - Raw]]/$C$151</f>
        <v>0</v>
      </c>
      <c r="E38" s="23">
        <v>5.4000000000000003E-3</v>
      </c>
      <c r="F38" s="40">
        <f>Tabella111[[#This Row],[Percentage of Supplier''s Facilities - Raw]]/$E$151</f>
        <v>5.4342356848143336E-3</v>
      </c>
    </row>
    <row r="39" spans="1:6" ht="19" x14ac:dyDescent="0.25">
      <c r="A39" s="31" t="s">
        <v>52</v>
      </c>
      <c r="B39" s="75">
        <v>3.2</v>
      </c>
      <c r="C39" s="22">
        <v>3.8999999999999998E-3</v>
      </c>
      <c r="D39" s="36">
        <f>Tabella111[[#This Row],[Percentage of Suppliers - Raw]]/$C$151</f>
        <v>4.071831280016704E-3</v>
      </c>
      <c r="E39" s="23">
        <v>3.2000000000000002E-3</v>
      </c>
      <c r="F39" s="40">
        <f>Tabella111[[#This Row],[Percentage of Supplier''s Facilities - Raw]]/$E$151</f>
        <v>3.2202878132233086E-3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Tabella111[[#This Row],[Percentage of Suppliers - Raw]]/$C$151</f>
        <v>0</v>
      </c>
      <c r="E40" s="23">
        <v>0</v>
      </c>
      <c r="F40" s="40">
        <f>Tabella111[[#This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Tabella111[[#This Row],[Percentage of Suppliers - Raw]]/$C$151</f>
        <v>0</v>
      </c>
      <c r="E41" s="23">
        <v>0</v>
      </c>
      <c r="F41" s="40">
        <f>Tabella111[[#This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Tabella111[[#This Row],[Percentage of Suppliers - Raw]]/$C$151</f>
        <v>0</v>
      </c>
      <c r="E42" s="23">
        <v>1.9E-3</v>
      </c>
      <c r="F42" s="40">
        <f>Tabella111[[#This Row],[Percentage of Supplier''s Facilities - Raw]]/$E$151</f>
        <v>1.9120458891013394E-3</v>
      </c>
    </row>
    <row r="43" spans="1:6" ht="19" x14ac:dyDescent="0.25">
      <c r="A43" s="31" t="s">
        <v>56</v>
      </c>
      <c r="B43" s="79">
        <v>5.6</v>
      </c>
      <c r="C43" s="22">
        <v>3.8999999999999998E-3</v>
      </c>
      <c r="D43" s="36">
        <f>Tabella111[[#This Row],[Percentage of Suppliers - Raw]]/$C$151</f>
        <v>4.071831280016704E-3</v>
      </c>
      <c r="E43" s="23">
        <v>1.5E-3</v>
      </c>
      <c r="F43" s="40">
        <f>Tabella111[[#This Row],[Percentage of Supplier''s Facilities - Raw]]/$E$151</f>
        <v>1.5095099124484259E-3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Tabella111[[#This Row],[Percentage of Suppliers - Raw]]/$C$151</f>
        <v>0</v>
      </c>
      <c r="E44" s="23">
        <v>0</v>
      </c>
      <c r="F44" s="40">
        <f>Tabella111[[#This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Tabella111[[#This Row],[Percentage of Suppliers - Raw]]/$C$151</f>
        <v>0</v>
      </c>
      <c r="E45" s="23">
        <v>1E-3</v>
      </c>
      <c r="F45" s="40">
        <f>Tabella111[[#This Row],[Percentage of Supplier''s Facilities - Raw]]/$E$151</f>
        <v>1.0063399416322838E-3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Tabella111[[#This Row],[Percentage of Suppliers - Raw]]/$C$151</f>
        <v>0</v>
      </c>
      <c r="E46" s="23">
        <v>2.0000000000000001E-4</v>
      </c>
      <c r="F46" s="40">
        <f>Tabella111[[#This Row],[Percentage of Supplier''s Facilities - Raw]]/$E$151</f>
        <v>2.0126798832645679E-4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Tabella111[[#This Row],[Percentage of Suppliers - Raw]]/$C$151</f>
        <v>0</v>
      </c>
      <c r="E47" s="23">
        <v>0</v>
      </c>
      <c r="F47" s="40">
        <f>Tabella111[[#This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3.8999999999999998E-3</v>
      </c>
      <c r="D48" s="36">
        <f>Tabella111[[#This Row],[Percentage of Suppliers - Raw]]/$C$151</f>
        <v>4.071831280016704E-3</v>
      </c>
      <c r="E48" s="23">
        <v>1E-3</v>
      </c>
      <c r="F48" s="40">
        <f>Tabella111[[#This Row],[Percentage of Supplier''s Facilities - Raw]]/$E$151</f>
        <v>1.0063399416322838E-3</v>
      </c>
    </row>
    <row r="49" spans="1:6" ht="19" x14ac:dyDescent="0.25">
      <c r="A49" s="31" t="s">
        <v>62</v>
      </c>
      <c r="B49" s="84">
        <v>3.65</v>
      </c>
      <c r="C49" s="22">
        <v>0.1202</v>
      </c>
      <c r="D49" s="36">
        <f>Tabella111[[#This Row],[Percentage of Suppliers - Raw]]/$C$151</f>
        <v>0.12549592816871996</v>
      </c>
      <c r="E49" s="23">
        <v>2.9900000000000003E-2</v>
      </c>
      <c r="F49" s="40">
        <f>Tabella111[[#This Row],[Percentage of Supplier''s Facilities - Raw]]/$E$151</f>
        <v>3.0089564254805291E-2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Tabella111[[#This Row],[Percentage of Suppliers - Raw]]/$C$151</f>
        <v>0</v>
      </c>
      <c r="E50" s="23">
        <v>0</v>
      </c>
      <c r="F50" s="40">
        <f>Tabella111[[#This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Tabella111[[#This Row],[Percentage of Suppliers - Raw]]/$C$151</f>
        <v>0</v>
      </c>
      <c r="E51" s="23">
        <v>0</v>
      </c>
      <c r="F51" s="40">
        <f>Tabella111[[#This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Tabella111[[#This Row],[Percentage of Suppliers - Raw]]/$C$151</f>
        <v>0</v>
      </c>
      <c r="E52" s="23">
        <v>0</v>
      </c>
      <c r="F52" s="40">
        <f>Tabella111[[#This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2.7099999999999999E-2</v>
      </c>
      <c r="D53" s="36">
        <f>Tabella111[[#This Row],[Percentage of Suppliers - Raw]]/$C$151</f>
        <v>2.8294007099603249E-2</v>
      </c>
      <c r="E53" s="23">
        <v>5.8600000000000006E-2</v>
      </c>
      <c r="F53" s="40">
        <f>Tabella111[[#This Row],[Percentage of Supplier''s Facilities - Raw]]/$E$151</f>
        <v>5.8971520579651847E-2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Tabella111[[#This Row],[Percentage of Suppliers - Raw]]/$C$151</f>
        <v>0</v>
      </c>
      <c r="E54" s="23">
        <v>0</v>
      </c>
      <c r="F54" s="40">
        <f>Tabella111[[#This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1.1599999999999999E-2</v>
      </c>
      <c r="D55" s="36">
        <f>Tabella111[[#This Row],[Percentage of Suppliers - Raw]]/$C$151</f>
        <v>1.2111087909793273E-2</v>
      </c>
      <c r="E55" s="23">
        <v>2.9999999999999997E-4</v>
      </c>
      <c r="F55" s="40">
        <f>Tabella111[[#This Row],[Percentage of Supplier''s Facilities - Raw]]/$E$151</f>
        <v>3.0190198248968513E-4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Tabella111[[#This Row],[Percentage of Suppliers - Raw]]/$C$151</f>
        <v>0</v>
      </c>
      <c r="E56" s="23">
        <v>2.0000000000000001E-4</v>
      </c>
      <c r="F56" s="40">
        <f>Tabella111[[#This Row],[Percentage of Supplier''s Facilities - Raw]]/$E$151</f>
        <v>2.0126798832645679E-4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Tabella111[[#This Row],[Percentage of Suppliers - Raw]]/$C$151</f>
        <v>0</v>
      </c>
      <c r="E57" s="23">
        <v>0</v>
      </c>
      <c r="F57" s="40">
        <f>Tabella111[[#This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Tabella111[[#This Row],[Percentage of Suppliers - Raw]]/$C$151</f>
        <v>0</v>
      </c>
      <c r="E58" s="23">
        <v>0</v>
      </c>
      <c r="F58" s="40">
        <f>Tabella111[[#This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Tabella111[[#This Row],[Percentage of Suppliers - Raw]]/$C$151</f>
        <v>0</v>
      </c>
      <c r="E59" s="23">
        <v>2.0000000000000001E-4</v>
      </c>
      <c r="F59" s="40">
        <f>Tabella111[[#This Row],[Percentage of Supplier''s Facilities - Raw]]/$E$151</f>
        <v>2.0126798832645679E-4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Tabella111[[#This Row],[Percentage of Suppliers - Raw]]/$C$151</f>
        <v>0</v>
      </c>
      <c r="E60" s="23">
        <v>0</v>
      </c>
      <c r="F60" s="40">
        <f>Tabella111[[#This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Tabella111[[#This Row],[Percentage of Suppliers - Raw]]/$C$151</f>
        <v>0</v>
      </c>
      <c r="E61" s="23">
        <v>0</v>
      </c>
      <c r="F61" s="40">
        <f>Tabella111[[#This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Tabella111[[#This Row],[Percentage of Suppliers - Raw]]/$C$151</f>
        <v>0</v>
      </c>
      <c r="E62" s="23">
        <v>2.8999999999999998E-3</v>
      </c>
      <c r="F62" s="40">
        <f>Tabella111[[#This Row],[Percentage of Supplier''s Facilities - Raw]]/$E$151</f>
        <v>2.9183858307336233E-3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Tabella111[[#This Row],[Percentage of Suppliers - Raw]]/$C$151</f>
        <v>0</v>
      </c>
      <c r="E63" s="23">
        <v>0</v>
      </c>
      <c r="F63" s="40">
        <f>Tabella111[[#This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4.65E-2</v>
      </c>
      <c r="D64" s="36">
        <f>Tabella111[[#This Row],[Percentage of Suppliers - Raw]]/$C$151</f>
        <v>4.8548757569429932E-2</v>
      </c>
      <c r="E64" s="23">
        <v>4.8399999999999999E-2</v>
      </c>
      <c r="F64" s="40">
        <f>Tabella111[[#This Row],[Percentage of Supplier''s Facilities - Raw]]/$E$151</f>
        <v>4.8706853175002542E-2</v>
      </c>
    </row>
    <row r="65" spans="1:6" ht="19" x14ac:dyDescent="0.25">
      <c r="A65" s="31" t="s">
        <v>78</v>
      </c>
      <c r="B65" s="99">
        <v>4.92</v>
      </c>
      <c r="C65" s="22">
        <v>2.7099999999999999E-2</v>
      </c>
      <c r="D65" s="36">
        <f>Tabella111[[#This Row],[Percentage of Suppliers - Raw]]/$C$151</f>
        <v>2.8294007099603249E-2</v>
      </c>
      <c r="E65" s="23">
        <v>1.04E-2</v>
      </c>
      <c r="F65" s="40">
        <f>Tabella111[[#This Row],[Percentage of Supplier''s Facilities - Raw]]/$E$151</f>
        <v>1.0465935392975752E-2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Tabella111[[#This Row],[Percentage of Suppliers - Raw]]/$C$151</f>
        <v>0</v>
      </c>
      <c r="E66" s="23">
        <v>0</v>
      </c>
      <c r="F66" s="40">
        <f>Tabella111[[#This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Tabella111[[#This Row],[Percentage of Suppliers - Raw]]/$C$151</f>
        <v>0</v>
      </c>
      <c r="E67" s="23">
        <v>0</v>
      </c>
      <c r="F67" s="40">
        <f>Tabella111[[#This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Tabella111[[#This Row],[Percentage of Suppliers - Raw]]/$C$151</f>
        <v>0</v>
      </c>
      <c r="E68" s="23">
        <v>2E-3</v>
      </c>
      <c r="F68" s="40">
        <f>Tabella111[[#This Row],[Percentage of Supplier''s Facilities - Raw]]/$E$151</f>
        <v>2.0126798832645677E-3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Tabella111[[#This Row],[Percentage of Suppliers - Raw]]/$C$151</f>
        <v>0</v>
      </c>
      <c r="E69" s="23">
        <v>1.1999999999999999E-3</v>
      </c>
      <c r="F69" s="40">
        <f>Tabella111[[#This Row],[Percentage of Supplier''s Facilities - Raw]]/$E$151</f>
        <v>1.2076079299587405E-3</v>
      </c>
    </row>
    <row r="70" spans="1:6" ht="19" x14ac:dyDescent="0.25">
      <c r="A70" s="31" t="s">
        <v>83</v>
      </c>
      <c r="B70" s="104">
        <v>3.84</v>
      </c>
      <c r="C70" s="22">
        <v>1.1599999999999999E-2</v>
      </c>
      <c r="D70" s="36">
        <f>Tabella111[[#This Row],[Percentage of Suppliers - Raw]]/$C$151</f>
        <v>1.2111087909793273E-2</v>
      </c>
      <c r="E70" s="23">
        <v>1.2199999999999999E-2</v>
      </c>
      <c r="F70" s="40">
        <f>Tabella111[[#This Row],[Percentage of Supplier''s Facilities - Raw]]/$E$151</f>
        <v>1.2277347287913862E-2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Tabella111[[#This Row],[Percentage of Suppliers - Raw]]/$C$151</f>
        <v>0</v>
      </c>
      <c r="E71" s="23">
        <v>0</v>
      </c>
      <c r="F71" s="40">
        <f>Tabella111[[#This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1.55E-2</v>
      </c>
      <c r="D72" s="36">
        <f>Tabella111[[#This Row],[Percentage of Suppliers - Raw]]/$C$151</f>
        <v>1.6182919189809977E-2</v>
      </c>
      <c r="E72" s="23">
        <v>9.2499999999999999E-2</v>
      </c>
      <c r="F72" s="40">
        <f>Tabella111[[#This Row],[Percentage of Supplier''s Facilities - Raw]]/$E$151</f>
        <v>9.3086444600986265E-2</v>
      </c>
    </row>
    <row r="73" spans="1:6" ht="19" x14ac:dyDescent="0.25">
      <c r="A73" s="31" t="s">
        <v>86</v>
      </c>
      <c r="B73" s="106">
        <v>5.13</v>
      </c>
      <c r="C73" s="22">
        <v>3.8999999999999998E-3</v>
      </c>
      <c r="D73" s="36">
        <f>Tabella111[[#This Row],[Percentage of Suppliers - Raw]]/$C$151</f>
        <v>4.071831280016704E-3</v>
      </c>
      <c r="E73" s="23">
        <v>0</v>
      </c>
      <c r="F73" s="40">
        <f>Tabella111[[#This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Tabella111[[#This Row],[Percentage of Suppliers - Raw]]/$C$151</f>
        <v>0</v>
      </c>
      <c r="E74" s="23">
        <v>1E-3</v>
      </c>
      <c r="F74" s="40">
        <f>Tabella111[[#This Row],[Percentage of Supplier''s Facilities - Raw]]/$E$151</f>
        <v>1.0063399416322838E-3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Tabella111[[#This Row],[Percentage of Suppliers - Raw]]/$C$151</f>
        <v>0</v>
      </c>
      <c r="E75" s="23">
        <v>2.9999999999999997E-4</v>
      </c>
      <c r="F75" s="40">
        <f>Tabella111[[#This Row],[Percentage of Supplier''s Facilities - Raw]]/$E$151</f>
        <v>3.0190198248968513E-4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Tabella111[[#This Row],[Percentage of Suppliers - Raw]]/$C$151</f>
        <v>0</v>
      </c>
      <c r="E76" s="23">
        <v>0</v>
      </c>
      <c r="F76" s="40">
        <f>Tabella111[[#This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Tabella111[[#This Row],[Percentage of Suppliers - Raw]]/$C$151</f>
        <v>0</v>
      </c>
      <c r="E77" s="23">
        <v>0</v>
      </c>
      <c r="F77" s="40">
        <f>Tabella111[[#This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Tabella111[[#This Row],[Percentage of Suppliers - Raw]]/$C$151</f>
        <v>0</v>
      </c>
      <c r="E78" s="23">
        <v>0</v>
      </c>
      <c r="F78" s="40">
        <f>Tabella111[[#This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Tabella111[[#This Row],[Percentage of Suppliers - Raw]]/$C$151</f>
        <v>0</v>
      </c>
      <c r="E79" s="23">
        <v>0</v>
      </c>
      <c r="F79" s="40">
        <f>Tabella111[[#This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Tabella111[[#This Row],[Percentage of Suppliers - Raw]]/$C$151</f>
        <v>0</v>
      </c>
      <c r="E80" s="23">
        <v>0</v>
      </c>
      <c r="F80" s="40">
        <f>Tabella111[[#This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Tabella111[[#This Row],[Percentage of Suppliers - Raw]]/$C$151</f>
        <v>0</v>
      </c>
      <c r="E81" s="23">
        <v>0</v>
      </c>
      <c r="F81" s="40">
        <f>Tabella111[[#This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Tabella111[[#This Row],[Percentage of Suppliers - Raw]]/$C$151</f>
        <v>0</v>
      </c>
      <c r="E82" s="23">
        <v>0</v>
      </c>
      <c r="F82" s="40">
        <f>Tabella111[[#This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Tabella111[[#This Row],[Percentage of Suppliers - Raw]]/$C$151</f>
        <v>0</v>
      </c>
      <c r="E83" s="23">
        <v>0</v>
      </c>
      <c r="F83" s="40">
        <f>Tabella111[[#This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Tabella111[[#This Row],[Percentage of Suppliers - Raw]]/$C$151</f>
        <v>0</v>
      </c>
      <c r="E84" s="23">
        <v>0</v>
      </c>
      <c r="F84" s="40">
        <f>Tabella111[[#This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Tabella111[[#This Row],[Percentage of Suppliers - Raw]]/$C$151</f>
        <v>0</v>
      </c>
      <c r="E85" s="23">
        <v>1E-4</v>
      </c>
      <c r="F85" s="40">
        <f>Tabella111[[#This Row],[Percentage of Supplier''s Facilities - Raw]]/$E$151</f>
        <v>1.0063399416322839E-4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Tabella111[[#This Row],[Percentage of Suppliers - Raw]]/$C$151</f>
        <v>0</v>
      </c>
      <c r="E86" s="23">
        <v>0</v>
      </c>
      <c r="F86" s="40">
        <f>Tabella111[[#This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1.55E-2</v>
      </c>
      <c r="D87" s="36">
        <f>Tabella111[[#This Row],[Percentage of Suppliers - Raw]]/$C$151</f>
        <v>1.6182919189809977E-2</v>
      </c>
      <c r="E87" s="23">
        <v>9.7999999999999997E-3</v>
      </c>
      <c r="F87" s="40">
        <f>Tabella111[[#This Row],[Percentage of Supplier''s Facilities - Raw]]/$E$151</f>
        <v>9.8621314279963828E-3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Tabella111[[#This Row],[Percentage of Suppliers - Raw]]/$C$151</f>
        <v>0</v>
      </c>
      <c r="E88" s="23">
        <v>2.0000000000000001E-4</v>
      </c>
      <c r="F88" s="40">
        <f>Tabella111[[#This Row],[Percentage of Supplier''s Facilities - Raw]]/$E$151</f>
        <v>2.0126798832645679E-4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Tabella111[[#This Row],[Percentage of Suppliers - Raw]]/$C$151</f>
        <v>0</v>
      </c>
      <c r="E89" s="23">
        <v>0</v>
      </c>
      <c r="F89" s="40">
        <f>Tabella111[[#This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3.8999999999999998E-3</v>
      </c>
      <c r="D90" s="36">
        <f>Tabella111[[#This Row],[Percentage of Suppliers - Raw]]/$C$151</f>
        <v>4.071831280016704E-3</v>
      </c>
      <c r="E90" s="23">
        <v>1E-4</v>
      </c>
      <c r="F90" s="40">
        <f>Tabella111[[#This Row],[Percentage of Supplier''s Facilities - Raw]]/$E$151</f>
        <v>1.0063399416322839E-4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Tabella111[[#This Row],[Percentage of Suppliers - Raw]]/$C$151</f>
        <v>0</v>
      </c>
      <c r="E91" s="23">
        <v>2.0199999999999999E-2</v>
      </c>
      <c r="F91" s="40">
        <f>Tabella111[[#This Row],[Percentage of Supplier''s Facilities - Raw]]/$E$151</f>
        <v>2.0328066820972133E-2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Tabella111[[#This Row],[Percentage of Suppliers - Raw]]/$C$151</f>
        <v>0</v>
      </c>
      <c r="E92" s="23">
        <v>0</v>
      </c>
      <c r="F92" s="40">
        <f>Tabella111[[#This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Tabella111[[#This Row],[Percentage of Suppliers - Raw]]/$C$151</f>
        <v>0</v>
      </c>
      <c r="E93" s="23">
        <v>0</v>
      </c>
      <c r="F93" s="40">
        <f>Tabella111[[#This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Tabella111[[#This Row],[Percentage of Suppliers - Raw]]/$C$151</f>
        <v>0</v>
      </c>
      <c r="E94" s="23">
        <v>1.1999999999999999E-3</v>
      </c>
      <c r="F94" s="40">
        <f>Tabella111[[#This Row],[Percentage of Supplier''s Facilities - Raw]]/$E$151</f>
        <v>1.2076079299587405E-3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Tabella111[[#This Row],[Percentage of Suppliers - Raw]]/$C$151</f>
        <v>0</v>
      </c>
      <c r="E95" s="23">
        <v>2.0000000000000001E-4</v>
      </c>
      <c r="F95" s="40">
        <f>Tabella111[[#This Row],[Percentage of Supplier''s Facilities - Raw]]/$E$151</f>
        <v>2.0126798832645679E-4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Tabella111[[#This Row],[Percentage of Suppliers - Raw]]/$C$151</f>
        <v>0</v>
      </c>
      <c r="E96" s="23">
        <v>0</v>
      </c>
      <c r="F96" s="40">
        <f>Tabella111[[#This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Tabella111[[#This Row],[Percentage of Suppliers - Raw]]/$C$151</f>
        <v>0</v>
      </c>
      <c r="E97" s="23">
        <v>0</v>
      </c>
      <c r="F97" s="40">
        <f>Tabella111[[#This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1.1599999999999999E-2</v>
      </c>
      <c r="D98" s="36">
        <f>Tabella111[[#This Row],[Percentage of Suppliers - Raw]]/$C$151</f>
        <v>1.2111087909793273E-2</v>
      </c>
      <c r="E98" s="23">
        <v>6.8000000000000005E-3</v>
      </c>
      <c r="F98" s="40">
        <f>Tabella111[[#This Row],[Percentage of Supplier''s Facilities - Raw]]/$E$151</f>
        <v>6.8431116030995311E-3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Tabella111[[#This Row],[Percentage of Suppliers - Raw]]/$C$151</f>
        <v>0</v>
      </c>
      <c r="E99" s="23">
        <v>0</v>
      </c>
      <c r="F99" s="40">
        <f>Tabella111[[#This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Tabella111[[#This Row],[Percentage of Suppliers - Raw]]/$C$151</f>
        <v>0</v>
      </c>
      <c r="E100" s="23">
        <v>0</v>
      </c>
      <c r="F100" s="40">
        <f>Tabella111[[#This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Tabella111[[#This Row],[Percentage of Suppliers - Raw]]/$C$151</f>
        <v>0</v>
      </c>
      <c r="E101" s="23">
        <v>0</v>
      </c>
      <c r="F101" s="40">
        <f>Tabella111[[#This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7.7999999999999996E-3</v>
      </c>
      <c r="D102" s="36">
        <f>Tabella111[[#This Row],[Percentage of Suppliers - Raw]]/$C$151</f>
        <v>8.143662560033408E-3</v>
      </c>
      <c r="E102" s="23">
        <v>2.2000000000000001E-3</v>
      </c>
      <c r="F102" s="40">
        <f>Tabella111[[#This Row],[Percentage of Supplier''s Facilities - Raw]]/$E$151</f>
        <v>2.2139478715910246E-3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Tabella111[[#This Row],[Percentage of Suppliers - Raw]]/$C$151</f>
        <v>0</v>
      </c>
      <c r="E103" s="23">
        <v>0</v>
      </c>
      <c r="F103" s="40">
        <f>Tabella111[[#This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5.8099999999999999E-2</v>
      </c>
      <c r="D104" s="36">
        <f>Tabella111[[#This Row],[Percentage of Suppliers - Raw]]/$C$151</f>
        <v>6.0659845479223207E-2</v>
      </c>
      <c r="E104" s="23">
        <v>1.55E-2</v>
      </c>
      <c r="F104" s="40">
        <f>Tabella111[[#This Row],[Percentage of Supplier''s Facilities - Raw]]/$E$151</f>
        <v>1.5598269095300401E-2</v>
      </c>
    </row>
    <row r="105" spans="1:6" ht="19" x14ac:dyDescent="0.25">
      <c r="A105" s="31" t="s">
        <v>118</v>
      </c>
      <c r="B105" s="134">
        <v>4.0199999999999996</v>
      </c>
      <c r="C105" s="22">
        <v>1.55E-2</v>
      </c>
      <c r="D105" s="36">
        <f>Tabella111[[#This Row],[Percentage of Suppliers - Raw]]/$C$151</f>
        <v>1.6182919189809977E-2</v>
      </c>
      <c r="E105" s="23">
        <v>1.4000000000000002E-3</v>
      </c>
      <c r="F105" s="40">
        <f>Tabella111[[#This Row],[Percentage of Supplier''s Facilities - Raw]]/$E$151</f>
        <v>1.4088759182851976E-3</v>
      </c>
    </row>
    <row r="106" spans="1:6" ht="19" x14ac:dyDescent="0.25">
      <c r="A106" s="31" t="s">
        <v>119</v>
      </c>
      <c r="B106" s="135">
        <v>6.65</v>
      </c>
      <c r="C106" s="22">
        <v>7.7999999999999996E-3</v>
      </c>
      <c r="D106" s="36">
        <f>Tabella111[[#This Row],[Percentage of Suppliers - Raw]]/$C$151</f>
        <v>8.143662560033408E-3</v>
      </c>
      <c r="E106" s="23">
        <v>1.4000000000000002E-3</v>
      </c>
      <c r="F106" s="40">
        <f>Tabella111[[#This Row],[Percentage of Supplier''s Facilities - Raw]]/$E$151</f>
        <v>1.4088759182851976E-3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Tabella111[[#This Row],[Percentage of Suppliers - Raw]]/$C$151</f>
        <v>0</v>
      </c>
      <c r="E107" s="23">
        <v>1E-4</v>
      </c>
      <c r="F107" s="40">
        <f>Tabella111[[#This Row],[Percentage of Supplier''s Facilities - Raw]]/$E$151</f>
        <v>1.0063399416322839E-4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Tabella111[[#This Row],[Percentage of Suppliers - Raw]]/$C$151</f>
        <v>0</v>
      </c>
      <c r="E108" s="23">
        <v>0</v>
      </c>
      <c r="F108" s="40">
        <f>Tabella111[[#This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Tabella111[[#This Row],[Percentage of Suppliers - Raw]]/$C$151</f>
        <v>0</v>
      </c>
      <c r="E109" s="23">
        <v>0</v>
      </c>
      <c r="F109" s="40">
        <f>Tabella111[[#This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Tabella111[[#This Row],[Percentage of Suppliers - Raw]]/$C$151</f>
        <v>0</v>
      </c>
      <c r="E110" s="23">
        <v>1.5E-3</v>
      </c>
      <c r="F110" s="40">
        <f>Tabella111[[#This Row],[Percentage of Supplier''s Facilities - Raw]]/$E$151</f>
        <v>1.5095099124484259E-3</v>
      </c>
    </row>
    <row r="111" spans="1:6" ht="19" x14ac:dyDescent="0.25">
      <c r="A111" s="31" t="s">
        <v>124</v>
      </c>
      <c r="B111" s="129">
        <v>5.8</v>
      </c>
      <c r="C111" s="22">
        <v>3.8999999999999998E-3</v>
      </c>
      <c r="D111" s="36">
        <f>Tabella111[[#This Row],[Percentage of Suppliers - Raw]]/$C$151</f>
        <v>4.071831280016704E-3</v>
      </c>
      <c r="E111" s="23">
        <v>1.7000000000000001E-3</v>
      </c>
      <c r="F111" s="40">
        <f>Tabella111[[#This Row],[Percentage of Supplier''s Facilities - Raw]]/$E$151</f>
        <v>1.7107779007748828E-3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Tabella111[[#This Row],[Percentage of Suppliers - Raw]]/$C$151</f>
        <v>0</v>
      </c>
      <c r="E112" s="23">
        <v>9.1999999999999998E-3</v>
      </c>
      <c r="F112" s="40">
        <f>Tabella111[[#This Row],[Percentage of Supplier''s Facilities - Raw]]/$E$151</f>
        <v>9.2583274630170121E-3</v>
      </c>
    </row>
    <row r="113" spans="1:6" ht="19" x14ac:dyDescent="0.25">
      <c r="A113" s="31" t="s">
        <v>126</v>
      </c>
      <c r="B113" s="141">
        <v>3.43</v>
      </c>
      <c r="C113" s="22">
        <v>7.7999999999999996E-3</v>
      </c>
      <c r="D113" s="36">
        <f>Tabella111[[#This Row],[Percentage of Suppliers - Raw]]/$C$151</f>
        <v>8.143662560033408E-3</v>
      </c>
      <c r="E113" s="23">
        <v>2.5000000000000001E-3</v>
      </c>
      <c r="F113" s="40">
        <f>Tabella111[[#This Row],[Percentage of Supplier''s Facilities - Raw]]/$E$151</f>
        <v>2.5158498540807099E-3</v>
      </c>
    </row>
    <row r="114" spans="1:6" ht="19" x14ac:dyDescent="0.25">
      <c r="A114" s="31" t="s">
        <v>127</v>
      </c>
      <c r="B114" s="75">
        <v>3.2</v>
      </c>
      <c r="C114" s="22">
        <v>3.8999999999999998E-3</v>
      </c>
      <c r="D114" s="36">
        <f>Tabella111[[#This Row],[Percentage of Suppliers - Raw]]/$C$151</f>
        <v>4.071831280016704E-3</v>
      </c>
      <c r="E114" s="23">
        <v>1.1999999999999999E-3</v>
      </c>
      <c r="F114" s="40">
        <f>Tabella111[[#This Row],[Percentage of Supplier''s Facilities - Raw]]/$E$151</f>
        <v>1.2076079299587405E-3</v>
      </c>
    </row>
    <row r="115" spans="1:6" ht="19" x14ac:dyDescent="0.25">
      <c r="A115" s="31" t="s">
        <v>128</v>
      </c>
      <c r="B115" s="142">
        <v>4.05</v>
      </c>
      <c r="C115" s="22">
        <v>3.8999999999999998E-3</v>
      </c>
      <c r="D115" s="36">
        <f>Tabella111[[#This Row],[Percentage of Suppliers - Raw]]/$C$151</f>
        <v>4.071831280016704E-3</v>
      </c>
      <c r="E115" s="23">
        <v>3.2000000000000002E-3</v>
      </c>
      <c r="F115" s="40">
        <f>Tabella111[[#This Row],[Percentage of Supplier''s Facilities - Raw]]/$E$151</f>
        <v>3.2202878132233086E-3</v>
      </c>
    </row>
    <row r="116" spans="1:6" ht="19" x14ac:dyDescent="0.25">
      <c r="A116" s="31" t="s">
        <v>129</v>
      </c>
      <c r="B116" s="143">
        <v>5.96</v>
      </c>
      <c r="C116" s="22">
        <v>7.7999999999999996E-3</v>
      </c>
      <c r="D116" s="36">
        <f>Tabella111[[#This Row],[Percentage of Suppliers - Raw]]/$C$151</f>
        <v>8.143662560033408E-3</v>
      </c>
      <c r="E116" s="23">
        <v>2.9999999999999997E-4</v>
      </c>
      <c r="F116" s="40">
        <f>Tabella111[[#This Row],[Percentage of Supplier''s Facilities - Raw]]/$E$151</f>
        <v>3.0190198248968513E-4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Tabella111[[#This Row],[Percentage of Suppliers - Raw]]/$C$151</f>
        <v>0</v>
      </c>
      <c r="E117" s="23">
        <v>0</v>
      </c>
      <c r="F117" s="40">
        <f>Tabella111[[#This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3.8999999999999998E-3</v>
      </c>
      <c r="D118" s="36">
        <f>Tabella111[[#This Row],[Percentage of Suppliers - Raw]]/$C$151</f>
        <v>4.071831280016704E-3</v>
      </c>
      <c r="E118" s="23">
        <v>6.0999999999999995E-3</v>
      </c>
      <c r="F118" s="40">
        <f>Tabella111[[#This Row],[Percentage of Supplier''s Facilities - Raw]]/$E$151</f>
        <v>6.1386736439569311E-3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Tabella111[[#This Row],[Percentage of Suppliers - Raw]]/$C$151</f>
        <v>0</v>
      </c>
      <c r="E119" s="23">
        <v>0</v>
      </c>
      <c r="F119" s="40">
        <f>Tabella111[[#This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Tabella111[[#This Row],[Percentage of Suppliers - Raw]]/$C$151</f>
        <v>0</v>
      </c>
      <c r="E120" s="23">
        <v>2.0000000000000001E-4</v>
      </c>
      <c r="F120" s="40">
        <f>Tabella111[[#This Row],[Percentage of Supplier''s Facilities - Raw]]/$E$151</f>
        <v>2.0126798832645679E-4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Tabella111[[#This Row],[Percentage of Suppliers - Raw]]/$C$151</f>
        <v>0</v>
      </c>
      <c r="E121" s="23">
        <v>0</v>
      </c>
      <c r="F121" s="40">
        <f>Tabella111[[#This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1.1599999999999999E-2</v>
      </c>
      <c r="D122" s="36">
        <f>Tabella111[[#This Row],[Percentage of Suppliers - Raw]]/$C$151</f>
        <v>1.2111087909793273E-2</v>
      </c>
      <c r="E122" s="23">
        <v>1.04E-2</v>
      </c>
      <c r="F122" s="40">
        <f>Tabella111[[#This Row],[Percentage of Supplier''s Facilities - Raw]]/$E$151</f>
        <v>1.0465935392975752E-2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Tabella111[[#This Row],[Percentage of Suppliers - Raw]]/$C$151</f>
        <v>0</v>
      </c>
      <c r="E123" s="23">
        <v>1.7000000000000001E-3</v>
      </c>
      <c r="F123" s="40">
        <f>Tabella111[[#This Row],[Percentage of Supplier''s Facilities - Raw]]/$E$151</f>
        <v>1.7107779007748828E-3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Tabella111[[#This Row],[Percentage of Suppliers - Raw]]/$C$151</f>
        <v>0</v>
      </c>
      <c r="E124" s="23">
        <v>0</v>
      </c>
      <c r="F124" s="40">
        <f>Tabella111[[#This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3.8999999999999998E-3</v>
      </c>
      <c r="D125" s="36">
        <f>Tabella111[[#This Row],[Percentage of Suppliers - Raw]]/$C$151</f>
        <v>4.071831280016704E-3</v>
      </c>
      <c r="E125" s="23">
        <v>7.6E-3</v>
      </c>
      <c r="F125" s="40">
        <f>Tabella111[[#This Row],[Percentage of Supplier''s Facilities - Raw]]/$E$151</f>
        <v>7.6481835564053578E-3</v>
      </c>
    </row>
    <row r="126" spans="1:6" ht="19" x14ac:dyDescent="0.25">
      <c r="A126" s="31" t="s">
        <v>139</v>
      </c>
      <c r="B126" s="151">
        <v>3.57</v>
      </c>
      <c r="C126" s="22">
        <v>4.65E-2</v>
      </c>
      <c r="D126" s="36">
        <f>Tabella111[[#This Row],[Percentage of Suppliers - Raw]]/$C$151</f>
        <v>4.8548757569429932E-2</v>
      </c>
      <c r="E126" s="23">
        <v>3.2599999999999997E-2</v>
      </c>
      <c r="F126" s="40">
        <f>Tabella111[[#This Row],[Percentage of Supplier''s Facilities - Raw]]/$E$151</f>
        <v>3.280668209721245E-2</v>
      </c>
    </row>
    <row r="127" spans="1:6" ht="19" x14ac:dyDescent="0.25">
      <c r="A127" s="31" t="s">
        <v>140</v>
      </c>
      <c r="B127" s="152">
        <v>3.7</v>
      </c>
      <c r="C127" s="22">
        <v>1.1599999999999999E-2</v>
      </c>
      <c r="D127" s="36">
        <f>Tabella111[[#This Row],[Percentage of Suppliers - Raw]]/$C$151</f>
        <v>1.2111087909793273E-2</v>
      </c>
      <c r="E127" s="23">
        <v>2.4300000000000002E-2</v>
      </c>
      <c r="F127" s="40">
        <f>Tabella111[[#This Row],[Percentage of Supplier''s Facilities - Raw]]/$E$151</f>
        <v>2.4454060581664501E-2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Tabella111[[#This Row],[Percentage of Suppliers - Raw]]/$C$151</f>
        <v>0</v>
      </c>
      <c r="E128" s="23">
        <v>0</v>
      </c>
      <c r="F128" s="40">
        <f>Tabella111[[#This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Tabella111[[#This Row],[Percentage of Suppliers - Raw]]/$C$151</f>
        <v>0</v>
      </c>
      <c r="E129" s="23">
        <v>0</v>
      </c>
      <c r="F129" s="40">
        <f>Tabella111[[#This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3.8999999999999998E-3</v>
      </c>
      <c r="D130" s="36">
        <f>Tabella111[[#This Row],[Percentage of Suppliers - Raw]]/$C$151</f>
        <v>4.071831280016704E-3</v>
      </c>
      <c r="E130" s="23">
        <v>4.1999999999999997E-3</v>
      </c>
      <c r="F130" s="40">
        <f>Tabella111[[#This Row],[Percentage of Supplier''s Facilities - Raw]]/$E$151</f>
        <v>4.2266277548555923E-3</v>
      </c>
    </row>
    <row r="131" spans="1:6" ht="19" x14ac:dyDescent="0.25">
      <c r="A131" s="31" t="s">
        <v>144</v>
      </c>
      <c r="B131" s="154">
        <v>2.78</v>
      </c>
      <c r="C131" s="22">
        <v>7.7999999999999996E-3</v>
      </c>
      <c r="D131" s="36">
        <f>Tabella111[[#This Row],[Percentage of Suppliers - Raw]]/$C$151</f>
        <v>8.143662560033408E-3</v>
      </c>
      <c r="E131" s="23">
        <v>4.1999999999999997E-3</v>
      </c>
      <c r="F131" s="40">
        <f>Tabella111[[#This Row],[Percentage of Supplier''s Facilities - Raw]]/$E$151</f>
        <v>4.2266277548555923E-3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Tabella111[[#This Row],[Percentage of Suppliers - Raw]]/$C$151</f>
        <v>0</v>
      </c>
      <c r="E132" s="23">
        <v>0</v>
      </c>
      <c r="F132" s="40">
        <f>Tabella111[[#This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Tabella111[[#This Row],[Percentage of Suppliers - Raw]]/$C$151</f>
        <v>0</v>
      </c>
      <c r="E133" s="23">
        <v>0</v>
      </c>
      <c r="F133" s="40">
        <f>Tabella111[[#This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7.7999999999999996E-3</v>
      </c>
      <c r="D134" s="36">
        <f>Tabella111[[#This Row],[Percentage of Suppliers - Raw]]/$C$151</f>
        <v>8.143662560033408E-3</v>
      </c>
      <c r="E134" s="23">
        <v>9.300000000000001E-3</v>
      </c>
      <c r="F134" s="40">
        <f>Tabella111[[#This Row],[Percentage of Supplier''s Facilities - Raw]]/$E$151</f>
        <v>9.3589614571802423E-3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Tabella111[[#This Row],[Percentage of Suppliers - Raw]]/$C$151</f>
        <v>0</v>
      </c>
      <c r="E135" s="23">
        <v>0</v>
      </c>
      <c r="F135" s="40">
        <f>Tabella111[[#This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Tabella111[[#This Row],[Percentage of Suppliers - Raw]]/$C$151</f>
        <v>0</v>
      </c>
      <c r="E136" s="23">
        <v>1E-4</v>
      </c>
      <c r="F136" s="40">
        <f>Tabella111[[#This Row],[Percentage of Supplier''s Facilities - Raw]]/$E$151</f>
        <v>1.0063399416322839E-4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Tabella111[[#This Row],[Percentage of Suppliers - Raw]]/$C$151</f>
        <v>0</v>
      </c>
      <c r="E137" s="23">
        <v>2.0000000000000001E-4</v>
      </c>
      <c r="F137" s="40">
        <f>Tabella111[[#This Row],[Percentage of Supplier''s Facilities - Raw]]/$E$151</f>
        <v>2.0126798832645679E-4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Tabella111[[#This Row],[Percentage of Suppliers - Raw]]/$C$151</f>
        <v>0</v>
      </c>
      <c r="E138" s="23">
        <v>2.2000000000000001E-3</v>
      </c>
      <c r="F138" s="40">
        <f>Tabella111[[#This Row],[Percentage of Supplier''s Facilities - Raw]]/$E$151</f>
        <v>2.2139478715910246E-3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Tabella111[[#This Row],[Percentage of Suppliers - Raw]]/$C$151</f>
        <v>0</v>
      </c>
      <c r="E139" s="23">
        <v>3.5999999999999999E-3</v>
      </c>
      <c r="F139" s="40">
        <f>Tabella111[[#This Row],[Percentage of Supplier''s Facilities - Raw]]/$E$151</f>
        <v>3.622823789876222E-3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Tabella111[[#This Row],[Percentage of Suppliers - Raw]]/$C$151</f>
        <v>0</v>
      </c>
      <c r="E140" s="23">
        <v>0</v>
      </c>
      <c r="F140" s="40">
        <f>Tabella111[[#This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Tabella111[[#This Row],[Percentage of Suppliers - Raw]]/$C$151</f>
        <v>0</v>
      </c>
      <c r="E141" s="23">
        <v>2.0000000000000001E-4</v>
      </c>
      <c r="F141" s="40">
        <f>Tabella111[[#This Row],[Percentage of Supplier''s Facilities - Raw]]/$E$151</f>
        <v>2.0126798832645679E-4</v>
      </c>
    </row>
    <row r="142" spans="1:6" ht="19" x14ac:dyDescent="0.25">
      <c r="A142" s="31" t="s">
        <v>155</v>
      </c>
      <c r="B142" s="164">
        <v>3.72</v>
      </c>
      <c r="C142" s="22">
        <v>7.7999999999999996E-3</v>
      </c>
      <c r="D142" s="36">
        <f>Tabella111[[#This Row],[Percentage of Suppliers - Raw]]/$C$151</f>
        <v>8.143662560033408E-3</v>
      </c>
      <c r="E142" s="23">
        <v>5.3E-3</v>
      </c>
      <c r="F142" s="40">
        <f>Tabella111[[#This Row],[Percentage of Supplier''s Facilities - Raw]]/$E$151</f>
        <v>5.3336016906511052E-3</v>
      </c>
    </row>
    <row r="143" spans="1:6" ht="19" x14ac:dyDescent="0.25">
      <c r="A143" s="31" t="s">
        <v>156</v>
      </c>
      <c r="B143" s="128">
        <v>3.32</v>
      </c>
      <c r="C143" s="22">
        <v>3.8800000000000001E-2</v>
      </c>
      <c r="D143" s="36">
        <f>Tabella111[[#This Row],[Percentage of Suppliers - Raw]]/$C$151</f>
        <v>4.0509500939653366E-2</v>
      </c>
      <c r="E143" s="23">
        <v>3.7900000000000003E-2</v>
      </c>
      <c r="F143" s="40">
        <f>Tabella111[[#This Row],[Percentage of Supplier''s Facilities - Raw]]/$E$151</f>
        <v>3.8140283787863563E-2</v>
      </c>
    </row>
    <row r="144" spans="1:6" ht="19" x14ac:dyDescent="0.25">
      <c r="A144" s="31" t="s">
        <v>157</v>
      </c>
      <c r="B144" s="165">
        <v>4.1900000000000004</v>
      </c>
      <c r="C144" s="22">
        <v>0.17050000000000001</v>
      </c>
      <c r="D144" s="36">
        <f>Tabella111[[#This Row],[Percentage of Suppliers - Raw]]/$C$151</f>
        <v>0.17801211108790976</v>
      </c>
      <c r="E144" s="23">
        <v>0.26369999999999999</v>
      </c>
      <c r="F144" s="40">
        <f>Tabella111[[#This Row],[Percentage of Supplier''s Facilities - Raw]]/$E$151</f>
        <v>0.26537184260843327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Tabella111[[#This Row],[Percentage of Suppliers - Raw]]/$C$151</f>
        <v>0</v>
      </c>
      <c r="E145" s="23">
        <v>2.0000000000000001E-4</v>
      </c>
      <c r="F145" s="40">
        <f>Tabella111[[#This Row],[Percentage of Supplier''s Facilities - Raw]]/$E$151</f>
        <v>2.0126798832645679E-4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Tabella111[[#This Row],[Percentage of Suppliers - Raw]]/$C$151</f>
        <v>0</v>
      </c>
      <c r="E146" s="23">
        <v>1E-3</v>
      </c>
      <c r="F146" s="40">
        <f>Tabella111[[#This Row],[Percentage of Supplier''s Facilities - Raw]]/$E$151</f>
        <v>1.0063399416322838E-3</v>
      </c>
    </row>
    <row r="147" spans="1:6" ht="19" x14ac:dyDescent="0.25">
      <c r="A147" s="31" t="s">
        <v>160</v>
      </c>
      <c r="B147" s="168">
        <v>4.32</v>
      </c>
      <c r="C147" s="22">
        <v>1.55E-2</v>
      </c>
      <c r="D147" s="36">
        <f>Tabella111[[#This Row],[Percentage of Suppliers - Raw]]/$C$151</f>
        <v>1.6182919189809977E-2</v>
      </c>
      <c r="E147" s="23">
        <v>5.8999999999999999E-3</v>
      </c>
      <c r="F147" s="40">
        <f>Tabella111[[#This Row],[Percentage of Supplier''s Facilities - Raw]]/$E$151</f>
        <v>5.937405655630475E-3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Tabella111[[#This Row],[Percentage of Suppliers - Raw]]/$C$151</f>
        <v>0</v>
      </c>
      <c r="E148" s="23">
        <v>0</v>
      </c>
      <c r="F148" s="40">
        <f>Tabella111[[#This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Tabella111[[#This Row],[Percentage of Suppliers - Raw]]/$C$151</f>
        <v>0</v>
      </c>
      <c r="E149" s="23">
        <v>2.0000000000000001E-4</v>
      </c>
      <c r="F149" s="40">
        <f>Tabella111[[#This Row],[Percentage of Supplier''s Facilities - Raw]]/$E$151</f>
        <v>2.0126798832645679E-4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Tabella111[[#This Row],[Percentage of Suppliers - Raw]]/$C$151</f>
        <v>0</v>
      </c>
      <c r="E150" s="23">
        <v>2.0000000000000001E-4</v>
      </c>
      <c r="F150" s="40">
        <f>Tabella111[[#This Row],[Percentage of Supplier''s Facilities - Raw]]/$E$151</f>
        <v>2.0126798832645679E-4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0.95780000000000021</v>
      </c>
      <c r="D151" s="39">
        <f>Tabella111[[#This Row],[Percentage of Suppliers - Raw]]/$C$151</f>
        <v>1</v>
      </c>
      <c r="E151" s="25">
        <f>SUM(E4:E150)</f>
        <v>0.99369999999999947</v>
      </c>
      <c r="F151" s="39">
        <f>SUM(F4:F150)</f>
        <v>1.0000000000000009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06E7-5353-D74E-AF76-D207C6B03F0D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176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Tabella112[[#This Row],[Percentage of Suppliers - Raw]]/$C$151</f>
        <v>0</v>
      </c>
      <c r="E4" s="23">
        <v>1E-4</v>
      </c>
      <c r="F4" s="40">
        <f>Tabella112[[#This Row],[Percentage of Supplier''s Facilities - Raw]]/$E$151</f>
        <v>1.0121457489878547E-4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Tabella112[[#This Row],[Percentage of Suppliers - Raw]]/$C$151</f>
        <v>0</v>
      </c>
      <c r="E5" s="23">
        <v>1.1999999999999999E-3</v>
      </c>
      <c r="F5" s="40">
        <f>Tabella112[[#This Row],[Percentage of Supplier''s Facilities - Raw]]/$E$151</f>
        <v>1.2145748987854256E-3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Tabella112[[#This Row],[Percentage of Suppliers - Raw]]/$C$151</f>
        <v>0</v>
      </c>
      <c r="E6" s="23">
        <v>1.1000000000000001E-3</v>
      </c>
      <c r="F6" s="40">
        <f>Tabella112[[#This Row],[Percentage of Supplier''s Facilities - Raw]]/$E$151</f>
        <v>1.1133603238866403E-3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Tabella112[[#This Row],[Percentage of Suppliers - Raw]]/$C$151</f>
        <v>0</v>
      </c>
      <c r="E7" s="23">
        <v>5.6999999999999993E-3</v>
      </c>
      <c r="F7" s="40">
        <f>Tabella112[[#This Row],[Percentage of Supplier''s Facilities - Raw]]/$E$151</f>
        <v>5.7692307692307713E-3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Armenia</v>
      </c>
      <c r="O7" s="15">
        <f>INDEX(B4:B150,MATCH(MIN(F4:F150),F4:F150,0))</f>
        <v>4.79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Tabella112[[#This Row],[Percentage of Suppliers - Raw]]/$C$151</f>
        <v>0</v>
      </c>
      <c r="E8" s="23">
        <v>0</v>
      </c>
      <c r="F8" s="40">
        <f>Tabella112[[#This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0.30991735537190074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0.35414979757085041</v>
      </c>
    </row>
    <row r="9" spans="1:16" ht="23" thickBot="1" x14ac:dyDescent="0.35">
      <c r="A9" s="31" t="s">
        <v>19</v>
      </c>
      <c r="B9" s="48">
        <v>3.22</v>
      </c>
      <c r="C9" s="22">
        <v>4.0000000000000001E-3</v>
      </c>
      <c r="D9" s="36">
        <f>Tabella112[[#This Row],[Percentage of Suppliers - Raw]]/$C$151</f>
        <v>4.1322314049586769E-3</v>
      </c>
      <c r="E9" s="23">
        <v>1.21E-2</v>
      </c>
      <c r="F9" s="40">
        <f>Tabella112[[#This Row],[Percentage of Supplier''s Facilities - Raw]]/$E$151</f>
        <v>1.2246963562753042E-2</v>
      </c>
      <c r="H9" s="20" t="s">
        <v>20</v>
      </c>
      <c r="I9" s="21"/>
      <c r="J9" s="21"/>
      <c r="K9" s="175">
        <f>SUMPRODUCT(B4:B150,D4:D150)</f>
        <v>4.0688429752066106</v>
      </c>
      <c r="M9" s="20" t="s">
        <v>21</v>
      </c>
      <c r="N9" s="21"/>
      <c r="O9" s="21"/>
      <c r="P9" s="175">
        <f>SUMPRODUCT(B4:B150,F4:F150)</f>
        <v>4.1888836032388683</v>
      </c>
    </row>
    <row r="10" spans="1:16" ht="19" x14ac:dyDescent="0.25">
      <c r="A10" s="31" t="s">
        <v>22</v>
      </c>
      <c r="B10" s="49">
        <v>3.41</v>
      </c>
      <c r="C10" s="22">
        <v>1.2E-2</v>
      </c>
      <c r="D10" s="36">
        <f>Tabella112[[#This Row],[Percentage of Suppliers - Raw]]/$C$151</f>
        <v>1.2396694214876032E-2</v>
      </c>
      <c r="E10" s="23">
        <v>2.7000000000000001E-3</v>
      </c>
      <c r="F10" s="40">
        <f>Tabella112[[#This Row],[Percentage of Supplier''s Facilities - Raw]]/$E$151</f>
        <v>2.7327935222672081E-3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Tabella112[[#This Row],[Percentage of Suppliers - Raw]]/$C$151</f>
        <v>0</v>
      </c>
      <c r="E11" s="23">
        <v>0</v>
      </c>
      <c r="F11" s="40">
        <f>Tabella112[[#This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Tabella112[[#This Row],[Percentage of Suppliers - Raw]]/$C$151</f>
        <v>0</v>
      </c>
      <c r="E12" s="23">
        <v>4.0000000000000002E-4</v>
      </c>
      <c r="F12" s="40">
        <f>Tabella112[[#This Row],[Percentage of Supplier''s Facilities - Raw]]/$E$151</f>
        <v>4.048582995951419E-4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Tabella112[[#This Row],[Percentage of Suppliers - Raw]]/$C$151</f>
        <v>0</v>
      </c>
      <c r="E13" s="23">
        <v>5.0000000000000001E-4</v>
      </c>
      <c r="F13" s="40">
        <f>Tabella112[[#This Row],[Percentage of Supplier''s Facilities - Raw]]/$E$151</f>
        <v>5.0607287449392735E-4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Tabella112[[#This Row],[Percentage of Suppliers - Raw]]/$C$151</f>
        <v>0</v>
      </c>
      <c r="E14" s="23">
        <v>0</v>
      </c>
      <c r="F14" s="40">
        <f>Tabella112[[#This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8.0000000000000002E-3</v>
      </c>
      <c r="D15" s="36">
        <f>Tabella112[[#This Row],[Percentage of Suppliers - Raw]]/$C$151</f>
        <v>8.2644628099173539E-3</v>
      </c>
      <c r="E15" s="23">
        <v>8.3000000000000001E-3</v>
      </c>
      <c r="F15" s="40">
        <f>Tabella112[[#This Row],[Percentage of Supplier''s Facilities - Raw]]/$E$151</f>
        <v>8.4008097165991936E-3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Tabella112[[#This Row],[Percentage of Suppliers - Raw]]/$C$151</f>
        <v>0</v>
      </c>
      <c r="E16" s="23">
        <v>0</v>
      </c>
      <c r="F16" s="40">
        <f>Tabella112[[#This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Tabella112[[#This Row],[Percentage of Suppliers - Raw]]/$C$151</f>
        <v>0</v>
      </c>
      <c r="E17" s="23">
        <v>0</v>
      </c>
      <c r="F17" s="40">
        <f>Tabella112[[#This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Tabella112[[#This Row],[Percentage of Suppliers - Raw]]/$C$151</f>
        <v>0</v>
      </c>
      <c r="E18" s="23">
        <v>0</v>
      </c>
      <c r="F18" s="40">
        <f>Tabella112[[#This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Tabella112[[#This Row],[Percentage of Suppliers - Raw]]/$C$151</f>
        <v>0</v>
      </c>
      <c r="E19" s="23">
        <v>1E-4</v>
      </c>
      <c r="F19" s="40">
        <f>Tabella112[[#This Row],[Percentage of Supplier''s Facilities - Raw]]/$E$151</f>
        <v>1.0121457489878547E-4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Tabella112[[#This Row],[Percentage of Suppliers - Raw]]/$C$151</f>
        <v>0</v>
      </c>
      <c r="E20" s="23">
        <v>0</v>
      </c>
      <c r="F20" s="40">
        <f>Tabella112[[#This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1.2E-2</v>
      </c>
      <c r="D21" s="36">
        <f>Tabella112[[#This Row],[Percentage of Suppliers - Raw]]/$C$151</f>
        <v>1.2396694214876032E-2</v>
      </c>
      <c r="E21" s="23">
        <v>2.4700000000000003E-2</v>
      </c>
      <c r="F21" s="40">
        <f>Tabella112[[#This Row],[Percentage of Supplier''s Facilities - Raw]]/$E$151</f>
        <v>2.5000000000000015E-2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Tabella112[[#This Row],[Percentage of Suppliers - Raw]]/$C$151</f>
        <v>0</v>
      </c>
      <c r="E22" s="23">
        <v>7.000000000000001E-4</v>
      </c>
      <c r="F22" s="40">
        <f>Tabella112[[#This Row],[Percentage of Supplier''s Facilities - Raw]]/$E$151</f>
        <v>7.0850202429149835E-4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Tabella112[[#This Row],[Percentage of Suppliers - Raw]]/$C$151</f>
        <v>0</v>
      </c>
      <c r="E23" s="23">
        <v>0</v>
      </c>
      <c r="F23" s="40">
        <f>Tabella112[[#This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Tabella112[[#This Row],[Percentage of Suppliers - Raw]]/$C$151</f>
        <v>0</v>
      </c>
      <c r="E24" s="23">
        <v>0</v>
      </c>
      <c r="F24" s="40">
        <f>Tabella112[[#This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Tabella112[[#This Row],[Percentage of Suppliers - Raw]]/$C$151</f>
        <v>0</v>
      </c>
      <c r="E25" s="23">
        <v>4.0000000000000002E-4</v>
      </c>
      <c r="F25" s="40">
        <f>Tabella112[[#This Row],[Percentage of Supplier''s Facilities - Raw]]/$E$151</f>
        <v>4.048582995951419E-4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Tabella112[[#This Row],[Percentage of Suppliers - Raw]]/$C$151</f>
        <v>0</v>
      </c>
      <c r="E26" s="23">
        <v>4.0000000000000002E-4</v>
      </c>
      <c r="F26" s="40">
        <f>Tabella112[[#This Row],[Percentage of Supplier''s Facilities - Raw]]/$E$151</f>
        <v>4.048582995951419E-4</v>
      </c>
    </row>
    <row r="27" spans="1:7" ht="19" x14ac:dyDescent="0.25">
      <c r="A27" s="31" t="s">
        <v>39</v>
      </c>
      <c r="B27" s="64">
        <v>3.44</v>
      </c>
      <c r="C27" s="22">
        <v>0.02</v>
      </c>
      <c r="D27" s="36">
        <f>Tabella112[[#This Row],[Percentage of Suppliers - Raw]]/$C$151</f>
        <v>2.0661157024793386E-2</v>
      </c>
      <c r="E27" s="23">
        <v>2.4700000000000003E-2</v>
      </c>
      <c r="F27" s="40">
        <f>Tabella112[[#This Row],[Percentage of Supplier''s Facilities - Raw]]/$E$151</f>
        <v>2.5000000000000015E-2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Tabella112[[#This Row],[Percentage of Suppliers - Raw]]/$C$151</f>
        <v>0</v>
      </c>
      <c r="E28" s="23">
        <v>0</v>
      </c>
      <c r="F28" s="40">
        <f>Tabella112[[#This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Tabella112[[#This Row],[Percentage of Suppliers - Raw]]/$C$151</f>
        <v>0</v>
      </c>
      <c r="E29" s="23">
        <v>0</v>
      </c>
      <c r="F29" s="40">
        <f>Tabella112[[#This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Tabella112[[#This Row],[Percentage of Suppliers - Raw]]/$C$151</f>
        <v>0</v>
      </c>
      <c r="E30" s="23">
        <v>5.8999999999999999E-3</v>
      </c>
      <c r="F30" s="40">
        <f>Tabella112[[#This Row],[Percentage of Supplier''s Facilities - Raw]]/$E$151</f>
        <v>5.9716599190283428E-3</v>
      </c>
    </row>
    <row r="31" spans="1:7" ht="19" x14ac:dyDescent="0.25">
      <c r="A31" s="31" t="s">
        <v>43</v>
      </c>
      <c r="B31" s="50">
        <v>4.26</v>
      </c>
      <c r="C31" s="22">
        <f xml:space="preserve"> 17.2% + 1.6%</f>
        <v>0.188</v>
      </c>
      <c r="D31" s="36">
        <f>Tabella112[[#This Row],[Percentage of Suppliers - Raw]]/$C$151</f>
        <v>0.19421487603305781</v>
      </c>
      <c r="E31" s="23">
        <v>9.2399999999999996E-2</v>
      </c>
      <c r="F31" s="40">
        <f>Tabella112[[#This Row],[Percentage of Supplier''s Facilities - Raw]]/$E$151</f>
        <v>9.3522267206477772E-2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Tabella112[[#This Row],[Percentage of Suppliers - Raw]]/$C$151</f>
        <v>0</v>
      </c>
      <c r="E32" s="23">
        <v>4.1999999999999997E-3</v>
      </c>
      <c r="F32" s="40">
        <f>Tabella112[[#This Row],[Percentage of Supplier''s Facilities - Raw]]/$E$151</f>
        <v>4.2510121457489895E-3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Tabella112[[#This Row],[Percentage of Suppliers - Raw]]/$C$151</f>
        <v>0</v>
      </c>
      <c r="E33" s="23">
        <v>2.0000000000000001E-4</v>
      </c>
      <c r="F33" s="40">
        <f>Tabella112[[#This Row],[Percentage of Supplier''s Facilities - Raw]]/$E$151</f>
        <v>2.0242914979757095E-4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Tabella112[[#This Row],[Percentage of Suppliers - Raw]]/$C$151</f>
        <v>0</v>
      </c>
      <c r="E34" s="23">
        <v>5.9999999999999995E-4</v>
      </c>
      <c r="F34" s="40">
        <f>Tabella112[[#This Row],[Percentage of Supplier''s Facilities - Raw]]/$E$151</f>
        <v>6.072874493927128E-4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Tabella112[[#This Row],[Percentage of Suppliers - Raw]]/$C$151</f>
        <v>0</v>
      </c>
      <c r="E35" s="23">
        <v>1.7000000000000001E-3</v>
      </c>
      <c r="F35" s="40">
        <f>Tabella112[[#This Row],[Percentage of Supplier''s Facilities - Raw]]/$E$151</f>
        <v>1.7206477732793532E-3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Tabella112[[#This Row],[Percentage of Suppliers - Raw]]/$C$151</f>
        <v>0</v>
      </c>
      <c r="E36" s="23">
        <v>2.7000000000000001E-3</v>
      </c>
      <c r="F36" s="40">
        <f>Tabella112[[#This Row],[Percentage of Supplier''s Facilities - Raw]]/$E$151</f>
        <v>2.7327935222672081E-3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Tabella112[[#This Row],[Percentage of Suppliers - Raw]]/$C$151</f>
        <v>0</v>
      </c>
      <c r="E37" s="23">
        <v>4.0000000000000002E-4</v>
      </c>
      <c r="F37" s="40">
        <f>Tabella112[[#This Row],[Percentage of Supplier''s Facilities - Raw]]/$E$151</f>
        <v>4.048582995951419E-4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Tabella112[[#This Row],[Percentage of Suppliers - Raw]]/$C$151</f>
        <v>0</v>
      </c>
      <c r="E38" s="23">
        <v>5.1999999999999998E-3</v>
      </c>
      <c r="F38" s="40">
        <f>Tabella112[[#This Row],[Percentage of Supplier''s Facilities - Raw]]/$E$151</f>
        <v>5.2631578947368446E-3</v>
      </c>
    </row>
    <row r="39" spans="1:6" ht="19" x14ac:dyDescent="0.25">
      <c r="A39" s="31" t="s">
        <v>52</v>
      </c>
      <c r="B39" s="75">
        <v>3.2</v>
      </c>
      <c r="C39" s="22">
        <v>4.0000000000000001E-3</v>
      </c>
      <c r="D39" s="36">
        <f>Tabella112[[#This Row],[Percentage of Suppliers - Raw]]/$C$151</f>
        <v>4.1322314049586769E-3</v>
      </c>
      <c r="E39" s="23">
        <v>3.7000000000000002E-3</v>
      </c>
      <c r="F39" s="40">
        <f>Tabella112[[#This Row],[Percentage of Supplier''s Facilities - Raw]]/$E$151</f>
        <v>3.7449392712550628E-3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Tabella112[[#This Row],[Percentage of Suppliers - Raw]]/$C$151</f>
        <v>0</v>
      </c>
      <c r="E40" s="23">
        <v>2.0000000000000001E-4</v>
      </c>
      <c r="F40" s="40">
        <f>Tabella112[[#This Row],[Percentage of Supplier''s Facilities - Raw]]/$E$151</f>
        <v>2.0242914979757095E-4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Tabella112[[#This Row],[Percentage of Suppliers - Raw]]/$C$151</f>
        <v>0</v>
      </c>
      <c r="E41" s="23">
        <v>1.1999999999999999E-3</v>
      </c>
      <c r="F41" s="40">
        <f>Tabella112[[#This Row],[Percentage of Supplier''s Facilities - Raw]]/$E$151</f>
        <v>1.2145748987854256E-3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Tabella112[[#This Row],[Percentage of Suppliers - Raw]]/$C$151</f>
        <v>0</v>
      </c>
      <c r="E42" s="23">
        <v>1.5E-3</v>
      </c>
      <c r="F42" s="40">
        <f>Tabella112[[#This Row],[Percentage of Supplier''s Facilities - Raw]]/$E$151</f>
        <v>1.518218623481782E-3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Tabella112[[#This Row],[Percentage of Suppliers - Raw]]/$C$151</f>
        <v>0</v>
      </c>
      <c r="E43" s="23">
        <v>2.8000000000000004E-3</v>
      </c>
      <c r="F43" s="40">
        <f>Tabella112[[#This Row],[Percentage of Supplier''s Facilities - Raw]]/$E$151</f>
        <v>2.8340080971659934E-3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Tabella112[[#This Row],[Percentage of Suppliers - Raw]]/$C$151</f>
        <v>0</v>
      </c>
      <c r="E44" s="23">
        <v>1.1999999999999999E-3</v>
      </c>
      <c r="F44" s="40">
        <f>Tabella112[[#This Row],[Percentage of Supplier''s Facilities - Raw]]/$E$151</f>
        <v>1.2145748987854256E-3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Tabella112[[#This Row],[Percentage of Suppliers - Raw]]/$C$151</f>
        <v>0</v>
      </c>
      <c r="E45" s="23">
        <v>1.7000000000000001E-3</v>
      </c>
      <c r="F45" s="40">
        <f>Tabella112[[#This Row],[Percentage of Supplier''s Facilities - Raw]]/$E$151</f>
        <v>1.7206477732793532E-3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Tabella112[[#This Row],[Percentage of Suppliers - Raw]]/$C$151</f>
        <v>0</v>
      </c>
      <c r="E46" s="23">
        <v>1E-4</v>
      </c>
      <c r="F46" s="40">
        <f>Tabella112[[#This Row],[Percentage of Supplier''s Facilities - Raw]]/$E$151</f>
        <v>1.0121457489878547E-4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Tabella112[[#This Row],[Percentage of Suppliers - Raw]]/$C$151</f>
        <v>0</v>
      </c>
      <c r="E47" s="23">
        <v>1E-4</v>
      </c>
      <c r="F47" s="40">
        <f>Tabella112[[#This Row],[Percentage of Supplier''s Facilities - Raw]]/$E$151</f>
        <v>1.0121457489878547E-4</v>
      </c>
    </row>
    <row r="48" spans="1:6" ht="19" x14ac:dyDescent="0.25">
      <c r="A48" s="31" t="s">
        <v>61</v>
      </c>
      <c r="B48" s="83">
        <v>3.35</v>
      </c>
      <c r="C48" s="22">
        <v>8.0000000000000002E-3</v>
      </c>
      <c r="D48" s="36">
        <f>Tabella112[[#This Row],[Percentage of Suppliers - Raw]]/$C$151</f>
        <v>8.2644628099173539E-3</v>
      </c>
      <c r="E48" s="23">
        <v>7.3000000000000001E-3</v>
      </c>
      <c r="F48" s="40">
        <f>Tabella112[[#This Row],[Percentage of Supplier''s Facilities - Raw]]/$E$151</f>
        <v>7.3886639676113393E-3</v>
      </c>
    </row>
    <row r="49" spans="1:6" ht="19" x14ac:dyDescent="0.25">
      <c r="A49" s="31" t="s">
        <v>62</v>
      </c>
      <c r="B49" s="84">
        <v>3.65</v>
      </c>
      <c r="C49" s="22">
        <v>3.2000000000000001E-2</v>
      </c>
      <c r="D49" s="36">
        <f>Tabella112[[#This Row],[Percentage of Suppliers - Raw]]/$C$151</f>
        <v>3.3057851239669415E-2</v>
      </c>
      <c r="E49" s="23">
        <v>2.7300000000000001E-2</v>
      </c>
      <c r="F49" s="40">
        <f>Tabella112[[#This Row],[Percentage of Supplier''s Facilities - Raw]]/$E$151</f>
        <v>2.7631578947368434E-2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Tabella112[[#This Row],[Percentage of Suppliers - Raw]]/$C$151</f>
        <v>0</v>
      </c>
      <c r="E50" s="23">
        <v>1E-4</v>
      </c>
      <c r="F50" s="40">
        <f>Tabella112[[#This Row],[Percentage of Supplier''s Facilities - Raw]]/$E$151</f>
        <v>1.0121457489878547E-4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Tabella112[[#This Row],[Percentage of Suppliers - Raw]]/$C$151</f>
        <v>0</v>
      </c>
      <c r="E51" s="23">
        <v>1E-4</v>
      </c>
      <c r="F51" s="40">
        <f>Tabella112[[#This Row],[Percentage of Supplier''s Facilities - Raw]]/$E$151</f>
        <v>1.0121457489878547E-4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Tabella112[[#This Row],[Percentage of Suppliers - Raw]]/$C$151</f>
        <v>0</v>
      </c>
      <c r="E52" s="23">
        <v>1.4000000000000002E-3</v>
      </c>
      <c r="F52" s="40">
        <f>Tabella112[[#This Row],[Percentage of Supplier''s Facilities - Raw]]/$E$151</f>
        <v>1.4170040485829967E-3</v>
      </c>
    </row>
    <row r="53" spans="1:6" ht="19" x14ac:dyDescent="0.25">
      <c r="A53" s="31" t="s">
        <v>66</v>
      </c>
      <c r="B53" s="88">
        <v>3.42</v>
      </c>
      <c r="C53" s="22">
        <v>1.6E-2</v>
      </c>
      <c r="D53" s="36">
        <f>Tabella112[[#This Row],[Percentage of Suppliers - Raw]]/$C$151</f>
        <v>1.6528925619834708E-2</v>
      </c>
      <c r="E53" s="23">
        <v>3.2400000000000005E-2</v>
      </c>
      <c r="F53" s="40">
        <f>Tabella112[[#This Row],[Percentage of Supplier''s Facilities - Raw]]/$E$151</f>
        <v>3.2793522267206499E-2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Tabella112[[#This Row],[Percentage of Suppliers - Raw]]/$C$151</f>
        <v>0</v>
      </c>
      <c r="E54" s="23">
        <v>8.9999999999999998E-4</v>
      </c>
      <c r="F54" s="40">
        <f>Tabella112[[#This Row],[Percentage of Supplier''s Facilities - Raw]]/$E$151</f>
        <v>9.1093117408906925E-4</v>
      </c>
    </row>
    <row r="55" spans="1:6" ht="19" x14ac:dyDescent="0.25">
      <c r="A55" s="31" t="s">
        <v>68</v>
      </c>
      <c r="B55" s="58">
        <v>4.34</v>
      </c>
      <c r="C55" s="22">
        <v>8.0000000000000002E-3</v>
      </c>
      <c r="D55" s="36">
        <f>Tabella112[[#This Row],[Percentage of Suppliers - Raw]]/$C$151</f>
        <v>8.2644628099173539E-3</v>
      </c>
      <c r="E55" s="23">
        <v>3.3E-3</v>
      </c>
      <c r="F55" s="40">
        <f>Tabella112[[#This Row],[Percentage of Supplier''s Facilities - Raw]]/$E$151</f>
        <v>3.3400809716599205E-3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Tabella112[[#This Row],[Percentage of Suppliers - Raw]]/$C$151</f>
        <v>0</v>
      </c>
      <c r="E56" s="23">
        <v>1.6000000000000001E-3</v>
      </c>
      <c r="F56" s="40">
        <f>Tabella112[[#This Row],[Percentage of Supplier''s Facilities - Raw]]/$E$151</f>
        <v>1.6194331983805676E-3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Tabella112[[#This Row],[Percentage of Suppliers - Raw]]/$C$151</f>
        <v>0</v>
      </c>
      <c r="E57" s="23">
        <v>2.0000000000000001E-4</v>
      </c>
      <c r="F57" s="40">
        <f>Tabella112[[#This Row],[Percentage of Supplier''s Facilities - Raw]]/$E$151</f>
        <v>2.0242914979757095E-4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Tabella112[[#This Row],[Percentage of Suppliers - Raw]]/$C$151</f>
        <v>0</v>
      </c>
      <c r="E58" s="23">
        <v>1E-4</v>
      </c>
      <c r="F58" s="40">
        <f>Tabella112[[#This Row],[Percentage of Supplier''s Facilities - Raw]]/$E$151</f>
        <v>1.0121457489878547E-4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Tabella112[[#This Row],[Percentage of Suppliers - Raw]]/$C$151</f>
        <v>0</v>
      </c>
      <c r="E59" s="23">
        <v>2.0000000000000001E-4</v>
      </c>
      <c r="F59" s="40">
        <f>Tabella112[[#This Row],[Percentage of Supplier''s Facilities - Raw]]/$E$151</f>
        <v>2.0242914979757095E-4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Tabella112[[#This Row],[Percentage of Suppliers - Raw]]/$C$151</f>
        <v>0</v>
      </c>
      <c r="E60" s="23">
        <v>1E-4</v>
      </c>
      <c r="F60" s="40">
        <f>Tabella112[[#This Row],[Percentage of Supplier''s Facilities - Raw]]/$E$151</f>
        <v>1.0121457489878547E-4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Tabella112[[#This Row],[Percentage of Suppliers - Raw]]/$C$151</f>
        <v>0</v>
      </c>
      <c r="E61" s="23">
        <v>4.0000000000000002E-4</v>
      </c>
      <c r="F61" s="40">
        <f>Tabella112[[#This Row],[Percentage of Supplier''s Facilities - Raw]]/$E$151</f>
        <v>4.048582995951419E-4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Tabella112[[#This Row],[Percentage of Suppliers - Raw]]/$C$151</f>
        <v>0</v>
      </c>
      <c r="E62" s="23">
        <v>3.0999999999999999E-3</v>
      </c>
      <c r="F62" s="40">
        <f>Tabella112[[#This Row],[Percentage of Supplier''s Facilities - Raw]]/$E$151</f>
        <v>3.1376518218623494E-3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Tabella112[[#This Row],[Percentage of Suppliers - Raw]]/$C$151</f>
        <v>0</v>
      </c>
      <c r="E63" s="23">
        <v>0</v>
      </c>
      <c r="F63" s="40">
        <f>Tabella112[[#This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0.1</v>
      </c>
      <c r="D64" s="36">
        <f>Tabella112[[#This Row],[Percentage of Suppliers - Raw]]/$C$151</f>
        <v>0.10330578512396693</v>
      </c>
      <c r="E64" s="23">
        <v>5.1900000000000002E-2</v>
      </c>
      <c r="F64" s="40">
        <f>Tabella112[[#This Row],[Percentage of Supplier''s Facilities - Raw]]/$E$151</f>
        <v>5.2530364372469662E-2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Tabella112[[#This Row],[Percentage of Suppliers - Raw]]/$C$151</f>
        <v>0</v>
      </c>
      <c r="E65" s="23">
        <v>9.3999999999999986E-3</v>
      </c>
      <c r="F65" s="40">
        <f>Tabella112[[#This Row],[Percentage of Supplier''s Facilities - Raw]]/$E$151</f>
        <v>9.5141700404858323E-3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Tabella112[[#This Row],[Percentage of Suppliers - Raw]]/$C$151</f>
        <v>0</v>
      </c>
      <c r="E66" s="23">
        <v>1E-4</v>
      </c>
      <c r="F66" s="40">
        <f>Tabella112[[#This Row],[Percentage of Supplier''s Facilities - Raw]]/$E$151</f>
        <v>1.0121457489878547E-4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Tabella112[[#This Row],[Percentage of Suppliers - Raw]]/$C$151</f>
        <v>0</v>
      </c>
      <c r="E67" s="23">
        <v>2.0000000000000001E-4</v>
      </c>
      <c r="F67" s="40">
        <f>Tabella112[[#This Row],[Percentage of Supplier''s Facilities - Raw]]/$E$151</f>
        <v>2.0242914979757095E-4</v>
      </c>
    </row>
    <row r="68" spans="1:6" ht="19" x14ac:dyDescent="0.25">
      <c r="A68" s="31" t="s">
        <v>81</v>
      </c>
      <c r="B68" s="102">
        <v>3.25</v>
      </c>
      <c r="C68" s="22">
        <v>8.0000000000000002E-3</v>
      </c>
      <c r="D68" s="36">
        <f>Tabella112[[#This Row],[Percentage of Suppliers - Raw]]/$C$151</f>
        <v>8.2644628099173539E-3</v>
      </c>
      <c r="E68" s="23">
        <v>3.2000000000000002E-3</v>
      </c>
      <c r="F68" s="40">
        <f>Tabella112[[#This Row],[Percentage of Supplier''s Facilities - Raw]]/$E$151</f>
        <v>3.2388663967611352E-3</v>
      </c>
    </row>
    <row r="69" spans="1:6" ht="19" x14ac:dyDescent="0.25">
      <c r="A69" s="31" t="s">
        <v>82</v>
      </c>
      <c r="B69" s="103">
        <v>4.6100000000000003</v>
      </c>
      <c r="C69" s="22">
        <v>4.0000000000000001E-3</v>
      </c>
      <c r="D69" s="36">
        <f>Tabella112[[#This Row],[Percentage of Suppliers - Raw]]/$C$151</f>
        <v>4.1322314049586769E-3</v>
      </c>
      <c r="E69" s="23">
        <v>3.0000000000000001E-3</v>
      </c>
      <c r="F69" s="40">
        <f>Tabella112[[#This Row],[Percentage of Supplier''s Facilities - Raw]]/$E$151</f>
        <v>3.0364372469635641E-3</v>
      </c>
    </row>
    <row r="70" spans="1:6" ht="19" x14ac:dyDescent="0.25">
      <c r="A70" s="31" t="s">
        <v>83</v>
      </c>
      <c r="B70" s="104">
        <v>3.84</v>
      </c>
      <c r="C70" s="22">
        <v>4.0000000000000001E-3</v>
      </c>
      <c r="D70" s="36">
        <f>Tabella112[[#This Row],[Percentage of Suppliers - Raw]]/$C$151</f>
        <v>4.1322314049586769E-3</v>
      </c>
      <c r="E70" s="23">
        <v>1.9599999999999999E-2</v>
      </c>
      <c r="F70" s="40">
        <f>Tabella112[[#This Row],[Percentage of Supplier''s Facilities - Raw]]/$E$151</f>
        <v>1.9838056680161951E-2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Tabella112[[#This Row],[Percentage of Suppliers - Raw]]/$C$151</f>
        <v>0</v>
      </c>
      <c r="E71" s="23">
        <v>2.0000000000000001E-4</v>
      </c>
      <c r="F71" s="40">
        <f>Tabella112[[#This Row],[Percentage of Supplier''s Facilities - Raw]]/$E$151</f>
        <v>2.0242914979757095E-4</v>
      </c>
    </row>
    <row r="72" spans="1:6" ht="19" x14ac:dyDescent="0.25">
      <c r="A72" s="31" t="s">
        <v>85</v>
      </c>
      <c r="B72" s="97">
        <v>3.38</v>
      </c>
      <c r="C72" s="22">
        <v>0.04</v>
      </c>
      <c r="D72" s="36">
        <f>Tabella112[[#This Row],[Percentage of Suppliers - Raw]]/$C$151</f>
        <v>4.1322314049586771E-2</v>
      </c>
      <c r="E72" s="23">
        <v>2.4700000000000003E-2</v>
      </c>
      <c r="F72" s="40">
        <f>Tabella112[[#This Row],[Percentage of Supplier''s Facilities - Raw]]/$E$151</f>
        <v>2.5000000000000015E-2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Tabella112[[#This Row],[Percentage of Suppliers - Raw]]/$C$151</f>
        <v>0</v>
      </c>
      <c r="E73" s="23">
        <v>5.0000000000000001E-4</v>
      </c>
      <c r="F73" s="40">
        <f>Tabella112[[#This Row],[Percentage of Supplier''s Facilities - Raw]]/$E$151</f>
        <v>5.0607287449392735E-4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Tabella112[[#This Row],[Percentage of Suppliers - Raw]]/$C$151</f>
        <v>0</v>
      </c>
      <c r="E74" s="23">
        <v>1E-4</v>
      </c>
      <c r="F74" s="40">
        <f>Tabella112[[#This Row],[Percentage of Supplier''s Facilities - Raw]]/$E$151</f>
        <v>1.0121457489878547E-4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Tabella112[[#This Row],[Percentage of Suppliers - Raw]]/$C$151</f>
        <v>0</v>
      </c>
      <c r="E75" s="23">
        <v>5.9999999999999995E-4</v>
      </c>
      <c r="F75" s="40">
        <f>Tabella112[[#This Row],[Percentage of Supplier''s Facilities - Raw]]/$E$151</f>
        <v>6.072874493927128E-4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Tabella112[[#This Row],[Percentage of Suppliers - Raw]]/$C$151</f>
        <v>0</v>
      </c>
      <c r="E76" s="23">
        <v>1E-4</v>
      </c>
      <c r="F76" s="40">
        <f>Tabella112[[#This Row],[Percentage of Supplier''s Facilities - Raw]]/$E$151</f>
        <v>1.0121457489878547E-4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Tabella112[[#This Row],[Percentage of Suppliers - Raw]]/$C$151</f>
        <v>0</v>
      </c>
      <c r="E77" s="23">
        <v>0</v>
      </c>
      <c r="F77" s="40">
        <f>Tabella112[[#This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Tabella112[[#This Row],[Percentage of Suppliers - Raw]]/$C$151</f>
        <v>0</v>
      </c>
      <c r="E78" s="23">
        <v>1E-4</v>
      </c>
      <c r="F78" s="40">
        <f>Tabella112[[#This Row],[Percentage of Supplier''s Facilities - Raw]]/$E$151</f>
        <v>1.0121457489878547E-4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Tabella112[[#This Row],[Percentage of Suppliers - Raw]]/$C$151</f>
        <v>0</v>
      </c>
      <c r="E79" s="23">
        <v>7.000000000000001E-4</v>
      </c>
      <c r="F79" s="40">
        <f>Tabella112[[#This Row],[Percentage of Supplier''s Facilities - Raw]]/$E$151</f>
        <v>7.0850202429149835E-4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Tabella112[[#This Row],[Percentage of Suppliers - Raw]]/$C$151</f>
        <v>0</v>
      </c>
      <c r="E80" s="23">
        <v>1E-4</v>
      </c>
      <c r="F80" s="40">
        <f>Tabella112[[#This Row],[Percentage of Supplier''s Facilities - Raw]]/$E$151</f>
        <v>1.0121457489878547E-4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Tabella112[[#This Row],[Percentage of Suppliers - Raw]]/$C$151</f>
        <v>0</v>
      </c>
      <c r="E81" s="23">
        <v>0</v>
      </c>
      <c r="F81" s="40">
        <f>Tabella112[[#This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Tabella112[[#This Row],[Percentage of Suppliers - Raw]]/$C$151</f>
        <v>0</v>
      </c>
      <c r="E82" s="23">
        <v>2.0000000000000001E-4</v>
      </c>
      <c r="F82" s="40">
        <f>Tabella112[[#This Row],[Percentage of Supplier''s Facilities - Raw]]/$E$151</f>
        <v>2.0242914979757095E-4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Tabella112[[#This Row],[Percentage of Suppliers - Raw]]/$C$151</f>
        <v>0</v>
      </c>
      <c r="E83" s="23">
        <v>4.0000000000000002E-4</v>
      </c>
      <c r="F83" s="40">
        <f>Tabella112[[#This Row],[Percentage of Supplier''s Facilities - Raw]]/$E$151</f>
        <v>4.048582995951419E-4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Tabella112[[#This Row],[Percentage of Suppliers - Raw]]/$C$151</f>
        <v>0</v>
      </c>
      <c r="E84" s="23">
        <v>7.000000000000001E-4</v>
      </c>
      <c r="F84" s="40">
        <f>Tabella112[[#This Row],[Percentage of Supplier''s Facilities - Raw]]/$E$151</f>
        <v>7.0850202429149835E-4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Tabella112[[#This Row],[Percentage of Suppliers - Raw]]/$C$151</f>
        <v>0</v>
      </c>
      <c r="E85" s="23">
        <v>5.0000000000000001E-4</v>
      </c>
      <c r="F85" s="40">
        <f>Tabella112[[#This Row],[Percentage of Supplier''s Facilities - Raw]]/$E$151</f>
        <v>5.0607287449392735E-4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Tabella112[[#This Row],[Percentage of Suppliers - Raw]]/$C$151</f>
        <v>0</v>
      </c>
      <c r="E86" s="23">
        <v>0</v>
      </c>
      <c r="F86" s="40">
        <f>Tabella112[[#This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1.6E-2</v>
      </c>
      <c r="D87" s="36">
        <f>Tabella112[[#This Row],[Percentage of Suppliers - Raw]]/$C$151</f>
        <v>1.6528925619834708E-2</v>
      </c>
      <c r="E87" s="23">
        <v>1.2699999999999999E-2</v>
      </c>
      <c r="F87" s="40">
        <f>Tabella112[[#This Row],[Percentage of Supplier''s Facilities - Raw]]/$E$151</f>
        <v>1.2854251012145754E-2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Tabella112[[#This Row],[Percentage of Suppliers - Raw]]/$C$151</f>
        <v>0</v>
      </c>
      <c r="E88" s="23">
        <v>4.0000000000000002E-4</v>
      </c>
      <c r="F88" s="40">
        <f>Tabella112[[#This Row],[Percentage of Supplier''s Facilities - Raw]]/$E$151</f>
        <v>4.048582995951419E-4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Tabella112[[#This Row],[Percentage of Suppliers - Raw]]/$C$151</f>
        <v>0</v>
      </c>
      <c r="E89" s="23">
        <v>4.0000000000000002E-4</v>
      </c>
      <c r="F89" s="40">
        <f>Tabella112[[#This Row],[Percentage of Supplier''s Facilities - Raw]]/$E$151</f>
        <v>4.048582995951419E-4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Tabella112[[#This Row],[Percentage of Suppliers - Raw]]/$C$151</f>
        <v>0</v>
      </c>
      <c r="E90" s="23">
        <v>0</v>
      </c>
      <c r="F90" s="40">
        <f>Tabella112[[#This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4.0000000000000001E-3</v>
      </c>
      <c r="D91" s="36">
        <f>Tabella112[[#This Row],[Percentage of Suppliers - Raw]]/$C$151</f>
        <v>4.1322314049586769E-3</v>
      </c>
      <c r="E91" s="23">
        <v>0.02</v>
      </c>
      <c r="F91" s="40">
        <f>Tabella112[[#This Row],[Percentage of Supplier''s Facilities - Raw]]/$E$151</f>
        <v>2.0242914979757096E-2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Tabella112[[#This Row],[Percentage of Suppliers - Raw]]/$C$151</f>
        <v>0</v>
      </c>
      <c r="E92" s="23">
        <v>0</v>
      </c>
      <c r="F92" s="40">
        <f>Tabella112[[#This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Tabella112[[#This Row],[Percentage of Suppliers - Raw]]/$C$151</f>
        <v>0</v>
      </c>
      <c r="E93" s="23">
        <v>1E-4</v>
      </c>
      <c r="F93" s="40">
        <f>Tabella112[[#This Row],[Percentage of Supplier''s Facilities - Raw]]/$E$151</f>
        <v>1.0121457489878547E-4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Tabella112[[#This Row],[Percentage of Suppliers - Raw]]/$C$151</f>
        <v>0</v>
      </c>
      <c r="E94" s="23">
        <v>2.3E-3</v>
      </c>
      <c r="F94" s="40">
        <f>Tabella112[[#This Row],[Percentage of Supplier''s Facilities - Raw]]/$E$151</f>
        <v>2.3279352226720658E-3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Tabella112[[#This Row],[Percentage of Suppliers - Raw]]/$C$151</f>
        <v>0</v>
      </c>
      <c r="E95" s="23">
        <v>5.9999999999999995E-4</v>
      </c>
      <c r="F95" s="40">
        <f>Tabella112[[#This Row],[Percentage of Supplier''s Facilities - Raw]]/$E$151</f>
        <v>6.072874493927128E-4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Tabella112[[#This Row],[Percentage of Suppliers - Raw]]/$C$151</f>
        <v>0</v>
      </c>
      <c r="E96" s="23">
        <v>2.0000000000000001E-4</v>
      </c>
      <c r="F96" s="40">
        <f>Tabella112[[#This Row],[Percentage of Supplier''s Facilities - Raw]]/$E$151</f>
        <v>2.0242914979757095E-4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Tabella112[[#This Row],[Percentage of Suppliers - Raw]]/$C$151</f>
        <v>0</v>
      </c>
      <c r="E97" s="23">
        <v>2.0000000000000001E-4</v>
      </c>
      <c r="F97" s="40">
        <f>Tabella112[[#This Row],[Percentage of Supplier''s Facilities - Raw]]/$E$151</f>
        <v>2.0242914979757095E-4</v>
      </c>
    </row>
    <row r="98" spans="1:6" ht="19" x14ac:dyDescent="0.25">
      <c r="A98" s="31" t="s">
        <v>111</v>
      </c>
      <c r="B98" s="127">
        <v>3.59</v>
      </c>
      <c r="C98" s="22">
        <v>8.0000000000000002E-3</v>
      </c>
      <c r="D98" s="36">
        <f>Tabella112[[#This Row],[Percentage of Suppliers - Raw]]/$C$151</f>
        <v>8.2644628099173539E-3</v>
      </c>
      <c r="E98" s="23">
        <v>1.32E-2</v>
      </c>
      <c r="F98" s="40">
        <f>Tabella112[[#This Row],[Percentage of Supplier''s Facilities - Raw]]/$E$151</f>
        <v>1.3360323886639682E-2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Tabella112[[#This Row],[Percentage of Suppliers - Raw]]/$C$151</f>
        <v>0</v>
      </c>
      <c r="E99" s="23">
        <v>3.9000000000000003E-3</v>
      </c>
      <c r="F99" s="40">
        <f>Tabella112[[#This Row],[Percentage of Supplier''s Facilities - Raw]]/$E$151</f>
        <v>3.9473684210526334E-3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Tabella112[[#This Row],[Percentage of Suppliers - Raw]]/$C$151</f>
        <v>0</v>
      </c>
      <c r="E100" s="23">
        <v>2.0000000000000001E-4</v>
      </c>
      <c r="F100" s="40">
        <f>Tabella112[[#This Row],[Percentage of Supplier''s Facilities - Raw]]/$E$151</f>
        <v>2.0242914979757095E-4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Tabella112[[#This Row],[Percentage of Suppliers - Raw]]/$C$151</f>
        <v>0</v>
      </c>
      <c r="E101" s="23">
        <v>0</v>
      </c>
      <c r="F101" s="40">
        <f>Tabella112[[#This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Tabella112[[#This Row],[Percentage of Suppliers - Raw]]/$C$151</f>
        <v>0</v>
      </c>
      <c r="E102" s="23">
        <v>2E-3</v>
      </c>
      <c r="F102" s="40">
        <f>Tabella112[[#This Row],[Percentage of Supplier''s Facilities - Raw]]/$E$151</f>
        <v>2.0242914979757094E-3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Tabella112[[#This Row],[Percentage of Suppliers - Raw]]/$C$151</f>
        <v>0</v>
      </c>
      <c r="E103" s="23">
        <v>5.0000000000000001E-4</v>
      </c>
      <c r="F103" s="40">
        <f>Tabella112[[#This Row],[Percentage of Supplier''s Facilities - Raw]]/$E$151</f>
        <v>5.0607287449392735E-4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Tabella112[[#This Row],[Percentage of Suppliers - Raw]]/$C$151</f>
        <v>0</v>
      </c>
      <c r="E104" s="23">
        <v>3.4999999999999996E-3</v>
      </c>
      <c r="F104" s="40">
        <f>Tabella112[[#This Row],[Percentage of Supplier''s Facilities - Raw]]/$E$151</f>
        <v>3.5425101214574912E-3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Tabella112[[#This Row],[Percentage of Suppliers - Raw]]/$C$151</f>
        <v>0</v>
      </c>
      <c r="E105" s="23">
        <v>5.0000000000000001E-4</v>
      </c>
      <c r="F105" s="40">
        <f>Tabella112[[#This Row],[Percentage of Supplier''s Facilities - Raw]]/$E$151</f>
        <v>5.0607287449392735E-4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Tabella112[[#This Row],[Percentage of Suppliers - Raw]]/$C$151</f>
        <v>0</v>
      </c>
      <c r="E106" s="23">
        <v>1.1000000000000001E-3</v>
      </c>
      <c r="F106" s="40">
        <f>Tabella112[[#This Row],[Percentage of Supplier''s Facilities - Raw]]/$E$151</f>
        <v>1.1133603238866403E-3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Tabella112[[#This Row],[Percentage of Suppliers - Raw]]/$C$151</f>
        <v>0</v>
      </c>
      <c r="E107" s="23">
        <v>8.9999999999999998E-4</v>
      </c>
      <c r="F107" s="40">
        <f>Tabella112[[#This Row],[Percentage of Supplier''s Facilities - Raw]]/$E$151</f>
        <v>9.1093117408906925E-4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Tabella112[[#This Row],[Percentage of Suppliers - Raw]]/$C$151</f>
        <v>0</v>
      </c>
      <c r="E108" s="23">
        <v>5.9999999999999995E-4</v>
      </c>
      <c r="F108" s="40">
        <f>Tabella112[[#This Row],[Percentage of Supplier''s Facilities - Raw]]/$E$151</f>
        <v>6.072874493927128E-4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Tabella112[[#This Row],[Percentage of Suppliers - Raw]]/$C$151</f>
        <v>0</v>
      </c>
      <c r="E109" s="23">
        <v>2.0000000000000001E-4</v>
      </c>
      <c r="F109" s="40">
        <f>Tabella112[[#This Row],[Percentage of Supplier''s Facilities - Raw]]/$E$151</f>
        <v>2.0242914979757095E-4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Tabella112[[#This Row],[Percentage of Suppliers - Raw]]/$C$151</f>
        <v>0</v>
      </c>
      <c r="E110" s="23">
        <v>2.3E-3</v>
      </c>
      <c r="F110" s="40">
        <f>Tabella112[[#This Row],[Percentage of Supplier''s Facilities - Raw]]/$E$151</f>
        <v>2.3279352226720658E-3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Tabella112[[#This Row],[Percentage of Suppliers - Raw]]/$C$151</f>
        <v>0</v>
      </c>
      <c r="E111" s="23">
        <v>6.3E-3</v>
      </c>
      <c r="F111" s="40">
        <f>Tabella112[[#This Row],[Percentage of Supplier''s Facilities - Raw]]/$E$151</f>
        <v>6.3765182186234851E-3</v>
      </c>
    </row>
    <row r="112" spans="1:6" ht="19" x14ac:dyDescent="0.25">
      <c r="A112" s="31" t="s">
        <v>125</v>
      </c>
      <c r="B112" s="140">
        <v>4.1500000000000004</v>
      </c>
      <c r="C112" s="22">
        <v>4.0000000000000001E-3</v>
      </c>
      <c r="D112" s="36">
        <f>Tabella112[[#This Row],[Percentage of Suppliers - Raw]]/$C$151</f>
        <v>4.1322314049586769E-3</v>
      </c>
      <c r="E112" s="23">
        <v>1.26E-2</v>
      </c>
      <c r="F112" s="40">
        <f>Tabella112[[#This Row],[Percentage of Supplier''s Facilities - Raw]]/$E$151</f>
        <v>1.275303643724697E-2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Tabella112[[#This Row],[Percentage of Suppliers - Raw]]/$C$151</f>
        <v>0</v>
      </c>
      <c r="E113" s="23">
        <v>3.7000000000000002E-3</v>
      </c>
      <c r="F113" s="40">
        <f>Tabella112[[#This Row],[Percentage of Supplier''s Facilities - Raw]]/$E$151</f>
        <v>3.7449392712550628E-3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Tabella112[[#This Row],[Percentage of Suppliers - Raw]]/$C$151</f>
        <v>0</v>
      </c>
      <c r="E114" s="23">
        <v>2.0000000000000001E-4</v>
      </c>
      <c r="F114" s="40">
        <f>Tabella112[[#This Row],[Percentage of Supplier''s Facilities - Raw]]/$E$151</f>
        <v>2.0242914979757095E-4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Tabella112[[#This Row],[Percentage of Suppliers - Raw]]/$C$151</f>
        <v>0</v>
      </c>
      <c r="E115" s="23">
        <v>2.0999999999999999E-3</v>
      </c>
      <c r="F115" s="40">
        <f>Tabella112[[#This Row],[Percentage of Supplier''s Facilities - Raw]]/$E$151</f>
        <v>2.1255060728744947E-3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Tabella112[[#This Row],[Percentage of Suppliers - Raw]]/$C$151</f>
        <v>0</v>
      </c>
      <c r="E116" s="23">
        <v>2.0999999999999999E-3</v>
      </c>
      <c r="F116" s="40">
        <f>Tabella112[[#This Row],[Percentage of Supplier''s Facilities - Raw]]/$E$151</f>
        <v>2.1255060728744947E-3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Tabella112[[#This Row],[Percentage of Suppliers - Raw]]/$C$151</f>
        <v>0</v>
      </c>
      <c r="E117" s="23">
        <v>1E-4</v>
      </c>
      <c r="F117" s="40">
        <f>Tabella112[[#This Row],[Percentage of Supplier''s Facilities - Raw]]/$E$151</f>
        <v>1.0121457489878547E-4</v>
      </c>
    </row>
    <row r="118" spans="1:6" ht="19" x14ac:dyDescent="0.25">
      <c r="A118" s="31" t="s">
        <v>131</v>
      </c>
      <c r="B118" s="59">
        <v>4.42</v>
      </c>
      <c r="C118" s="22">
        <v>4.0000000000000001E-3</v>
      </c>
      <c r="D118" s="36">
        <f>Tabella112[[#This Row],[Percentage of Suppliers - Raw]]/$C$151</f>
        <v>4.1322314049586769E-3</v>
      </c>
      <c r="E118" s="23">
        <v>2.5999999999999999E-3</v>
      </c>
      <c r="F118" s="40">
        <f>Tabella112[[#This Row],[Percentage of Supplier''s Facilities - Raw]]/$E$151</f>
        <v>2.6315789473684223E-3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Tabella112[[#This Row],[Percentage of Suppliers - Raw]]/$C$151</f>
        <v>0</v>
      </c>
      <c r="E119" s="23">
        <v>1.1000000000000001E-3</v>
      </c>
      <c r="F119" s="40">
        <f>Tabella112[[#This Row],[Percentage of Supplier''s Facilities - Raw]]/$E$151</f>
        <v>1.1133603238866403E-3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Tabella112[[#This Row],[Percentage of Suppliers - Raw]]/$C$151</f>
        <v>0</v>
      </c>
      <c r="E120" s="23">
        <v>1.4000000000000002E-3</v>
      </c>
      <c r="F120" s="40">
        <f>Tabella112[[#This Row],[Percentage of Supplier''s Facilities - Raw]]/$E$151</f>
        <v>1.4170040485829967E-3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Tabella112[[#This Row],[Percentage of Suppliers - Raw]]/$C$151</f>
        <v>0</v>
      </c>
      <c r="E121" s="23">
        <v>1E-4</v>
      </c>
      <c r="F121" s="40">
        <f>Tabella112[[#This Row],[Percentage of Supplier''s Facilities - Raw]]/$E$151</f>
        <v>1.0121457489878547E-4</v>
      </c>
    </row>
    <row r="122" spans="1:6" ht="19" x14ac:dyDescent="0.25">
      <c r="A122" s="31" t="s">
        <v>135</v>
      </c>
      <c r="B122" s="147">
        <v>3.04</v>
      </c>
      <c r="C122" s="22">
        <v>4.0000000000000001E-3</v>
      </c>
      <c r="D122" s="36">
        <f>Tabella112[[#This Row],[Percentage of Suppliers - Raw]]/$C$151</f>
        <v>4.1322314049586769E-3</v>
      </c>
      <c r="E122" s="23">
        <v>4.0999999999999995E-3</v>
      </c>
      <c r="F122" s="40">
        <f>Tabella112[[#This Row],[Percentage of Supplier''s Facilities - Raw]]/$E$151</f>
        <v>4.1497975708502041E-3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Tabella112[[#This Row],[Percentage of Suppliers - Raw]]/$C$151</f>
        <v>0</v>
      </c>
      <c r="E123" s="23">
        <v>2.2000000000000001E-3</v>
      </c>
      <c r="F123" s="40">
        <f>Tabella112[[#This Row],[Percentage of Supplier''s Facilities - Raw]]/$E$151</f>
        <v>2.2267206477732805E-3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Tabella112[[#This Row],[Percentage of Suppliers - Raw]]/$C$151</f>
        <v>0</v>
      </c>
      <c r="E124" s="23">
        <v>1.6000000000000001E-3</v>
      </c>
      <c r="F124" s="40">
        <f>Tabella112[[#This Row],[Percentage of Supplier''s Facilities - Raw]]/$E$151</f>
        <v>1.6194331983805676E-3</v>
      </c>
    </row>
    <row r="125" spans="1:6" ht="19" x14ac:dyDescent="0.25">
      <c r="A125" s="31" t="s">
        <v>138</v>
      </c>
      <c r="B125" s="150">
        <v>5.22</v>
      </c>
      <c r="C125" s="22">
        <v>8.0000000000000002E-3</v>
      </c>
      <c r="D125" s="36">
        <f>Tabella112[[#This Row],[Percentage of Suppliers - Raw]]/$C$151</f>
        <v>8.2644628099173539E-3</v>
      </c>
      <c r="E125" s="23">
        <v>6.3E-3</v>
      </c>
      <c r="F125" s="40">
        <f>Tabella112[[#This Row],[Percentage of Supplier''s Facilities - Raw]]/$E$151</f>
        <v>6.3765182186234851E-3</v>
      </c>
    </row>
    <row r="126" spans="1:6" ht="19" x14ac:dyDescent="0.25">
      <c r="A126" s="31" t="s">
        <v>139</v>
      </c>
      <c r="B126" s="151">
        <v>3.57</v>
      </c>
      <c r="C126" s="22">
        <v>0.04</v>
      </c>
      <c r="D126" s="36">
        <f>Tabella112[[#This Row],[Percentage of Suppliers - Raw]]/$C$151</f>
        <v>4.1322314049586771E-2</v>
      </c>
      <c r="E126" s="23">
        <v>1.7000000000000001E-2</v>
      </c>
      <c r="F126" s="40">
        <f>Tabella112[[#This Row],[Percentage of Supplier''s Facilities - Raw]]/$E$151</f>
        <v>1.7206477732793532E-2</v>
      </c>
    </row>
    <row r="127" spans="1:6" ht="19" x14ac:dyDescent="0.25">
      <c r="A127" s="31" t="s">
        <v>140</v>
      </c>
      <c r="B127" s="152">
        <v>3.7</v>
      </c>
      <c r="C127" s="22">
        <v>1.2E-2</v>
      </c>
      <c r="D127" s="36">
        <f>Tabella112[[#This Row],[Percentage of Suppliers - Raw]]/$C$151</f>
        <v>1.2396694214876032E-2</v>
      </c>
      <c r="E127" s="23">
        <v>1.7899999999999999E-2</v>
      </c>
      <c r="F127" s="40">
        <f>Tabella112[[#This Row],[Percentage of Supplier''s Facilities - Raw]]/$E$151</f>
        <v>1.8117408906882598E-2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Tabella112[[#This Row],[Percentage of Suppliers - Raw]]/$C$151</f>
        <v>0</v>
      </c>
      <c r="E128" s="23">
        <v>5.0000000000000001E-4</v>
      </c>
      <c r="F128" s="40">
        <f>Tabella112[[#This Row],[Percentage of Supplier''s Facilities - Raw]]/$E$151</f>
        <v>5.0607287449392735E-4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Tabella112[[#This Row],[Percentage of Suppliers - Raw]]/$C$151</f>
        <v>0</v>
      </c>
      <c r="E129" s="23">
        <v>1E-4</v>
      </c>
      <c r="F129" s="40">
        <f>Tabella112[[#This Row],[Percentage of Supplier''s Facilities - Raw]]/$E$151</f>
        <v>1.0121457489878547E-4</v>
      </c>
    </row>
    <row r="130" spans="1:6" ht="19" x14ac:dyDescent="0.25">
      <c r="A130" s="31" t="s">
        <v>143</v>
      </c>
      <c r="B130" s="153">
        <v>3.52</v>
      </c>
      <c r="C130" s="22">
        <v>4.0000000000000001E-3</v>
      </c>
      <c r="D130" s="36">
        <f>Tabella112[[#This Row],[Percentage of Suppliers - Raw]]/$C$151</f>
        <v>4.1322314049586769E-3</v>
      </c>
      <c r="E130" s="23">
        <v>7.8000000000000005E-3</v>
      </c>
      <c r="F130" s="40">
        <f>Tabella112[[#This Row],[Percentage of Supplier''s Facilities - Raw]]/$E$151</f>
        <v>7.8947368421052669E-3</v>
      </c>
    </row>
    <row r="131" spans="1:6" ht="19" x14ac:dyDescent="0.25">
      <c r="A131" s="31" t="s">
        <v>144</v>
      </c>
      <c r="B131" s="154">
        <v>2.78</v>
      </c>
      <c r="C131" s="22">
        <v>2.4E-2</v>
      </c>
      <c r="D131" s="36">
        <f>Tabella112[[#This Row],[Percentage of Suppliers - Raw]]/$C$151</f>
        <v>2.4793388429752063E-2</v>
      </c>
      <c r="E131" s="23">
        <v>7.8000000000000005E-3</v>
      </c>
      <c r="F131" s="40">
        <f>Tabella112[[#This Row],[Percentage of Supplier''s Facilities - Raw]]/$E$151</f>
        <v>7.8947368421052669E-3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Tabella112[[#This Row],[Percentage of Suppliers - Raw]]/$C$151</f>
        <v>0</v>
      </c>
      <c r="E132" s="23">
        <v>1E-4</v>
      </c>
      <c r="F132" s="40">
        <f>Tabella112[[#This Row],[Percentage of Supplier''s Facilities - Raw]]/$E$151</f>
        <v>1.0121457489878547E-4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Tabella112[[#This Row],[Percentage of Suppliers - Raw]]/$C$151</f>
        <v>0</v>
      </c>
      <c r="E133" s="23">
        <v>0</v>
      </c>
      <c r="F133" s="40">
        <f>Tabella112[[#This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Tabella112[[#This Row],[Percentage of Suppliers - Raw]]/$C$151</f>
        <v>0</v>
      </c>
      <c r="E134" s="23">
        <v>8.8000000000000005E-3</v>
      </c>
      <c r="F134" s="40">
        <f>Tabella112[[#This Row],[Percentage of Supplier''s Facilities - Raw]]/$E$151</f>
        <v>8.906882591093122E-3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Tabella112[[#This Row],[Percentage of Suppliers - Raw]]/$C$151</f>
        <v>0</v>
      </c>
      <c r="E135" s="23">
        <v>0</v>
      </c>
      <c r="F135" s="40">
        <f>Tabella112[[#This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Tabella112[[#This Row],[Percentage of Suppliers - Raw]]/$C$151</f>
        <v>0</v>
      </c>
      <c r="E136" s="23">
        <v>0</v>
      </c>
      <c r="F136" s="40">
        <f>Tabella112[[#This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Tabella112[[#This Row],[Percentage of Suppliers - Raw]]/$C$151</f>
        <v>0</v>
      </c>
      <c r="E137" s="23">
        <v>5.0000000000000001E-4</v>
      </c>
      <c r="F137" s="40">
        <f>Tabella112[[#This Row],[Percentage of Supplier''s Facilities - Raw]]/$E$151</f>
        <v>5.0607287449392735E-4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Tabella112[[#This Row],[Percentage of Suppliers - Raw]]/$C$151</f>
        <v>0</v>
      </c>
      <c r="E138" s="23">
        <v>8.9999999999999998E-4</v>
      </c>
      <c r="F138" s="40">
        <f>Tabella112[[#This Row],[Percentage of Supplier''s Facilities - Raw]]/$E$151</f>
        <v>9.1093117408906925E-4</v>
      </c>
    </row>
    <row r="139" spans="1:6" ht="19" x14ac:dyDescent="0.25">
      <c r="A139" s="31" t="s">
        <v>152</v>
      </c>
      <c r="B139" s="161">
        <v>5.26</v>
      </c>
      <c r="C139" s="22">
        <v>4.0000000000000001E-3</v>
      </c>
      <c r="D139" s="36">
        <f>Tabella112[[#This Row],[Percentage of Suppliers - Raw]]/$C$151</f>
        <v>4.1322314049586769E-3</v>
      </c>
      <c r="E139" s="23">
        <v>6.5000000000000006E-3</v>
      </c>
      <c r="F139" s="40">
        <f>Tabella112[[#This Row],[Percentage of Supplier''s Facilities - Raw]]/$E$151</f>
        <v>6.5789473684210566E-3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Tabella112[[#This Row],[Percentage of Suppliers - Raw]]/$C$151</f>
        <v>0</v>
      </c>
      <c r="E140" s="23">
        <v>0</v>
      </c>
      <c r="F140" s="40">
        <f>Tabella112[[#This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Tabella112[[#This Row],[Percentage of Suppliers - Raw]]/$C$151</f>
        <v>0</v>
      </c>
      <c r="E141" s="23">
        <v>2.5000000000000001E-3</v>
      </c>
      <c r="F141" s="40">
        <f>Tabella112[[#This Row],[Percentage of Supplier''s Facilities - Raw]]/$E$151</f>
        <v>2.530364372469637E-3</v>
      </c>
    </row>
    <row r="142" spans="1:6" ht="19" x14ac:dyDescent="0.25">
      <c r="A142" s="31" t="s">
        <v>155</v>
      </c>
      <c r="B142" s="164">
        <v>3.72</v>
      </c>
      <c r="C142" s="22">
        <v>4.0000000000000001E-3</v>
      </c>
      <c r="D142" s="36">
        <f>Tabella112[[#This Row],[Percentage of Suppliers - Raw]]/$C$151</f>
        <v>4.1322314049586769E-3</v>
      </c>
      <c r="E142" s="23">
        <v>2.3E-3</v>
      </c>
      <c r="F142" s="40">
        <f>Tabella112[[#This Row],[Percentage of Supplier''s Facilities - Raw]]/$E$151</f>
        <v>2.3279352226720658E-3</v>
      </c>
    </row>
    <row r="143" spans="1:6" ht="19" x14ac:dyDescent="0.25">
      <c r="A143" s="31" t="s">
        <v>156</v>
      </c>
      <c r="B143" s="128">
        <v>3.32</v>
      </c>
      <c r="C143" s="22">
        <v>6.4000000000000001E-2</v>
      </c>
      <c r="D143" s="36">
        <f>Tabella112[[#This Row],[Percentage of Suppliers - Raw]]/$C$151</f>
        <v>6.6115702479338831E-2</v>
      </c>
      <c r="E143" s="23">
        <v>3.73E-2</v>
      </c>
      <c r="F143" s="40">
        <f>Tabella112[[#This Row],[Percentage of Supplier''s Facilities - Raw]]/$E$151</f>
        <v>3.7753036437246978E-2</v>
      </c>
    </row>
    <row r="144" spans="1:6" ht="19" x14ac:dyDescent="0.25">
      <c r="A144" s="31" t="s">
        <v>157</v>
      </c>
      <c r="B144" s="165">
        <v>4.1900000000000004</v>
      </c>
      <c r="C144" s="22">
        <v>0.3</v>
      </c>
      <c r="D144" s="36">
        <f>Tabella112[[#This Row],[Percentage of Suppliers - Raw]]/$C$151</f>
        <v>0.30991735537190074</v>
      </c>
      <c r="E144" s="23">
        <v>0.34990000000000004</v>
      </c>
      <c r="F144" s="40">
        <f>Tabella112[[#This Row],[Percentage of Supplier''s Facilities - Raw]]/$E$151</f>
        <v>0.35414979757085041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Tabella112[[#This Row],[Percentage of Suppliers - Raw]]/$C$151</f>
        <v>0</v>
      </c>
      <c r="E145" s="23">
        <v>8.9999999999999998E-4</v>
      </c>
      <c r="F145" s="40">
        <f>Tabella112[[#This Row],[Percentage of Supplier''s Facilities - Raw]]/$E$151</f>
        <v>9.1093117408906925E-4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Tabella112[[#This Row],[Percentage of Suppliers - Raw]]/$C$151</f>
        <v>0</v>
      </c>
      <c r="E146" s="23">
        <v>2.5999999999999999E-3</v>
      </c>
      <c r="F146" s="40">
        <f>Tabella112[[#This Row],[Percentage of Supplier''s Facilities - Raw]]/$E$151</f>
        <v>2.6315789473684223E-3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Tabella112[[#This Row],[Percentage of Suppliers - Raw]]/$C$151</f>
        <v>0</v>
      </c>
      <c r="E147" s="23">
        <v>8.3000000000000001E-3</v>
      </c>
      <c r="F147" s="40">
        <f>Tabella112[[#This Row],[Percentage of Supplier''s Facilities - Raw]]/$E$151</f>
        <v>8.4008097165991936E-3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Tabella112[[#This Row],[Percentage of Suppliers - Raw]]/$C$151</f>
        <v>0</v>
      </c>
      <c r="E148" s="23">
        <v>2.0000000000000001E-4</v>
      </c>
      <c r="F148" s="40">
        <f>Tabella112[[#This Row],[Percentage of Supplier''s Facilities - Raw]]/$E$151</f>
        <v>2.0242914979757095E-4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Tabella112[[#This Row],[Percentage of Suppliers - Raw]]/$C$151</f>
        <v>0</v>
      </c>
      <c r="E149" s="23">
        <v>0</v>
      </c>
      <c r="F149" s="40">
        <f>Tabella112[[#This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Tabella112[[#This Row],[Percentage of Suppliers - Raw]]/$C$151</f>
        <v>0</v>
      </c>
      <c r="E150" s="23">
        <v>1E-4</v>
      </c>
      <c r="F150" s="40">
        <f>Tabella112[[#This Row],[Percentage of Supplier''s Facilities - Raw]]/$E$151</f>
        <v>1.0121457489878547E-4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0.96800000000000019</v>
      </c>
      <c r="D151" s="39">
        <f>Tabella112[[#This Row],[Percentage of Suppliers - Raw]]/$C$151</f>
        <v>1</v>
      </c>
      <c r="E151" s="25">
        <f>SUM(E4:E150)</f>
        <v>0.98799999999999955</v>
      </c>
      <c r="F151" s="39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29E2-BFF3-0148-BEB7-F96E8B7DF112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177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Tabella113[[#This Row],[Percentage of Suppliers - Raw]]/$C$151</f>
        <v>0</v>
      </c>
      <c r="E4" s="23">
        <v>0</v>
      </c>
      <c r="F4" s="40">
        <f>Tabella113[[#This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Tabella113[[#This Row],[Percentage of Suppliers - Raw]]/$C$151</f>
        <v>0</v>
      </c>
      <c r="E5" s="23">
        <v>0</v>
      </c>
      <c r="F5" s="40">
        <f>Tabella113[[#This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Tabella113[[#This Row],[Percentage of Suppliers - Raw]]/$C$151</f>
        <v>0</v>
      </c>
      <c r="E6" s="23">
        <v>0</v>
      </c>
      <c r="F6" s="40">
        <f>Tabella113[[#This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Tabella113[[#This Row],[Percentage of Suppliers - Raw]]/$C$151</f>
        <v>0</v>
      </c>
      <c r="E7" s="23">
        <v>2.2000000000000001E-3</v>
      </c>
      <c r="F7" s="40">
        <f>Tabella113[[#This Row],[Percentage of Supplier''s Facilities - Raw]]/$E$151</f>
        <v>2.2095008536707843E-3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Tabella113[[#This Row],[Percentage of Suppliers - Raw]]/$C$151</f>
        <v>0</v>
      </c>
      <c r="E8" s="23">
        <v>0</v>
      </c>
      <c r="F8" s="40">
        <f>Tabella113[[#This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0.51376900945334969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0.48036557195942547</v>
      </c>
    </row>
    <row r="9" spans="1:16" ht="23" thickBot="1" x14ac:dyDescent="0.35">
      <c r="A9" s="31" t="s">
        <v>19</v>
      </c>
      <c r="B9" s="48">
        <v>3.22</v>
      </c>
      <c r="C9" s="22">
        <v>1.7899999999999999E-2</v>
      </c>
      <c r="D9" s="36">
        <f>Tabella113[[#This Row],[Percentage of Suppliers - Raw]]/$C$151</f>
        <v>1.839293053842992E-2</v>
      </c>
      <c r="E9" s="23">
        <v>1.0800000000000001E-2</v>
      </c>
      <c r="F9" s="40">
        <f>Tabella113[[#This Row],[Percentage of Supplier''s Facilities - Raw]]/$E$151</f>
        <v>1.0846640554383849E-2</v>
      </c>
      <c r="H9" s="20" t="s">
        <v>20</v>
      </c>
      <c r="I9" s="21"/>
      <c r="J9" s="21"/>
      <c r="K9" s="175">
        <f>SUMPRODUCT(B4:B150,D4:D150)</f>
        <v>3.9356946157007808</v>
      </c>
      <c r="M9" s="20" t="s">
        <v>21</v>
      </c>
      <c r="N9" s="21"/>
      <c r="O9" s="21"/>
      <c r="P9" s="175">
        <f>SUMPRODUCT(B4:B150,F4:F150)</f>
        <v>4.0546901677212013</v>
      </c>
    </row>
    <row r="10" spans="1:16" ht="19" x14ac:dyDescent="0.25">
      <c r="A10" s="31" t="s">
        <v>22</v>
      </c>
      <c r="B10" s="49">
        <v>3.41</v>
      </c>
      <c r="C10" s="22">
        <v>8.8999999999999999E-3</v>
      </c>
      <c r="D10" s="36">
        <f>Tabella113[[#This Row],[Percentage of Suppliers - Raw]]/$C$151</f>
        <v>9.1450883682696257E-3</v>
      </c>
      <c r="E10" s="23">
        <v>3.7000000000000002E-3</v>
      </c>
      <c r="F10" s="40">
        <f>Tabella113[[#This Row],[Percentage of Supplier''s Facilities - Raw]]/$E$151</f>
        <v>3.715978708446319E-3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Tabella113[[#This Row],[Percentage of Suppliers - Raw]]/$C$151</f>
        <v>0</v>
      </c>
      <c r="E11" s="23">
        <v>0</v>
      </c>
      <c r="F11" s="40">
        <f>Tabella113[[#This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Tabella113[[#This Row],[Percentage of Suppliers - Raw]]/$C$151</f>
        <v>0</v>
      </c>
      <c r="E12" s="23">
        <v>0</v>
      </c>
      <c r="F12" s="40">
        <f>Tabella113[[#This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Tabella113[[#This Row],[Percentage of Suppliers - Raw]]/$C$151</f>
        <v>0</v>
      </c>
      <c r="E13" s="23">
        <v>0</v>
      </c>
      <c r="F13" s="40">
        <f>Tabella113[[#This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Tabella113[[#This Row],[Percentage of Suppliers - Raw]]/$C$151</f>
        <v>0</v>
      </c>
      <c r="E14" s="23">
        <v>0</v>
      </c>
      <c r="F14" s="40">
        <f>Tabella113[[#This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Tabella113[[#This Row],[Percentage of Suppliers - Raw]]/$C$151</f>
        <v>0</v>
      </c>
      <c r="E15" s="23">
        <v>3.4000000000000002E-3</v>
      </c>
      <c r="F15" s="40">
        <f>Tabella113[[#This Row],[Percentage of Supplier''s Facilities - Raw]]/$E$151</f>
        <v>3.4146831374912119E-3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Tabella113[[#This Row],[Percentage of Suppliers - Raw]]/$C$151</f>
        <v>0</v>
      </c>
      <c r="E16" s="23">
        <v>0</v>
      </c>
      <c r="F16" s="40">
        <f>Tabella113[[#This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Tabella113[[#This Row],[Percentage of Suppliers - Raw]]/$C$151</f>
        <v>0</v>
      </c>
      <c r="E17" s="23">
        <v>0</v>
      </c>
      <c r="F17" s="40">
        <f>Tabella113[[#This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Tabella113[[#This Row],[Percentage of Suppliers - Raw]]/$C$151</f>
        <v>0</v>
      </c>
      <c r="E18" s="23">
        <v>0</v>
      </c>
      <c r="F18" s="40">
        <f>Tabella113[[#This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Tabella113[[#This Row],[Percentage of Suppliers - Raw]]/$C$151</f>
        <v>0</v>
      </c>
      <c r="E19" s="23">
        <v>0</v>
      </c>
      <c r="F19" s="40">
        <f>Tabella113[[#This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Tabella113[[#This Row],[Percentage of Suppliers - Raw]]/$C$151</f>
        <v>0</v>
      </c>
      <c r="E20" s="23">
        <v>0</v>
      </c>
      <c r="F20" s="40">
        <f>Tabella113[[#This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Tabella113[[#This Row],[Percentage of Suppliers - Raw]]/$C$151</f>
        <v>0</v>
      </c>
      <c r="E21" s="23">
        <v>1.49E-2</v>
      </c>
      <c r="F21" s="40">
        <f>Tabella113[[#This Row],[Percentage of Supplier''s Facilities - Raw]]/$E$151</f>
        <v>1.4964346690770311E-2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Tabella113[[#This Row],[Percentage of Suppliers - Raw]]/$C$151</f>
        <v>0</v>
      </c>
      <c r="E22" s="23">
        <v>2.9999999999999997E-4</v>
      </c>
      <c r="F22" s="40">
        <f>Tabella113[[#This Row],[Percentage of Supplier''s Facilities - Raw]]/$E$151</f>
        <v>3.012955709551069E-4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Tabella113[[#This Row],[Percentage of Suppliers - Raw]]/$C$151</f>
        <v>0</v>
      </c>
      <c r="E23" s="23">
        <v>0</v>
      </c>
      <c r="F23" s="40">
        <f>Tabella113[[#This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Tabella113[[#This Row],[Percentage of Suppliers - Raw]]/$C$151</f>
        <v>0</v>
      </c>
      <c r="E24" s="23">
        <v>0</v>
      </c>
      <c r="F24" s="40">
        <f>Tabella113[[#This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Tabella113[[#This Row],[Percentage of Suppliers - Raw]]/$C$151</f>
        <v>0</v>
      </c>
      <c r="E25" s="23">
        <v>0</v>
      </c>
      <c r="F25" s="40">
        <f>Tabella113[[#This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Tabella113[[#This Row],[Percentage of Suppliers - Raw]]/$C$151</f>
        <v>0</v>
      </c>
      <c r="E26" s="23">
        <v>0</v>
      </c>
      <c r="F26" s="40">
        <f>Tabella113[[#This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2.6800000000000001E-2</v>
      </c>
      <c r="D27" s="36">
        <f>Tabella113[[#This Row],[Percentage of Suppliers - Raw]]/$C$151</f>
        <v>2.7538018906699546E-2</v>
      </c>
      <c r="E27" s="23">
        <v>3.0099999999999998E-2</v>
      </c>
      <c r="F27" s="40">
        <f>Tabella113[[#This Row],[Percentage of Supplier''s Facilities - Raw]]/$E$151</f>
        <v>3.0229988952495724E-2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Tabella113[[#This Row],[Percentage of Suppliers - Raw]]/$C$151</f>
        <v>0</v>
      </c>
      <c r="E28" s="23">
        <v>0</v>
      </c>
      <c r="F28" s="40">
        <f>Tabella113[[#This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Tabella113[[#This Row],[Percentage of Suppliers - Raw]]/$C$151</f>
        <v>0</v>
      </c>
      <c r="E29" s="23">
        <v>0</v>
      </c>
      <c r="F29" s="40">
        <f>Tabella113[[#This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Tabella113[[#This Row],[Percentage of Suppliers - Raw]]/$C$151</f>
        <v>0</v>
      </c>
      <c r="E30" s="23">
        <v>1.5E-3</v>
      </c>
      <c r="F30" s="40">
        <f>Tabella113[[#This Row],[Percentage of Supplier''s Facilities - Raw]]/$E$151</f>
        <v>1.5064778547755346E-3</v>
      </c>
    </row>
    <row r="31" spans="1:7" ht="19" x14ac:dyDescent="0.25">
      <c r="A31" s="31" t="s">
        <v>43</v>
      </c>
      <c r="B31" s="50">
        <v>4.26</v>
      </c>
      <c r="C31" s="22">
        <v>0.1071</v>
      </c>
      <c r="D31" s="36">
        <f>Tabella113[[#This Row],[Percentage of Suppliers - Raw]]/$C$151</f>
        <v>0.11004932182490751</v>
      </c>
      <c r="E31" s="23">
        <v>6.6699999999999995E-2</v>
      </c>
      <c r="F31" s="40">
        <f>Tabella113[[#This Row],[Percentage of Supplier''s Facilities - Raw]]/$E$151</f>
        <v>6.698804860901876E-2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Tabella113[[#This Row],[Percentage of Suppliers - Raw]]/$C$151</f>
        <v>0</v>
      </c>
      <c r="E32" s="23">
        <v>2.5000000000000001E-3</v>
      </c>
      <c r="F32" s="40">
        <f>Tabella113[[#This Row],[Percentage of Supplier''s Facilities - Raw]]/$E$151</f>
        <v>2.5107964246258909E-3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Tabella113[[#This Row],[Percentage of Suppliers - Raw]]/$C$151</f>
        <v>0</v>
      </c>
      <c r="E33" s="23">
        <v>0</v>
      </c>
      <c r="F33" s="40">
        <f>Tabella113[[#This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Tabella113[[#This Row],[Percentage of Suppliers - Raw]]/$C$151</f>
        <v>0</v>
      </c>
      <c r="E34" s="23">
        <v>1.1999999999999999E-3</v>
      </c>
      <c r="F34" s="40">
        <f>Tabella113[[#This Row],[Percentage of Supplier''s Facilities - Raw]]/$E$151</f>
        <v>1.2051822838204276E-3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Tabella113[[#This Row],[Percentage of Suppliers - Raw]]/$C$151</f>
        <v>0</v>
      </c>
      <c r="E35" s="23">
        <v>2.9999999999999997E-4</v>
      </c>
      <c r="F35" s="40">
        <f>Tabella113[[#This Row],[Percentage of Supplier''s Facilities - Raw]]/$E$151</f>
        <v>3.012955709551069E-4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Tabella113[[#This Row],[Percentage of Suppliers - Raw]]/$C$151</f>
        <v>0</v>
      </c>
      <c r="E36" s="23">
        <v>2.9999999999999997E-4</v>
      </c>
      <c r="F36" s="40">
        <f>Tabella113[[#This Row],[Percentage of Supplier''s Facilities - Raw]]/$E$151</f>
        <v>3.012955709551069E-4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Tabella113[[#This Row],[Percentage of Suppliers - Raw]]/$C$151</f>
        <v>0</v>
      </c>
      <c r="E37" s="23">
        <v>0</v>
      </c>
      <c r="F37" s="40">
        <f>Tabella113[[#This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Tabella113[[#This Row],[Percentage of Suppliers - Raw]]/$C$151</f>
        <v>0</v>
      </c>
      <c r="E38" s="23">
        <v>4.3E-3</v>
      </c>
      <c r="F38" s="40">
        <f>Tabella113[[#This Row],[Percentage of Supplier''s Facilities - Raw]]/$E$151</f>
        <v>4.3185698503565321E-3</v>
      </c>
    </row>
    <row r="39" spans="1:6" ht="19" x14ac:dyDescent="0.25">
      <c r="A39" s="31" t="s">
        <v>52</v>
      </c>
      <c r="B39" s="75">
        <v>3.2</v>
      </c>
      <c r="C39" s="22">
        <v>8.8999999999999999E-3</v>
      </c>
      <c r="D39" s="36">
        <f>Tabella113[[#This Row],[Percentage of Suppliers - Raw]]/$C$151</f>
        <v>9.1450883682696257E-3</v>
      </c>
      <c r="E39" s="23">
        <v>1.5E-3</v>
      </c>
      <c r="F39" s="40">
        <f>Tabella113[[#This Row],[Percentage of Supplier''s Facilities - Raw]]/$E$151</f>
        <v>1.5064778547755346E-3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Tabella113[[#This Row],[Percentage of Suppliers - Raw]]/$C$151</f>
        <v>0</v>
      </c>
      <c r="E40" s="23">
        <v>0</v>
      </c>
      <c r="F40" s="40">
        <f>Tabella113[[#This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Tabella113[[#This Row],[Percentage of Suppliers - Raw]]/$C$151</f>
        <v>0</v>
      </c>
      <c r="E41" s="23">
        <v>5.9999999999999995E-4</v>
      </c>
      <c r="F41" s="40">
        <f>Tabella113[[#This Row],[Percentage of Supplier''s Facilities - Raw]]/$E$151</f>
        <v>6.0259114191021381E-4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Tabella113[[#This Row],[Percentage of Suppliers - Raw]]/$C$151</f>
        <v>0</v>
      </c>
      <c r="E42" s="23">
        <v>0</v>
      </c>
      <c r="F42" s="40">
        <f>Tabella113[[#This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Tabella113[[#This Row],[Percentage of Suppliers - Raw]]/$C$151</f>
        <v>0</v>
      </c>
      <c r="E43" s="23">
        <v>1.9E-3</v>
      </c>
      <c r="F43" s="40">
        <f>Tabella113[[#This Row],[Percentage of Supplier''s Facilities - Raw]]/$E$151</f>
        <v>1.9082052827156771E-3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Tabella113[[#This Row],[Percentage of Suppliers - Raw]]/$C$151</f>
        <v>0</v>
      </c>
      <c r="E44" s="23">
        <v>0</v>
      </c>
      <c r="F44" s="40">
        <f>Tabella113[[#This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Tabella113[[#This Row],[Percentage of Suppliers - Raw]]/$C$151</f>
        <v>0</v>
      </c>
      <c r="E45" s="23">
        <v>5.9999999999999995E-4</v>
      </c>
      <c r="F45" s="40">
        <f>Tabella113[[#This Row],[Percentage of Supplier''s Facilities - Raw]]/$E$151</f>
        <v>6.0259114191021381E-4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Tabella113[[#This Row],[Percentage of Suppliers - Raw]]/$C$151</f>
        <v>0</v>
      </c>
      <c r="E46" s="23">
        <v>0</v>
      </c>
      <c r="F46" s="40">
        <f>Tabella113[[#This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Tabella113[[#This Row],[Percentage of Suppliers - Raw]]/$C$151</f>
        <v>0</v>
      </c>
      <c r="E47" s="23">
        <v>0</v>
      </c>
      <c r="F47" s="40">
        <f>Tabella113[[#This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Tabella113[[#This Row],[Percentage of Suppliers - Raw]]/$C$151</f>
        <v>0</v>
      </c>
      <c r="E48" s="23">
        <v>1.9E-3</v>
      </c>
      <c r="F48" s="40">
        <f>Tabella113[[#This Row],[Percentage of Supplier''s Facilities - Raw]]/$E$151</f>
        <v>1.9082052827156771E-3</v>
      </c>
    </row>
    <row r="49" spans="1:6" ht="19" x14ac:dyDescent="0.25">
      <c r="A49" s="31" t="s">
        <v>62</v>
      </c>
      <c r="B49" s="84">
        <v>3.65</v>
      </c>
      <c r="C49" s="22">
        <v>0</v>
      </c>
      <c r="D49" s="36">
        <f>Tabella113[[#This Row],[Percentage of Suppliers - Raw]]/$C$151</f>
        <v>0</v>
      </c>
      <c r="E49" s="23">
        <v>2.2599999999999999E-2</v>
      </c>
      <c r="F49" s="40">
        <f>Tabella113[[#This Row],[Percentage of Supplier''s Facilities - Raw]]/$E$151</f>
        <v>2.2697599678618053E-2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Tabella113[[#This Row],[Percentage of Suppliers - Raw]]/$C$151</f>
        <v>0</v>
      </c>
      <c r="E50" s="23">
        <v>0</v>
      </c>
      <c r="F50" s="40">
        <f>Tabella113[[#This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Tabella113[[#This Row],[Percentage of Suppliers - Raw]]/$C$151</f>
        <v>0</v>
      </c>
      <c r="E51" s="23">
        <v>0</v>
      </c>
      <c r="F51" s="40">
        <f>Tabella113[[#This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Tabella113[[#This Row],[Percentage of Suppliers - Raw]]/$C$151</f>
        <v>0</v>
      </c>
      <c r="E52" s="23">
        <v>0</v>
      </c>
      <c r="F52" s="40">
        <f>Tabella113[[#This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4.4600000000000001E-2</v>
      </c>
      <c r="D53" s="36">
        <f>Tabella113[[#This Row],[Percentage of Suppliers - Raw]]/$C$151</f>
        <v>4.5828195643238798E-2</v>
      </c>
      <c r="E53" s="23">
        <v>5.4900000000000004E-2</v>
      </c>
      <c r="F53" s="40">
        <f>Tabella113[[#This Row],[Percentage of Supplier''s Facilities - Raw]]/$E$151</f>
        <v>5.5137089484784567E-2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Tabella113[[#This Row],[Percentage of Suppliers - Raw]]/$C$151</f>
        <v>0</v>
      </c>
      <c r="E54" s="23">
        <v>2.9999999999999997E-4</v>
      </c>
      <c r="F54" s="40">
        <f>Tabella113[[#This Row],[Percentage of Supplier''s Facilities - Raw]]/$E$151</f>
        <v>3.012955709551069E-4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Tabella113[[#This Row],[Percentage of Suppliers - Raw]]/$C$151</f>
        <v>0</v>
      </c>
      <c r="E55" s="23">
        <v>8.9999999999999998E-4</v>
      </c>
      <c r="F55" s="40">
        <f>Tabella113[[#This Row],[Percentage of Supplier''s Facilities - Raw]]/$E$151</f>
        <v>9.0388671286532071E-4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Tabella113[[#This Row],[Percentage of Suppliers - Raw]]/$C$151</f>
        <v>0</v>
      </c>
      <c r="E56" s="23">
        <v>0</v>
      </c>
      <c r="F56" s="40">
        <f>Tabella113[[#This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Tabella113[[#This Row],[Percentage of Suppliers - Raw]]/$C$151</f>
        <v>0</v>
      </c>
      <c r="E57" s="23">
        <v>0</v>
      </c>
      <c r="F57" s="40">
        <f>Tabella113[[#This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Tabella113[[#This Row],[Percentage of Suppliers - Raw]]/$C$151</f>
        <v>0</v>
      </c>
      <c r="E58" s="23">
        <v>0</v>
      </c>
      <c r="F58" s="40">
        <f>Tabella113[[#This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Tabella113[[#This Row],[Percentage of Suppliers - Raw]]/$C$151</f>
        <v>0</v>
      </c>
      <c r="E59" s="23">
        <v>0</v>
      </c>
      <c r="F59" s="40">
        <f>Tabella113[[#This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Tabella113[[#This Row],[Percentage of Suppliers - Raw]]/$C$151</f>
        <v>0</v>
      </c>
      <c r="E60" s="23">
        <v>0</v>
      </c>
      <c r="F60" s="40">
        <f>Tabella113[[#This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Tabella113[[#This Row],[Percentage of Suppliers - Raw]]/$C$151</f>
        <v>0</v>
      </c>
      <c r="E61" s="23">
        <v>0</v>
      </c>
      <c r="F61" s="40">
        <f>Tabella113[[#This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Tabella113[[#This Row],[Percentage of Suppliers - Raw]]/$C$151</f>
        <v>0</v>
      </c>
      <c r="E62" s="23">
        <v>4.5999999999999999E-3</v>
      </c>
      <c r="F62" s="40">
        <f>Tabella113[[#This Row],[Percentage of Supplier''s Facilities - Raw]]/$E$151</f>
        <v>4.6198654213116391E-3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Tabella113[[#This Row],[Percentage of Suppliers - Raw]]/$C$151</f>
        <v>0</v>
      </c>
      <c r="E63" s="23">
        <v>0</v>
      </c>
      <c r="F63" s="40">
        <f>Tabella113[[#This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2.6800000000000001E-2</v>
      </c>
      <c r="D64" s="36">
        <f>Tabella113[[#This Row],[Percentage of Suppliers - Raw]]/$C$151</f>
        <v>2.7538018906699546E-2</v>
      </c>
      <c r="E64" s="23">
        <v>1.9799999999999998E-2</v>
      </c>
      <c r="F64" s="40">
        <f>Tabella113[[#This Row],[Percentage of Supplier''s Facilities - Raw]]/$E$151</f>
        <v>1.9885507683037054E-2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Tabella113[[#This Row],[Percentage of Suppliers - Raw]]/$C$151</f>
        <v>0</v>
      </c>
      <c r="E65" s="23">
        <v>3.4000000000000002E-3</v>
      </c>
      <c r="F65" s="40">
        <f>Tabella113[[#This Row],[Percentage of Supplier''s Facilities - Raw]]/$E$151</f>
        <v>3.4146831374912119E-3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Tabella113[[#This Row],[Percentage of Suppliers - Raw]]/$C$151</f>
        <v>0</v>
      </c>
      <c r="E66" s="23">
        <v>0</v>
      </c>
      <c r="F66" s="40">
        <f>Tabella113[[#This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Tabella113[[#This Row],[Percentage of Suppliers - Raw]]/$C$151</f>
        <v>0</v>
      </c>
      <c r="E67" s="23">
        <v>0</v>
      </c>
      <c r="F67" s="40">
        <f>Tabella113[[#This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Tabella113[[#This Row],[Percentage of Suppliers - Raw]]/$C$151</f>
        <v>0</v>
      </c>
      <c r="E68" s="23">
        <v>4.5999999999999999E-3</v>
      </c>
      <c r="F68" s="40">
        <f>Tabella113[[#This Row],[Percentage of Supplier''s Facilities - Raw]]/$E$151</f>
        <v>4.6198654213116391E-3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Tabella113[[#This Row],[Percentage of Suppliers - Raw]]/$C$151</f>
        <v>0</v>
      </c>
      <c r="E69" s="23">
        <v>5.6000000000000008E-3</v>
      </c>
      <c r="F69" s="40">
        <f>Tabella113[[#This Row],[Percentage of Supplier''s Facilities - Raw]]/$E$151</f>
        <v>5.6241839911619967E-3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Tabella113[[#This Row],[Percentage of Suppliers - Raw]]/$C$151</f>
        <v>0</v>
      </c>
      <c r="E70" s="23">
        <v>1.52E-2</v>
      </c>
      <c r="F70" s="40">
        <f>Tabella113[[#This Row],[Percentage of Supplier''s Facilities - Raw]]/$E$151</f>
        <v>1.5265642261725417E-2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Tabella113[[#This Row],[Percentage of Suppliers - Raw]]/$C$151</f>
        <v>0</v>
      </c>
      <c r="E71" s="23">
        <v>0</v>
      </c>
      <c r="F71" s="40">
        <f>Tabella113[[#This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8.0399999999999999E-2</v>
      </c>
      <c r="D72" s="36">
        <f>Tabella113[[#This Row],[Percentage of Suppliers - Raw]]/$C$151</f>
        <v>8.2614056720098639E-2</v>
      </c>
      <c r="E72" s="23">
        <v>7.1900000000000006E-2</v>
      </c>
      <c r="F72" s="40">
        <f>Tabella113[[#This Row],[Percentage of Supplier''s Facilities - Raw]]/$E$151</f>
        <v>7.2210505172240633E-2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Tabella113[[#This Row],[Percentage of Suppliers - Raw]]/$C$151</f>
        <v>0</v>
      </c>
      <c r="E73" s="23">
        <v>0</v>
      </c>
      <c r="F73" s="40">
        <f>Tabella113[[#This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Tabella113[[#This Row],[Percentage of Suppliers - Raw]]/$C$151</f>
        <v>0</v>
      </c>
      <c r="E74" s="23">
        <v>0</v>
      </c>
      <c r="F74" s="40">
        <f>Tabella113[[#This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Tabella113[[#This Row],[Percentage of Suppliers - Raw]]/$C$151</f>
        <v>0</v>
      </c>
      <c r="E75" s="23">
        <v>0</v>
      </c>
      <c r="F75" s="40">
        <f>Tabella113[[#This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Tabella113[[#This Row],[Percentage of Suppliers - Raw]]/$C$151</f>
        <v>0</v>
      </c>
      <c r="E76" s="23">
        <v>0</v>
      </c>
      <c r="F76" s="40">
        <f>Tabella113[[#This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Tabella113[[#This Row],[Percentage of Suppliers - Raw]]/$C$151</f>
        <v>0</v>
      </c>
      <c r="E77" s="23">
        <v>0</v>
      </c>
      <c r="F77" s="40">
        <f>Tabella113[[#This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Tabella113[[#This Row],[Percentage of Suppliers - Raw]]/$C$151</f>
        <v>0</v>
      </c>
      <c r="E78" s="23">
        <v>0</v>
      </c>
      <c r="F78" s="40">
        <f>Tabella113[[#This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Tabella113[[#This Row],[Percentage of Suppliers - Raw]]/$C$151</f>
        <v>0</v>
      </c>
      <c r="E79" s="23">
        <v>0</v>
      </c>
      <c r="F79" s="40">
        <f>Tabella113[[#This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Tabella113[[#This Row],[Percentage of Suppliers - Raw]]/$C$151</f>
        <v>0</v>
      </c>
      <c r="E80" s="23">
        <v>0</v>
      </c>
      <c r="F80" s="40">
        <f>Tabella113[[#This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Tabella113[[#This Row],[Percentage of Suppliers - Raw]]/$C$151</f>
        <v>0</v>
      </c>
      <c r="E81" s="23">
        <v>0</v>
      </c>
      <c r="F81" s="40">
        <f>Tabella113[[#This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Tabella113[[#This Row],[Percentage of Suppliers - Raw]]/$C$151</f>
        <v>0</v>
      </c>
      <c r="E82" s="23">
        <v>0</v>
      </c>
      <c r="F82" s="40">
        <f>Tabella113[[#This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Tabella113[[#This Row],[Percentage of Suppliers - Raw]]/$C$151</f>
        <v>0</v>
      </c>
      <c r="E83" s="23">
        <v>0</v>
      </c>
      <c r="F83" s="40">
        <f>Tabella113[[#This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Tabella113[[#This Row],[Percentage of Suppliers - Raw]]/$C$151</f>
        <v>0</v>
      </c>
      <c r="E84" s="23">
        <v>0</v>
      </c>
      <c r="F84" s="40">
        <f>Tabella113[[#This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Tabella113[[#This Row],[Percentage of Suppliers - Raw]]/$C$151</f>
        <v>0</v>
      </c>
      <c r="E85" s="23">
        <v>2.9999999999999997E-4</v>
      </c>
      <c r="F85" s="40">
        <f>Tabella113[[#This Row],[Percentage of Supplier''s Facilities - Raw]]/$E$151</f>
        <v>3.012955709551069E-4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Tabella113[[#This Row],[Percentage of Suppliers - Raw]]/$C$151</f>
        <v>0</v>
      </c>
      <c r="E86" s="23">
        <v>0</v>
      </c>
      <c r="F86" s="40">
        <f>Tabella113[[#This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Tabella113[[#This Row],[Percentage of Suppliers - Raw]]/$C$151</f>
        <v>0</v>
      </c>
      <c r="E87" s="23">
        <v>9.8999999999999991E-3</v>
      </c>
      <c r="F87" s="40">
        <f>Tabella113[[#This Row],[Percentage of Supplier''s Facilities - Raw]]/$E$151</f>
        <v>9.9427538415185271E-3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Tabella113[[#This Row],[Percentage of Suppliers - Raw]]/$C$151</f>
        <v>0</v>
      </c>
      <c r="E88" s="23">
        <v>0</v>
      </c>
      <c r="F88" s="40">
        <f>Tabella113[[#This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Tabella113[[#This Row],[Percentage of Suppliers - Raw]]/$C$151</f>
        <v>0</v>
      </c>
      <c r="E89" s="23">
        <v>0</v>
      </c>
      <c r="F89" s="40">
        <f>Tabella113[[#This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Tabella113[[#This Row],[Percentage of Suppliers - Raw]]/$C$151</f>
        <v>0</v>
      </c>
      <c r="E90" s="23">
        <v>0</v>
      </c>
      <c r="F90" s="40">
        <f>Tabella113[[#This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Tabella113[[#This Row],[Percentage of Suppliers - Raw]]/$C$151</f>
        <v>0</v>
      </c>
      <c r="E91" s="23">
        <v>2.76E-2</v>
      </c>
      <c r="F91" s="40">
        <f>Tabella113[[#This Row],[Percentage of Supplier''s Facilities - Raw]]/$E$151</f>
        <v>2.7719192527869835E-2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Tabella113[[#This Row],[Percentage of Suppliers - Raw]]/$C$151</f>
        <v>0</v>
      </c>
      <c r="E92" s="23">
        <v>0</v>
      </c>
      <c r="F92" s="40">
        <f>Tabella113[[#This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Tabella113[[#This Row],[Percentage of Suppliers - Raw]]/$C$151</f>
        <v>0</v>
      </c>
      <c r="E93" s="23">
        <v>0</v>
      </c>
      <c r="F93" s="40">
        <f>Tabella113[[#This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Tabella113[[#This Row],[Percentage of Suppliers - Raw]]/$C$151</f>
        <v>0</v>
      </c>
      <c r="E94" s="23">
        <v>1.9E-3</v>
      </c>
      <c r="F94" s="40">
        <f>Tabella113[[#This Row],[Percentage of Supplier''s Facilities - Raw]]/$E$151</f>
        <v>1.9082052827156771E-3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Tabella113[[#This Row],[Percentage of Suppliers - Raw]]/$C$151</f>
        <v>0</v>
      </c>
      <c r="E95" s="23">
        <v>0</v>
      </c>
      <c r="F95" s="40">
        <f>Tabella113[[#This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Tabella113[[#This Row],[Percentage of Suppliers - Raw]]/$C$151</f>
        <v>0</v>
      </c>
      <c r="E96" s="23">
        <v>0</v>
      </c>
      <c r="F96" s="40">
        <f>Tabella113[[#This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Tabella113[[#This Row],[Percentage of Suppliers - Raw]]/$C$151</f>
        <v>0</v>
      </c>
      <c r="E97" s="23">
        <v>0</v>
      </c>
      <c r="F97" s="40">
        <f>Tabella113[[#This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1.7899999999999999E-2</v>
      </c>
      <c r="D98" s="36">
        <f>Tabella113[[#This Row],[Percentage of Suppliers - Raw]]/$C$151</f>
        <v>1.839293053842992E-2</v>
      </c>
      <c r="E98" s="23">
        <v>6.8000000000000005E-3</v>
      </c>
      <c r="F98" s="40">
        <f>Tabella113[[#This Row],[Percentage of Supplier''s Facilities - Raw]]/$E$151</f>
        <v>6.8293662749824239E-3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Tabella113[[#This Row],[Percentage of Suppliers - Raw]]/$C$151</f>
        <v>0</v>
      </c>
      <c r="E99" s="23">
        <v>1.9E-3</v>
      </c>
      <c r="F99" s="40">
        <f>Tabella113[[#This Row],[Percentage of Supplier''s Facilities - Raw]]/$E$151</f>
        <v>1.9082052827156771E-3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Tabella113[[#This Row],[Percentage of Suppliers - Raw]]/$C$151</f>
        <v>0</v>
      </c>
      <c r="E100" s="23">
        <v>0</v>
      </c>
      <c r="F100" s="40">
        <f>Tabella113[[#This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Tabella113[[#This Row],[Percentage of Suppliers - Raw]]/$C$151</f>
        <v>0</v>
      </c>
      <c r="E101" s="23">
        <v>0</v>
      </c>
      <c r="F101" s="40">
        <f>Tabella113[[#This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Tabella113[[#This Row],[Percentage of Suppliers - Raw]]/$C$151</f>
        <v>0</v>
      </c>
      <c r="E102" s="23">
        <v>0</v>
      </c>
      <c r="F102" s="40">
        <f>Tabella113[[#This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Tabella113[[#This Row],[Percentage of Suppliers - Raw]]/$C$151</f>
        <v>0</v>
      </c>
      <c r="E103" s="23">
        <v>0</v>
      </c>
      <c r="F103" s="40">
        <f>Tabella113[[#This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8.8999999999999999E-3</v>
      </c>
      <c r="D104" s="36">
        <f>Tabella113[[#This Row],[Percentage of Suppliers - Raw]]/$C$151</f>
        <v>9.1450883682696257E-3</v>
      </c>
      <c r="E104" s="23">
        <v>1.1999999999999999E-3</v>
      </c>
      <c r="F104" s="40">
        <f>Tabella113[[#This Row],[Percentage of Supplier''s Facilities - Raw]]/$E$151</f>
        <v>1.2051822838204276E-3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Tabella113[[#This Row],[Percentage of Suppliers - Raw]]/$C$151</f>
        <v>0</v>
      </c>
      <c r="E105" s="23">
        <v>2.9999999999999997E-4</v>
      </c>
      <c r="F105" s="40">
        <f>Tabella113[[#This Row],[Percentage of Supplier''s Facilities - Raw]]/$E$151</f>
        <v>3.012955709551069E-4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Tabella113[[#This Row],[Percentage of Suppliers - Raw]]/$C$151</f>
        <v>0</v>
      </c>
      <c r="E106" s="23">
        <v>8.9999999999999998E-4</v>
      </c>
      <c r="F106" s="40">
        <f>Tabella113[[#This Row],[Percentage of Supplier''s Facilities - Raw]]/$E$151</f>
        <v>9.0388671286532071E-4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Tabella113[[#This Row],[Percentage of Suppliers - Raw]]/$C$151</f>
        <v>0</v>
      </c>
      <c r="E107" s="23">
        <v>0</v>
      </c>
      <c r="F107" s="40">
        <f>Tabella113[[#This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Tabella113[[#This Row],[Percentage of Suppliers - Raw]]/$C$151</f>
        <v>0</v>
      </c>
      <c r="E108" s="23">
        <v>0</v>
      </c>
      <c r="F108" s="40">
        <f>Tabella113[[#This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Tabella113[[#This Row],[Percentage of Suppliers - Raw]]/$C$151</f>
        <v>0</v>
      </c>
      <c r="E109" s="23">
        <v>0</v>
      </c>
      <c r="F109" s="40">
        <f>Tabella113[[#This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Tabella113[[#This Row],[Percentage of Suppliers - Raw]]/$C$151</f>
        <v>0</v>
      </c>
      <c r="E110" s="23">
        <v>0</v>
      </c>
      <c r="F110" s="40">
        <f>Tabella113[[#This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Tabella113[[#This Row],[Percentage of Suppliers - Raw]]/$C$151</f>
        <v>0</v>
      </c>
      <c r="E111" s="23">
        <v>1.1999999999999999E-3</v>
      </c>
      <c r="F111" s="40">
        <f>Tabella113[[#This Row],[Percentage of Supplier''s Facilities - Raw]]/$E$151</f>
        <v>1.2051822838204276E-3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Tabella113[[#This Row],[Percentage of Suppliers - Raw]]/$C$151</f>
        <v>0</v>
      </c>
      <c r="E112" s="23">
        <v>9.8999999999999991E-3</v>
      </c>
      <c r="F112" s="40">
        <f>Tabella113[[#This Row],[Percentage of Supplier''s Facilities - Raw]]/$E$151</f>
        <v>9.9427538415185271E-3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Tabella113[[#This Row],[Percentage of Suppliers - Raw]]/$C$151</f>
        <v>0</v>
      </c>
      <c r="E113" s="23">
        <v>5.9999999999999995E-4</v>
      </c>
      <c r="F113" s="40">
        <f>Tabella113[[#This Row],[Percentage of Supplier''s Facilities - Raw]]/$E$151</f>
        <v>6.0259114191021381E-4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Tabella113[[#This Row],[Percentage of Suppliers - Raw]]/$C$151</f>
        <v>0</v>
      </c>
      <c r="E114" s="23">
        <v>0</v>
      </c>
      <c r="F114" s="40">
        <f>Tabella113[[#This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Tabella113[[#This Row],[Percentage of Suppliers - Raw]]/$C$151</f>
        <v>0</v>
      </c>
      <c r="E115" s="23">
        <v>5.9999999999999995E-4</v>
      </c>
      <c r="F115" s="40">
        <f>Tabella113[[#This Row],[Percentage of Supplier''s Facilities - Raw]]/$E$151</f>
        <v>6.0259114191021381E-4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Tabella113[[#This Row],[Percentage of Suppliers - Raw]]/$C$151</f>
        <v>0</v>
      </c>
      <c r="E116" s="23">
        <v>2.2000000000000001E-3</v>
      </c>
      <c r="F116" s="40">
        <f>Tabella113[[#This Row],[Percentage of Supplier''s Facilities - Raw]]/$E$151</f>
        <v>2.2095008536707843E-3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Tabella113[[#This Row],[Percentage of Suppliers - Raw]]/$C$151</f>
        <v>0</v>
      </c>
      <c r="E117" s="23">
        <v>0</v>
      </c>
      <c r="F117" s="40">
        <f>Tabella113[[#This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Tabella113[[#This Row],[Percentage of Suppliers - Raw]]/$C$151</f>
        <v>0</v>
      </c>
      <c r="E118" s="23">
        <v>4.5999999999999999E-3</v>
      </c>
      <c r="F118" s="40">
        <f>Tabella113[[#This Row],[Percentage of Supplier''s Facilities - Raw]]/$E$151</f>
        <v>4.6198654213116391E-3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Tabella113[[#This Row],[Percentage of Suppliers - Raw]]/$C$151</f>
        <v>0</v>
      </c>
      <c r="E119" s="23">
        <v>0</v>
      </c>
      <c r="F119" s="40">
        <f>Tabella113[[#This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Tabella113[[#This Row],[Percentage of Suppliers - Raw]]/$C$151</f>
        <v>0</v>
      </c>
      <c r="E120" s="23">
        <v>0</v>
      </c>
      <c r="F120" s="40">
        <f>Tabella113[[#This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Tabella113[[#This Row],[Percentage of Suppliers - Raw]]/$C$151</f>
        <v>0</v>
      </c>
      <c r="E121" s="23">
        <v>0</v>
      </c>
      <c r="F121" s="40">
        <f>Tabella113[[#This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Tabella113[[#This Row],[Percentage of Suppliers - Raw]]/$C$151</f>
        <v>0</v>
      </c>
      <c r="E122" s="23">
        <v>6.1999999999999998E-3</v>
      </c>
      <c r="F122" s="40">
        <f>Tabella113[[#This Row],[Percentage of Supplier''s Facilities - Raw]]/$E$151</f>
        <v>6.226775133072209E-3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Tabella113[[#This Row],[Percentage of Suppliers - Raw]]/$C$151</f>
        <v>0</v>
      </c>
      <c r="E123" s="23">
        <v>1.1999999999999999E-3</v>
      </c>
      <c r="F123" s="40">
        <f>Tabella113[[#This Row],[Percentage of Supplier''s Facilities - Raw]]/$E$151</f>
        <v>1.2051822838204276E-3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Tabella113[[#This Row],[Percentage of Suppliers - Raw]]/$C$151</f>
        <v>0</v>
      </c>
      <c r="E124" s="23">
        <v>0</v>
      </c>
      <c r="F124" s="40">
        <f>Tabella113[[#This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Tabella113[[#This Row],[Percentage of Suppliers - Raw]]/$C$151</f>
        <v>0</v>
      </c>
      <c r="E125" s="23">
        <v>1.9E-3</v>
      </c>
      <c r="F125" s="40">
        <f>Tabella113[[#This Row],[Percentage of Supplier''s Facilities - Raw]]/$E$151</f>
        <v>1.9082052827156771E-3</v>
      </c>
    </row>
    <row r="126" spans="1:6" ht="19" x14ac:dyDescent="0.25">
      <c r="A126" s="31" t="s">
        <v>139</v>
      </c>
      <c r="B126" s="151">
        <v>3.57</v>
      </c>
      <c r="C126" s="22">
        <v>2.6800000000000001E-2</v>
      </c>
      <c r="D126" s="36">
        <f>Tabella113[[#This Row],[Percentage of Suppliers - Raw]]/$C$151</f>
        <v>2.7538018906699546E-2</v>
      </c>
      <c r="E126" s="23">
        <v>5.8999999999999999E-3</v>
      </c>
      <c r="F126" s="40">
        <f>Tabella113[[#This Row],[Percentage of Supplier''s Facilities - Raw]]/$E$151</f>
        <v>5.9254795621171029E-3</v>
      </c>
    </row>
    <row r="127" spans="1:6" ht="19" x14ac:dyDescent="0.25">
      <c r="A127" s="31" t="s">
        <v>140</v>
      </c>
      <c r="B127" s="152">
        <v>3.7</v>
      </c>
      <c r="C127" s="22">
        <v>1.7899999999999999E-2</v>
      </c>
      <c r="D127" s="36">
        <f>Tabella113[[#This Row],[Percentage of Suppliers - Raw]]/$C$151</f>
        <v>1.839293053842992E-2</v>
      </c>
      <c r="E127" s="23">
        <v>1.5800000000000002E-2</v>
      </c>
      <c r="F127" s="40">
        <f>Tabella113[[#This Row],[Percentage of Supplier''s Facilities - Raw]]/$E$151</f>
        <v>1.5868233403635631E-2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Tabella113[[#This Row],[Percentage of Suppliers - Raw]]/$C$151</f>
        <v>0</v>
      </c>
      <c r="E128" s="23">
        <v>0</v>
      </c>
      <c r="F128" s="40">
        <f>Tabella113[[#This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Tabella113[[#This Row],[Percentage of Suppliers - Raw]]/$C$151</f>
        <v>0</v>
      </c>
      <c r="E129" s="23">
        <v>0</v>
      </c>
      <c r="F129" s="40">
        <f>Tabella113[[#This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8.8999999999999999E-3</v>
      </c>
      <c r="D130" s="36">
        <f>Tabella113[[#This Row],[Percentage of Suppliers - Raw]]/$C$151</f>
        <v>9.1450883682696257E-3</v>
      </c>
      <c r="E130" s="23">
        <v>4.3E-3</v>
      </c>
      <c r="F130" s="40">
        <f>Tabella113[[#This Row],[Percentage of Supplier''s Facilities - Raw]]/$E$151</f>
        <v>4.3185698503565321E-3</v>
      </c>
    </row>
    <row r="131" spans="1:6" ht="19" x14ac:dyDescent="0.25">
      <c r="A131" s="31" t="s">
        <v>144</v>
      </c>
      <c r="B131" s="154">
        <v>2.78</v>
      </c>
      <c r="C131" s="22">
        <v>2.6800000000000001E-2</v>
      </c>
      <c r="D131" s="36">
        <f>Tabella113[[#This Row],[Percentage of Suppliers - Raw]]/$C$151</f>
        <v>2.7538018906699546E-2</v>
      </c>
      <c r="E131" s="23">
        <v>6.8000000000000005E-3</v>
      </c>
      <c r="F131" s="40">
        <f>Tabella113[[#This Row],[Percentage of Supplier''s Facilities - Raw]]/$E$151</f>
        <v>6.8293662749824239E-3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Tabella113[[#This Row],[Percentage of Suppliers - Raw]]/$C$151</f>
        <v>0</v>
      </c>
      <c r="E132" s="23">
        <v>0</v>
      </c>
      <c r="F132" s="40">
        <f>Tabella113[[#This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Tabella113[[#This Row],[Percentage of Suppliers - Raw]]/$C$151</f>
        <v>0</v>
      </c>
      <c r="E133" s="23">
        <v>0</v>
      </c>
      <c r="F133" s="40">
        <f>Tabella113[[#This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Tabella113[[#This Row],[Percentage of Suppliers - Raw]]/$C$151</f>
        <v>0</v>
      </c>
      <c r="E134" s="23">
        <v>4.3E-3</v>
      </c>
      <c r="F134" s="40">
        <f>Tabella113[[#This Row],[Percentage of Supplier''s Facilities - Raw]]/$E$151</f>
        <v>4.3185698503565321E-3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Tabella113[[#This Row],[Percentage of Suppliers - Raw]]/$C$151</f>
        <v>0</v>
      </c>
      <c r="E135" s="23">
        <v>0</v>
      </c>
      <c r="F135" s="40">
        <f>Tabella113[[#This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Tabella113[[#This Row],[Percentage of Suppliers - Raw]]/$C$151</f>
        <v>0</v>
      </c>
      <c r="E136" s="23">
        <v>0</v>
      </c>
      <c r="F136" s="40">
        <f>Tabella113[[#This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Tabella113[[#This Row],[Percentage of Suppliers - Raw]]/$C$151</f>
        <v>0</v>
      </c>
      <c r="E137" s="23">
        <v>0</v>
      </c>
      <c r="F137" s="40">
        <f>Tabella113[[#This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Tabella113[[#This Row],[Percentage of Suppliers - Raw]]/$C$151</f>
        <v>0</v>
      </c>
      <c r="E138" s="23">
        <v>2.9999999999999997E-4</v>
      </c>
      <c r="F138" s="40">
        <f>Tabella113[[#This Row],[Percentage of Supplier''s Facilities - Raw]]/$E$151</f>
        <v>3.012955709551069E-4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Tabella113[[#This Row],[Percentage of Suppliers - Raw]]/$C$151</f>
        <v>0</v>
      </c>
      <c r="E139" s="23">
        <v>2.8000000000000004E-3</v>
      </c>
      <c r="F139" s="40">
        <f>Tabella113[[#This Row],[Percentage of Supplier''s Facilities - Raw]]/$E$151</f>
        <v>2.8120919955809984E-3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Tabella113[[#This Row],[Percentage of Suppliers - Raw]]/$C$151</f>
        <v>0</v>
      </c>
      <c r="E140" s="23">
        <v>0</v>
      </c>
      <c r="F140" s="40">
        <f>Tabella113[[#This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Tabella113[[#This Row],[Percentage of Suppliers - Raw]]/$C$151</f>
        <v>0</v>
      </c>
      <c r="E141" s="23">
        <v>8.9999999999999998E-4</v>
      </c>
      <c r="F141" s="40">
        <f>Tabella113[[#This Row],[Percentage of Supplier''s Facilities - Raw]]/$E$151</f>
        <v>9.0388671286532071E-4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Tabella113[[#This Row],[Percentage of Suppliers - Raw]]/$C$151</f>
        <v>0</v>
      </c>
      <c r="E142" s="23">
        <v>2.8000000000000004E-3</v>
      </c>
      <c r="F142" s="40">
        <f>Tabella113[[#This Row],[Percentage of Supplier''s Facilities - Raw]]/$E$151</f>
        <v>2.8120919955809984E-3</v>
      </c>
    </row>
    <row r="143" spans="1:6" ht="19" x14ac:dyDescent="0.25">
      <c r="A143" s="31" t="s">
        <v>156</v>
      </c>
      <c r="B143" s="128">
        <v>3.32</v>
      </c>
      <c r="C143" s="22">
        <v>4.4600000000000001E-2</v>
      </c>
      <c r="D143" s="36">
        <f>Tabella113[[#This Row],[Percentage of Suppliers - Raw]]/$C$151</f>
        <v>4.5828195643238798E-2</v>
      </c>
      <c r="E143" s="23">
        <v>3.8699999999999998E-2</v>
      </c>
      <c r="F143" s="40">
        <f>Tabella113[[#This Row],[Percentage of Supplier''s Facilities - Raw]]/$E$151</f>
        <v>3.8867128653208793E-2</v>
      </c>
    </row>
    <row r="144" spans="1:6" ht="19" x14ac:dyDescent="0.25">
      <c r="A144" s="31" t="s">
        <v>157</v>
      </c>
      <c r="B144" s="165">
        <v>4.1900000000000004</v>
      </c>
      <c r="C144" s="22">
        <v>0.5</v>
      </c>
      <c r="D144" s="36">
        <f>Tabella113[[#This Row],[Percentage of Suppliers - Raw]]/$C$151</f>
        <v>0.51376900945334969</v>
      </c>
      <c r="E144" s="23">
        <v>0.4783</v>
      </c>
      <c r="F144" s="40">
        <f>Tabella113[[#This Row],[Percentage of Supplier''s Facilities - Raw]]/$E$151</f>
        <v>0.48036557195942547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Tabella113[[#This Row],[Percentage of Suppliers - Raw]]/$C$151</f>
        <v>0</v>
      </c>
      <c r="E145" s="23">
        <v>0</v>
      </c>
      <c r="F145" s="40">
        <f>Tabella113[[#This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Tabella113[[#This Row],[Percentage of Suppliers - Raw]]/$C$151</f>
        <v>0</v>
      </c>
      <c r="E146" s="23">
        <v>2.9999999999999997E-4</v>
      </c>
      <c r="F146" s="40">
        <f>Tabella113[[#This Row],[Percentage of Supplier''s Facilities - Raw]]/$E$151</f>
        <v>3.012955709551069E-4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Tabella113[[#This Row],[Percentage of Suppliers - Raw]]/$C$151</f>
        <v>0</v>
      </c>
      <c r="E147" s="23">
        <v>2.8000000000000004E-3</v>
      </c>
      <c r="F147" s="40">
        <f>Tabella113[[#This Row],[Percentage of Supplier''s Facilities - Raw]]/$E$151</f>
        <v>2.8120919955809984E-3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Tabella113[[#This Row],[Percentage of Suppliers - Raw]]/$C$151</f>
        <v>0</v>
      </c>
      <c r="E148" s="23">
        <v>0</v>
      </c>
      <c r="F148" s="40">
        <f>Tabella113[[#This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Tabella113[[#This Row],[Percentage of Suppliers - Raw]]/$C$151</f>
        <v>0</v>
      </c>
      <c r="E149" s="23">
        <v>0</v>
      </c>
      <c r="F149" s="40">
        <f>Tabella113[[#This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Tabella113[[#This Row],[Percentage of Suppliers - Raw]]/$C$151</f>
        <v>0</v>
      </c>
      <c r="E150" s="23">
        <v>0</v>
      </c>
      <c r="F150" s="40">
        <f>Tabella113[[#This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0.97320000000000007</v>
      </c>
      <c r="D151" s="39">
        <f>Tabella113[[#This Row],[Percentage of Suppliers - Raw]]/$C$151</f>
        <v>1</v>
      </c>
      <c r="E151" s="25">
        <f>SUM(E4:E150)</f>
        <v>0.99570000000000014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260-4268-8740-B443-1AC66E09E9B1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178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Tabella114[[#This Row],[Percentage of Suppliers - Raw]]/$C$151</f>
        <v>0</v>
      </c>
      <c r="E4" s="23">
        <v>0</v>
      </c>
      <c r="F4" s="40">
        <f>Tabella114[[#This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1.4500000000000001E-2</v>
      </c>
      <c r="D5" s="36">
        <f>Tabella114[[#This Row],[Percentage of Suppliers - Raw]]/$C$151</f>
        <v>1.5172125143873606E-2</v>
      </c>
      <c r="E5" s="23">
        <v>2.9999999999999997E-4</v>
      </c>
      <c r="F5" s="40">
        <f>Tabella114[[#This Row],[Percentage of Supplier''s Facilities - Raw]]/$E$151</f>
        <v>3.0269397638986987E-4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7.1999999999999998E-3</v>
      </c>
      <c r="D6" s="36">
        <f>Tabella114[[#This Row],[Percentage of Suppliers - Raw]]/$C$151</f>
        <v>7.5337448990268931E-3</v>
      </c>
      <c r="E6" s="23">
        <v>4.6999999999999993E-3</v>
      </c>
      <c r="F6" s="40">
        <f>Tabella114[[#This Row],[Percentage of Supplier''s Facilities - Raw]]/$E$151</f>
        <v>4.7422056301079617E-3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Tabella114[[#This Row],[Percentage of Suppliers - Raw]]/$C$151</f>
        <v>0</v>
      </c>
      <c r="E7" s="23">
        <v>0.01</v>
      </c>
      <c r="F7" s="40">
        <f>Tabella114[[#This Row],[Percentage of Supplier''s Facilities - Raw]]/$E$151</f>
        <v>1.0089799212995664E-2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Tabella114[[#This Row],[Percentage of Suppliers - Raw]]/$C$151</f>
        <v>0</v>
      </c>
      <c r="E8" s="23">
        <v>0</v>
      </c>
      <c r="F8" s="40">
        <f>Tabella114[[#This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0.21983886156743754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0.37705579658964794</v>
      </c>
    </row>
    <row r="9" spans="1:16" ht="23" thickBot="1" x14ac:dyDescent="0.35">
      <c r="A9" s="31" t="s">
        <v>19</v>
      </c>
      <c r="B9" s="48">
        <v>3.22</v>
      </c>
      <c r="C9" s="22">
        <v>7.1999999999999998E-3</v>
      </c>
      <c r="D9" s="36">
        <f>Tabella114[[#This Row],[Percentage of Suppliers - Raw]]/$C$151</f>
        <v>7.5337448990268931E-3</v>
      </c>
      <c r="E9" s="23">
        <v>1.41E-2</v>
      </c>
      <c r="F9" s="40">
        <f>Tabella114[[#This Row],[Percentage of Supplier''s Facilities - Raw]]/$E$151</f>
        <v>1.4226616890323885E-2</v>
      </c>
      <c r="H9" s="20" t="s">
        <v>20</v>
      </c>
      <c r="I9" s="21"/>
      <c r="J9" s="21"/>
      <c r="K9" s="175">
        <f>SUMPRODUCT(B4:B150,D4:D150)</f>
        <v>3.9963827560950107</v>
      </c>
      <c r="M9" s="20" t="s">
        <v>21</v>
      </c>
      <c r="N9" s="21"/>
      <c r="O9" s="21"/>
      <c r="P9" s="175">
        <f>SUMPRODUCT(B4:B150,F4:F150)</f>
        <v>4.0596892341842405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Tabella114[[#This Row],[Percentage of Suppliers - Raw]]/$C$151</f>
        <v>0</v>
      </c>
      <c r="E10" s="23">
        <v>2.3999999999999998E-3</v>
      </c>
      <c r="F10" s="40">
        <f>Tabella114[[#This Row],[Percentage of Supplier''s Facilities - Raw]]/$E$151</f>
        <v>2.421551811118959E-3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Tabella114[[#This Row],[Percentage of Suppliers - Raw]]/$C$151</f>
        <v>0</v>
      </c>
      <c r="E11" s="23">
        <v>8.9999999999999998E-4</v>
      </c>
      <c r="F11" s="40">
        <f>Tabella114[[#This Row],[Percentage of Supplier''s Facilities - Raw]]/$E$151</f>
        <v>9.0808192916960967E-4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Tabella114[[#This Row],[Percentage of Suppliers - Raw]]/$C$151</f>
        <v>0</v>
      </c>
      <c r="E12" s="23">
        <v>0</v>
      </c>
      <c r="F12" s="40">
        <f>Tabella114[[#This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Tabella114[[#This Row],[Percentage of Suppliers - Raw]]/$C$151</f>
        <v>0</v>
      </c>
      <c r="E13" s="23">
        <v>2.9999999999999997E-4</v>
      </c>
      <c r="F13" s="40">
        <f>Tabella114[[#This Row],[Percentage of Supplier''s Facilities - Raw]]/$E$151</f>
        <v>3.0269397638986987E-4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Tabella114[[#This Row],[Percentage of Suppliers - Raw]]/$C$151</f>
        <v>0</v>
      </c>
      <c r="E14" s="23">
        <v>5.9999999999999995E-4</v>
      </c>
      <c r="F14" s="40">
        <f>Tabella114[[#This Row],[Percentage of Supplier''s Facilities - Raw]]/$E$151</f>
        <v>6.0538795277973974E-4</v>
      </c>
    </row>
    <row r="15" spans="1:16" ht="19" x14ac:dyDescent="0.25">
      <c r="A15" s="31" t="s">
        <v>27</v>
      </c>
      <c r="B15" s="53">
        <v>3.33</v>
      </c>
      <c r="C15" s="22">
        <v>7.1999999999999998E-3</v>
      </c>
      <c r="D15" s="36">
        <f>Tabella114[[#This Row],[Percentage of Suppliers - Raw]]/$C$151</f>
        <v>7.5337448990268931E-3</v>
      </c>
      <c r="E15" s="23">
        <v>6.8000000000000005E-3</v>
      </c>
      <c r="F15" s="40">
        <f>Tabella114[[#This Row],[Percentage of Supplier''s Facilities - Raw]]/$E$151</f>
        <v>6.8610634648370522E-3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Tabella114[[#This Row],[Percentage of Suppliers - Raw]]/$C$151</f>
        <v>0</v>
      </c>
      <c r="E16" s="23">
        <v>2.9999999999999997E-4</v>
      </c>
      <c r="F16" s="40">
        <f>Tabella114[[#This Row],[Percentage of Supplier''s Facilities - Raw]]/$E$151</f>
        <v>3.0269397638986987E-4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Tabella114[[#This Row],[Percentage of Suppliers - Raw]]/$C$151</f>
        <v>0</v>
      </c>
      <c r="E17" s="23">
        <v>0</v>
      </c>
      <c r="F17" s="40">
        <f>Tabella114[[#This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Tabella114[[#This Row],[Percentage of Suppliers - Raw]]/$C$151</f>
        <v>0</v>
      </c>
      <c r="E18" s="23">
        <v>2.9999999999999997E-4</v>
      </c>
      <c r="F18" s="40">
        <f>Tabella114[[#This Row],[Percentage of Supplier''s Facilities - Raw]]/$E$151</f>
        <v>3.0269397638986987E-4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Tabella114[[#This Row],[Percentage of Suppliers - Raw]]/$C$151</f>
        <v>0</v>
      </c>
      <c r="E19" s="23">
        <v>0</v>
      </c>
      <c r="F19" s="40">
        <f>Tabella114[[#This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Tabella114[[#This Row],[Percentage of Suppliers - Raw]]/$C$151</f>
        <v>0</v>
      </c>
      <c r="E20" s="23">
        <v>2.9999999999999997E-4</v>
      </c>
      <c r="F20" s="40">
        <f>Tabella114[[#This Row],[Percentage of Supplier''s Facilities - Raw]]/$E$151</f>
        <v>3.0269397638986987E-4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Tabella114[[#This Row],[Percentage of Suppliers - Raw]]/$C$151</f>
        <v>0</v>
      </c>
      <c r="E21" s="23">
        <v>1.9099999999999999E-2</v>
      </c>
      <c r="F21" s="40">
        <f>Tabella114[[#This Row],[Percentage of Supplier''s Facilities - Raw]]/$E$151</f>
        <v>1.9271516496821718E-2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Tabella114[[#This Row],[Percentage of Suppliers - Raw]]/$C$151</f>
        <v>0</v>
      </c>
      <c r="E22" s="23">
        <v>0</v>
      </c>
      <c r="F22" s="40">
        <f>Tabella114[[#This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Tabella114[[#This Row],[Percentage of Suppliers - Raw]]/$C$151</f>
        <v>0</v>
      </c>
      <c r="E23" s="23">
        <v>2.9999999999999997E-4</v>
      </c>
      <c r="F23" s="40">
        <f>Tabella114[[#This Row],[Percentage of Supplier''s Facilities - Raw]]/$E$151</f>
        <v>3.0269397638986987E-4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Tabella114[[#This Row],[Percentage of Suppliers - Raw]]/$C$151</f>
        <v>0</v>
      </c>
      <c r="E24" s="23">
        <v>0</v>
      </c>
      <c r="F24" s="40">
        <f>Tabella114[[#This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Tabella114[[#This Row],[Percentage of Suppliers - Raw]]/$C$151</f>
        <v>0</v>
      </c>
      <c r="E25" s="23">
        <v>0</v>
      </c>
      <c r="F25" s="40">
        <f>Tabella114[[#This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Tabella114[[#This Row],[Percentage of Suppliers - Raw]]/$C$151</f>
        <v>0</v>
      </c>
      <c r="E26" s="23">
        <v>5.9999999999999995E-4</v>
      </c>
      <c r="F26" s="40">
        <f>Tabella114[[#This Row],[Percentage of Supplier''s Facilities - Raw]]/$E$151</f>
        <v>6.0538795277973974E-4</v>
      </c>
    </row>
    <row r="27" spans="1:7" ht="19" x14ac:dyDescent="0.25">
      <c r="A27" s="31" t="s">
        <v>39</v>
      </c>
      <c r="B27" s="64">
        <v>3.44</v>
      </c>
      <c r="C27" s="22">
        <v>1.4500000000000001E-2</v>
      </c>
      <c r="D27" s="36">
        <f>Tabella114[[#This Row],[Percentage of Suppliers - Raw]]/$C$151</f>
        <v>1.5172125143873606E-2</v>
      </c>
      <c r="E27" s="23">
        <v>4.4500000000000005E-2</v>
      </c>
      <c r="F27" s="40">
        <f>Tabella114[[#This Row],[Percentage of Supplier''s Facilities - Raw]]/$E$151</f>
        <v>4.4899606497830709E-2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Tabella114[[#This Row],[Percentage of Suppliers - Raw]]/$C$151</f>
        <v>0</v>
      </c>
      <c r="E28" s="23">
        <v>0</v>
      </c>
      <c r="F28" s="40">
        <f>Tabella114[[#This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Tabella114[[#This Row],[Percentage of Suppliers - Raw]]/$C$151</f>
        <v>0</v>
      </c>
      <c r="E29" s="23">
        <v>0</v>
      </c>
      <c r="F29" s="40">
        <f>Tabella114[[#This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Tabella114[[#This Row],[Percentage of Suppliers - Raw]]/$C$151</f>
        <v>0</v>
      </c>
      <c r="E30" s="23">
        <v>0</v>
      </c>
      <c r="F30" s="40">
        <f>Tabella114[[#This Row],[Percentage of Supplier''s Facilities - Raw]]/$E$151</f>
        <v>0</v>
      </c>
    </row>
    <row r="31" spans="1:7" ht="19" x14ac:dyDescent="0.25">
      <c r="A31" s="31" t="s">
        <v>43</v>
      </c>
      <c r="B31" s="50">
        <v>4.26</v>
      </c>
      <c r="C31" s="22">
        <v>2.9000000000000001E-2</v>
      </c>
      <c r="D31" s="36">
        <f>Tabella114[[#This Row],[Percentage of Suppliers - Raw]]/$C$151</f>
        <v>3.0344250287747211E-2</v>
      </c>
      <c r="E31" s="23">
        <v>4.1299999999999996E-2</v>
      </c>
      <c r="F31" s="40">
        <f>Tabella114[[#This Row],[Percentage of Supplier''s Facilities - Raw]]/$E$151</f>
        <v>4.1670870749672087E-2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Tabella114[[#This Row],[Percentage of Suppliers - Raw]]/$C$151</f>
        <v>0</v>
      </c>
      <c r="E32" s="23">
        <v>2.0999999999999999E-3</v>
      </c>
      <c r="F32" s="40">
        <f>Tabella114[[#This Row],[Percentage of Supplier''s Facilities - Raw]]/$E$151</f>
        <v>2.1188578347290893E-3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Tabella114[[#This Row],[Percentage of Suppliers - Raw]]/$C$151</f>
        <v>0</v>
      </c>
      <c r="E33" s="23">
        <v>8.9999999999999998E-4</v>
      </c>
      <c r="F33" s="40">
        <f>Tabella114[[#This Row],[Percentage of Supplier''s Facilities - Raw]]/$E$151</f>
        <v>9.0808192916960967E-4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Tabella114[[#This Row],[Percentage of Suppliers - Raw]]/$C$151</f>
        <v>0</v>
      </c>
      <c r="E34" s="23">
        <v>0</v>
      </c>
      <c r="F34" s="40">
        <f>Tabella114[[#This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Tabella114[[#This Row],[Percentage of Suppliers - Raw]]/$C$151</f>
        <v>0</v>
      </c>
      <c r="E35" s="23">
        <v>0</v>
      </c>
      <c r="F35" s="40">
        <f>Tabella114[[#This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Tabella114[[#This Row],[Percentage of Suppliers - Raw]]/$C$151</f>
        <v>0</v>
      </c>
      <c r="E36" s="23">
        <v>2.9999999999999997E-4</v>
      </c>
      <c r="F36" s="40">
        <f>Tabella114[[#This Row],[Percentage of Supplier''s Facilities - Raw]]/$E$151</f>
        <v>3.0269397638986987E-4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Tabella114[[#This Row],[Percentage of Suppliers - Raw]]/$C$151</f>
        <v>0</v>
      </c>
      <c r="E37" s="23">
        <v>5.9999999999999995E-4</v>
      </c>
      <c r="F37" s="40">
        <f>Tabella114[[#This Row],[Percentage of Supplier''s Facilities - Raw]]/$E$151</f>
        <v>6.0538795277973974E-4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Tabella114[[#This Row],[Percentage of Suppliers - Raw]]/$C$151</f>
        <v>0</v>
      </c>
      <c r="E38" s="23">
        <v>6.5000000000000006E-3</v>
      </c>
      <c r="F38" s="40">
        <f>Tabella114[[#This Row],[Percentage of Supplier''s Facilities - Raw]]/$E$151</f>
        <v>6.5583694884471817E-3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Tabella114[[#This Row],[Percentage of Suppliers - Raw]]/$C$151</f>
        <v>0</v>
      </c>
      <c r="E39" s="23">
        <v>5.0000000000000001E-3</v>
      </c>
      <c r="F39" s="40">
        <f>Tabella114[[#This Row],[Percentage of Supplier''s Facilities - Raw]]/$E$151</f>
        <v>5.0448996064978322E-3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Tabella114[[#This Row],[Percentage of Suppliers - Raw]]/$C$151</f>
        <v>0</v>
      </c>
      <c r="E40" s="23">
        <v>0</v>
      </c>
      <c r="F40" s="40">
        <f>Tabella114[[#This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Tabella114[[#This Row],[Percentage of Suppliers - Raw]]/$C$151</f>
        <v>0</v>
      </c>
      <c r="E41" s="23">
        <v>8.9999999999999998E-4</v>
      </c>
      <c r="F41" s="40">
        <f>Tabella114[[#This Row],[Percentage of Supplier''s Facilities - Raw]]/$E$151</f>
        <v>9.0808192916960967E-4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Tabella114[[#This Row],[Percentage of Suppliers - Raw]]/$C$151</f>
        <v>0</v>
      </c>
      <c r="E42" s="23">
        <v>2.0999999999999999E-3</v>
      </c>
      <c r="F42" s="40">
        <f>Tabella114[[#This Row],[Percentage of Supplier''s Facilities - Raw]]/$E$151</f>
        <v>2.1188578347290893E-3</v>
      </c>
    </row>
    <row r="43" spans="1:6" ht="19" x14ac:dyDescent="0.25">
      <c r="A43" s="31" t="s">
        <v>56</v>
      </c>
      <c r="B43" s="79">
        <v>5.6</v>
      </c>
      <c r="C43" s="22">
        <v>1.4500000000000001E-2</v>
      </c>
      <c r="D43" s="36">
        <f>Tabella114[[#This Row],[Percentage of Suppliers - Raw]]/$C$151</f>
        <v>1.5172125143873606E-2</v>
      </c>
      <c r="E43" s="23">
        <v>2.8999999999999998E-3</v>
      </c>
      <c r="F43" s="40">
        <f>Tabella114[[#This Row],[Percentage of Supplier''s Facilities - Raw]]/$E$151</f>
        <v>2.9260417717687421E-3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Tabella114[[#This Row],[Percentage of Suppliers - Raw]]/$C$151</f>
        <v>0</v>
      </c>
      <c r="E44" s="23">
        <v>0</v>
      </c>
      <c r="F44" s="40">
        <f>Tabella114[[#This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Tabella114[[#This Row],[Percentage of Suppliers - Raw]]/$C$151</f>
        <v>0</v>
      </c>
      <c r="E45" s="23">
        <v>8.9999999999999998E-4</v>
      </c>
      <c r="F45" s="40">
        <f>Tabella114[[#This Row],[Percentage of Supplier''s Facilities - Raw]]/$E$151</f>
        <v>9.0808192916960967E-4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Tabella114[[#This Row],[Percentage of Suppliers - Raw]]/$C$151</f>
        <v>0</v>
      </c>
      <c r="E46" s="23">
        <v>2.9999999999999997E-4</v>
      </c>
      <c r="F46" s="40">
        <f>Tabella114[[#This Row],[Percentage of Supplier''s Facilities - Raw]]/$E$151</f>
        <v>3.0269397638986987E-4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Tabella114[[#This Row],[Percentage of Suppliers - Raw]]/$C$151</f>
        <v>0</v>
      </c>
      <c r="E47" s="23">
        <v>0</v>
      </c>
      <c r="F47" s="40">
        <f>Tabella114[[#This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7.1999999999999998E-3</v>
      </c>
      <c r="D48" s="36">
        <f>Tabella114[[#This Row],[Percentage of Suppliers - Raw]]/$C$151</f>
        <v>7.5337448990268931E-3</v>
      </c>
      <c r="E48" s="23">
        <v>8.199999999999999E-3</v>
      </c>
      <c r="F48" s="40">
        <f>Tabella114[[#This Row],[Percentage of Supplier''s Facilities - Raw]]/$E$151</f>
        <v>8.2736353546564428E-3</v>
      </c>
    </row>
    <row r="49" spans="1:6" ht="19" x14ac:dyDescent="0.25">
      <c r="A49" s="31" t="s">
        <v>62</v>
      </c>
      <c r="B49" s="84">
        <v>3.65</v>
      </c>
      <c r="C49" s="22">
        <v>6.5199999999999994E-2</v>
      </c>
      <c r="D49" s="36">
        <f>Tabella114[[#This Row],[Percentage of Suppliers - Raw]]/$C$151</f>
        <v>6.8222245474521298E-2</v>
      </c>
      <c r="E49" s="23">
        <v>2.6800000000000001E-2</v>
      </c>
      <c r="F49" s="40">
        <f>Tabella114[[#This Row],[Percentage of Supplier''s Facilities - Raw]]/$E$151</f>
        <v>2.704066189082838E-2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Tabella114[[#This Row],[Percentage of Suppliers - Raw]]/$C$151</f>
        <v>0</v>
      </c>
      <c r="E50" s="23">
        <v>5.9999999999999995E-4</v>
      </c>
      <c r="F50" s="40">
        <f>Tabella114[[#This Row],[Percentage of Supplier''s Facilities - Raw]]/$E$151</f>
        <v>6.0538795277973974E-4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Tabella114[[#This Row],[Percentage of Suppliers - Raw]]/$C$151</f>
        <v>0</v>
      </c>
      <c r="E51" s="23">
        <v>0</v>
      </c>
      <c r="F51" s="40">
        <f>Tabella114[[#This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Tabella114[[#This Row],[Percentage of Suppliers - Raw]]/$C$151</f>
        <v>0</v>
      </c>
      <c r="E52" s="23">
        <v>0</v>
      </c>
      <c r="F52" s="40">
        <f>Tabella114[[#This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</v>
      </c>
      <c r="D53" s="36">
        <f>Tabella114[[#This Row],[Percentage of Suppliers - Raw]]/$C$151</f>
        <v>0</v>
      </c>
      <c r="E53" s="23">
        <v>6.3299999999999995E-2</v>
      </c>
      <c r="F53" s="40">
        <f>Tabella114[[#This Row],[Percentage of Supplier''s Facilities - Raw]]/$E$151</f>
        <v>6.3868429018262549E-2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Tabella114[[#This Row],[Percentage of Suppliers - Raw]]/$C$151</f>
        <v>0</v>
      </c>
      <c r="E54" s="23">
        <v>1.5E-3</v>
      </c>
      <c r="F54" s="40">
        <f>Tabella114[[#This Row],[Percentage of Supplier''s Facilities - Raw]]/$E$151</f>
        <v>1.5134698819493496E-3</v>
      </c>
    </row>
    <row r="55" spans="1:6" ht="19" x14ac:dyDescent="0.25">
      <c r="A55" s="31" t="s">
        <v>68</v>
      </c>
      <c r="B55" s="58">
        <v>4.34</v>
      </c>
      <c r="C55" s="22">
        <v>1.4500000000000001E-2</v>
      </c>
      <c r="D55" s="36">
        <f>Tabella114[[#This Row],[Percentage of Suppliers - Raw]]/$C$151</f>
        <v>1.5172125143873606E-2</v>
      </c>
      <c r="E55" s="23">
        <v>8.9999999999999998E-4</v>
      </c>
      <c r="F55" s="40">
        <f>Tabella114[[#This Row],[Percentage of Supplier''s Facilities - Raw]]/$E$151</f>
        <v>9.0808192916960967E-4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Tabella114[[#This Row],[Percentage of Suppliers - Raw]]/$C$151</f>
        <v>0</v>
      </c>
      <c r="E56" s="23">
        <v>2.9999999999999997E-4</v>
      </c>
      <c r="F56" s="40">
        <f>Tabella114[[#This Row],[Percentage of Supplier''s Facilities - Raw]]/$E$151</f>
        <v>3.0269397638986987E-4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Tabella114[[#This Row],[Percentage of Suppliers - Raw]]/$C$151</f>
        <v>0</v>
      </c>
      <c r="E57" s="23">
        <v>0</v>
      </c>
      <c r="F57" s="40">
        <f>Tabella114[[#This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Tabella114[[#This Row],[Percentage of Suppliers - Raw]]/$C$151</f>
        <v>0</v>
      </c>
      <c r="E58" s="23">
        <v>0</v>
      </c>
      <c r="F58" s="40">
        <f>Tabella114[[#This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Tabella114[[#This Row],[Percentage of Suppliers - Raw]]/$C$151</f>
        <v>0</v>
      </c>
      <c r="E59" s="23">
        <v>2.9999999999999997E-4</v>
      </c>
      <c r="F59" s="40">
        <f>Tabella114[[#This Row],[Percentage of Supplier''s Facilities - Raw]]/$E$151</f>
        <v>3.0269397638986987E-4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Tabella114[[#This Row],[Percentage of Suppliers - Raw]]/$C$151</f>
        <v>0</v>
      </c>
      <c r="E60" s="23">
        <v>0</v>
      </c>
      <c r="F60" s="40">
        <f>Tabella114[[#This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Tabella114[[#This Row],[Percentage of Suppliers - Raw]]/$C$151</f>
        <v>0</v>
      </c>
      <c r="E61" s="23">
        <v>0</v>
      </c>
      <c r="F61" s="40">
        <f>Tabella114[[#This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Tabella114[[#This Row],[Percentage of Suppliers - Raw]]/$C$151</f>
        <v>0</v>
      </c>
      <c r="E62" s="23">
        <v>1.5E-3</v>
      </c>
      <c r="F62" s="40">
        <f>Tabella114[[#This Row],[Percentage of Supplier''s Facilities - Raw]]/$E$151</f>
        <v>1.5134698819493496E-3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Tabella114[[#This Row],[Percentage of Suppliers - Raw]]/$C$151</f>
        <v>0</v>
      </c>
      <c r="E63" s="23">
        <v>0</v>
      </c>
      <c r="F63" s="40">
        <f>Tabella114[[#This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7.1999999999999998E-3</v>
      </c>
      <c r="D64" s="36">
        <f>Tabella114[[#This Row],[Percentage of Suppliers - Raw]]/$C$151</f>
        <v>7.5337448990268931E-3</v>
      </c>
      <c r="E64" s="23">
        <v>2.7400000000000001E-2</v>
      </c>
      <c r="F64" s="40">
        <f>Tabella114[[#This Row],[Percentage of Supplier''s Facilities - Raw]]/$E$151</f>
        <v>2.764604984360812E-2</v>
      </c>
    </row>
    <row r="65" spans="1:6" ht="19" x14ac:dyDescent="0.25">
      <c r="A65" s="31" t="s">
        <v>78</v>
      </c>
      <c r="B65" s="99">
        <v>4.92</v>
      </c>
      <c r="C65" s="22">
        <v>5.0700000000000002E-2</v>
      </c>
      <c r="D65" s="36">
        <f>Tabella114[[#This Row],[Percentage of Suppliers - Raw]]/$C$151</f>
        <v>5.305012033064771E-2</v>
      </c>
      <c r="E65" s="23">
        <v>7.4000000000000003E-3</v>
      </c>
      <c r="F65" s="40">
        <f>Tabella114[[#This Row],[Percentage of Supplier''s Facilities - Raw]]/$E$151</f>
        <v>7.4664514176167917E-3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Tabella114[[#This Row],[Percentage of Suppliers - Raw]]/$C$151</f>
        <v>0</v>
      </c>
      <c r="E66" s="23">
        <v>0</v>
      </c>
      <c r="F66" s="40">
        <f>Tabella114[[#This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Tabella114[[#This Row],[Percentage of Suppliers - Raw]]/$C$151</f>
        <v>0</v>
      </c>
      <c r="E67" s="23">
        <v>0</v>
      </c>
      <c r="F67" s="40">
        <f>Tabella114[[#This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Tabella114[[#This Row],[Percentage of Suppliers - Raw]]/$C$151</f>
        <v>0</v>
      </c>
      <c r="E68" s="23">
        <v>1.5E-3</v>
      </c>
      <c r="F68" s="40">
        <f>Tabella114[[#This Row],[Percentage of Supplier''s Facilities - Raw]]/$E$151</f>
        <v>1.5134698819493496E-3</v>
      </c>
    </row>
    <row r="69" spans="1:6" ht="19" x14ac:dyDescent="0.25">
      <c r="A69" s="31" t="s">
        <v>82</v>
      </c>
      <c r="B69" s="103">
        <v>4.6100000000000003</v>
      </c>
      <c r="C69" s="22">
        <v>7.1999999999999998E-3</v>
      </c>
      <c r="D69" s="36">
        <f>Tabella114[[#This Row],[Percentage of Suppliers - Raw]]/$C$151</f>
        <v>7.5337448990268931E-3</v>
      </c>
      <c r="E69" s="23">
        <v>8.9999999999999998E-4</v>
      </c>
      <c r="F69" s="40">
        <f>Tabella114[[#This Row],[Percentage of Supplier''s Facilities - Raw]]/$E$151</f>
        <v>9.0808192916960967E-4</v>
      </c>
    </row>
    <row r="70" spans="1:6" ht="19" x14ac:dyDescent="0.25">
      <c r="A70" s="31" t="s">
        <v>83</v>
      </c>
      <c r="B70" s="104">
        <v>3.84</v>
      </c>
      <c r="C70" s="22">
        <v>0.1522</v>
      </c>
      <c r="D70" s="36">
        <f>Tabella114[[#This Row],[Percentage of Suppliers - Raw]]/$C$151</f>
        <v>0.15925499633776294</v>
      </c>
      <c r="E70" s="23">
        <v>3.8300000000000001E-2</v>
      </c>
      <c r="F70" s="40">
        <f>Tabella114[[#This Row],[Percentage of Supplier''s Facilities - Raw]]/$E$151</f>
        <v>3.8643930985773393E-2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Tabella114[[#This Row],[Percentage of Suppliers - Raw]]/$C$151</f>
        <v>0</v>
      </c>
      <c r="E71" s="23">
        <v>0</v>
      </c>
      <c r="F71" s="40">
        <f>Tabella114[[#This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1.4500000000000001E-2</v>
      </c>
      <c r="D72" s="36">
        <f>Tabella114[[#This Row],[Percentage of Suppliers - Raw]]/$C$151</f>
        <v>1.5172125143873606E-2</v>
      </c>
      <c r="E72" s="23">
        <v>2.6800000000000001E-2</v>
      </c>
      <c r="F72" s="40">
        <f>Tabella114[[#This Row],[Percentage of Supplier''s Facilities - Raw]]/$E$151</f>
        <v>2.704066189082838E-2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Tabella114[[#This Row],[Percentage of Suppliers - Raw]]/$C$151</f>
        <v>0</v>
      </c>
      <c r="E73" s="23">
        <v>0</v>
      </c>
      <c r="F73" s="40">
        <f>Tabella114[[#This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7.1999999999999998E-3</v>
      </c>
      <c r="D74" s="36">
        <f>Tabella114[[#This Row],[Percentage of Suppliers - Raw]]/$C$151</f>
        <v>7.5337448990268931E-3</v>
      </c>
      <c r="E74" s="23">
        <v>1.8E-3</v>
      </c>
      <c r="F74" s="40">
        <f>Tabella114[[#This Row],[Percentage of Supplier''s Facilities - Raw]]/$E$151</f>
        <v>1.8161638583392193E-3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Tabella114[[#This Row],[Percentage of Suppliers - Raw]]/$C$151</f>
        <v>0</v>
      </c>
      <c r="E75" s="23">
        <v>5.9999999999999995E-4</v>
      </c>
      <c r="F75" s="40">
        <f>Tabella114[[#This Row],[Percentage of Supplier''s Facilities - Raw]]/$E$151</f>
        <v>6.0538795277973974E-4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Tabella114[[#This Row],[Percentage of Suppliers - Raw]]/$C$151</f>
        <v>0</v>
      </c>
      <c r="E76" s="23">
        <v>0</v>
      </c>
      <c r="F76" s="40">
        <f>Tabella114[[#This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Tabella114[[#This Row],[Percentage of Suppliers - Raw]]/$C$151</f>
        <v>0</v>
      </c>
      <c r="E77" s="23">
        <v>0</v>
      </c>
      <c r="F77" s="40">
        <f>Tabella114[[#This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Tabella114[[#This Row],[Percentage of Suppliers - Raw]]/$C$151</f>
        <v>0</v>
      </c>
      <c r="E78" s="23">
        <v>0</v>
      </c>
      <c r="F78" s="40">
        <f>Tabella114[[#This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Tabella114[[#This Row],[Percentage of Suppliers - Raw]]/$C$151</f>
        <v>0</v>
      </c>
      <c r="E79" s="23">
        <v>0</v>
      </c>
      <c r="F79" s="40">
        <f>Tabella114[[#This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Tabella114[[#This Row],[Percentage of Suppliers - Raw]]/$C$151</f>
        <v>0</v>
      </c>
      <c r="E80" s="23">
        <v>0</v>
      </c>
      <c r="F80" s="40">
        <f>Tabella114[[#This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Tabella114[[#This Row],[Percentage of Suppliers - Raw]]/$C$151</f>
        <v>0</v>
      </c>
      <c r="E81" s="23">
        <v>0</v>
      </c>
      <c r="F81" s="40">
        <f>Tabella114[[#This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Tabella114[[#This Row],[Percentage of Suppliers - Raw]]/$C$151</f>
        <v>0</v>
      </c>
      <c r="E82" s="23">
        <v>0</v>
      </c>
      <c r="F82" s="40">
        <f>Tabella114[[#This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7.1999999999999998E-3</v>
      </c>
      <c r="D83" s="36">
        <f>Tabella114[[#This Row],[Percentage of Suppliers - Raw]]/$C$151</f>
        <v>7.5337448990268931E-3</v>
      </c>
      <c r="E83" s="23">
        <v>0</v>
      </c>
      <c r="F83" s="40">
        <f>Tabella114[[#This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Tabella114[[#This Row],[Percentage of Suppliers - Raw]]/$C$151</f>
        <v>0</v>
      </c>
      <c r="E84" s="23">
        <v>0</v>
      </c>
      <c r="F84" s="40">
        <f>Tabella114[[#This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Tabella114[[#This Row],[Percentage of Suppliers - Raw]]/$C$151</f>
        <v>0</v>
      </c>
      <c r="E85" s="23">
        <v>0</v>
      </c>
      <c r="F85" s="40">
        <f>Tabella114[[#This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Tabella114[[#This Row],[Percentage of Suppliers - Raw]]/$C$151</f>
        <v>0</v>
      </c>
      <c r="E86" s="23">
        <v>0</v>
      </c>
      <c r="F86" s="40">
        <f>Tabella114[[#This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1.4500000000000001E-2</v>
      </c>
      <c r="D87" s="36">
        <f>Tabella114[[#This Row],[Percentage of Suppliers - Raw]]/$C$151</f>
        <v>1.5172125143873606E-2</v>
      </c>
      <c r="E87" s="23">
        <v>5.6000000000000008E-3</v>
      </c>
      <c r="F87" s="40">
        <f>Tabella114[[#This Row],[Percentage of Supplier''s Facilities - Raw]]/$E$151</f>
        <v>5.6502875592775725E-3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Tabella114[[#This Row],[Percentage of Suppliers - Raw]]/$C$151</f>
        <v>0</v>
      </c>
      <c r="E88" s="23">
        <v>2.9999999999999997E-4</v>
      </c>
      <c r="F88" s="40">
        <f>Tabella114[[#This Row],[Percentage of Supplier''s Facilities - Raw]]/$E$151</f>
        <v>3.0269397638986987E-4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Tabella114[[#This Row],[Percentage of Suppliers - Raw]]/$C$151</f>
        <v>0</v>
      </c>
      <c r="E89" s="23">
        <v>0</v>
      </c>
      <c r="F89" s="40">
        <f>Tabella114[[#This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Tabella114[[#This Row],[Percentage of Suppliers - Raw]]/$C$151</f>
        <v>0</v>
      </c>
      <c r="E90" s="23">
        <v>0</v>
      </c>
      <c r="F90" s="40">
        <f>Tabella114[[#This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Tabella114[[#This Row],[Percentage of Suppliers - Raw]]/$C$151</f>
        <v>0</v>
      </c>
      <c r="E91" s="23">
        <v>2.06E-2</v>
      </c>
      <c r="F91" s="40">
        <f>Tabella114[[#This Row],[Percentage of Supplier''s Facilities - Raw]]/$E$151</f>
        <v>2.0784986378771068E-2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Tabella114[[#This Row],[Percentage of Suppliers - Raw]]/$C$151</f>
        <v>0</v>
      </c>
      <c r="E92" s="23">
        <v>0</v>
      </c>
      <c r="F92" s="40">
        <f>Tabella114[[#This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Tabella114[[#This Row],[Percentage of Suppliers - Raw]]/$C$151</f>
        <v>0</v>
      </c>
      <c r="E93" s="23">
        <v>0</v>
      </c>
      <c r="F93" s="40">
        <f>Tabella114[[#This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Tabella114[[#This Row],[Percentage of Suppliers - Raw]]/$C$151</f>
        <v>0</v>
      </c>
      <c r="E94" s="23">
        <v>5.9999999999999995E-4</v>
      </c>
      <c r="F94" s="40">
        <f>Tabella114[[#This Row],[Percentage of Supplier''s Facilities - Raw]]/$E$151</f>
        <v>6.0538795277973974E-4</v>
      </c>
    </row>
    <row r="95" spans="1:6" ht="19" x14ac:dyDescent="0.25">
      <c r="A95" s="31" t="s">
        <v>108</v>
      </c>
      <c r="B95" s="51">
        <v>6.3</v>
      </c>
      <c r="C95" s="22">
        <v>7.1999999999999998E-3</v>
      </c>
      <c r="D95" s="36">
        <f>Tabella114[[#This Row],[Percentage of Suppliers - Raw]]/$C$151</f>
        <v>7.5337448990268931E-3</v>
      </c>
      <c r="E95" s="23">
        <v>2.9999999999999997E-4</v>
      </c>
      <c r="F95" s="40">
        <f>Tabella114[[#This Row],[Percentage of Supplier''s Facilities - Raw]]/$E$151</f>
        <v>3.0269397638986987E-4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Tabella114[[#This Row],[Percentage of Suppliers - Raw]]/$C$151</f>
        <v>0</v>
      </c>
      <c r="E96" s="23">
        <v>5.9999999999999995E-4</v>
      </c>
      <c r="F96" s="40">
        <f>Tabella114[[#This Row],[Percentage of Supplier''s Facilities - Raw]]/$E$151</f>
        <v>6.0538795277973974E-4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Tabella114[[#This Row],[Percentage of Suppliers - Raw]]/$C$151</f>
        <v>0</v>
      </c>
      <c r="E97" s="23">
        <v>0</v>
      </c>
      <c r="F97" s="40">
        <f>Tabella114[[#This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3.6200000000000003E-2</v>
      </c>
      <c r="D98" s="36">
        <f>Tabella114[[#This Row],[Percentage of Suppliers - Raw]]/$C$151</f>
        <v>3.7877995186774108E-2</v>
      </c>
      <c r="E98" s="23">
        <v>7.7000000000000002E-3</v>
      </c>
      <c r="F98" s="40">
        <f>Tabella114[[#This Row],[Percentage of Supplier''s Facilities - Raw]]/$E$151</f>
        <v>7.7691453940066614E-3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Tabella114[[#This Row],[Percentage of Suppliers - Raw]]/$C$151</f>
        <v>0</v>
      </c>
      <c r="E99" s="23">
        <v>2.0999999999999999E-3</v>
      </c>
      <c r="F99" s="40">
        <f>Tabella114[[#This Row],[Percentage of Supplier''s Facilities - Raw]]/$E$151</f>
        <v>2.1188578347290893E-3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Tabella114[[#This Row],[Percentage of Suppliers - Raw]]/$C$151</f>
        <v>0</v>
      </c>
      <c r="E100" s="23">
        <v>0</v>
      </c>
      <c r="F100" s="40">
        <f>Tabella114[[#This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Tabella114[[#This Row],[Percentage of Suppliers - Raw]]/$C$151</f>
        <v>0</v>
      </c>
      <c r="E101" s="23">
        <v>0</v>
      </c>
      <c r="F101" s="40">
        <f>Tabella114[[#This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Tabella114[[#This Row],[Percentage of Suppliers - Raw]]/$C$151</f>
        <v>0</v>
      </c>
      <c r="E102" s="23">
        <v>2.7000000000000001E-3</v>
      </c>
      <c r="F102" s="40">
        <f>Tabella114[[#This Row],[Percentage of Supplier''s Facilities - Raw]]/$E$151</f>
        <v>2.7242457875088296E-3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Tabella114[[#This Row],[Percentage of Suppliers - Raw]]/$C$151</f>
        <v>0</v>
      </c>
      <c r="E103" s="23">
        <v>0</v>
      </c>
      <c r="F103" s="40">
        <f>Tabella114[[#This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5.0700000000000002E-2</v>
      </c>
      <c r="D104" s="36">
        <f>Tabella114[[#This Row],[Percentage of Suppliers - Raw]]/$C$151</f>
        <v>5.305012033064771E-2</v>
      </c>
      <c r="E104" s="23">
        <v>1.3300000000000001E-2</v>
      </c>
      <c r="F104" s="40">
        <f>Tabella114[[#This Row],[Percentage of Supplier''s Facilities - Raw]]/$E$151</f>
        <v>1.3419432953284235E-2</v>
      </c>
    </row>
    <row r="105" spans="1:6" ht="19" x14ac:dyDescent="0.25">
      <c r="A105" s="31" t="s">
        <v>118</v>
      </c>
      <c r="B105" s="134">
        <v>4.0199999999999996</v>
      </c>
      <c r="C105" s="22">
        <v>7.1999999999999998E-3</v>
      </c>
      <c r="D105" s="36">
        <f>Tabella114[[#This Row],[Percentage of Suppliers - Raw]]/$C$151</f>
        <v>7.5337448990268931E-3</v>
      </c>
      <c r="E105" s="23">
        <v>1.1999999999999999E-3</v>
      </c>
      <c r="F105" s="40">
        <f>Tabella114[[#This Row],[Percentage of Supplier''s Facilities - Raw]]/$E$151</f>
        <v>1.2107759055594795E-3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Tabella114[[#This Row],[Percentage of Suppliers - Raw]]/$C$151</f>
        <v>0</v>
      </c>
      <c r="E106" s="23">
        <v>0</v>
      </c>
      <c r="F106" s="40">
        <f>Tabella114[[#This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Tabella114[[#This Row],[Percentage of Suppliers - Raw]]/$C$151</f>
        <v>0</v>
      </c>
      <c r="E107" s="23">
        <v>0</v>
      </c>
      <c r="F107" s="40">
        <f>Tabella114[[#This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Tabella114[[#This Row],[Percentage of Suppliers - Raw]]/$C$151</f>
        <v>0</v>
      </c>
      <c r="E108" s="23">
        <v>0</v>
      </c>
      <c r="F108" s="40">
        <f>Tabella114[[#This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Tabella114[[#This Row],[Percentage of Suppliers - Raw]]/$C$151</f>
        <v>0</v>
      </c>
      <c r="E109" s="23">
        <v>8.9999999999999998E-4</v>
      </c>
      <c r="F109" s="40">
        <f>Tabella114[[#This Row],[Percentage of Supplier''s Facilities - Raw]]/$E$151</f>
        <v>9.0808192916960967E-4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Tabella114[[#This Row],[Percentage of Suppliers - Raw]]/$C$151</f>
        <v>0</v>
      </c>
      <c r="E110" s="23">
        <v>2.9999999999999997E-4</v>
      </c>
      <c r="F110" s="40">
        <f>Tabella114[[#This Row],[Percentage of Supplier''s Facilities - Raw]]/$E$151</f>
        <v>3.0269397638986987E-4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Tabella114[[#This Row],[Percentage of Suppliers - Raw]]/$C$151</f>
        <v>0</v>
      </c>
      <c r="E111" s="23">
        <v>1.5E-3</v>
      </c>
      <c r="F111" s="40">
        <f>Tabella114[[#This Row],[Percentage of Supplier''s Facilities - Raw]]/$E$151</f>
        <v>1.5134698819493496E-3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Tabella114[[#This Row],[Percentage of Suppliers - Raw]]/$C$151</f>
        <v>0</v>
      </c>
      <c r="E112" s="23">
        <v>0.01</v>
      </c>
      <c r="F112" s="40">
        <f>Tabella114[[#This Row],[Percentage of Supplier''s Facilities - Raw]]/$E$151</f>
        <v>1.0089799212995664E-2</v>
      </c>
    </row>
    <row r="113" spans="1:6" ht="19" x14ac:dyDescent="0.25">
      <c r="A113" s="31" t="s">
        <v>126</v>
      </c>
      <c r="B113" s="141">
        <v>3.43</v>
      </c>
      <c r="C113" s="22">
        <v>7.1999999999999998E-3</v>
      </c>
      <c r="D113" s="36">
        <f>Tabella114[[#This Row],[Percentage of Suppliers - Raw]]/$C$151</f>
        <v>7.5337448990268931E-3</v>
      </c>
      <c r="E113" s="23">
        <v>2.7000000000000001E-3</v>
      </c>
      <c r="F113" s="40">
        <f>Tabella114[[#This Row],[Percentage of Supplier''s Facilities - Raw]]/$E$151</f>
        <v>2.7242457875088296E-3</v>
      </c>
    </row>
    <row r="114" spans="1:6" ht="19" x14ac:dyDescent="0.25">
      <c r="A114" s="31" t="s">
        <v>127</v>
      </c>
      <c r="B114" s="75">
        <v>3.2</v>
      </c>
      <c r="C114" s="22">
        <v>7.1999999999999998E-3</v>
      </c>
      <c r="D114" s="36">
        <f>Tabella114[[#This Row],[Percentage of Suppliers - Raw]]/$C$151</f>
        <v>7.5337448990268931E-3</v>
      </c>
      <c r="E114" s="23">
        <v>2.0999999999999999E-3</v>
      </c>
      <c r="F114" s="40">
        <f>Tabella114[[#This Row],[Percentage of Supplier''s Facilities - Raw]]/$E$151</f>
        <v>2.1188578347290893E-3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Tabella114[[#This Row],[Percentage of Suppliers - Raw]]/$C$151</f>
        <v>0</v>
      </c>
      <c r="E115" s="23">
        <v>4.0999999999999995E-3</v>
      </c>
      <c r="F115" s="40">
        <f>Tabella114[[#This Row],[Percentage of Supplier''s Facilities - Raw]]/$E$151</f>
        <v>4.1368176773282214E-3</v>
      </c>
    </row>
    <row r="116" spans="1:6" ht="19" x14ac:dyDescent="0.25">
      <c r="A116" s="31" t="s">
        <v>129</v>
      </c>
      <c r="B116" s="143">
        <v>5.96</v>
      </c>
      <c r="C116" s="22">
        <v>1.4500000000000001E-2</v>
      </c>
      <c r="D116" s="36">
        <f>Tabella114[[#This Row],[Percentage of Suppliers - Raw]]/$C$151</f>
        <v>1.5172125143873606E-2</v>
      </c>
      <c r="E116" s="23">
        <v>4.6999999999999993E-3</v>
      </c>
      <c r="F116" s="40">
        <f>Tabella114[[#This Row],[Percentage of Supplier''s Facilities - Raw]]/$E$151</f>
        <v>4.7422056301079617E-3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Tabella114[[#This Row],[Percentage of Suppliers - Raw]]/$C$151</f>
        <v>0</v>
      </c>
      <c r="E117" s="23">
        <v>0</v>
      </c>
      <c r="F117" s="40">
        <f>Tabella114[[#This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7.1999999999999998E-3</v>
      </c>
      <c r="D118" s="36">
        <f>Tabella114[[#This Row],[Percentage of Suppliers - Raw]]/$C$151</f>
        <v>7.5337448990268931E-3</v>
      </c>
      <c r="E118" s="23">
        <v>0.01</v>
      </c>
      <c r="F118" s="40">
        <f>Tabella114[[#This Row],[Percentage of Supplier''s Facilities - Raw]]/$E$151</f>
        <v>1.0089799212995664E-2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Tabella114[[#This Row],[Percentage of Suppliers - Raw]]/$C$151</f>
        <v>0</v>
      </c>
      <c r="E119" s="23">
        <v>5.9999999999999995E-4</v>
      </c>
      <c r="F119" s="40">
        <f>Tabella114[[#This Row],[Percentage of Supplier''s Facilities - Raw]]/$E$151</f>
        <v>6.0538795277973974E-4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Tabella114[[#This Row],[Percentage of Suppliers - Raw]]/$C$151</f>
        <v>0</v>
      </c>
      <c r="E120" s="23">
        <v>0</v>
      </c>
      <c r="F120" s="40">
        <f>Tabella114[[#This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Tabella114[[#This Row],[Percentage of Suppliers - Raw]]/$C$151</f>
        <v>0</v>
      </c>
      <c r="E121" s="23">
        <v>0</v>
      </c>
      <c r="F121" s="40">
        <f>Tabella114[[#This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Tabella114[[#This Row],[Percentage of Suppliers - Raw]]/$C$151</f>
        <v>0</v>
      </c>
      <c r="E122" s="23">
        <v>1.21E-2</v>
      </c>
      <c r="F122" s="40">
        <f>Tabella114[[#This Row],[Percentage of Supplier''s Facilities - Raw]]/$E$151</f>
        <v>1.2208657047724752E-2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Tabella114[[#This Row],[Percentage of Suppliers - Raw]]/$C$151</f>
        <v>0</v>
      </c>
      <c r="E123" s="23">
        <v>1.8E-3</v>
      </c>
      <c r="F123" s="40">
        <f>Tabella114[[#This Row],[Percentage of Supplier''s Facilities - Raw]]/$E$151</f>
        <v>1.8161638583392193E-3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Tabella114[[#This Row],[Percentage of Suppliers - Raw]]/$C$151</f>
        <v>0</v>
      </c>
      <c r="E124" s="23">
        <v>0</v>
      </c>
      <c r="F124" s="40">
        <f>Tabella114[[#This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Tabella114[[#This Row],[Percentage of Suppliers - Raw]]/$C$151</f>
        <v>0</v>
      </c>
      <c r="E125" s="23">
        <v>6.1999999999999998E-3</v>
      </c>
      <c r="F125" s="40">
        <f>Tabella114[[#This Row],[Percentage of Supplier''s Facilities - Raw]]/$E$151</f>
        <v>6.2556755120573111E-3</v>
      </c>
    </row>
    <row r="126" spans="1:6" ht="19" x14ac:dyDescent="0.25">
      <c r="A126" s="31" t="s">
        <v>139</v>
      </c>
      <c r="B126" s="151">
        <v>3.57</v>
      </c>
      <c r="C126" s="22">
        <v>7.1999999999999998E-3</v>
      </c>
      <c r="D126" s="36">
        <f>Tabella114[[#This Row],[Percentage of Suppliers - Raw]]/$C$151</f>
        <v>7.5337448990268931E-3</v>
      </c>
      <c r="E126" s="23">
        <v>4.0999999999999995E-3</v>
      </c>
      <c r="F126" s="40">
        <f>Tabella114[[#This Row],[Percentage of Supplier''s Facilities - Raw]]/$E$151</f>
        <v>4.1368176773282214E-3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Tabella114[[#This Row],[Percentage of Suppliers - Raw]]/$C$151</f>
        <v>0</v>
      </c>
      <c r="E127" s="23">
        <v>2.41E-2</v>
      </c>
      <c r="F127" s="40">
        <f>Tabella114[[#This Row],[Percentage of Supplier''s Facilities - Raw]]/$E$151</f>
        <v>2.4316416103319551E-2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Tabella114[[#This Row],[Percentage of Suppliers - Raw]]/$C$151</f>
        <v>0</v>
      </c>
      <c r="E128" s="23">
        <v>0</v>
      </c>
      <c r="F128" s="40">
        <f>Tabella114[[#This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Tabella114[[#This Row],[Percentage of Suppliers - Raw]]/$C$151</f>
        <v>0</v>
      </c>
      <c r="E129" s="23">
        <v>0</v>
      </c>
      <c r="F129" s="40">
        <f>Tabella114[[#This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0</v>
      </c>
      <c r="D130" s="36">
        <f>Tabella114[[#This Row],[Percentage of Suppliers - Raw]]/$C$151</f>
        <v>0</v>
      </c>
      <c r="E130" s="23">
        <v>7.0999999999999995E-3</v>
      </c>
      <c r="F130" s="40">
        <f>Tabella114[[#This Row],[Percentage of Supplier''s Facilities - Raw]]/$E$151</f>
        <v>7.1637574412269211E-3</v>
      </c>
    </row>
    <row r="131" spans="1:6" ht="19" x14ac:dyDescent="0.25">
      <c r="A131" s="31" t="s">
        <v>144</v>
      </c>
      <c r="B131" s="154">
        <v>2.78</v>
      </c>
      <c r="C131" s="22">
        <v>2.9000000000000001E-2</v>
      </c>
      <c r="D131" s="36">
        <f>Tabella114[[#This Row],[Percentage of Suppliers - Raw]]/$C$151</f>
        <v>3.0344250287747211E-2</v>
      </c>
      <c r="E131" s="23">
        <v>8.0000000000000002E-3</v>
      </c>
      <c r="F131" s="40">
        <f>Tabella114[[#This Row],[Percentage of Supplier''s Facilities - Raw]]/$E$151</f>
        <v>8.0718393703965319E-3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Tabella114[[#This Row],[Percentage of Suppliers - Raw]]/$C$151</f>
        <v>0</v>
      </c>
      <c r="E132" s="23">
        <v>0</v>
      </c>
      <c r="F132" s="40">
        <f>Tabella114[[#This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Tabella114[[#This Row],[Percentage of Suppliers - Raw]]/$C$151</f>
        <v>0</v>
      </c>
      <c r="E133" s="23">
        <v>0</v>
      </c>
      <c r="F133" s="40">
        <f>Tabella114[[#This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7.1999999999999998E-3</v>
      </c>
      <c r="D134" s="36">
        <f>Tabella114[[#This Row],[Percentage of Suppliers - Raw]]/$C$151</f>
        <v>7.5337448990268931E-3</v>
      </c>
      <c r="E134" s="23">
        <v>7.4000000000000003E-3</v>
      </c>
      <c r="F134" s="40">
        <f>Tabella114[[#This Row],[Percentage of Supplier''s Facilities - Raw]]/$E$151</f>
        <v>7.4664514176167917E-3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Tabella114[[#This Row],[Percentage of Suppliers - Raw]]/$C$151</f>
        <v>0</v>
      </c>
      <c r="E135" s="23">
        <v>0</v>
      </c>
      <c r="F135" s="40">
        <f>Tabella114[[#This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Tabella114[[#This Row],[Percentage of Suppliers - Raw]]/$C$151</f>
        <v>0</v>
      </c>
      <c r="E136" s="23">
        <v>0</v>
      </c>
      <c r="F136" s="40">
        <f>Tabella114[[#This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Tabella114[[#This Row],[Percentage of Suppliers - Raw]]/$C$151</f>
        <v>0</v>
      </c>
      <c r="E137" s="23">
        <v>2.9999999999999997E-4</v>
      </c>
      <c r="F137" s="40">
        <f>Tabella114[[#This Row],[Percentage of Supplier''s Facilities - Raw]]/$E$151</f>
        <v>3.0269397638986987E-4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Tabella114[[#This Row],[Percentage of Suppliers - Raw]]/$C$151</f>
        <v>0</v>
      </c>
      <c r="E138" s="23">
        <v>1.8E-3</v>
      </c>
      <c r="F138" s="40">
        <f>Tabella114[[#This Row],[Percentage of Supplier''s Facilities - Raw]]/$E$151</f>
        <v>1.8161638583392193E-3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Tabella114[[#This Row],[Percentage of Suppliers - Raw]]/$C$151</f>
        <v>0</v>
      </c>
      <c r="E139" s="23">
        <v>6.5000000000000006E-3</v>
      </c>
      <c r="F139" s="40">
        <f>Tabella114[[#This Row],[Percentage of Supplier''s Facilities - Raw]]/$E$151</f>
        <v>6.5583694884471817E-3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Tabella114[[#This Row],[Percentage of Suppliers - Raw]]/$C$151</f>
        <v>0</v>
      </c>
      <c r="E140" s="23">
        <v>0</v>
      </c>
      <c r="F140" s="40">
        <f>Tabella114[[#This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Tabella114[[#This Row],[Percentage of Suppliers - Raw]]/$C$151</f>
        <v>0</v>
      </c>
      <c r="E141" s="23">
        <v>5.9999999999999995E-4</v>
      </c>
      <c r="F141" s="40">
        <f>Tabella114[[#This Row],[Percentage of Supplier''s Facilities - Raw]]/$E$151</f>
        <v>6.0538795277973974E-4</v>
      </c>
    </row>
    <row r="142" spans="1:6" ht="19" x14ac:dyDescent="0.25">
      <c r="A142" s="31" t="s">
        <v>155</v>
      </c>
      <c r="B142" s="164">
        <v>3.72</v>
      </c>
      <c r="C142" s="22">
        <v>7.1999999999999998E-3</v>
      </c>
      <c r="D142" s="36">
        <f>Tabella114[[#This Row],[Percentage of Suppliers - Raw]]/$C$151</f>
        <v>7.5337448990268931E-3</v>
      </c>
      <c r="E142" s="23">
        <v>8.0000000000000002E-3</v>
      </c>
      <c r="F142" s="40">
        <f>Tabella114[[#This Row],[Percentage of Supplier''s Facilities - Raw]]/$E$151</f>
        <v>8.0718393703965319E-3</v>
      </c>
    </row>
    <row r="143" spans="1:6" ht="19" x14ac:dyDescent="0.25">
      <c r="A143" s="31" t="s">
        <v>156</v>
      </c>
      <c r="B143" s="128">
        <v>3.32</v>
      </c>
      <c r="C143" s="22">
        <v>0.1014</v>
      </c>
      <c r="D143" s="36">
        <f>Tabella114[[#This Row],[Percentage of Suppliers - Raw]]/$C$151</f>
        <v>0.10610024066129542</v>
      </c>
      <c r="E143" s="23">
        <v>5.4800000000000001E-2</v>
      </c>
      <c r="F143" s="40">
        <f>Tabella114[[#This Row],[Percentage of Supplier''s Facilities - Raw]]/$E$151</f>
        <v>5.529209968721624E-2</v>
      </c>
    </row>
    <row r="144" spans="1:6" ht="19" x14ac:dyDescent="0.25">
      <c r="A144" s="31" t="s">
        <v>157</v>
      </c>
      <c r="B144" s="165">
        <v>4.1900000000000004</v>
      </c>
      <c r="C144" s="22">
        <v>0.21010000000000001</v>
      </c>
      <c r="D144" s="36">
        <f>Tabella114[[#This Row],[Percentage of Suppliers - Raw]]/$C$151</f>
        <v>0.21983886156743754</v>
      </c>
      <c r="E144" s="23">
        <v>0.37369999999999998</v>
      </c>
      <c r="F144" s="40">
        <f>Tabella114[[#This Row],[Percentage of Supplier''s Facilities - Raw]]/$E$151</f>
        <v>0.37705579658964794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Tabella114[[#This Row],[Percentage of Suppliers - Raw]]/$C$151</f>
        <v>0</v>
      </c>
      <c r="E145" s="23">
        <v>0</v>
      </c>
      <c r="F145" s="40">
        <f>Tabella114[[#This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Tabella114[[#This Row],[Percentage of Suppliers - Raw]]/$C$151</f>
        <v>0</v>
      </c>
      <c r="E146" s="23">
        <v>1.5E-3</v>
      </c>
      <c r="F146" s="40">
        <f>Tabella114[[#This Row],[Percentage of Supplier''s Facilities - Raw]]/$E$151</f>
        <v>1.5134698819493496E-3</v>
      </c>
    </row>
    <row r="147" spans="1:6" ht="19" x14ac:dyDescent="0.25">
      <c r="A147" s="31" t="s">
        <v>160</v>
      </c>
      <c r="B147" s="168">
        <v>4.32</v>
      </c>
      <c r="C147" s="22">
        <v>1.4500000000000001E-2</v>
      </c>
      <c r="D147" s="36">
        <f>Tabella114[[#This Row],[Percentage of Suppliers - Raw]]/$C$151</f>
        <v>1.5172125143873606E-2</v>
      </c>
      <c r="E147" s="23">
        <v>3.8E-3</v>
      </c>
      <c r="F147" s="40">
        <f>Tabella114[[#This Row],[Percentage of Supplier''s Facilities - Raw]]/$E$151</f>
        <v>3.8341237009383521E-3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Tabella114[[#This Row],[Percentage of Suppliers - Raw]]/$C$151</f>
        <v>0</v>
      </c>
      <c r="E148" s="23">
        <v>0</v>
      </c>
      <c r="F148" s="40">
        <f>Tabella114[[#This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Tabella114[[#This Row],[Percentage of Suppliers - Raw]]/$C$151</f>
        <v>0</v>
      </c>
      <c r="E149" s="23">
        <v>0</v>
      </c>
      <c r="F149" s="40">
        <f>Tabella114[[#This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Tabella114[[#This Row],[Percentage of Suppliers - Raw]]/$C$151</f>
        <v>0</v>
      </c>
      <c r="E150" s="23">
        <v>0</v>
      </c>
      <c r="F150" s="40">
        <f>Tabella114[[#This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0.95569999999999977</v>
      </c>
      <c r="D151" s="39">
        <f>Tabella114[[#This Row],[Percentage of Suppliers - Raw]]/$C$151</f>
        <v>1</v>
      </c>
      <c r="E151" s="25">
        <f>SUM(E4:E150)</f>
        <v>0.99109999999999976</v>
      </c>
      <c r="F151" s="39">
        <f>SUM(F4:F150)</f>
        <v>1.0000000000000004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7E9D-E07E-2A4A-A835-F03C9C5913C3}">
  <dimension ref="A1:P151"/>
  <sheetViews>
    <sheetView topLeftCell="A145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179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Tabella115[[#This Row],[Percentage of Suppliers - Raw]]/$C$151</f>
        <v>0</v>
      </c>
      <c r="E4" s="23">
        <v>0</v>
      </c>
      <c r="F4" s="40">
        <f>Tabella115[[#This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Tabella115[[#This Row],[Percentage of Suppliers - Raw]]/$C$151</f>
        <v>0</v>
      </c>
      <c r="E5" s="23">
        <v>0</v>
      </c>
      <c r="F5" s="40">
        <f>Tabella115[[#This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Tabella115[[#This Row],[Percentage of Suppliers - Raw]]/$C$151</f>
        <v>0</v>
      </c>
      <c r="E6" s="23">
        <v>8.0999999999999996E-3</v>
      </c>
      <c r="F6" s="40">
        <f>Tabella115[[#This Row],[Percentage of Supplier''s Facilities - Raw]]/$E$151</f>
        <v>8.195891935647074E-3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Tabella115[[#This Row],[Percentage of Suppliers - Raw]]/$C$151</f>
        <v>0</v>
      </c>
      <c r="E7" s="23">
        <v>8.0999999999999996E-3</v>
      </c>
      <c r="F7" s="40">
        <f>Tabella115[[#This Row],[Percentage of Supplier''s Facilities - Raw]]/$E$151</f>
        <v>8.195891935647074E-3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Tabella115[[#This Row],[Percentage of Suppliers - Raw]]/$C$151</f>
        <v>0</v>
      </c>
      <c r="E8" s="23">
        <v>0</v>
      </c>
      <c r="F8" s="40">
        <f>Tabella115[[#This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0.26395312981806962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0.2509359506222808</v>
      </c>
    </row>
    <row r="9" spans="1:16" ht="23" thickBot="1" x14ac:dyDescent="0.35">
      <c r="A9" s="31" t="s">
        <v>19</v>
      </c>
      <c r="B9" s="48">
        <v>3.22</v>
      </c>
      <c r="C9" s="22">
        <v>5.4100000000000002E-2</v>
      </c>
      <c r="D9" s="36">
        <f>Tabella115[[#This Row],[Percentage of Suppliers - Raw]]/$C$151</f>
        <v>5.5606948298900193E-2</v>
      </c>
      <c r="E9" s="23">
        <v>3.6600000000000001E-2</v>
      </c>
      <c r="F9" s="40">
        <f>Tabella115[[#This Row],[Percentage of Supplier''s Facilities - Raw]]/$E$151</f>
        <v>3.703328948699789E-2</v>
      </c>
      <c r="H9" s="20" t="s">
        <v>20</v>
      </c>
      <c r="I9" s="21"/>
      <c r="J9" s="21"/>
      <c r="K9" s="175">
        <f>SUMPRODUCT(B4:B150,D4:D150)</f>
        <v>3.8518984479391505</v>
      </c>
      <c r="M9" s="20" t="s">
        <v>21</v>
      </c>
      <c r="N9" s="21"/>
      <c r="O9" s="21"/>
      <c r="P9" s="175">
        <f>SUMPRODUCT(B4:B150,F4:F150)</f>
        <v>4.2183861175756361</v>
      </c>
    </row>
    <row r="10" spans="1:16" ht="19" x14ac:dyDescent="0.25">
      <c r="A10" s="31" t="s">
        <v>22</v>
      </c>
      <c r="B10" s="49">
        <v>3.41</v>
      </c>
      <c r="C10" s="22">
        <v>1.35E-2</v>
      </c>
      <c r="D10" s="36">
        <f>Tabella115[[#This Row],[Percentage of Suppliers - Raw]]/$C$151</f>
        <v>1.3876040703052728E-2</v>
      </c>
      <c r="E10" s="23">
        <v>4.1000000000000003E-3</v>
      </c>
      <c r="F10" s="40">
        <f>Tabella115[[#This Row],[Percentage of Supplier''s Facilities - Raw]]/$E$151</f>
        <v>4.1485378933522228E-3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Tabella115[[#This Row],[Percentage of Suppliers - Raw]]/$C$151</f>
        <v>0</v>
      </c>
      <c r="E11" s="23">
        <v>0</v>
      </c>
      <c r="F11" s="40">
        <f>Tabella115[[#This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Tabella115[[#This Row],[Percentage of Suppliers - Raw]]/$C$151</f>
        <v>0</v>
      </c>
      <c r="E12" s="23">
        <v>0</v>
      </c>
      <c r="F12" s="40">
        <f>Tabella115[[#This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Tabella115[[#This Row],[Percentage of Suppliers - Raw]]/$C$151</f>
        <v>0</v>
      </c>
      <c r="E13" s="23">
        <v>0</v>
      </c>
      <c r="F13" s="40">
        <f>Tabella115[[#This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Tabella115[[#This Row],[Percentage of Suppliers - Raw]]/$C$151</f>
        <v>0</v>
      </c>
      <c r="E14" s="23">
        <v>0</v>
      </c>
      <c r="F14" s="40">
        <f>Tabella115[[#This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Tabella115[[#This Row],[Percentage of Suppliers - Raw]]/$C$151</f>
        <v>0</v>
      </c>
      <c r="E15" s="23">
        <v>1.2200000000000001E-2</v>
      </c>
      <c r="F15" s="40">
        <f>Tabella115[[#This Row],[Percentage of Supplier''s Facilities - Raw]]/$E$151</f>
        <v>1.2344429828999297E-2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Tabella115[[#This Row],[Percentage of Suppliers - Raw]]/$C$151</f>
        <v>0</v>
      </c>
      <c r="E16" s="23">
        <v>0</v>
      </c>
      <c r="F16" s="40">
        <f>Tabella115[[#This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Tabella115[[#This Row],[Percentage of Suppliers - Raw]]/$C$151</f>
        <v>0</v>
      </c>
      <c r="E17" s="23">
        <v>0</v>
      </c>
      <c r="F17" s="40">
        <f>Tabella115[[#This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Tabella115[[#This Row],[Percentage of Suppliers - Raw]]/$C$151</f>
        <v>0</v>
      </c>
      <c r="E18" s="23">
        <v>0</v>
      </c>
      <c r="F18" s="40">
        <f>Tabella115[[#This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Tabella115[[#This Row],[Percentage of Suppliers - Raw]]/$C$151</f>
        <v>0</v>
      </c>
      <c r="E19" s="23">
        <v>0</v>
      </c>
      <c r="F19" s="40">
        <f>Tabella115[[#This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Tabella115[[#This Row],[Percentage of Suppliers - Raw]]/$C$151</f>
        <v>0</v>
      </c>
      <c r="E20" s="23">
        <v>0</v>
      </c>
      <c r="F20" s="40">
        <f>Tabella115[[#This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Tabella115[[#This Row],[Percentage of Suppliers - Raw]]/$C$151</f>
        <v>0</v>
      </c>
      <c r="E21" s="23">
        <v>2.8500000000000001E-2</v>
      </c>
      <c r="F21" s="40">
        <f>Tabella115[[#This Row],[Percentage of Supplier''s Facilities - Raw]]/$E$151</f>
        <v>2.8837397551350816E-2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Tabella115[[#This Row],[Percentage of Suppliers - Raw]]/$C$151</f>
        <v>0</v>
      </c>
      <c r="E22" s="23">
        <v>0</v>
      </c>
      <c r="F22" s="40">
        <f>Tabella115[[#This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Tabella115[[#This Row],[Percentage of Suppliers - Raw]]/$C$151</f>
        <v>0</v>
      </c>
      <c r="E23" s="23">
        <v>0</v>
      </c>
      <c r="F23" s="40">
        <f>Tabella115[[#This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Tabella115[[#This Row],[Percentage of Suppliers - Raw]]/$C$151</f>
        <v>0</v>
      </c>
      <c r="E24" s="23">
        <v>0</v>
      </c>
      <c r="F24" s="40">
        <f>Tabella115[[#This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Tabella115[[#This Row],[Percentage of Suppliers - Raw]]/$C$151</f>
        <v>0</v>
      </c>
      <c r="E25" s="23">
        <v>0</v>
      </c>
      <c r="F25" s="40">
        <f>Tabella115[[#This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Tabella115[[#This Row],[Percentage of Suppliers - Raw]]/$C$151</f>
        <v>0</v>
      </c>
      <c r="E26" s="23">
        <v>0</v>
      </c>
      <c r="F26" s="40">
        <f>Tabella115[[#This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Tabella115[[#This Row],[Percentage of Suppliers - Raw]]/$C$151</f>
        <v>0</v>
      </c>
      <c r="E27" s="23">
        <v>2.8500000000000001E-2</v>
      </c>
      <c r="F27" s="40">
        <f>Tabella115[[#This Row],[Percentage of Supplier''s Facilities - Raw]]/$E$151</f>
        <v>2.8837397551350816E-2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Tabella115[[#This Row],[Percentage of Suppliers - Raw]]/$C$151</f>
        <v>0</v>
      </c>
      <c r="E28" s="23">
        <v>0</v>
      </c>
      <c r="F28" s="40">
        <f>Tabella115[[#This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Tabella115[[#This Row],[Percentage of Suppliers - Raw]]/$C$151</f>
        <v>0</v>
      </c>
      <c r="E29" s="23">
        <v>0</v>
      </c>
      <c r="F29" s="40">
        <f>Tabella115[[#This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Tabella115[[#This Row],[Percentage of Suppliers - Raw]]/$C$151</f>
        <v>0</v>
      </c>
      <c r="E30" s="23">
        <v>8.0999999999999996E-3</v>
      </c>
      <c r="F30" s="40">
        <f>Tabella115[[#This Row],[Percentage of Supplier''s Facilities - Raw]]/$E$151</f>
        <v>8.195891935647074E-3</v>
      </c>
    </row>
    <row r="31" spans="1:7" ht="19" x14ac:dyDescent="0.25">
      <c r="A31" s="31" t="s">
        <v>43</v>
      </c>
      <c r="B31" s="50">
        <v>4.26</v>
      </c>
      <c r="C31" s="22">
        <f xml:space="preserve"> 2.7% + 1.35%</f>
        <v>4.0500000000000008E-2</v>
      </c>
      <c r="D31" s="36">
        <f>Tabella115[[#This Row],[Percentage of Suppliers - Raw]]/$C$151</f>
        <v>4.1628122109158193E-2</v>
      </c>
      <c r="E31" s="23">
        <v>6.5000000000000002E-2</v>
      </c>
      <c r="F31" s="40">
        <f>Tabella115[[#This Row],[Percentage of Supplier''s Facilities - Raw]]/$E$151</f>
        <v>6.5769503187291342E-2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1.35E-2</v>
      </c>
      <c r="D32" s="36">
        <f>Tabella115[[#This Row],[Percentage of Suppliers - Raw]]/$C$151</f>
        <v>1.3876040703052728E-2</v>
      </c>
      <c r="E32" s="23">
        <v>8.0999999999999996E-3</v>
      </c>
      <c r="F32" s="40">
        <f>Tabella115[[#This Row],[Percentage of Supplier''s Facilities - Raw]]/$E$151</f>
        <v>8.195891935647074E-3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Tabella115[[#This Row],[Percentage of Suppliers - Raw]]/$C$151</f>
        <v>0</v>
      </c>
      <c r="E33" s="23">
        <v>0</v>
      </c>
      <c r="F33" s="40">
        <f>Tabella115[[#This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Tabella115[[#This Row],[Percentage of Suppliers - Raw]]/$C$151</f>
        <v>0</v>
      </c>
      <c r="E34" s="23">
        <v>4.1000000000000003E-3</v>
      </c>
      <c r="F34" s="40">
        <f>Tabella115[[#This Row],[Percentage of Supplier''s Facilities - Raw]]/$E$151</f>
        <v>4.1485378933522228E-3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Tabella115[[#This Row],[Percentage of Suppliers - Raw]]/$C$151</f>
        <v>0</v>
      </c>
      <c r="E35" s="23">
        <v>0</v>
      </c>
      <c r="F35" s="40">
        <f>Tabella115[[#This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Tabella115[[#This Row],[Percentage of Suppliers - Raw]]/$C$151</f>
        <v>0</v>
      </c>
      <c r="E36" s="23">
        <v>4.1000000000000003E-3</v>
      </c>
      <c r="F36" s="40">
        <f>Tabella115[[#This Row],[Percentage of Supplier''s Facilities - Raw]]/$E$151</f>
        <v>4.1485378933522228E-3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Tabella115[[#This Row],[Percentage of Suppliers - Raw]]/$C$151</f>
        <v>0</v>
      </c>
      <c r="E37" s="23">
        <v>0</v>
      </c>
      <c r="F37" s="40">
        <f>Tabella115[[#This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Tabella115[[#This Row],[Percentage of Suppliers - Raw]]/$C$151</f>
        <v>0</v>
      </c>
      <c r="E38" s="23">
        <v>8.0999999999999996E-3</v>
      </c>
      <c r="F38" s="40">
        <f>Tabella115[[#This Row],[Percentage of Supplier''s Facilities - Raw]]/$E$151</f>
        <v>8.195891935647074E-3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Tabella115[[#This Row],[Percentage of Suppliers - Raw]]/$C$151</f>
        <v>0</v>
      </c>
      <c r="E39" s="23">
        <v>4.1000000000000003E-3</v>
      </c>
      <c r="F39" s="40">
        <f>Tabella115[[#This Row],[Percentage of Supplier''s Facilities - Raw]]/$E$151</f>
        <v>4.1485378933522228E-3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Tabella115[[#This Row],[Percentage of Suppliers - Raw]]/$C$151</f>
        <v>0</v>
      </c>
      <c r="E40" s="23">
        <v>0</v>
      </c>
      <c r="F40" s="40">
        <f>Tabella115[[#This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Tabella115[[#This Row],[Percentage of Suppliers - Raw]]/$C$151</f>
        <v>0</v>
      </c>
      <c r="E41" s="23">
        <v>8.0999999999999996E-3</v>
      </c>
      <c r="F41" s="40">
        <f>Tabella115[[#This Row],[Percentage of Supplier''s Facilities - Raw]]/$E$151</f>
        <v>8.195891935647074E-3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Tabella115[[#This Row],[Percentage of Suppliers - Raw]]/$C$151</f>
        <v>0</v>
      </c>
      <c r="E42" s="23">
        <v>1.6299999999999999E-2</v>
      </c>
      <c r="F42" s="40">
        <f>Tabella115[[#This Row],[Percentage of Supplier''s Facilities - Raw]]/$E$151</f>
        <v>1.6492967722351516E-2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Tabella115[[#This Row],[Percentage of Suppliers - Raw]]/$C$151</f>
        <v>0</v>
      </c>
      <c r="E43" s="23">
        <v>4.1000000000000003E-3</v>
      </c>
      <c r="F43" s="40">
        <f>Tabella115[[#This Row],[Percentage of Supplier''s Facilities - Raw]]/$E$151</f>
        <v>4.1485378933522228E-3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Tabella115[[#This Row],[Percentage of Suppliers - Raw]]/$C$151</f>
        <v>0</v>
      </c>
      <c r="E44" s="23">
        <v>0</v>
      </c>
      <c r="F44" s="40">
        <f>Tabella115[[#This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Tabella115[[#This Row],[Percentage of Suppliers - Raw]]/$C$151</f>
        <v>0</v>
      </c>
      <c r="E45" s="23">
        <v>4.1000000000000003E-3</v>
      </c>
      <c r="F45" s="40">
        <f>Tabella115[[#This Row],[Percentage of Supplier''s Facilities - Raw]]/$E$151</f>
        <v>4.1485378933522228E-3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Tabella115[[#This Row],[Percentage of Suppliers - Raw]]/$C$151</f>
        <v>0</v>
      </c>
      <c r="E46" s="23">
        <v>0</v>
      </c>
      <c r="F46" s="40">
        <f>Tabella115[[#This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Tabella115[[#This Row],[Percentage of Suppliers - Raw]]/$C$151</f>
        <v>0</v>
      </c>
      <c r="E47" s="23">
        <v>0</v>
      </c>
      <c r="F47" s="40">
        <f>Tabella115[[#This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Tabella115[[#This Row],[Percentage of Suppliers - Raw]]/$C$151</f>
        <v>0</v>
      </c>
      <c r="E48" s="23">
        <v>1.2200000000000001E-2</v>
      </c>
      <c r="F48" s="40">
        <f>Tabella115[[#This Row],[Percentage of Supplier''s Facilities - Raw]]/$E$151</f>
        <v>1.2344429828999297E-2</v>
      </c>
    </row>
    <row r="49" spans="1:6" ht="19" x14ac:dyDescent="0.25">
      <c r="A49" s="31" t="s">
        <v>62</v>
      </c>
      <c r="B49" s="84">
        <v>3.65</v>
      </c>
      <c r="C49" s="22">
        <v>0.16220000000000001</v>
      </c>
      <c r="D49" s="36">
        <f>Tabella115[[#This Row],[Percentage of Suppliers - Raw]]/$C$151</f>
        <v>0.1667180594100113</v>
      </c>
      <c r="E49" s="23">
        <v>2.4400000000000002E-2</v>
      </c>
      <c r="F49" s="40">
        <f>Tabella115[[#This Row],[Percentage of Supplier''s Facilities - Raw]]/$E$151</f>
        <v>2.4688859657998594E-2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Tabella115[[#This Row],[Percentage of Suppliers - Raw]]/$C$151</f>
        <v>0</v>
      </c>
      <c r="E50" s="23">
        <v>0</v>
      </c>
      <c r="F50" s="40">
        <f>Tabella115[[#This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Tabella115[[#This Row],[Percentage of Suppliers - Raw]]/$C$151</f>
        <v>0</v>
      </c>
      <c r="E51" s="23">
        <v>0</v>
      </c>
      <c r="F51" s="40">
        <f>Tabella115[[#This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Tabella115[[#This Row],[Percentage of Suppliers - Raw]]/$C$151</f>
        <v>0</v>
      </c>
      <c r="E52" s="23">
        <v>0</v>
      </c>
      <c r="F52" s="40">
        <f>Tabella115[[#This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8.1100000000000005E-2</v>
      </c>
      <c r="D53" s="36">
        <f>Tabella115[[#This Row],[Percentage of Suppliers - Raw]]/$C$151</f>
        <v>8.3359029705005652E-2</v>
      </c>
      <c r="E53" s="23">
        <v>2.4400000000000002E-2</v>
      </c>
      <c r="F53" s="40">
        <f>Tabella115[[#This Row],[Percentage of Supplier''s Facilities - Raw]]/$E$151</f>
        <v>2.4688859657998594E-2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Tabella115[[#This Row],[Percentage of Suppliers - Raw]]/$C$151</f>
        <v>0</v>
      </c>
      <c r="E54" s="23">
        <v>0</v>
      </c>
      <c r="F54" s="40">
        <f>Tabella115[[#This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1.35E-2</v>
      </c>
      <c r="D55" s="36">
        <f>Tabella115[[#This Row],[Percentage of Suppliers - Raw]]/$C$151</f>
        <v>1.3876040703052728E-2</v>
      </c>
      <c r="E55" s="23">
        <v>8.0999999999999996E-3</v>
      </c>
      <c r="F55" s="40">
        <f>Tabella115[[#This Row],[Percentage of Supplier''s Facilities - Raw]]/$E$151</f>
        <v>8.195891935647074E-3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Tabella115[[#This Row],[Percentage of Suppliers - Raw]]/$C$151</f>
        <v>0</v>
      </c>
      <c r="E56" s="23">
        <v>0</v>
      </c>
      <c r="F56" s="40">
        <f>Tabella115[[#This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Tabella115[[#This Row],[Percentage of Suppliers - Raw]]/$C$151</f>
        <v>0</v>
      </c>
      <c r="E57" s="23">
        <v>0</v>
      </c>
      <c r="F57" s="40">
        <f>Tabella115[[#This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Tabella115[[#This Row],[Percentage of Suppliers - Raw]]/$C$151</f>
        <v>0</v>
      </c>
      <c r="E58" s="23">
        <v>0</v>
      </c>
      <c r="F58" s="40">
        <f>Tabella115[[#This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Tabella115[[#This Row],[Percentage of Suppliers - Raw]]/$C$151</f>
        <v>0</v>
      </c>
      <c r="E59" s="23">
        <v>0</v>
      </c>
      <c r="F59" s="40">
        <f>Tabella115[[#This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Tabella115[[#This Row],[Percentage of Suppliers - Raw]]/$C$151</f>
        <v>0</v>
      </c>
      <c r="E60" s="23">
        <v>0</v>
      </c>
      <c r="F60" s="40">
        <f>Tabella115[[#This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Tabella115[[#This Row],[Percentage of Suppliers - Raw]]/$C$151</f>
        <v>0</v>
      </c>
      <c r="E61" s="23">
        <v>0</v>
      </c>
      <c r="F61" s="40">
        <f>Tabella115[[#This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Tabella115[[#This Row],[Percentage of Suppliers - Raw]]/$C$151</f>
        <v>0</v>
      </c>
      <c r="E62" s="23">
        <v>0</v>
      </c>
      <c r="F62" s="40">
        <f>Tabella115[[#This Row],[Percentage of Supplier''s Facilities - Raw]]/$E$151</f>
        <v>0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Tabella115[[#This Row],[Percentage of Suppliers - Raw]]/$C$151</f>
        <v>0</v>
      </c>
      <c r="E63" s="23">
        <v>0</v>
      </c>
      <c r="F63" s="40">
        <f>Tabella115[[#This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2.7E-2</v>
      </c>
      <c r="D64" s="36">
        <f>Tabella115[[#This Row],[Percentage of Suppliers - Raw]]/$C$151</f>
        <v>2.7752081406105456E-2</v>
      </c>
      <c r="E64" s="23">
        <v>2.8500000000000001E-2</v>
      </c>
      <c r="F64" s="40">
        <f>Tabella115[[#This Row],[Percentage of Supplier''s Facilities - Raw]]/$E$151</f>
        <v>2.8837397551350816E-2</v>
      </c>
    </row>
    <row r="65" spans="1:6" ht="19" x14ac:dyDescent="0.25">
      <c r="A65" s="31" t="s">
        <v>78</v>
      </c>
      <c r="B65" s="99">
        <v>4.92</v>
      </c>
      <c r="C65" s="22">
        <v>2.7E-2</v>
      </c>
      <c r="D65" s="36">
        <f>Tabella115[[#This Row],[Percentage of Suppliers - Raw]]/$C$151</f>
        <v>2.7752081406105456E-2</v>
      </c>
      <c r="E65" s="23">
        <v>1.2200000000000001E-2</v>
      </c>
      <c r="F65" s="40">
        <f>Tabella115[[#This Row],[Percentage of Supplier''s Facilities - Raw]]/$E$151</f>
        <v>1.2344429828999297E-2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Tabella115[[#This Row],[Percentage of Suppliers - Raw]]/$C$151</f>
        <v>0</v>
      </c>
      <c r="E66" s="23">
        <v>0</v>
      </c>
      <c r="F66" s="40">
        <f>Tabella115[[#This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Tabella115[[#This Row],[Percentage of Suppliers - Raw]]/$C$151</f>
        <v>0</v>
      </c>
      <c r="E67" s="23">
        <v>0</v>
      </c>
      <c r="F67" s="40">
        <f>Tabella115[[#This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Tabella115[[#This Row],[Percentage of Suppliers - Raw]]/$C$151</f>
        <v>0</v>
      </c>
      <c r="E68" s="23">
        <v>8.0999999999999996E-3</v>
      </c>
      <c r="F68" s="40">
        <f>Tabella115[[#This Row],[Percentage of Supplier''s Facilities - Raw]]/$E$151</f>
        <v>8.195891935647074E-3</v>
      </c>
    </row>
    <row r="69" spans="1:6" ht="19" x14ac:dyDescent="0.25">
      <c r="A69" s="31" t="s">
        <v>82</v>
      </c>
      <c r="B69" s="103">
        <v>4.6100000000000003</v>
      </c>
      <c r="C69" s="22">
        <v>1.35E-2</v>
      </c>
      <c r="D69" s="36">
        <f>Tabella115[[#This Row],[Percentage of Suppliers - Raw]]/$C$151</f>
        <v>1.3876040703052728E-2</v>
      </c>
      <c r="E69" s="23">
        <v>4.1000000000000003E-3</v>
      </c>
      <c r="F69" s="40">
        <f>Tabella115[[#This Row],[Percentage of Supplier''s Facilities - Raw]]/$E$151</f>
        <v>4.1485378933522228E-3</v>
      </c>
    </row>
    <row r="70" spans="1:6" ht="19" x14ac:dyDescent="0.25">
      <c r="A70" s="31" t="s">
        <v>83</v>
      </c>
      <c r="B70" s="104">
        <v>3.84</v>
      </c>
      <c r="C70" s="22">
        <v>2.7E-2</v>
      </c>
      <c r="D70" s="36">
        <f>Tabella115[[#This Row],[Percentage of Suppliers - Raw]]/$C$151</f>
        <v>2.7752081406105456E-2</v>
      </c>
      <c r="E70" s="23">
        <v>2.8500000000000001E-2</v>
      </c>
      <c r="F70" s="40">
        <f>Tabella115[[#This Row],[Percentage of Supplier''s Facilities - Raw]]/$E$151</f>
        <v>2.8837397551350816E-2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Tabella115[[#This Row],[Percentage of Suppliers - Raw]]/$C$151</f>
        <v>0</v>
      </c>
      <c r="E71" s="23">
        <v>0</v>
      </c>
      <c r="F71" s="40">
        <f>Tabella115[[#This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0</v>
      </c>
      <c r="D72" s="36">
        <f>Tabella115[[#This Row],[Percentage of Suppliers - Raw]]/$C$151</f>
        <v>0</v>
      </c>
      <c r="E72" s="23">
        <v>1.6299999999999999E-2</v>
      </c>
      <c r="F72" s="40">
        <f>Tabella115[[#This Row],[Percentage of Supplier''s Facilities - Raw]]/$E$151</f>
        <v>1.6492967722351516E-2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Tabella115[[#This Row],[Percentage of Suppliers - Raw]]/$C$151</f>
        <v>0</v>
      </c>
      <c r="E73" s="23">
        <v>0</v>
      </c>
      <c r="F73" s="40">
        <f>Tabella115[[#This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Tabella115[[#This Row],[Percentage of Suppliers - Raw]]/$C$151</f>
        <v>0</v>
      </c>
      <c r="E74" s="23">
        <v>0</v>
      </c>
      <c r="F74" s="40">
        <f>Tabella115[[#This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Tabella115[[#This Row],[Percentage of Suppliers - Raw]]/$C$151</f>
        <v>0</v>
      </c>
      <c r="E75" s="23">
        <v>4.1000000000000003E-3</v>
      </c>
      <c r="F75" s="40">
        <f>Tabella115[[#This Row],[Percentage of Supplier''s Facilities - Raw]]/$E$151</f>
        <v>4.1485378933522228E-3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Tabella115[[#This Row],[Percentage of Suppliers - Raw]]/$C$151</f>
        <v>0</v>
      </c>
      <c r="E76" s="23">
        <v>0</v>
      </c>
      <c r="F76" s="40">
        <f>Tabella115[[#This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Tabella115[[#This Row],[Percentage of Suppliers - Raw]]/$C$151</f>
        <v>0</v>
      </c>
      <c r="E77" s="23">
        <v>0</v>
      </c>
      <c r="F77" s="40">
        <f>Tabella115[[#This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Tabella115[[#This Row],[Percentage of Suppliers - Raw]]/$C$151</f>
        <v>0</v>
      </c>
      <c r="E78" s="23">
        <v>0</v>
      </c>
      <c r="F78" s="40">
        <f>Tabella115[[#This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Tabella115[[#This Row],[Percentage of Suppliers - Raw]]/$C$151</f>
        <v>0</v>
      </c>
      <c r="E79" s="23">
        <v>0</v>
      </c>
      <c r="F79" s="40">
        <f>Tabella115[[#This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Tabella115[[#This Row],[Percentage of Suppliers - Raw]]/$C$151</f>
        <v>0</v>
      </c>
      <c r="E80" s="23">
        <v>0</v>
      </c>
      <c r="F80" s="40">
        <f>Tabella115[[#This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Tabella115[[#This Row],[Percentage of Suppliers - Raw]]/$C$151</f>
        <v>0</v>
      </c>
      <c r="E81" s="23">
        <v>0</v>
      </c>
      <c r="F81" s="40">
        <f>Tabella115[[#This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Tabella115[[#This Row],[Percentage of Suppliers - Raw]]/$C$151</f>
        <v>0</v>
      </c>
      <c r="E82" s="23">
        <v>0</v>
      </c>
      <c r="F82" s="40">
        <f>Tabella115[[#This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Tabella115[[#This Row],[Percentage of Suppliers - Raw]]/$C$151</f>
        <v>0</v>
      </c>
      <c r="E83" s="23">
        <v>0</v>
      </c>
      <c r="F83" s="40">
        <f>Tabella115[[#This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Tabella115[[#This Row],[Percentage of Suppliers - Raw]]/$C$151</f>
        <v>0</v>
      </c>
      <c r="E84" s="23">
        <v>0</v>
      </c>
      <c r="F84" s="40">
        <f>Tabella115[[#This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Tabella115[[#This Row],[Percentage of Suppliers - Raw]]/$C$151</f>
        <v>0</v>
      </c>
      <c r="E85" s="23">
        <v>0</v>
      </c>
      <c r="F85" s="40">
        <f>Tabella115[[#This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Tabella115[[#This Row],[Percentage of Suppliers - Raw]]/$C$151</f>
        <v>0</v>
      </c>
      <c r="E86" s="23">
        <v>0</v>
      </c>
      <c r="F86" s="40">
        <f>Tabella115[[#This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1.35E-2</v>
      </c>
      <c r="D87" s="36">
        <f>Tabella115[[#This Row],[Percentage of Suppliers - Raw]]/$C$151</f>
        <v>1.3876040703052728E-2</v>
      </c>
      <c r="E87" s="23">
        <v>1.2200000000000001E-2</v>
      </c>
      <c r="F87" s="40">
        <f>Tabella115[[#This Row],[Percentage of Supplier''s Facilities - Raw]]/$E$151</f>
        <v>1.2344429828999297E-2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Tabella115[[#This Row],[Percentage of Suppliers - Raw]]/$C$151</f>
        <v>0</v>
      </c>
      <c r="E88" s="23">
        <v>0</v>
      </c>
      <c r="F88" s="40">
        <f>Tabella115[[#This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Tabella115[[#This Row],[Percentage of Suppliers - Raw]]/$C$151</f>
        <v>0</v>
      </c>
      <c r="E89" s="23">
        <v>0</v>
      </c>
      <c r="F89" s="40">
        <f>Tabella115[[#This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Tabella115[[#This Row],[Percentage of Suppliers - Raw]]/$C$151</f>
        <v>0</v>
      </c>
      <c r="E90" s="23">
        <v>0</v>
      </c>
      <c r="F90" s="40">
        <f>Tabella115[[#This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Tabella115[[#This Row],[Percentage of Suppliers - Raw]]/$C$151</f>
        <v>0</v>
      </c>
      <c r="E91" s="23">
        <v>6.0999999999999999E-2</v>
      </c>
      <c r="F91" s="40">
        <f>Tabella115[[#This Row],[Percentage of Supplier''s Facilities - Raw]]/$E$151</f>
        <v>6.1722149144996484E-2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Tabella115[[#This Row],[Percentage of Suppliers - Raw]]/$C$151</f>
        <v>0</v>
      </c>
      <c r="E92" s="23">
        <v>0</v>
      </c>
      <c r="F92" s="40">
        <f>Tabella115[[#This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Tabella115[[#This Row],[Percentage of Suppliers - Raw]]/$C$151</f>
        <v>0</v>
      </c>
      <c r="E93" s="23">
        <v>0</v>
      </c>
      <c r="F93" s="40">
        <f>Tabella115[[#This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Tabella115[[#This Row],[Percentage of Suppliers - Raw]]/$C$151</f>
        <v>0</v>
      </c>
      <c r="E94" s="23">
        <v>0</v>
      </c>
      <c r="F94" s="40">
        <f>Tabella115[[#This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Tabella115[[#This Row],[Percentage of Suppliers - Raw]]/$C$151</f>
        <v>0</v>
      </c>
      <c r="E95" s="23">
        <v>0</v>
      </c>
      <c r="F95" s="40">
        <f>Tabella115[[#This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Tabella115[[#This Row],[Percentage of Suppliers - Raw]]/$C$151</f>
        <v>0</v>
      </c>
      <c r="E96" s="23">
        <v>0</v>
      </c>
      <c r="F96" s="40">
        <f>Tabella115[[#This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Tabella115[[#This Row],[Percentage of Suppliers - Raw]]/$C$151</f>
        <v>0</v>
      </c>
      <c r="E97" s="23">
        <v>0</v>
      </c>
      <c r="F97" s="40">
        <f>Tabella115[[#This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0</v>
      </c>
      <c r="D98" s="36">
        <f>Tabella115[[#This Row],[Percentage of Suppliers - Raw]]/$C$151</f>
        <v>0</v>
      </c>
      <c r="E98" s="23">
        <v>2.0299999999999999E-2</v>
      </c>
      <c r="F98" s="40">
        <f>Tabella115[[#This Row],[Percentage of Supplier''s Facilities - Raw]]/$E$151</f>
        <v>2.0540321764646367E-2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Tabella115[[#This Row],[Percentage of Suppliers - Raw]]/$C$151</f>
        <v>0</v>
      </c>
      <c r="E99" s="23">
        <v>8.0999999999999996E-3</v>
      </c>
      <c r="F99" s="40">
        <f>Tabella115[[#This Row],[Percentage of Supplier''s Facilities - Raw]]/$E$151</f>
        <v>8.195891935647074E-3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Tabella115[[#This Row],[Percentage of Suppliers - Raw]]/$C$151</f>
        <v>0</v>
      </c>
      <c r="E100" s="23">
        <v>0</v>
      </c>
      <c r="F100" s="40">
        <f>Tabella115[[#This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Tabella115[[#This Row],[Percentage of Suppliers - Raw]]/$C$151</f>
        <v>0</v>
      </c>
      <c r="E101" s="23">
        <v>0</v>
      </c>
      <c r="F101" s="40">
        <f>Tabella115[[#This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Tabella115[[#This Row],[Percentage of Suppliers - Raw]]/$C$151</f>
        <v>0</v>
      </c>
      <c r="E102" s="23">
        <v>0</v>
      </c>
      <c r="F102" s="40">
        <f>Tabella115[[#This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Tabella115[[#This Row],[Percentage of Suppliers - Raw]]/$C$151</f>
        <v>0</v>
      </c>
      <c r="E103" s="23">
        <v>0</v>
      </c>
      <c r="F103" s="40">
        <f>Tabella115[[#This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Tabella115[[#This Row],[Percentage of Suppliers - Raw]]/$C$151</f>
        <v>0</v>
      </c>
      <c r="E104" s="23">
        <v>4.1000000000000003E-3</v>
      </c>
      <c r="F104" s="40">
        <f>Tabella115[[#This Row],[Percentage of Supplier''s Facilities - Raw]]/$E$151</f>
        <v>4.1485378933522228E-3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Tabella115[[#This Row],[Percentage of Suppliers - Raw]]/$C$151</f>
        <v>0</v>
      </c>
      <c r="E105" s="23">
        <v>0</v>
      </c>
      <c r="F105" s="40">
        <f>Tabella115[[#This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Tabella115[[#This Row],[Percentage of Suppliers - Raw]]/$C$151</f>
        <v>0</v>
      </c>
      <c r="E106" s="23">
        <v>0</v>
      </c>
      <c r="F106" s="40">
        <f>Tabella115[[#This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Tabella115[[#This Row],[Percentage of Suppliers - Raw]]/$C$151</f>
        <v>0</v>
      </c>
      <c r="E107" s="23">
        <v>0</v>
      </c>
      <c r="F107" s="40">
        <f>Tabella115[[#This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Tabella115[[#This Row],[Percentage of Suppliers - Raw]]/$C$151</f>
        <v>0</v>
      </c>
      <c r="E108" s="23">
        <v>0</v>
      </c>
      <c r="F108" s="40">
        <f>Tabella115[[#This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Tabella115[[#This Row],[Percentage of Suppliers - Raw]]/$C$151</f>
        <v>0</v>
      </c>
      <c r="E109" s="23">
        <v>0</v>
      </c>
      <c r="F109" s="40">
        <f>Tabella115[[#This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Tabella115[[#This Row],[Percentage of Suppliers - Raw]]/$C$151</f>
        <v>0</v>
      </c>
      <c r="E110" s="23">
        <v>8.0999999999999996E-3</v>
      </c>
      <c r="F110" s="40">
        <f>Tabella115[[#This Row],[Percentage of Supplier''s Facilities - Raw]]/$E$151</f>
        <v>8.195891935647074E-3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Tabella115[[#This Row],[Percentage of Suppliers - Raw]]/$C$151</f>
        <v>0</v>
      </c>
      <c r="E111" s="23">
        <v>8.0999999999999996E-3</v>
      </c>
      <c r="F111" s="40">
        <f>Tabella115[[#This Row],[Percentage of Supplier''s Facilities - Raw]]/$E$151</f>
        <v>8.195891935647074E-3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Tabella115[[#This Row],[Percentage of Suppliers - Raw]]/$C$151</f>
        <v>0</v>
      </c>
      <c r="E112" s="23">
        <v>1.2200000000000001E-2</v>
      </c>
      <c r="F112" s="40">
        <f>Tabella115[[#This Row],[Percentage of Supplier''s Facilities - Raw]]/$E$151</f>
        <v>1.2344429828999297E-2</v>
      </c>
    </row>
    <row r="113" spans="1:6" ht="19" x14ac:dyDescent="0.25">
      <c r="A113" s="31" t="s">
        <v>126</v>
      </c>
      <c r="B113" s="141">
        <v>3.43</v>
      </c>
      <c r="C113" s="22">
        <v>1.35E-2</v>
      </c>
      <c r="D113" s="36">
        <f>Tabella115[[#This Row],[Percentage of Suppliers - Raw]]/$C$151</f>
        <v>1.3876040703052728E-2</v>
      </c>
      <c r="E113" s="23">
        <v>4.1000000000000003E-3</v>
      </c>
      <c r="F113" s="40">
        <f>Tabella115[[#This Row],[Percentage of Supplier''s Facilities - Raw]]/$E$151</f>
        <v>4.1485378933522228E-3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Tabella115[[#This Row],[Percentage of Suppliers - Raw]]/$C$151</f>
        <v>0</v>
      </c>
      <c r="E114" s="23">
        <v>0</v>
      </c>
      <c r="F114" s="40">
        <f>Tabella115[[#This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1.35E-2</v>
      </c>
      <c r="D115" s="36">
        <f>Tabella115[[#This Row],[Percentage of Suppliers - Raw]]/$C$151</f>
        <v>1.3876040703052728E-2</v>
      </c>
      <c r="E115" s="23">
        <v>4.1000000000000003E-3</v>
      </c>
      <c r="F115" s="40">
        <f>Tabella115[[#This Row],[Percentage of Supplier''s Facilities - Raw]]/$E$151</f>
        <v>4.1485378933522228E-3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Tabella115[[#This Row],[Percentage of Suppliers - Raw]]/$C$151</f>
        <v>0</v>
      </c>
      <c r="E116" s="23">
        <v>8.0999999999999996E-3</v>
      </c>
      <c r="F116" s="40">
        <f>Tabella115[[#This Row],[Percentage of Supplier''s Facilities - Raw]]/$E$151</f>
        <v>8.195891935647074E-3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Tabella115[[#This Row],[Percentage of Suppliers - Raw]]/$C$151</f>
        <v>0</v>
      </c>
      <c r="E117" s="23">
        <v>0</v>
      </c>
      <c r="F117" s="40">
        <f>Tabella115[[#This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Tabella115[[#This Row],[Percentage of Suppliers - Raw]]/$C$151</f>
        <v>0</v>
      </c>
      <c r="E118" s="23">
        <v>8.0999999999999996E-3</v>
      </c>
      <c r="F118" s="40">
        <f>Tabella115[[#This Row],[Percentage of Supplier''s Facilities - Raw]]/$E$151</f>
        <v>8.195891935647074E-3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Tabella115[[#This Row],[Percentage of Suppliers - Raw]]/$C$151</f>
        <v>0</v>
      </c>
      <c r="E119" s="23">
        <v>0</v>
      </c>
      <c r="F119" s="40">
        <f>Tabella115[[#This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Tabella115[[#This Row],[Percentage of Suppliers - Raw]]/$C$151</f>
        <v>0</v>
      </c>
      <c r="E120" s="23">
        <v>0</v>
      </c>
      <c r="F120" s="40">
        <f>Tabella115[[#This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Tabella115[[#This Row],[Percentage of Suppliers - Raw]]/$C$151</f>
        <v>0</v>
      </c>
      <c r="E121" s="23">
        <v>0</v>
      </c>
      <c r="F121" s="40">
        <f>Tabella115[[#This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5.4100000000000002E-2</v>
      </c>
      <c r="D122" s="36">
        <f>Tabella115[[#This Row],[Percentage of Suppliers - Raw]]/$C$151</f>
        <v>5.5606948298900193E-2</v>
      </c>
      <c r="E122" s="23">
        <v>4.1000000000000003E-3</v>
      </c>
      <c r="F122" s="40">
        <f>Tabella115[[#This Row],[Percentage of Supplier''s Facilities - Raw]]/$E$151</f>
        <v>4.1485378933522228E-3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Tabella115[[#This Row],[Percentage of Suppliers - Raw]]/$C$151</f>
        <v>0</v>
      </c>
      <c r="E123" s="23">
        <v>4.1000000000000003E-3</v>
      </c>
      <c r="F123" s="40">
        <f>Tabella115[[#This Row],[Percentage of Supplier''s Facilities - Raw]]/$E$151</f>
        <v>4.1485378933522228E-3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Tabella115[[#This Row],[Percentage of Suppliers - Raw]]/$C$151</f>
        <v>0</v>
      </c>
      <c r="E124" s="23">
        <v>4.1000000000000003E-3</v>
      </c>
      <c r="F124" s="40">
        <f>Tabella115[[#This Row],[Percentage of Supplier''s Facilities - Raw]]/$E$151</f>
        <v>4.1485378933522228E-3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Tabella115[[#This Row],[Percentage of Suppliers - Raw]]/$C$151</f>
        <v>0</v>
      </c>
      <c r="E125" s="23">
        <v>8.0999999999999996E-3</v>
      </c>
      <c r="F125" s="40">
        <f>Tabella115[[#This Row],[Percentage of Supplier''s Facilities - Raw]]/$E$151</f>
        <v>8.195891935647074E-3</v>
      </c>
    </row>
    <row r="126" spans="1:6" ht="19" x14ac:dyDescent="0.25">
      <c r="A126" s="31" t="s">
        <v>139</v>
      </c>
      <c r="B126" s="151">
        <v>3.57</v>
      </c>
      <c r="C126" s="22">
        <v>0</v>
      </c>
      <c r="D126" s="36">
        <f>Tabella115[[#This Row],[Percentage of Suppliers - Raw]]/$C$151</f>
        <v>0</v>
      </c>
      <c r="E126" s="23">
        <v>1.2200000000000001E-2</v>
      </c>
      <c r="F126" s="40">
        <f>Tabella115[[#This Row],[Percentage of Supplier''s Facilities - Raw]]/$E$151</f>
        <v>1.2344429828999297E-2</v>
      </c>
    </row>
    <row r="127" spans="1:6" ht="19" x14ac:dyDescent="0.25">
      <c r="A127" s="31" t="s">
        <v>140</v>
      </c>
      <c r="B127" s="152">
        <v>3.7</v>
      </c>
      <c r="C127" s="22">
        <v>1.35E-2</v>
      </c>
      <c r="D127" s="36">
        <f>Tabella115[[#This Row],[Percentage of Suppliers - Raw]]/$C$151</f>
        <v>1.3876040703052728E-2</v>
      </c>
      <c r="E127" s="23">
        <v>2.4400000000000002E-2</v>
      </c>
      <c r="F127" s="40">
        <f>Tabella115[[#This Row],[Percentage of Supplier''s Facilities - Raw]]/$E$151</f>
        <v>2.4688859657998594E-2</v>
      </c>
    </row>
    <row r="128" spans="1:6" ht="19" x14ac:dyDescent="0.25">
      <c r="A128" s="32" t="s">
        <v>141</v>
      </c>
      <c r="B128" s="125">
        <v>5.1100000000000003</v>
      </c>
      <c r="C128" s="22">
        <v>1.35E-2</v>
      </c>
      <c r="D128" s="36">
        <f>Tabella115[[#This Row],[Percentage of Suppliers - Raw]]/$C$151</f>
        <v>1.3876040703052728E-2</v>
      </c>
      <c r="E128" s="23">
        <v>0</v>
      </c>
      <c r="F128" s="40">
        <f>Tabella115[[#This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Tabella115[[#This Row],[Percentage of Suppliers - Raw]]/$C$151</f>
        <v>0</v>
      </c>
      <c r="E129" s="23">
        <v>0</v>
      </c>
      <c r="F129" s="40">
        <f>Tabella115[[#This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1.35E-2</v>
      </c>
      <c r="D130" s="36">
        <f>Tabella115[[#This Row],[Percentage of Suppliers - Raw]]/$C$151</f>
        <v>1.3876040703052728E-2</v>
      </c>
      <c r="E130" s="23">
        <v>0</v>
      </c>
      <c r="F130" s="40">
        <f>Tabella115[[#This Row],[Percentage of Supplier''s Facilities - Raw]]/$E$151</f>
        <v>0</v>
      </c>
    </row>
    <row r="131" spans="1:6" ht="19" x14ac:dyDescent="0.25">
      <c r="A131" s="31" t="s">
        <v>144</v>
      </c>
      <c r="B131" s="154">
        <v>2.78</v>
      </c>
      <c r="C131" s="22">
        <v>1.35E-2</v>
      </c>
      <c r="D131" s="36">
        <f>Tabella115[[#This Row],[Percentage of Suppliers - Raw]]/$C$151</f>
        <v>1.3876040703052728E-2</v>
      </c>
      <c r="E131" s="23">
        <v>1.2200000000000001E-2</v>
      </c>
      <c r="F131" s="40">
        <f>Tabella115[[#This Row],[Percentage of Supplier''s Facilities - Raw]]/$E$151</f>
        <v>1.2344429828999297E-2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Tabella115[[#This Row],[Percentage of Suppliers - Raw]]/$C$151</f>
        <v>0</v>
      </c>
      <c r="E132" s="23">
        <v>0</v>
      </c>
      <c r="F132" s="40">
        <f>Tabella115[[#This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Tabella115[[#This Row],[Percentage of Suppliers - Raw]]/$C$151</f>
        <v>0</v>
      </c>
      <c r="E133" s="23">
        <v>0</v>
      </c>
      <c r="F133" s="40">
        <f>Tabella115[[#This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Tabella115[[#This Row],[Percentage of Suppliers - Raw]]/$C$151</f>
        <v>0</v>
      </c>
      <c r="E134" s="23">
        <v>8.0999999999999996E-3</v>
      </c>
      <c r="F134" s="40">
        <f>Tabella115[[#This Row],[Percentage of Supplier''s Facilities - Raw]]/$E$151</f>
        <v>8.195891935647074E-3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Tabella115[[#This Row],[Percentage of Suppliers - Raw]]/$C$151</f>
        <v>0</v>
      </c>
      <c r="E135" s="23">
        <v>0</v>
      </c>
      <c r="F135" s="40">
        <f>Tabella115[[#This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Tabella115[[#This Row],[Percentage of Suppliers - Raw]]/$C$151</f>
        <v>0</v>
      </c>
      <c r="E136" s="23">
        <v>0</v>
      </c>
      <c r="F136" s="40">
        <f>Tabella115[[#This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Tabella115[[#This Row],[Percentage of Suppliers - Raw]]/$C$151</f>
        <v>0</v>
      </c>
      <c r="E137" s="23">
        <v>0</v>
      </c>
      <c r="F137" s="40">
        <f>Tabella115[[#This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Tabella115[[#This Row],[Percentage of Suppliers - Raw]]/$C$151</f>
        <v>0</v>
      </c>
      <c r="E138" s="23">
        <v>0</v>
      </c>
      <c r="F138" s="40">
        <f>Tabella115[[#This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Tabella115[[#This Row],[Percentage of Suppliers - Raw]]/$C$151</f>
        <v>0</v>
      </c>
      <c r="E139" s="23">
        <v>4.1000000000000003E-3</v>
      </c>
      <c r="F139" s="40">
        <f>Tabella115[[#This Row],[Percentage of Supplier''s Facilities - Raw]]/$E$151</f>
        <v>4.1485378933522228E-3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Tabella115[[#This Row],[Percentage of Suppliers - Raw]]/$C$151</f>
        <v>0</v>
      </c>
      <c r="E140" s="23">
        <v>0</v>
      </c>
      <c r="F140" s="40">
        <f>Tabella115[[#This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Tabella115[[#This Row],[Percentage of Suppliers - Raw]]/$C$151</f>
        <v>0</v>
      </c>
      <c r="E141" s="23">
        <v>0</v>
      </c>
      <c r="F141" s="40">
        <f>Tabella115[[#This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Tabella115[[#This Row],[Percentage of Suppliers - Raw]]/$C$151</f>
        <v>0</v>
      </c>
      <c r="E142" s="23">
        <v>4.1000000000000003E-3</v>
      </c>
      <c r="F142" s="40">
        <f>Tabella115[[#This Row],[Percentage of Supplier''s Facilities - Raw]]/$E$151</f>
        <v>4.1485378933522228E-3</v>
      </c>
    </row>
    <row r="143" spans="1:6" ht="19" x14ac:dyDescent="0.25">
      <c r="A143" s="31" t="s">
        <v>156</v>
      </c>
      <c r="B143" s="128">
        <v>3.32</v>
      </c>
      <c r="C143" s="22">
        <v>9.4600000000000004E-2</v>
      </c>
      <c r="D143" s="36">
        <f>Tabella115[[#This Row],[Percentage of Suppliers - Raw]]/$C$151</f>
        <v>9.7235070408058372E-2</v>
      </c>
      <c r="E143" s="23">
        <v>4.4699999999999997E-2</v>
      </c>
      <c r="F143" s="40">
        <f>Tabella115[[#This Row],[Percentage of Supplier''s Facilities - Raw]]/$E$151</f>
        <v>4.5229181422644961E-2</v>
      </c>
    </row>
    <row r="144" spans="1:6" ht="19" x14ac:dyDescent="0.25">
      <c r="A144" s="31" t="s">
        <v>157</v>
      </c>
      <c r="B144" s="165">
        <v>4.1900000000000004</v>
      </c>
      <c r="C144" s="22">
        <v>0.25679999999999997</v>
      </c>
      <c r="D144" s="36">
        <f>Tabella115[[#This Row],[Percentage of Suppliers - Raw]]/$C$151</f>
        <v>0.26395312981806962</v>
      </c>
      <c r="E144" s="23">
        <v>0.248</v>
      </c>
      <c r="F144" s="40">
        <f>Tabella115[[#This Row],[Percentage of Supplier''s Facilities - Raw]]/$E$151</f>
        <v>0.2509359506222808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Tabella115[[#This Row],[Percentage of Suppliers - Raw]]/$C$151</f>
        <v>0</v>
      </c>
      <c r="E145" s="23">
        <v>4.1000000000000003E-3</v>
      </c>
      <c r="F145" s="40">
        <f>Tabella115[[#This Row],[Percentage of Supplier''s Facilities - Raw]]/$E$151</f>
        <v>4.1485378933522228E-3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Tabella115[[#This Row],[Percentage of Suppliers - Raw]]/$C$151</f>
        <v>0</v>
      </c>
      <c r="E146" s="23">
        <v>1.2200000000000001E-2</v>
      </c>
      <c r="F146" s="40">
        <f>Tabella115[[#This Row],[Percentage of Supplier''s Facilities - Raw]]/$E$151</f>
        <v>1.2344429828999297E-2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Tabella115[[#This Row],[Percentage of Suppliers - Raw]]/$C$151</f>
        <v>0</v>
      </c>
      <c r="E147" s="23">
        <v>4.1000000000000003E-3</v>
      </c>
      <c r="F147" s="40">
        <f>Tabella115[[#This Row],[Percentage of Supplier''s Facilities - Raw]]/$E$151</f>
        <v>4.1485378933522228E-3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Tabella115[[#This Row],[Percentage of Suppliers - Raw]]/$C$151</f>
        <v>0</v>
      </c>
      <c r="E148" s="23">
        <v>0</v>
      </c>
      <c r="F148" s="40">
        <f>Tabella115[[#This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Tabella115[[#This Row],[Percentage of Suppliers - Raw]]/$C$151</f>
        <v>0</v>
      </c>
      <c r="E149" s="23">
        <v>0</v>
      </c>
      <c r="F149" s="40">
        <f>Tabella115[[#This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Tabella115[[#This Row],[Percentage of Suppliers - Raw]]/$C$151</f>
        <v>0</v>
      </c>
      <c r="E150" s="23">
        <v>0</v>
      </c>
      <c r="F150" s="40">
        <f>Tabella115[[#This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8">
        <f>SUM(C4:C150)</f>
        <v>0.9729000000000001</v>
      </c>
      <c r="D151" s="39">
        <f>Tabella115[[#This Row],[Percentage of Suppliers - Raw]]/$C$151</f>
        <v>1</v>
      </c>
      <c r="E151" s="25">
        <f>SUM(E4:E150)</f>
        <v>0.98829999999999962</v>
      </c>
      <c r="F151" s="39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E506-3E08-BE4C-B85F-095CE3A15BD5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180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Tabella116[[#This Row],[Percentage of Suppliers - Raw]]/$C$151</f>
        <v>0</v>
      </c>
      <c r="E4" s="23">
        <v>0</v>
      </c>
      <c r="F4" s="40">
        <f>Tabella116[[#This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Tabella116[[#This Row],[Percentage of Suppliers - Raw]]/$C$151</f>
        <v>0</v>
      </c>
      <c r="E5" s="23">
        <v>8.9999999999999998E-4</v>
      </c>
      <c r="F5" s="40">
        <f>Tabella116[[#This Row],[Percentage of Supplier''s Facilities - Raw]]/$E$151</f>
        <v>9.0180360721442854E-4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Tabella116[[#This Row],[Percentage of Suppliers - Raw]]/$C$151</f>
        <v>0</v>
      </c>
      <c r="E6" s="23">
        <v>0</v>
      </c>
      <c r="F6" s="40">
        <f>Tabella116[[#This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Tabella116[[#This Row],[Percentage of Suppliers - Raw]]/$C$151</f>
        <v>0</v>
      </c>
      <c r="E7" s="23">
        <v>1.9E-3</v>
      </c>
      <c r="F7" s="40">
        <f>Tabella116[[#This Row],[Percentage of Supplier''s Facilities - Raw]]/$E$151</f>
        <v>1.9038076152304603E-3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Tabella116[[#This Row],[Percentage of Suppliers - Raw]]/$C$151</f>
        <v>0</v>
      </c>
      <c r="E8" s="23">
        <v>0</v>
      </c>
      <c r="F8" s="40">
        <f>Tabella116[[#This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0.35903590359035908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0.28356713426853702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Tabella116[[#This Row],[Percentage of Suppliers - Raw]]/$C$151</f>
        <v>0</v>
      </c>
      <c r="E9" s="23">
        <v>7.6E-3</v>
      </c>
      <c r="F9" s="40">
        <f>Tabella116[[#This Row],[Percentage of Supplier''s Facilities - Raw]]/$E$151</f>
        <v>7.6152304609218412E-3</v>
      </c>
      <c r="H9" s="20" t="s">
        <v>20</v>
      </c>
      <c r="I9" s="21"/>
      <c r="J9" s="21"/>
      <c r="K9" s="175">
        <f>SUMPRODUCT(B4:B150,D4:D150)</f>
        <v>3.9200840084008401</v>
      </c>
      <c r="M9" s="20" t="s">
        <v>21</v>
      </c>
      <c r="N9" s="21"/>
      <c r="O9" s="21"/>
      <c r="P9" s="175">
        <f>SUMPRODUCT(B4:B150,F4:F150)</f>
        <v>3.948901803607213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Tabella116[[#This Row],[Percentage of Suppliers - Raw]]/$C$151</f>
        <v>0</v>
      </c>
      <c r="E10" s="23">
        <v>7.6E-3</v>
      </c>
      <c r="F10" s="40">
        <f>Tabella116[[#This Row],[Percentage of Supplier''s Facilities - Raw]]/$E$151</f>
        <v>7.6152304609218412E-3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Tabella116[[#This Row],[Percentage of Suppliers - Raw]]/$C$151</f>
        <v>0</v>
      </c>
      <c r="E11" s="23">
        <v>0</v>
      </c>
      <c r="F11" s="40">
        <f>Tabella116[[#This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Tabella116[[#This Row],[Percentage of Suppliers - Raw]]/$C$151</f>
        <v>0</v>
      </c>
      <c r="E12" s="23">
        <v>0</v>
      </c>
      <c r="F12" s="40">
        <f>Tabella116[[#This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Tabella116[[#This Row],[Percentage of Suppliers - Raw]]/$C$151</f>
        <v>0</v>
      </c>
      <c r="E13" s="23">
        <v>0</v>
      </c>
      <c r="F13" s="40">
        <f>Tabella116[[#This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Tabella116[[#This Row],[Percentage of Suppliers - Raw]]/$C$151</f>
        <v>0</v>
      </c>
      <c r="E14" s="23">
        <v>0</v>
      </c>
      <c r="F14" s="40">
        <f>Tabella116[[#This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2.5600000000000001E-2</v>
      </c>
      <c r="D15" s="36">
        <f>Tabella116[[#This Row],[Percentage of Suppliers - Raw]]/$C$151</f>
        <v>2.5602560256025607E-2</v>
      </c>
      <c r="E15" s="23">
        <v>4.6999999999999993E-3</v>
      </c>
      <c r="F15" s="40">
        <f>Tabella116[[#This Row],[Percentage of Supplier''s Facilities - Raw]]/$E$151</f>
        <v>4.7094188376753483E-3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Tabella116[[#This Row],[Percentage of Suppliers - Raw]]/$C$151</f>
        <v>0</v>
      </c>
      <c r="E16" s="23">
        <v>0</v>
      </c>
      <c r="F16" s="40">
        <f>Tabella116[[#This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Tabella116[[#This Row],[Percentage of Suppliers - Raw]]/$C$151</f>
        <v>0</v>
      </c>
      <c r="E17" s="23">
        <v>0</v>
      </c>
      <c r="F17" s="40">
        <f>Tabella116[[#This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Tabella116[[#This Row],[Percentage of Suppliers - Raw]]/$C$151</f>
        <v>0</v>
      </c>
      <c r="E18" s="23">
        <v>0</v>
      </c>
      <c r="F18" s="40">
        <f>Tabella116[[#This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Tabella116[[#This Row],[Percentage of Suppliers - Raw]]/$C$151</f>
        <v>0</v>
      </c>
      <c r="E19" s="23">
        <v>0</v>
      </c>
      <c r="F19" s="40">
        <f>Tabella116[[#This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Tabella116[[#This Row],[Percentage of Suppliers - Raw]]/$C$151</f>
        <v>0</v>
      </c>
      <c r="E20" s="23">
        <v>0</v>
      </c>
      <c r="F20" s="40">
        <f>Tabella116[[#This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Tabella116[[#This Row],[Percentage of Suppliers - Raw]]/$C$151</f>
        <v>0</v>
      </c>
      <c r="E21" s="23">
        <v>1.04E-2</v>
      </c>
      <c r="F21" s="40">
        <f>Tabella116[[#This Row],[Percentage of Supplier''s Facilities - Raw]]/$E$151</f>
        <v>1.042084168336673E-2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Tabella116[[#This Row],[Percentage of Suppliers - Raw]]/$C$151</f>
        <v>0</v>
      </c>
      <c r="E22" s="23">
        <v>0</v>
      </c>
      <c r="F22" s="40">
        <f>Tabella116[[#This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Tabella116[[#This Row],[Percentage of Suppliers - Raw]]/$C$151</f>
        <v>0</v>
      </c>
      <c r="E23" s="23">
        <v>0</v>
      </c>
      <c r="F23" s="40">
        <f>Tabella116[[#This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Tabella116[[#This Row],[Percentage of Suppliers - Raw]]/$C$151</f>
        <v>0</v>
      </c>
      <c r="E24" s="23">
        <v>0</v>
      </c>
      <c r="F24" s="40">
        <f>Tabella116[[#This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Tabella116[[#This Row],[Percentage of Suppliers - Raw]]/$C$151</f>
        <v>0</v>
      </c>
      <c r="E25" s="23">
        <v>0</v>
      </c>
      <c r="F25" s="40">
        <f>Tabella116[[#This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Tabella116[[#This Row],[Percentage of Suppliers - Raw]]/$C$151</f>
        <v>0</v>
      </c>
      <c r="E26" s="23">
        <v>0</v>
      </c>
      <c r="F26" s="40">
        <f>Tabella116[[#This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Tabella116[[#This Row],[Percentage of Suppliers - Raw]]/$C$151</f>
        <v>0</v>
      </c>
      <c r="E27" s="23">
        <v>1.8000000000000002E-2</v>
      </c>
      <c r="F27" s="40">
        <f>Tabella116[[#This Row],[Percentage of Supplier''s Facilities - Raw]]/$E$151</f>
        <v>1.8036072144288574E-2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Tabella116[[#This Row],[Percentage of Suppliers - Raw]]/$C$151</f>
        <v>0</v>
      </c>
      <c r="E28" s="23">
        <v>0</v>
      </c>
      <c r="F28" s="40">
        <f>Tabella116[[#This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Tabella116[[#This Row],[Percentage of Suppliers - Raw]]/$C$151</f>
        <v>0</v>
      </c>
      <c r="E29" s="23">
        <v>0</v>
      </c>
      <c r="F29" s="40">
        <f>Tabella116[[#This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Tabella116[[#This Row],[Percentage of Suppliers - Raw]]/$C$151</f>
        <v>0</v>
      </c>
      <c r="E30" s="23">
        <v>8.9999999999999998E-4</v>
      </c>
      <c r="F30" s="40">
        <f>Tabella116[[#This Row],[Percentage of Supplier''s Facilities - Raw]]/$E$151</f>
        <v>9.0180360721442854E-4</v>
      </c>
    </row>
    <row r="31" spans="1:7" ht="19" x14ac:dyDescent="0.25">
      <c r="A31" s="31" t="s">
        <v>43</v>
      </c>
      <c r="B31" s="50">
        <v>4.26</v>
      </c>
      <c r="C31" s="22">
        <f xml:space="preserve"> 5.13% + 20.51%</f>
        <v>0.25640000000000002</v>
      </c>
      <c r="D31" s="36">
        <f>Tabella116[[#This Row],[Percentage of Suppliers - Raw]]/$C$151</f>
        <v>0.25642564256425648</v>
      </c>
      <c r="E31" s="23">
        <v>9.4899999999999998E-2</v>
      </c>
      <c r="F31" s="40">
        <f>Tabella116[[#This Row],[Percentage of Supplier''s Facilities - Raw]]/$E$151</f>
        <v>9.5090180360721407E-2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Tabella116[[#This Row],[Percentage of Suppliers - Raw]]/$C$151</f>
        <v>0</v>
      </c>
      <c r="E32" s="23">
        <v>0</v>
      </c>
      <c r="F32" s="40">
        <f>Tabella116[[#This Row],[Percentage of Supplier''s Facilities - Raw]]/$E$151</f>
        <v>0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Tabella116[[#This Row],[Percentage of Suppliers - Raw]]/$C$151</f>
        <v>0</v>
      </c>
      <c r="E33" s="23">
        <v>0</v>
      </c>
      <c r="F33" s="40">
        <f>Tabella116[[#This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Tabella116[[#This Row],[Percentage of Suppliers - Raw]]/$C$151</f>
        <v>0</v>
      </c>
      <c r="E34" s="23">
        <v>0</v>
      </c>
      <c r="F34" s="40">
        <f>Tabella116[[#This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Tabella116[[#This Row],[Percentage of Suppliers - Raw]]/$C$151</f>
        <v>0</v>
      </c>
      <c r="E35" s="23">
        <v>0</v>
      </c>
      <c r="F35" s="40">
        <f>Tabella116[[#This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Tabella116[[#This Row],[Percentage of Suppliers - Raw]]/$C$151</f>
        <v>0</v>
      </c>
      <c r="E36" s="23">
        <v>8.9999999999999998E-4</v>
      </c>
      <c r="F36" s="40">
        <f>Tabella116[[#This Row],[Percentage of Supplier''s Facilities - Raw]]/$E$151</f>
        <v>9.0180360721442854E-4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Tabella116[[#This Row],[Percentage of Suppliers - Raw]]/$C$151</f>
        <v>0</v>
      </c>
      <c r="E37" s="23">
        <v>0</v>
      </c>
      <c r="F37" s="40">
        <f>Tabella116[[#This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Tabella116[[#This Row],[Percentage of Suppliers - Raw]]/$C$151</f>
        <v>0</v>
      </c>
      <c r="E38" s="23">
        <v>1.3300000000000001E-2</v>
      </c>
      <c r="F38" s="40">
        <f>Tabella116[[#This Row],[Percentage of Supplier''s Facilities - Raw]]/$E$151</f>
        <v>1.3326653306613223E-2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Tabella116[[#This Row],[Percentage of Suppliers - Raw]]/$C$151</f>
        <v>0</v>
      </c>
      <c r="E39" s="23">
        <v>4.6999999999999993E-3</v>
      </c>
      <c r="F39" s="40">
        <f>Tabella116[[#This Row],[Percentage of Supplier''s Facilities - Raw]]/$E$151</f>
        <v>4.7094188376753483E-3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Tabella116[[#This Row],[Percentage of Suppliers - Raw]]/$C$151</f>
        <v>0</v>
      </c>
      <c r="E40" s="23">
        <v>0</v>
      </c>
      <c r="F40" s="40">
        <f>Tabella116[[#This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Tabella116[[#This Row],[Percentage of Suppliers - Raw]]/$C$151</f>
        <v>0</v>
      </c>
      <c r="E41" s="23">
        <v>0</v>
      </c>
      <c r="F41" s="40">
        <f>Tabella116[[#This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Tabella116[[#This Row],[Percentage of Suppliers - Raw]]/$C$151</f>
        <v>0</v>
      </c>
      <c r="E42" s="23">
        <v>0</v>
      </c>
      <c r="F42" s="40">
        <f>Tabella116[[#This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Tabella116[[#This Row],[Percentage of Suppliers - Raw]]/$C$151</f>
        <v>0</v>
      </c>
      <c r="E43" s="23">
        <v>8.9999999999999998E-4</v>
      </c>
      <c r="F43" s="40">
        <f>Tabella116[[#This Row],[Percentage of Supplier''s Facilities - Raw]]/$E$151</f>
        <v>9.0180360721442854E-4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Tabella116[[#This Row],[Percentage of Suppliers - Raw]]/$C$151</f>
        <v>0</v>
      </c>
      <c r="E44" s="23">
        <v>0</v>
      </c>
      <c r="F44" s="40">
        <f>Tabella116[[#This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Tabella116[[#This Row],[Percentage of Suppliers - Raw]]/$C$151</f>
        <v>0</v>
      </c>
      <c r="E45" s="23">
        <v>0</v>
      </c>
      <c r="F45" s="40">
        <f>Tabella116[[#This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Tabella116[[#This Row],[Percentage of Suppliers - Raw]]/$C$151</f>
        <v>0</v>
      </c>
      <c r="E46" s="23">
        <v>0</v>
      </c>
      <c r="F46" s="40">
        <f>Tabella116[[#This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Tabella116[[#This Row],[Percentage of Suppliers - Raw]]/$C$151</f>
        <v>0</v>
      </c>
      <c r="E47" s="23">
        <v>0</v>
      </c>
      <c r="F47" s="40">
        <f>Tabella116[[#This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Tabella116[[#This Row],[Percentage of Suppliers - Raw]]/$C$151</f>
        <v>0</v>
      </c>
      <c r="E48" s="23">
        <v>5.6999999999999993E-3</v>
      </c>
      <c r="F48" s="40">
        <f>Tabella116[[#This Row],[Percentage of Supplier''s Facilities - Raw]]/$E$151</f>
        <v>5.7114228456913805E-3</v>
      </c>
    </row>
    <row r="49" spans="1:6" ht="19" x14ac:dyDescent="0.25">
      <c r="A49" s="31" t="s">
        <v>62</v>
      </c>
      <c r="B49" s="84">
        <v>3.65</v>
      </c>
      <c r="C49" s="22">
        <v>5.1299999999999998E-2</v>
      </c>
      <c r="D49" s="36">
        <f>Tabella116[[#This Row],[Percentage of Suppliers - Raw]]/$C$151</f>
        <v>5.1305130513051307E-2</v>
      </c>
      <c r="E49" s="23">
        <v>4.7500000000000001E-2</v>
      </c>
      <c r="F49" s="40">
        <f>Tabella116[[#This Row],[Percentage of Supplier''s Facilities - Raw]]/$E$151</f>
        <v>4.7595190380761508E-2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Tabella116[[#This Row],[Percentage of Suppliers - Raw]]/$C$151</f>
        <v>0</v>
      </c>
      <c r="E50" s="23">
        <v>0</v>
      </c>
      <c r="F50" s="40">
        <f>Tabella116[[#This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Tabella116[[#This Row],[Percentage of Suppliers - Raw]]/$C$151</f>
        <v>0</v>
      </c>
      <c r="E51" s="23">
        <v>0</v>
      </c>
      <c r="F51" s="40">
        <f>Tabella116[[#This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Tabella116[[#This Row],[Percentage of Suppliers - Raw]]/$C$151</f>
        <v>0</v>
      </c>
      <c r="E52" s="23">
        <v>0</v>
      </c>
      <c r="F52" s="40">
        <f>Tabella116[[#This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0.1026</v>
      </c>
      <c r="D53" s="36">
        <f>Tabella116[[#This Row],[Percentage of Suppliers - Raw]]/$C$151</f>
        <v>0.10261026102610261</v>
      </c>
      <c r="E53" s="23">
        <v>9.7799999999999998E-2</v>
      </c>
      <c r="F53" s="40">
        <f>Tabella116[[#This Row],[Percentage of Supplier''s Facilities - Raw]]/$E$151</f>
        <v>9.7995991983967898E-2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Tabella116[[#This Row],[Percentage of Suppliers - Raw]]/$C$151</f>
        <v>0</v>
      </c>
      <c r="E54" s="23">
        <v>0</v>
      </c>
      <c r="F54" s="40">
        <f>Tabella116[[#This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Tabella116[[#This Row],[Percentage of Suppliers - Raw]]/$C$151</f>
        <v>0</v>
      </c>
      <c r="E55" s="23">
        <v>1.9E-3</v>
      </c>
      <c r="F55" s="40">
        <f>Tabella116[[#This Row],[Percentage of Supplier''s Facilities - Raw]]/$E$151</f>
        <v>1.9038076152304603E-3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Tabella116[[#This Row],[Percentage of Suppliers - Raw]]/$C$151</f>
        <v>0</v>
      </c>
      <c r="E56" s="23">
        <v>0</v>
      </c>
      <c r="F56" s="40">
        <f>Tabella116[[#This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Tabella116[[#This Row],[Percentage of Suppliers - Raw]]/$C$151</f>
        <v>0</v>
      </c>
      <c r="E57" s="23">
        <v>0</v>
      </c>
      <c r="F57" s="40">
        <f>Tabella116[[#This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Tabella116[[#This Row],[Percentage of Suppliers - Raw]]/$C$151</f>
        <v>0</v>
      </c>
      <c r="E58" s="23">
        <v>0</v>
      </c>
      <c r="F58" s="40">
        <f>Tabella116[[#This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Tabella116[[#This Row],[Percentage of Suppliers - Raw]]/$C$151</f>
        <v>0</v>
      </c>
      <c r="E59" s="23">
        <v>0</v>
      </c>
      <c r="F59" s="40">
        <f>Tabella116[[#This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Tabella116[[#This Row],[Percentage of Suppliers - Raw]]/$C$151</f>
        <v>0</v>
      </c>
      <c r="E60" s="23">
        <v>0</v>
      </c>
      <c r="F60" s="40">
        <f>Tabella116[[#This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Tabella116[[#This Row],[Percentage of Suppliers - Raw]]/$C$151</f>
        <v>0</v>
      </c>
      <c r="E61" s="23">
        <v>0</v>
      </c>
      <c r="F61" s="40">
        <f>Tabella116[[#This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Tabella116[[#This Row],[Percentage of Suppliers - Raw]]/$C$151</f>
        <v>0</v>
      </c>
      <c r="E62" s="23">
        <v>4.6999999999999993E-3</v>
      </c>
      <c r="F62" s="40">
        <f>Tabella116[[#This Row],[Percentage of Supplier''s Facilities - Raw]]/$E$151</f>
        <v>4.7094188376753483E-3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Tabella116[[#This Row],[Percentage of Suppliers - Raw]]/$C$151</f>
        <v>0</v>
      </c>
      <c r="E63" s="23">
        <v>0</v>
      </c>
      <c r="F63" s="40">
        <f>Tabella116[[#This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</v>
      </c>
      <c r="D64" s="36">
        <f>Tabella116[[#This Row],[Percentage of Suppliers - Raw]]/$C$151</f>
        <v>0</v>
      </c>
      <c r="E64" s="23">
        <v>2.2799999999999997E-2</v>
      </c>
      <c r="F64" s="40">
        <f>Tabella116[[#This Row],[Percentage of Supplier''s Facilities - Raw]]/$E$151</f>
        <v>2.2845691382765522E-2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Tabella116[[#This Row],[Percentage of Suppliers - Raw]]/$C$151</f>
        <v>0</v>
      </c>
      <c r="E65" s="23">
        <v>2.8000000000000004E-3</v>
      </c>
      <c r="F65" s="40">
        <f>Tabella116[[#This Row],[Percentage of Supplier''s Facilities - Raw]]/$E$151</f>
        <v>2.8056112224448893E-3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Tabella116[[#This Row],[Percentage of Suppliers - Raw]]/$C$151</f>
        <v>0</v>
      </c>
      <c r="E66" s="23">
        <v>0</v>
      </c>
      <c r="F66" s="40">
        <f>Tabella116[[#This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Tabella116[[#This Row],[Percentage of Suppliers - Raw]]/$C$151</f>
        <v>0</v>
      </c>
      <c r="E67" s="23">
        <v>0</v>
      </c>
      <c r="F67" s="40">
        <f>Tabella116[[#This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Tabella116[[#This Row],[Percentage of Suppliers - Raw]]/$C$151</f>
        <v>0</v>
      </c>
      <c r="E68" s="23">
        <v>0</v>
      </c>
      <c r="F68" s="40">
        <f>Tabella116[[#This Row],[Percentage of Supplier''s Facilities - Raw]]/$E$151</f>
        <v>0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Tabella116[[#This Row],[Percentage of Suppliers - Raw]]/$C$151</f>
        <v>0</v>
      </c>
      <c r="E69" s="23">
        <v>7.6E-3</v>
      </c>
      <c r="F69" s="40">
        <f>Tabella116[[#This Row],[Percentage of Supplier''s Facilities - Raw]]/$E$151</f>
        <v>7.6152304609218412E-3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Tabella116[[#This Row],[Percentage of Suppliers - Raw]]/$C$151</f>
        <v>0</v>
      </c>
      <c r="E70" s="23">
        <v>9.4999999999999998E-3</v>
      </c>
      <c r="F70" s="40">
        <f>Tabella116[[#This Row],[Percentage of Supplier''s Facilities - Raw]]/$E$151</f>
        <v>9.519038076152302E-3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Tabella116[[#This Row],[Percentage of Suppliers - Raw]]/$C$151</f>
        <v>0</v>
      </c>
      <c r="E71" s="23">
        <v>0</v>
      </c>
      <c r="F71" s="40">
        <f>Tabella116[[#This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5.1299999999999998E-2</v>
      </c>
      <c r="D72" s="36">
        <f>Tabella116[[#This Row],[Percentage of Suppliers - Raw]]/$C$151</f>
        <v>5.1305130513051307E-2</v>
      </c>
      <c r="E72" s="23">
        <v>8.6400000000000005E-2</v>
      </c>
      <c r="F72" s="40">
        <f>Tabella116[[#This Row],[Percentage of Supplier''s Facilities - Raw]]/$E$151</f>
        <v>8.657314629258514E-2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Tabella116[[#This Row],[Percentage of Suppliers - Raw]]/$C$151</f>
        <v>0</v>
      </c>
      <c r="E73" s="23">
        <v>0</v>
      </c>
      <c r="F73" s="40">
        <f>Tabella116[[#This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Tabella116[[#This Row],[Percentage of Suppliers - Raw]]/$C$151</f>
        <v>0</v>
      </c>
      <c r="E74" s="23">
        <v>0</v>
      </c>
      <c r="F74" s="40">
        <f>Tabella116[[#This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Tabella116[[#This Row],[Percentage of Suppliers - Raw]]/$C$151</f>
        <v>0</v>
      </c>
      <c r="E75" s="23">
        <v>0</v>
      </c>
      <c r="F75" s="40">
        <f>Tabella116[[#This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Tabella116[[#This Row],[Percentage of Suppliers - Raw]]/$C$151</f>
        <v>0</v>
      </c>
      <c r="E76" s="23">
        <v>0</v>
      </c>
      <c r="F76" s="40">
        <f>Tabella116[[#This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Tabella116[[#This Row],[Percentage of Suppliers - Raw]]/$C$151</f>
        <v>0</v>
      </c>
      <c r="E77" s="23">
        <v>0</v>
      </c>
      <c r="F77" s="40">
        <f>Tabella116[[#This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Tabella116[[#This Row],[Percentage of Suppliers - Raw]]/$C$151</f>
        <v>0</v>
      </c>
      <c r="E78" s="23">
        <v>8.9999999999999998E-4</v>
      </c>
      <c r="F78" s="40">
        <f>Tabella116[[#This Row],[Percentage of Supplier''s Facilities - Raw]]/$E$151</f>
        <v>9.0180360721442854E-4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Tabella116[[#This Row],[Percentage of Suppliers - Raw]]/$C$151</f>
        <v>0</v>
      </c>
      <c r="E79" s="23">
        <v>0</v>
      </c>
      <c r="F79" s="40">
        <f>Tabella116[[#This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Tabella116[[#This Row],[Percentage of Suppliers - Raw]]/$C$151</f>
        <v>0</v>
      </c>
      <c r="E80" s="23">
        <v>0</v>
      </c>
      <c r="F80" s="40">
        <f>Tabella116[[#This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Tabella116[[#This Row],[Percentage of Suppliers - Raw]]/$C$151</f>
        <v>0</v>
      </c>
      <c r="E81" s="23">
        <v>0</v>
      </c>
      <c r="F81" s="40">
        <f>Tabella116[[#This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Tabella116[[#This Row],[Percentage of Suppliers - Raw]]/$C$151</f>
        <v>0</v>
      </c>
      <c r="E82" s="23">
        <v>0</v>
      </c>
      <c r="F82" s="40">
        <f>Tabella116[[#This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Tabella116[[#This Row],[Percentage of Suppliers - Raw]]/$C$151</f>
        <v>0</v>
      </c>
      <c r="E83" s="23">
        <v>0</v>
      </c>
      <c r="F83" s="40">
        <f>Tabella116[[#This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Tabella116[[#This Row],[Percentage of Suppliers - Raw]]/$C$151</f>
        <v>0</v>
      </c>
      <c r="E84" s="23">
        <v>0</v>
      </c>
      <c r="F84" s="40">
        <f>Tabella116[[#This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Tabella116[[#This Row],[Percentage of Suppliers - Raw]]/$C$151</f>
        <v>0</v>
      </c>
      <c r="E85" s="23">
        <v>0</v>
      </c>
      <c r="F85" s="40">
        <f>Tabella116[[#This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Tabella116[[#This Row],[Percentage of Suppliers - Raw]]/$C$151</f>
        <v>0</v>
      </c>
      <c r="E86" s="23">
        <v>0</v>
      </c>
      <c r="F86" s="40">
        <f>Tabella116[[#This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Tabella116[[#This Row],[Percentage of Suppliers - Raw]]/$C$151</f>
        <v>0</v>
      </c>
      <c r="E87" s="23">
        <v>1.8000000000000002E-2</v>
      </c>
      <c r="F87" s="40">
        <f>Tabella116[[#This Row],[Percentage of Supplier''s Facilities - Raw]]/$E$151</f>
        <v>1.8036072144288574E-2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Tabella116[[#This Row],[Percentage of Suppliers - Raw]]/$C$151</f>
        <v>0</v>
      </c>
      <c r="E88" s="23">
        <v>0</v>
      </c>
      <c r="F88" s="40">
        <f>Tabella116[[#This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Tabella116[[#This Row],[Percentage of Suppliers - Raw]]/$C$151</f>
        <v>0</v>
      </c>
      <c r="E89" s="23">
        <v>0</v>
      </c>
      <c r="F89" s="40">
        <f>Tabella116[[#This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Tabella116[[#This Row],[Percentage of Suppliers - Raw]]/$C$151</f>
        <v>0</v>
      </c>
      <c r="E90" s="23">
        <v>0</v>
      </c>
      <c r="F90" s="40">
        <f>Tabella116[[#This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Tabella116[[#This Row],[Percentage of Suppliers - Raw]]/$C$151</f>
        <v>0</v>
      </c>
      <c r="E91" s="23">
        <v>1.9E-2</v>
      </c>
      <c r="F91" s="40">
        <f>Tabella116[[#This Row],[Percentage of Supplier''s Facilities - Raw]]/$E$151</f>
        <v>1.9038076152304604E-2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Tabella116[[#This Row],[Percentage of Suppliers - Raw]]/$C$151</f>
        <v>0</v>
      </c>
      <c r="E92" s="23">
        <v>0</v>
      </c>
      <c r="F92" s="40">
        <f>Tabella116[[#This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Tabella116[[#This Row],[Percentage of Suppliers - Raw]]/$C$151</f>
        <v>0</v>
      </c>
      <c r="E93" s="23">
        <v>0</v>
      </c>
      <c r="F93" s="40">
        <f>Tabella116[[#This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Tabella116[[#This Row],[Percentage of Suppliers - Raw]]/$C$151</f>
        <v>0</v>
      </c>
      <c r="E94" s="23">
        <v>8.9999999999999998E-4</v>
      </c>
      <c r="F94" s="40">
        <f>Tabella116[[#This Row],[Percentage of Supplier''s Facilities - Raw]]/$E$151</f>
        <v>9.0180360721442854E-4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Tabella116[[#This Row],[Percentage of Suppliers - Raw]]/$C$151</f>
        <v>0</v>
      </c>
      <c r="E95" s="23">
        <v>0</v>
      </c>
      <c r="F95" s="40">
        <f>Tabella116[[#This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Tabella116[[#This Row],[Percentage of Suppliers - Raw]]/$C$151</f>
        <v>0</v>
      </c>
      <c r="E96" s="23">
        <v>0</v>
      </c>
      <c r="F96" s="40">
        <f>Tabella116[[#This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Tabella116[[#This Row],[Percentage of Suppliers - Raw]]/$C$151</f>
        <v>0</v>
      </c>
      <c r="E97" s="23">
        <v>0</v>
      </c>
      <c r="F97" s="40">
        <f>Tabella116[[#This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5.1299999999999998E-2</v>
      </c>
      <c r="D98" s="36">
        <f>Tabella116[[#This Row],[Percentage of Suppliers - Raw]]/$C$151</f>
        <v>5.1305130513051307E-2</v>
      </c>
      <c r="E98" s="23">
        <v>3.04E-2</v>
      </c>
      <c r="F98" s="40">
        <f>Tabella116[[#This Row],[Percentage of Supplier''s Facilities - Raw]]/$E$151</f>
        <v>3.0460921843687365E-2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Tabella116[[#This Row],[Percentage of Suppliers - Raw]]/$C$151</f>
        <v>0</v>
      </c>
      <c r="E99" s="23">
        <v>0</v>
      </c>
      <c r="F99" s="40">
        <f>Tabella116[[#This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Tabella116[[#This Row],[Percentage of Suppliers - Raw]]/$C$151</f>
        <v>0</v>
      </c>
      <c r="E100" s="23">
        <v>0</v>
      </c>
      <c r="F100" s="40">
        <f>Tabella116[[#This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Tabella116[[#This Row],[Percentage of Suppliers - Raw]]/$C$151</f>
        <v>0</v>
      </c>
      <c r="E101" s="23">
        <v>0</v>
      </c>
      <c r="F101" s="40">
        <f>Tabella116[[#This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Tabella116[[#This Row],[Percentage of Suppliers - Raw]]/$C$151</f>
        <v>0</v>
      </c>
      <c r="E102" s="23">
        <v>0</v>
      </c>
      <c r="F102" s="40">
        <f>Tabella116[[#This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Tabella116[[#This Row],[Percentage of Suppliers - Raw]]/$C$151</f>
        <v>0</v>
      </c>
      <c r="E103" s="23">
        <v>0</v>
      </c>
      <c r="F103" s="40">
        <f>Tabella116[[#This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Tabella116[[#This Row],[Percentage of Suppliers - Raw]]/$C$151</f>
        <v>0</v>
      </c>
      <c r="E104" s="23">
        <v>6.6E-3</v>
      </c>
      <c r="F104" s="40">
        <f>Tabella116[[#This Row],[Percentage of Supplier''s Facilities - Raw]]/$E$151</f>
        <v>6.613226452905809E-3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Tabella116[[#This Row],[Percentage of Suppliers - Raw]]/$C$151</f>
        <v>0</v>
      </c>
      <c r="E105" s="23">
        <v>0</v>
      </c>
      <c r="F105" s="40">
        <f>Tabella116[[#This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Tabella116[[#This Row],[Percentage of Suppliers - Raw]]/$C$151</f>
        <v>0</v>
      </c>
      <c r="E106" s="23">
        <v>0</v>
      </c>
      <c r="F106" s="40">
        <f>Tabella116[[#This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Tabella116[[#This Row],[Percentage of Suppliers - Raw]]/$C$151</f>
        <v>0</v>
      </c>
      <c r="E107" s="23">
        <v>0</v>
      </c>
      <c r="F107" s="40">
        <f>Tabella116[[#This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Tabella116[[#This Row],[Percentage of Suppliers - Raw]]/$C$151</f>
        <v>0</v>
      </c>
      <c r="E108" s="23">
        <v>0</v>
      </c>
      <c r="F108" s="40">
        <f>Tabella116[[#This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Tabella116[[#This Row],[Percentage of Suppliers - Raw]]/$C$151</f>
        <v>0</v>
      </c>
      <c r="E109" s="23">
        <v>0</v>
      </c>
      <c r="F109" s="40">
        <f>Tabella116[[#This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Tabella116[[#This Row],[Percentage of Suppliers - Raw]]/$C$151</f>
        <v>0</v>
      </c>
      <c r="E110" s="23">
        <v>0</v>
      </c>
      <c r="F110" s="40">
        <f>Tabella116[[#This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Tabella116[[#This Row],[Percentage of Suppliers - Raw]]/$C$151</f>
        <v>0</v>
      </c>
      <c r="E111" s="23">
        <v>3.8E-3</v>
      </c>
      <c r="F111" s="40">
        <f>Tabella116[[#This Row],[Percentage of Supplier''s Facilities - Raw]]/$E$151</f>
        <v>3.8076152304609206E-3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Tabella116[[#This Row],[Percentage of Suppliers - Raw]]/$C$151</f>
        <v>0</v>
      </c>
      <c r="E112" s="23">
        <v>1.4199999999999999E-2</v>
      </c>
      <c r="F112" s="40">
        <f>Tabella116[[#This Row],[Percentage of Supplier''s Facilities - Raw]]/$E$151</f>
        <v>1.4228456913827649E-2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Tabella116[[#This Row],[Percentage of Suppliers - Raw]]/$C$151</f>
        <v>0</v>
      </c>
      <c r="E113" s="23">
        <v>8.9999999999999998E-4</v>
      </c>
      <c r="F113" s="40">
        <f>Tabella116[[#This Row],[Percentage of Supplier''s Facilities - Raw]]/$E$151</f>
        <v>9.0180360721442854E-4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Tabella116[[#This Row],[Percentage of Suppliers - Raw]]/$C$151</f>
        <v>0</v>
      </c>
      <c r="E114" s="23">
        <v>0</v>
      </c>
      <c r="F114" s="40">
        <f>Tabella116[[#This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Tabella116[[#This Row],[Percentage of Suppliers - Raw]]/$C$151</f>
        <v>0</v>
      </c>
      <c r="E115" s="23">
        <v>6.6E-3</v>
      </c>
      <c r="F115" s="40">
        <f>Tabella116[[#This Row],[Percentage of Supplier''s Facilities - Raw]]/$E$151</f>
        <v>6.613226452905809E-3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Tabella116[[#This Row],[Percentage of Suppliers - Raw]]/$C$151</f>
        <v>0</v>
      </c>
      <c r="E116" s="23">
        <v>4.6999999999999993E-3</v>
      </c>
      <c r="F116" s="40">
        <f>Tabella116[[#This Row],[Percentage of Supplier''s Facilities - Raw]]/$E$151</f>
        <v>4.7094188376753483E-3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Tabella116[[#This Row],[Percentage of Suppliers - Raw]]/$C$151</f>
        <v>0</v>
      </c>
      <c r="E117" s="23">
        <v>0</v>
      </c>
      <c r="F117" s="40">
        <f>Tabella116[[#This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Tabella116[[#This Row],[Percentage of Suppliers - Raw]]/$C$151</f>
        <v>0</v>
      </c>
      <c r="E118" s="23">
        <v>1.9E-3</v>
      </c>
      <c r="F118" s="40">
        <f>Tabella116[[#This Row],[Percentage of Supplier''s Facilities - Raw]]/$E$151</f>
        <v>1.9038076152304603E-3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Tabella116[[#This Row],[Percentage of Suppliers - Raw]]/$C$151</f>
        <v>0</v>
      </c>
      <c r="E119" s="23">
        <v>0</v>
      </c>
      <c r="F119" s="40">
        <f>Tabella116[[#This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Tabella116[[#This Row],[Percentage of Suppliers - Raw]]/$C$151</f>
        <v>0</v>
      </c>
      <c r="E120" s="23">
        <v>0</v>
      </c>
      <c r="F120" s="40">
        <f>Tabella116[[#This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Tabella116[[#This Row],[Percentage of Suppliers - Raw]]/$C$151</f>
        <v>0</v>
      </c>
      <c r="E121" s="23">
        <v>0</v>
      </c>
      <c r="F121" s="40">
        <f>Tabella116[[#This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Tabella116[[#This Row],[Percentage of Suppliers - Raw]]/$C$151</f>
        <v>0</v>
      </c>
      <c r="E122" s="23">
        <v>1.7100000000000001E-2</v>
      </c>
      <c r="F122" s="40">
        <f>Tabella116[[#This Row],[Percentage of Supplier''s Facilities - Raw]]/$E$151</f>
        <v>1.7134268537074143E-2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Tabella116[[#This Row],[Percentage of Suppliers - Raw]]/$C$151</f>
        <v>0</v>
      </c>
      <c r="E123" s="23">
        <v>3.8E-3</v>
      </c>
      <c r="F123" s="40">
        <f>Tabella116[[#This Row],[Percentage of Supplier''s Facilities - Raw]]/$E$151</f>
        <v>3.8076152304609206E-3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Tabella116[[#This Row],[Percentage of Suppliers - Raw]]/$C$151</f>
        <v>0</v>
      </c>
      <c r="E124" s="23">
        <v>1.9E-3</v>
      </c>
      <c r="F124" s="40">
        <f>Tabella116[[#This Row],[Percentage of Supplier''s Facilities - Raw]]/$E$151</f>
        <v>1.9038076152304603E-3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Tabella116[[#This Row],[Percentage of Suppliers - Raw]]/$C$151</f>
        <v>0</v>
      </c>
      <c r="E125" s="23">
        <v>2.8000000000000004E-3</v>
      </c>
      <c r="F125" s="40">
        <f>Tabella116[[#This Row],[Percentage of Supplier''s Facilities - Raw]]/$E$151</f>
        <v>2.8056112224448893E-3</v>
      </c>
    </row>
    <row r="126" spans="1:6" ht="19" x14ac:dyDescent="0.25">
      <c r="A126" s="31" t="s">
        <v>139</v>
      </c>
      <c r="B126" s="151">
        <v>3.57</v>
      </c>
      <c r="C126" s="22">
        <v>2.5600000000000001E-2</v>
      </c>
      <c r="D126" s="36">
        <f>Tabella116[[#This Row],[Percentage of Suppliers - Raw]]/$C$151</f>
        <v>2.5602560256025607E-2</v>
      </c>
      <c r="E126" s="23">
        <v>2.0899999999999998E-2</v>
      </c>
      <c r="F126" s="40">
        <f>Tabella116[[#This Row],[Percentage of Supplier''s Facilities - Raw]]/$E$151</f>
        <v>2.0941883767535061E-2</v>
      </c>
    </row>
    <row r="127" spans="1:6" ht="19" x14ac:dyDescent="0.25">
      <c r="A127" s="31" t="s">
        <v>140</v>
      </c>
      <c r="B127" s="152">
        <v>3.7</v>
      </c>
      <c r="C127" s="22">
        <v>2.5600000000000001E-2</v>
      </c>
      <c r="D127" s="36">
        <f>Tabella116[[#This Row],[Percentage of Suppliers - Raw]]/$C$151</f>
        <v>2.5602560256025607E-2</v>
      </c>
      <c r="E127" s="23">
        <v>4.6999999999999993E-3</v>
      </c>
      <c r="F127" s="40">
        <f>Tabella116[[#This Row],[Percentage of Supplier''s Facilities - Raw]]/$E$151</f>
        <v>4.7094188376753483E-3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Tabella116[[#This Row],[Percentage of Suppliers - Raw]]/$C$151</f>
        <v>0</v>
      </c>
      <c r="E128" s="23">
        <v>0</v>
      </c>
      <c r="F128" s="40">
        <f>Tabella116[[#This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Tabella116[[#This Row],[Percentage of Suppliers - Raw]]/$C$151</f>
        <v>0</v>
      </c>
      <c r="E129" s="23">
        <v>0</v>
      </c>
      <c r="F129" s="40">
        <f>Tabella116[[#This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0</v>
      </c>
      <c r="D130" s="36">
        <f>Tabella116[[#This Row],[Percentage of Suppliers - Raw]]/$C$151</f>
        <v>0</v>
      </c>
      <c r="E130" s="23">
        <v>1.3300000000000001E-2</v>
      </c>
      <c r="F130" s="40">
        <f>Tabella116[[#This Row],[Percentage of Supplier''s Facilities - Raw]]/$E$151</f>
        <v>1.3326653306613223E-2</v>
      </c>
    </row>
    <row r="131" spans="1:6" ht="19" x14ac:dyDescent="0.25">
      <c r="A131" s="31" t="s">
        <v>144</v>
      </c>
      <c r="B131" s="154">
        <v>2.78</v>
      </c>
      <c r="C131" s="22">
        <v>2.5600000000000001E-2</v>
      </c>
      <c r="D131" s="36">
        <f>Tabella116[[#This Row],[Percentage of Suppliers - Raw]]/$C$151</f>
        <v>2.5602560256025607E-2</v>
      </c>
      <c r="E131" s="23">
        <v>1.23E-2</v>
      </c>
      <c r="F131" s="40">
        <f>Tabella116[[#This Row],[Percentage of Supplier''s Facilities - Raw]]/$E$151</f>
        <v>1.232464929859719E-2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Tabella116[[#This Row],[Percentage of Suppliers - Raw]]/$C$151</f>
        <v>0</v>
      </c>
      <c r="E132" s="23">
        <v>0</v>
      </c>
      <c r="F132" s="40">
        <f>Tabella116[[#This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Tabella116[[#This Row],[Percentage of Suppliers - Raw]]/$C$151</f>
        <v>0</v>
      </c>
      <c r="E133" s="23">
        <v>0</v>
      </c>
      <c r="F133" s="40">
        <f>Tabella116[[#This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Tabella116[[#This Row],[Percentage of Suppliers - Raw]]/$C$151</f>
        <v>0</v>
      </c>
      <c r="E134" s="23">
        <v>1.3300000000000001E-2</v>
      </c>
      <c r="F134" s="40">
        <f>Tabella116[[#This Row],[Percentage of Supplier''s Facilities - Raw]]/$E$151</f>
        <v>1.3326653306613223E-2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Tabella116[[#This Row],[Percentage of Suppliers - Raw]]/$C$151</f>
        <v>0</v>
      </c>
      <c r="E135" s="23">
        <v>0</v>
      </c>
      <c r="F135" s="40">
        <f>Tabella116[[#This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Tabella116[[#This Row],[Percentage of Suppliers - Raw]]/$C$151</f>
        <v>0</v>
      </c>
      <c r="E136" s="23">
        <v>0</v>
      </c>
      <c r="F136" s="40">
        <f>Tabella116[[#This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Tabella116[[#This Row],[Percentage of Suppliers - Raw]]/$C$151</f>
        <v>0</v>
      </c>
      <c r="E137" s="23">
        <v>0</v>
      </c>
      <c r="F137" s="40">
        <f>Tabella116[[#This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Tabella116[[#This Row],[Percentage of Suppliers - Raw]]/$C$151</f>
        <v>0</v>
      </c>
      <c r="E138" s="23">
        <v>0</v>
      </c>
      <c r="F138" s="40">
        <f>Tabella116[[#This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Tabella116[[#This Row],[Percentage of Suppliers - Raw]]/$C$151</f>
        <v>0</v>
      </c>
      <c r="E139" s="23">
        <v>4.6999999999999993E-3</v>
      </c>
      <c r="F139" s="40">
        <f>Tabella116[[#This Row],[Percentage of Supplier''s Facilities - Raw]]/$E$151</f>
        <v>4.7094188376753483E-3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Tabella116[[#This Row],[Percentage of Suppliers - Raw]]/$C$151</f>
        <v>0</v>
      </c>
      <c r="E140" s="23">
        <v>0</v>
      </c>
      <c r="F140" s="40">
        <f>Tabella116[[#This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Tabella116[[#This Row],[Percentage of Suppliers - Raw]]/$C$151</f>
        <v>0</v>
      </c>
      <c r="E141" s="23">
        <v>1.9E-3</v>
      </c>
      <c r="F141" s="40">
        <f>Tabella116[[#This Row],[Percentage of Supplier''s Facilities - Raw]]/$E$151</f>
        <v>1.9038076152304603E-3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Tabella116[[#This Row],[Percentage of Suppliers - Raw]]/$C$151</f>
        <v>0</v>
      </c>
      <c r="E142" s="23">
        <v>1.9E-3</v>
      </c>
      <c r="F142" s="40">
        <f>Tabella116[[#This Row],[Percentage of Supplier''s Facilities - Raw]]/$E$151</f>
        <v>1.9038076152304603E-3</v>
      </c>
    </row>
    <row r="143" spans="1:6" ht="19" x14ac:dyDescent="0.25">
      <c r="A143" s="31" t="s">
        <v>156</v>
      </c>
      <c r="B143" s="128">
        <v>3.32</v>
      </c>
      <c r="C143" s="22">
        <v>2.5600000000000001E-2</v>
      </c>
      <c r="D143" s="36">
        <f>Tabella116[[#This Row],[Percentage of Suppliers - Raw]]/$C$151</f>
        <v>2.5602560256025607E-2</v>
      </c>
      <c r="E143" s="23">
        <v>4.3700000000000003E-2</v>
      </c>
      <c r="F143" s="40">
        <f>Tabella116[[#This Row],[Percentage of Supplier''s Facilities - Raw]]/$E$151</f>
        <v>4.3787575150300587E-2</v>
      </c>
    </row>
    <row r="144" spans="1:6" ht="19" x14ac:dyDescent="0.25">
      <c r="A144" s="31" t="s">
        <v>157</v>
      </c>
      <c r="B144" s="165">
        <v>4.1900000000000004</v>
      </c>
      <c r="C144" s="22">
        <v>0.35899999999999999</v>
      </c>
      <c r="D144" s="36">
        <f>Tabella116[[#This Row],[Percentage of Suppliers - Raw]]/$C$151</f>
        <v>0.35903590359035908</v>
      </c>
      <c r="E144" s="23">
        <v>0.28300000000000003</v>
      </c>
      <c r="F144" s="40">
        <f>Tabella116[[#This Row],[Percentage of Supplier''s Facilities - Raw]]/$E$151</f>
        <v>0.28356713426853702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Tabella116[[#This Row],[Percentage of Suppliers - Raw]]/$C$151</f>
        <v>0</v>
      </c>
      <c r="E145" s="23">
        <v>0</v>
      </c>
      <c r="F145" s="40">
        <f>Tabella116[[#This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Tabella116[[#This Row],[Percentage of Suppliers - Raw]]/$C$151</f>
        <v>0</v>
      </c>
      <c r="E146" s="23">
        <v>0</v>
      </c>
      <c r="F146" s="40">
        <f>Tabella116[[#This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Tabella116[[#This Row],[Percentage of Suppliers - Raw]]/$C$151</f>
        <v>0</v>
      </c>
      <c r="E147" s="23">
        <v>1.1399999999999999E-2</v>
      </c>
      <c r="F147" s="40">
        <f>Tabella116[[#This Row],[Percentage of Supplier''s Facilities - Raw]]/$E$151</f>
        <v>1.1422845691382761E-2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Tabella116[[#This Row],[Percentage of Suppliers - Raw]]/$C$151</f>
        <v>0</v>
      </c>
      <c r="E148" s="23">
        <v>0</v>
      </c>
      <c r="F148" s="40">
        <f>Tabella116[[#This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Tabella116[[#This Row],[Percentage of Suppliers - Raw]]/$C$151</f>
        <v>0</v>
      </c>
      <c r="E149" s="23">
        <v>0</v>
      </c>
      <c r="F149" s="40">
        <f>Tabella116[[#This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Tabella116[[#This Row],[Percentage of Suppliers - Raw]]/$C$151</f>
        <v>0</v>
      </c>
      <c r="E150" s="23">
        <v>0</v>
      </c>
      <c r="F150" s="40">
        <f>Tabella116[[#This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0.9998999999999999</v>
      </c>
      <c r="D151" s="39">
        <f>Tabella116[[#This Row],[Percentage of Suppliers - Raw]]/$C$151</f>
        <v>1</v>
      </c>
      <c r="E151" s="25">
        <f>SUM(E4:E150)</f>
        <v>0.99800000000000033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7342-A45E-AB44-A271-F6ED812822A5}">
  <dimension ref="A1:P151"/>
  <sheetViews>
    <sheetView workbookViewId="0">
      <selection activeCell="P9" sqref="P9"/>
    </sheetView>
  </sheetViews>
  <sheetFormatPr baseColWidth="10" defaultColWidth="10.6640625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181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Tabella117[[#This Row],[Percentage of Suppliers - Raw]]/$C$151</f>
        <v>0</v>
      </c>
      <c r="E4" s="26">
        <v>0</v>
      </c>
      <c r="F4" s="38">
        <f>Tabella117[[#This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Tabella117[[#This Row],[Percentage of Suppliers - Raw]]/$C$151</f>
        <v>0</v>
      </c>
      <c r="E5" s="26">
        <v>0</v>
      </c>
      <c r="F5" s="38">
        <f>Tabella117[[#This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Tabella117[[#This Row],[Percentage of Suppliers - Raw]]/$C$151</f>
        <v>0</v>
      </c>
      <c r="E6" s="26">
        <v>0</v>
      </c>
      <c r="F6" s="38">
        <f>Tabella117[[#This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Tabella117[[#This Row],[Percentage of Suppliers - Raw]]/$C$151</f>
        <v>0</v>
      </c>
      <c r="E7" s="26">
        <v>4.5999999999999999E-3</v>
      </c>
      <c r="F7" s="38">
        <f>Tabella117[[#This Row],[Percentage of Supplier''s Facilities - Raw]]/$E$151</f>
        <v>4.7001123939920302E-3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Tabella117[[#This Row],[Percentage of Suppliers - Raw]]/$C$151</f>
        <v>0</v>
      </c>
      <c r="E8" s="26">
        <v>0</v>
      </c>
      <c r="F8" s="38">
        <f>Tabella117[[#This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4.26</v>
      </c>
      <c r="K8" s="19">
        <f>INDEX(D4:D150,MATCH(MAX(D4:D150),D4:D150,0))</f>
        <v>0.46929385877175439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0.18422397057320936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Tabella117[[#This Row],[Percentage of Suppliers - Raw]]/$C$151</f>
        <v>0</v>
      </c>
      <c r="E9" s="26">
        <v>1.1599999999999999E-2</v>
      </c>
      <c r="F9" s="38">
        <f>Tabella117[[#This Row],[Percentage of Supplier''s Facilities - Raw]]/$E$151</f>
        <v>1.1852457341371206E-2</v>
      </c>
      <c r="H9" s="20" t="s">
        <v>20</v>
      </c>
      <c r="I9" s="21"/>
      <c r="J9" s="21"/>
      <c r="K9" s="175">
        <f>SUMPRODUCT(B4:B150,D4:D150)</f>
        <v>3.9315003000600122</v>
      </c>
      <c r="M9" s="20" t="s">
        <v>21</v>
      </c>
      <c r="N9" s="21"/>
      <c r="O9" s="21"/>
      <c r="P9" s="175">
        <f>SUMPRODUCT(B4:B150,F4:F150)</f>
        <v>3.9450117502809858</v>
      </c>
    </row>
    <row r="10" spans="1:16" ht="19" x14ac:dyDescent="0.25">
      <c r="A10" s="31" t="s">
        <v>22</v>
      </c>
      <c r="B10" s="49">
        <v>3.41</v>
      </c>
      <c r="C10" s="22">
        <v>4.1000000000000003E-3</v>
      </c>
      <c r="D10" s="36">
        <f>Tabella117[[#This Row],[Percentage of Suppliers - Raw]]/$C$151</f>
        <v>4.1008201640328071E-3</v>
      </c>
      <c r="E10" s="26">
        <v>3.7000000000000002E-3</v>
      </c>
      <c r="F10" s="38">
        <f>Tabella117[[#This Row],[Percentage of Supplier''s Facilities - Raw]]/$E$151</f>
        <v>3.7805251864718504E-3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Tabella117[[#This Row],[Percentage of Suppliers - Raw]]/$C$151</f>
        <v>0</v>
      </c>
      <c r="E11" s="26">
        <v>0</v>
      </c>
      <c r="F11" s="38">
        <f>Tabella117[[#This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Tabella117[[#This Row],[Percentage of Suppliers - Raw]]/$C$151</f>
        <v>0</v>
      </c>
      <c r="E12" s="26">
        <v>0</v>
      </c>
      <c r="F12" s="38">
        <f>Tabella117[[#This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Tabella117[[#This Row],[Percentage of Suppliers - Raw]]/$C$151</f>
        <v>0</v>
      </c>
      <c r="E13" s="26">
        <v>0</v>
      </c>
      <c r="F13" s="38">
        <f>Tabella117[[#This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Tabella117[[#This Row],[Percentage of Suppliers - Raw]]/$C$151</f>
        <v>0</v>
      </c>
      <c r="E14" s="26">
        <v>1E-3</v>
      </c>
      <c r="F14" s="38">
        <f>Tabella117[[#This Row],[Percentage of Supplier''s Facilities - Raw]]/$E$151</f>
        <v>1.0217635639113108E-3</v>
      </c>
    </row>
    <row r="15" spans="1:16" ht="19" x14ac:dyDescent="0.25">
      <c r="A15" s="31" t="s">
        <v>27</v>
      </c>
      <c r="B15" s="53">
        <v>3.33</v>
      </c>
      <c r="C15" s="22">
        <v>4.1000000000000003E-3</v>
      </c>
      <c r="D15" s="36">
        <f>Tabella117[[#This Row],[Percentage of Suppliers - Raw]]/$C$151</f>
        <v>4.1008201640328071E-3</v>
      </c>
      <c r="E15" s="26">
        <v>8.6E-3</v>
      </c>
      <c r="F15" s="38">
        <f>Tabella117[[#This Row],[Percentage of Supplier''s Facilities - Raw]]/$E$151</f>
        <v>8.7871666496372736E-3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Tabella117[[#This Row],[Percentage of Suppliers - Raw]]/$C$151</f>
        <v>0</v>
      </c>
      <c r="E16" s="26">
        <v>0</v>
      </c>
      <c r="F16" s="38">
        <f>Tabella117[[#This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Tabella117[[#This Row],[Percentage of Suppliers - Raw]]/$C$151</f>
        <v>0</v>
      </c>
      <c r="E17" s="26">
        <v>0</v>
      </c>
      <c r="F17" s="38">
        <f>Tabella117[[#This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Tabella117[[#This Row],[Percentage of Suppliers - Raw]]/$C$151</f>
        <v>0</v>
      </c>
      <c r="E18" s="26">
        <v>0</v>
      </c>
      <c r="F18" s="38">
        <f>Tabella117[[#This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Tabella117[[#This Row],[Percentage of Suppliers - Raw]]/$C$151</f>
        <v>0</v>
      </c>
      <c r="E19" s="26">
        <v>0</v>
      </c>
      <c r="F19" s="38">
        <f>Tabella117[[#This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Tabella117[[#This Row],[Percentage of Suppliers - Raw]]/$C$151</f>
        <v>0</v>
      </c>
      <c r="E20" s="26">
        <v>0</v>
      </c>
      <c r="F20" s="38">
        <f>Tabella117[[#This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Tabella117[[#This Row],[Percentage of Suppliers - Raw]]/$C$151</f>
        <v>0</v>
      </c>
      <c r="E21" s="26">
        <v>1.2500000000000001E-2</v>
      </c>
      <c r="F21" s="38">
        <f>Tabella117[[#This Row],[Percentage of Supplier''s Facilities - Raw]]/$E$151</f>
        <v>1.2772044548891387E-2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Tabella117[[#This Row],[Percentage of Suppliers - Raw]]/$C$151</f>
        <v>0</v>
      </c>
      <c r="E22" s="26">
        <v>2.7000000000000001E-3</v>
      </c>
      <c r="F22" s="38">
        <f>Tabella117[[#This Row],[Percentage of Supplier''s Facilities - Raw]]/$E$151</f>
        <v>2.7587616225605398E-3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Tabella117[[#This Row],[Percentage of Suppliers - Raw]]/$C$151</f>
        <v>0</v>
      </c>
      <c r="E23" s="26">
        <v>0</v>
      </c>
      <c r="F23" s="38">
        <f>Tabella117[[#This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Tabella117[[#This Row],[Percentage of Suppliers - Raw]]/$C$151</f>
        <v>0</v>
      </c>
      <c r="E24" s="26">
        <v>0</v>
      </c>
      <c r="F24" s="38">
        <f>Tabella117[[#This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Tabella117[[#This Row],[Percentage of Suppliers - Raw]]/$C$151</f>
        <v>0</v>
      </c>
      <c r="E25" s="26">
        <v>0</v>
      </c>
      <c r="F25" s="38">
        <f>Tabella117[[#This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Tabella117[[#This Row],[Percentage of Suppliers - Raw]]/$C$151</f>
        <v>0</v>
      </c>
      <c r="E26" s="26">
        <v>0</v>
      </c>
      <c r="F26" s="38">
        <f>Tabella117[[#This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8.2000000000000007E-3</v>
      </c>
      <c r="D27" s="36">
        <f>Tabella117[[#This Row],[Percentage of Suppliers - Raw]]/$C$151</f>
        <v>8.2016403280656142E-3</v>
      </c>
      <c r="E27" s="26">
        <v>1.3100000000000001E-2</v>
      </c>
      <c r="F27" s="38">
        <f>Tabella117[[#This Row],[Percentage of Supplier''s Facilities - Raw]]/$E$151</f>
        <v>1.3385102687238174E-2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Tabella117[[#This Row],[Percentage of Suppliers - Raw]]/$C$151</f>
        <v>0</v>
      </c>
      <c r="E28" s="26">
        <v>0</v>
      </c>
      <c r="F28" s="38">
        <f>Tabella117[[#This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Tabella117[[#This Row],[Percentage of Suppliers - Raw]]/$C$151</f>
        <v>0</v>
      </c>
      <c r="E29" s="26">
        <v>0</v>
      </c>
      <c r="F29" s="38">
        <f>Tabella117[[#This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Tabella117[[#This Row],[Percentage of Suppliers - Raw]]/$C$151</f>
        <v>0</v>
      </c>
      <c r="E30" s="26">
        <v>3.0999999999999999E-3</v>
      </c>
      <c r="F30" s="38">
        <f>Tabella117[[#This Row],[Percentage of Supplier''s Facilities - Raw]]/$E$151</f>
        <v>3.1674670481250636E-3</v>
      </c>
    </row>
    <row r="31" spans="1:7" ht="19" x14ac:dyDescent="0.25">
      <c r="A31" s="31" t="s">
        <v>43</v>
      </c>
      <c r="B31" s="50">
        <v>4.26</v>
      </c>
      <c r="C31" s="22">
        <f xml:space="preserve"> 7% + 39.92%</f>
        <v>0.46920000000000001</v>
      </c>
      <c r="D31" s="36">
        <f>Tabella117[[#This Row],[Percentage of Suppliers - Raw]]/$C$151</f>
        <v>0.46929385877175439</v>
      </c>
      <c r="E31" s="26">
        <v>0.1588</v>
      </c>
      <c r="F31" s="38">
        <f>Tabella117[[#This Row],[Percentage of Supplier''s Facilities - Raw]]/$E$151</f>
        <v>0.16225605394911616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Tabella117[[#This Row],[Percentage of Suppliers - Raw]]/$C$151</f>
        <v>0</v>
      </c>
      <c r="E32" s="26">
        <v>1.5E-3</v>
      </c>
      <c r="F32" s="38">
        <f>Tabella117[[#This Row],[Percentage of Supplier''s Facilities - Raw]]/$E$151</f>
        <v>1.5326453458669664E-3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Tabella117[[#This Row],[Percentage of Suppliers - Raw]]/$C$151</f>
        <v>0</v>
      </c>
      <c r="E33" s="26">
        <v>0</v>
      </c>
      <c r="F33" s="38">
        <f>Tabella117[[#This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Tabella117[[#This Row],[Percentage of Suppliers - Raw]]/$C$151</f>
        <v>0</v>
      </c>
      <c r="E34" s="26">
        <v>0</v>
      </c>
      <c r="F34" s="38">
        <f>Tabella117[[#This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Tabella117[[#This Row],[Percentage of Suppliers - Raw]]/$C$151</f>
        <v>0</v>
      </c>
      <c r="E35" s="26">
        <v>0</v>
      </c>
      <c r="F35" s="38">
        <f>Tabella117[[#This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Tabella117[[#This Row],[Percentage of Suppliers - Raw]]/$C$151</f>
        <v>0</v>
      </c>
      <c r="E36" s="26">
        <v>0</v>
      </c>
      <c r="F36" s="38">
        <f>Tabella117[[#This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Tabella117[[#This Row],[Percentage of Suppliers - Raw]]/$C$151</f>
        <v>0</v>
      </c>
      <c r="E37" s="26">
        <v>0</v>
      </c>
      <c r="F37" s="38">
        <f>Tabella117[[#This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Tabella117[[#This Row],[Percentage of Suppliers - Raw]]/$C$151</f>
        <v>0</v>
      </c>
      <c r="E38" s="26">
        <v>8.0000000000000002E-3</v>
      </c>
      <c r="F38" s="38">
        <f>Tabella117[[#This Row],[Percentage of Supplier''s Facilities - Raw]]/$E$151</f>
        <v>8.1741085112904868E-3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Tabella117[[#This Row],[Percentage of Suppliers - Raw]]/$C$151</f>
        <v>0</v>
      </c>
      <c r="E39" s="26">
        <v>4.4000000000000003E-3</v>
      </c>
      <c r="F39" s="38">
        <f>Tabella117[[#This Row],[Percentage of Supplier''s Facilities - Raw]]/$E$151</f>
        <v>4.4957596812097685E-3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Tabella117[[#This Row],[Percentage of Suppliers - Raw]]/$C$151</f>
        <v>0</v>
      </c>
      <c r="E40" s="26">
        <v>0</v>
      </c>
      <c r="F40" s="38">
        <f>Tabella117[[#This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Tabella117[[#This Row],[Percentage of Suppliers - Raw]]/$C$151</f>
        <v>0</v>
      </c>
      <c r="E41" s="26">
        <v>0</v>
      </c>
      <c r="F41" s="38">
        <f>Tabella117[[#This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Tabella117[[#This Row],[Percentage of Suppliers - Raw]]/$C$151</f>
        <v>0</v>
      </c>
      <c r="E42" s="26">
        <v>0</v>
      </c>
      <c r="F42" s="38">
        <f>Tabella117[[#This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Tabella117[[#This Row],[Percentage of Suppliers - Raw]]/$C$151</f>
        <v>0</v>
      </c>
      <c r="E43" s="26">
        <v>1.8E-3</v>
      </c>
      <c r="F43" s="38">
        <f>Tabella117[[#This Row],[Percentage of Supplier''s Facilities - Raw]]/$E$151</f>
        <v>1.8391744150403596E-3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Tabella117[[#This Row],[Percentage of Suppliers - Raw]]/$C$151</f>
        <v>0</v>
      </c>
      <c r="E44" s="26">
        <v>0</v>
      </c>
      <c r="F44" s="38">
        <f>Tabella117[[#This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Tabella117[[#This Row],[Percentage of Suppliers - Raw]]/$C$151</f>
        <v>0</v>
      </c>
      <c r="E45" s="26">
        <v>0</v>
      </c>
      <c r="F45" s="38">
        <f>Tabella117[[#This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Tabella117[[#This Row],[Percentage of Suppliers - Raw]]/$C$151</f>
        <v>0</v>
      </c>
      <c r="E46" s="26">
        <v>0</v>
      </c>
      <c r="F46" s="38">
        <f>Tabella117[[#This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Tabella117[[#This Row],[Percentage of Suppliers - Raw]]/$C$151</f>
        <v>0</v>
      </c>
      <c r="E47" s="26">
        <v>0</v>
      </c>
      <c r="F47" s="38">
        <f>Tabella117[[#This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Tabella117[[#This Row],[Percentage of Suppliers - Raw]]/$C$151</f>
        <v>0</v>
      </c>
      <c r="E48" s="26">
        <v>6.7999999999999996E-3</v>
      </c>
      <c r="F48" s="38">
        <f>Tabella117[[#This Row],[Percentage of Supplier''s Facilities - Raw]]/$E$151</f>
        <v>6.947992234596914E-3</v>
      </c>
    </row>
    <row r="49" spans="1:6" ht="19" x14ac:dyDescent="0.25">
      <c r="A49" s="31" t="s">
        <v>62</v>
      </c>
      <c r="B49" s="84">
        <v>3.65</v>
      </c>
      <c r="C49" s="22">
        <v>1.23E-2</v>
      </c>
      <c r="D49" s="36">
        <f>Tabella117[[#This Row],[Percentage of Suppliers - Raw]]/$C$151</f>
        <v>1.230246049209842E-2</v>
      </c>
      <c r="E49" s="26">
        <v>3.44E-2</v>
      </c>
      <c r="F49" s="38">
        <f>Tabella117[[#This Row],[Percentage of Supplier''s Facilities - Raw]]/$E$151</f>
        <v>3.5148666598549094E-2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Tabella117[[#This Row],[Percentage of Suppliers - Raw]]/$C$151</f>
        <v>0</v>
      </c>
      <c r="E50" s="26">
        <v>0</v>
      </c>
      <c r="F50" s="38">
        <f>Tabella117[[#This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Tabella117[[#This Row],[Percentage of Suppliers - Raw]]/$C$151</f>
        <v>0</v>
      </c>
      <c r="E51" s="26">
        <v>0</v>
      </c>
      <c r="F51" s="38">
        <f>Tabella117[[#This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Tabella117[[#This Row],[Percentage of Suppliers - Raw]]/$C$151</f>
        <v>0</v>
      </c>
      <c r="E52" s="26">
        <v>0</v>
      </c>
      <c r="F52" s="38">
        <f>Tabella117[[#This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2.06E-2</v>
      </c>
      <c r="D53" s="36">
        <f>Tabella117[[#This Row],[Percentage of Suppliers - Raw]]/$C$151</f>
        <v>2.0604120824164834E-2</v>
      </c>
      <c r="E53" s="26">
        <v>5.3499999999999999E-2</v>
      </c>
      <c r="F53" s="38">
        <f>Tabella117[[#This Row],[Percentage of Supplier''s Facilities - Raw]]/$E$151</f>
        <v>5.4664350669255131E-2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Tabella117[[#This Row],[Percentage of Suppliers - Raw]]/$C$151</f>
        <v>0</v>
      </c>
      <c r="E54" s="26">
        <v>0</v>
      </c>
      <c r="F54" s="38">
        <f>Tabella117[[#This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Tabella117[[#This Row],[Percentage of Suppliers - Raw]]/$C$151</f>
        <v>0</v>
      </c>
      <c r="E55" s="26">
        <v>1.9E-3</v>
      </c>
      <c r="F55" s="38">
        <f>Tabella117[[#This Row],[Percentage of Supplier''s Facilities - Raw]]/$E$151</f>
        <v>1.9413507714314906E-3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Tabella117[[#This Row],[Percentage of Suppliers - Raw]]/$C$151</f>
        <v>0</v>
      </c>
      <c r="E56" s="26">
        <v>0</v>
      </c>
      <c r="F56" s="38">
        <f>Tabella117[[#This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Tabella117[[#This Row],[Percentage of Suppliers - Raw]]/$C$151</f>
        <v>0</v>
      </c>
      <c r="E57" s="26">
        <v>0</v>
      </c>
      <c r="F57" s="38">
        <f>Tabella117[[#This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Tabella117[[#This Row],[Percentage of Suppliers - Raw]]/$C$151</f>
        <v>0</v>
      </c>
      <c r="E58" s="26">
        <v>0</v>
      </c>
      <c r="F58" s="38">
        <f>Tabella117[[#This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Tabella117[[#This Row],[Percentage of Suppliers - Raw]]/$C$151</f>
        <v>0</v>
      </c>
      <c r="E59" s="26">
        <v>0</v>
      </c>
      <c r="F59" s="38">
        <f>Tabella117[[#This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Tabella117[[#This Row],[Percentage of Suppliers - Raw]]/$C$151</f>
        <v>0</v>
      </c>
      <c r="E60" s="26">
        <v>0</v>
      </c>
      <c r="F60" s="38">
        <f>Tabella117[[#This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Tabella117[[#This Row],[Percentage of Suppliers - Raw]]/$C$151</f>
        <v>0</v>
      </c>
      <c r="E61" s="26">
        <v>0</v>
      </c>
      <c r="F61" s="38">
        <f>Tabella117[[#This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Tabella117[[#This Row],[Percentage of Suppliers - Raw]]/$C$151</f>
        <v>0</v>
      </c>
      <c r="E62" s="26">
        <v>4.1000000000000003E-3</v>
      </c>
      <c r="F62" s="38">
        <f>Tabella117[[#This Row],[Percentage of Supplier''s Facilities - Raw]]/$E$151</f>
        <v>4.1892306120363751E-3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Tabella117[[#This Row],[Percentage of Suppliers - Raw]]/$C$151</f>
        <v>0</v>
      </c>
      <c r="E63" s="26">
        <v>0</v>
      </c>
      <c r="F63" s="38">
        <f>Tabella117[[#This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</v>
      </c>
      <c r="D64" s="36">
        <f>Tabella117[[#This Row],[Percentage of Suppliers - Raw]]/$C$151</f>
        <v>0</v>
      </c>
      <c r="E64" s="26">
        <v>3.2599999999999997E-2</v>
      </c>
      <c r="F64" s="38">
        <f>Tabella117[[#This Row],[Percentage of Supplier''s Facilities - Raw]]/$E$151</f>
        <v>3.3309492183508732E-2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Tabella117[[#This Row],[Percentage of Suppliers - Raw]]/$C$151</f>
        <v>0</v>
      </c>
      <c r="E65" s="26">
        <v>7.4000000000000003E-3</v>
      </c>
      <c r="F65" s="38">
        <f>Tabella117[[#This Row],[Percentage of Supplier''s Facilities - Raw]]/$E$151</f>
        <v>7.5610503729437008E-3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Tabella117[[#This Row],[Percentage of Suppliers - Raw]]/$C$151</f>
        <v>0</v>
      </c>
      <c r="E66" s="26">
        <v>0</v>
      </c>
      <c r="F66" s="38">
        <f>Tabella117[[#This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Tabella117[[#This Row],[Percentage of Suppliers - Raw]]/$C$151</f>
        <v>0</v>
      </c>
      <c r="E67" s="26">
        <v>0</v>
      </c>
      <c r="F67" s="38">
        <f>Tabella117[[#This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Tabella117[[#This Row],[Percentage of Suppliers - Raw]]/$C$151</f>
        <v>0</v>
      </c>
      <c r="E68" s="26">
        <v>2E-3</v>
      </c>
      <c r="F68" s="38">
        <f>Tabella117[[#This Row],[Percentage of Supplier''s Facilities - Raw]]/$E$151</f>
        <v>2.0435271278226217E-3</v>
      </c>
    </row>
    <row r="69" spans="1:6" ht="19" x14ac:dyDescent="0.25">
      <c r="A69" s="31" t="s">
        <v>82</v>
      </c>
      <c r="B69" s="103">
        <v>4.6100000000000003</v>
      </c>
      <c r="C69" s="22">
        <v>8.2000000000000007E-3</v>
      </c>
      <c r="D69" s="36">
        <f>Tabella117[[#This Row],[Percentage of Suppliers - Raw]]/$C$151</f>
        <v>8.2016403280656142E-3</v>
      </c>
      <c r="E69" s="26">
        <v>3.0999999999999999E-3</v>
      </c>
      <c r="F69" s="38">
        <f>Tabella117[[#This Row],[Percentage of Supplier''s Facilities - Raw]]/$E$151</f>
        <v>3.1674670481250636E-3</v>
      </c>
    </row>
    <row r="70" spans="1:6" ht="19" x14ac:dyDescent="0.25">
      <c r="A70" s="31" t="s">
        <v>83</v>
      </c>
      <c r="B70" s="104">
        <v>3.84</v>
      </c>
      <c r="C70" s="22">
        <v>4.1000000000000003E-3</v>
      </c>
      <c r="D70" s="36">
        <f>Tabella117[[#This Row],[Percentage of Suppliers - Raw]]/$C$151</f>
        <v>4.1008201640328071E-3</v>
      </c>
      <c r="E70" s="26">
        <v>1.7899999999999999E-2</v>
      </c>
      <c r="F70" s="38">
        <f>Tabella117[[#This Row],[Percentage of Supplier''s Facilities - Raw]]/$E$151</f>
        <v>1.8289567794012463E-2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Tabella117[[#This Row],[Percentage of Suppliers - Raw]]/$C$151</f>
        <v>0</v>
      </c>
      <c r="E71" s="26">
        <v>0</v>
      </c>
      <c r="F71" s="38">
        <f>Tabella117[[#This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0.1893</v>
      </c>
      <c r="D72" s="36">
        <f>Tabella117[[#This Row],[Percentage of Suppliers - Raw]]/$C$151</f>
        <v>0.18933786757351473</v>
      </c>
      <c r="E72" s="26">
        <v>0.16159999999999999</v>
      </c>
      <c r="F72" s="38">
        <f>Tabella117[[#This Row],[Percentage of Supplier''s Facilities - Raw]]/$E$151</f>
        <v>0.16511699192806784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Tabella117[[#This Row],[Percentage of Suppliers - Raw]]/$C$151</f>
        <v>0</v>
      </c>
      <c r="E73" s="26">
        <v>0</v>
      </c>
      <c r="F73" s="38">
        <f>Tabella117[[#This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Tabella117[[#This Row],[Percentage of Suppliers - Raw]]/$C$151</f>
        <v>0</v>
      </c>
      <c r="E74" s="26">
        <v>1E-3</v>
      </c>
      <c r="F74" s="38">
        <f>Tabella117[[#This Row],[Percentage of Supplier''s Facilities - Raw]]/$E$151</f>
        <v>1.0217635639113108E-3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Tabella117[[#This Row],[Percentage of Suppliers - Raw]]/$C$151</f>
        <v>0</v>
      </c>
      <c r="E75" s="26">
        <v>0</v>
      </c>
      <c r="F75" s="38">
        <f>Tabella117[[#This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Tabella117[[#This Row],[Percentage of Suppliers - Raw]]/$C$151</f>
        <v>0</v>
      </c>
      <c r="E76" s="26">
        <v>0</v>
      </c>
      <c r="F76" s="38">
        <f>Tabella117[[#This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Tabella117[[#This Row],[Percentage of Suppliers - Raw]]/$C$151</f>
        <v>0</v>
      </c>
      <c r="E77" s="26">
        <v>0</v>
      </c>
      <c r="F77" s="38">
        <f>Tabella117[[#This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Tabella117[[#This Row],[Percentage of Suppliers - Raw]]/$C$151</f>
        <v>0</v>
      </c>
      <c r="E78" s="26">
        <v>0</v>
      </c>
      <c r="F78" s="38">
        <f>Tabella117[[#This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Tabella117[[#This Row],[Percentage of Suppliers - Raw]]/$C$151</f>
        <v>0</v>
      </c>
      <c r="E79" s="26">
        <v>0</v>
      </c>
      <c r="F79" s="38">
        <f>Tabella117[[#This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Tabella117[[#This Row],[Percentage of Suppliers - Raw]]/$C$151</f>
        <v>0</v>
      </c>
      <c r="E80" s="26">
        <v>0</v>
      </c>
      <c r="F80" s="38">
        <f>Tabella117[[#This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Tabella117[[#This Row],[Percentage of Suppliers - Raw]]/$C$151</f>
        <v>0</v>
      </c>
      <c r="E81" s="26">
        <v>0</v>
      </c>
      <c r="F81" s="38">
        <f>Tabella117[[#This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Tabella117[[#This Row],[Percentage of Suppliers - Raw]]/$C$151</f>
        <v>0</v>
      </c>
      <c r="E82" s="26">
        <v>0</v>
      </c>
      <c r="F82" s="38">
        <f>Tabella117[[#This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Tabella117[[#This Row],[Percentage of Suppliers - Raw]]/$C$151</f>
        <v>0</v>
      </c>
      <c r="E83" s="26">
        <v>0</v>
      </c>
      <c r="F83" s="38">
        <f>Tabella117[[#This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Tabella117[[#This Row],[Percentage of Suppliers - Raw]]/$C$151</f>
        <v>0</v>
      </c>
      <c r="E84" s="26">
        <v>0</v>
      </c>
      <c r="F84" s="38">
        <f>Tabella117[[#This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Tabella117[[#This Row],[Percentage of Suppliers - Raw]]/$C$151</f>
        <v>0</v>
      </c>
      <c r="E85" s="26">
        <v>0</v>
      </c>
      <c r="F85" s="38">
        <f>Tabella117[[#This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Tabella117[[#This Row],[Percentage of Suppliers - Raw]]/$C$151</f>
        <v>0</v>
      </c>
      <c r="E86" s="26">
        <v>0</v>
      </c>
      <c r="F86" s="38">
        <f>Tabella117[[#This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Tabella117[[#This Row],[Percentage of Suppliers - Raw]]/$C$151</f>
        <v>0</v>
      </c>
      <c r="E87" s="26">
        <v>1.2800000000000001E-2</v>
      </c>
      <c r="F87" s="38">
        <f>Tabella117[[#This Row],[Percentage of Supplier''s Facilities - Raw]]/$E$151</f>
        <v>1.3078573618064779E-2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Tabella117[[#This Row],[Percentage of Suppliers - Raw]]/$C$151</f>
        <v>0</v>
      </c>
      <c r="E88" s="26">
        <v>0</v>
      </c>
      <c r="F88" s="38">
        <f>Tabella117[[#This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Tabella117[[#This Row],[Percentage of Suppliers - Raw]]/$C$151</f>
        <v>0</v>
      </c>
      <c r="E89" s="26">
        <v>0</v>
      </c>
      <c r="F89" s="38">
        <f>Tabella117[[#This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Tabella117[[#This Row],[Percentage of Suppliers - Raw]]/$C$151</f>
        <v>0</v>
      </c>
      <c r="E90" s="26">
        <v>0</v>
      </c>
      <c r="F90" s="38">
        <f>Tabella117[[#This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Tabella117[[#This Row],[Percentage of Suppliers - Raw]]/$C$151</f>
        <v>0</v>
      </c>
      <c r="E91" s="26">
        <v>1.21E-2</v>
      </c>
      <c r="F91" s="38">
        <f>Tabella117[[#This Row],[Percentage of Supplier''s Facilities - Raw]]/$E$151</f>
        <v>1.2363339123326862E-2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Tabella117[[#This Row],[Percentage of Suppliers - Raw]]/$C$151</f>
        <v>0</v>
      </c>
      <c r="E92" s="26">
        <v>0</v>
      </c>
      <c r="F92" s="38">
        <f>Tabella117[[#This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Tabella117[[#This Row],[Percentage of Suppliers - Raw]]/$C$151</f>
        <v>0</v>
      </c>
      <c r="E93" s="26">
        <v>0</v>
      </c>
      <c r="F93" s="38">
        <f>Tabella117[[#This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Tabella117[[#This Row],[Percentage of Suppliers - Raw]]/$C$151</f>
        <v>0</v>
      </c>
      <c r="E94" s="26">
        <v>0</v>
      </c>
      <c r="F94" s="38">
        <f>Tabella117[[#This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Tabella117[[#This Row],[Percentage of Suppliers - Raw]]/$C$151</f>
        <v>0</v>
      </c>
      <c r="E95" s="26">
        <v>0</v>
      </c>
      <c r="F95" s="38">
        <f>Tabella117[[#This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Tabella117[[#This Row],[Percentage of Suppliers - Raw]]/$C$151</f>
        <v>0</v>
      </c>
      <c r="E96" s="26">
        <v>0</v>
      </c>
      <c r="F96" s="38">
        <f>Tabella117[[#This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Tabella117[[#This Row],[Percentage of Suppliers - Raw]]/$C$151</f>
        <v>0</v>
      </c>
      <c r="E97" s="26">
        <v>0</v>
      </c>
      <c r="F97" s="38">
        <f>Tabella117[[#This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1.23E-2</v>
      </c>
      <c r="D98" s="36">
        <f>Tabella117[[#This Row],[Percentage of Suppliers - Raw]]/$C$151</f>
        <v>1.230246049209842E-2</v>
      </c>
      <c r="E98" s="26">
        <v>1.15E-2</v>
      </c>
      <c r="F98" s="38">
        <f>Tabella117[[#This Row],[Percentage of Supplier''s Facilities - Raw]]/$E$151</f>
        <v>1.1750280984980075E-2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Tabella117[[#This Row],[Percentage of Suppliers - Raw]]/$C$151</f>
        <v>0</v>
      </c>
      <c r="E99" s="26">
        <v>1.8E-3</v>
      </c>
      <c r="F99" s="38">
        <f>Tabella117[[#This Row],[Percentage of Supplier''s Facilities - Raw]]/$E$151</f>
        <v>1.8391744150403596E-3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Tabella117[[#This Row],[Percentage of Suppliers - Raw]]/$C$151</f>
        <v>0</v>
      </c>
      <c r="E100" s="26">
        <v>0</v>
      </c>
      <c r="F100" s="38">
        <f>Tabella117[[#This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Tabella117[[#This Row],[Percentage of Suppliers - Raw]]/$C$151</f>
        <v>0</v>
      </c>
      <c r="E101" s="26">
        <v>0</v>
      </c>
      <c r="F101" s="38">
        <f>Tabella117[[#This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Tabella117[[#This Row],[Percentage of Suppliers - Raw]]/$C$151</f>
        <v>0</v>
      </c>
      <c r="E102" s="26">
        <v>0</v>
      </c>
      <c r="F102" s="38">
        <f>Tabella117[[#This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Tabella117[[#This Row],[Percentage of Suppliers - Raw]]/$C$151</f>
        <v>0</v>
      </c>
      <c r="E103" s="26">
        <v>0</v>
      </c>
      <c r="F103" s="38">
        <f>Tabella117[[#This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Tabella117[[#This Row],[Percentage of Suppliers - Raw]]/$C$151</f>
        <v>0</v>
      </c>
      <c r="E104" s="26">
        <v>4.5999999999999999E-3</v>
      </c>
      <c r="F104" s="38">
        <f>Tabella117[[#This Row],[Percentage of Supplier''s Facilities - Raw]]/$E$151</f>
        <v>4.7001123939920302E-3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Tabella117[[#This Row],[Percentage of Suppliers - Raw]]/$C$151</f>
        <v>0</v>
      </c>
      <c r="E105" s="26">
        <v>0</v>
      </c>
      <c r="F105" s="38">
        <f>Tabella117[[#This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Tabella117[[#This Row],[Percentage of Suppliers - Raw]]/$C$151</f>
        <v>0</v>
      </c>
      <c r="E106" s="26">
        <v>0</v>
      </c>
      <c r="F106" s="38">
        <f>Tabella117[[#This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Tabella117[[#This Row],[Percentage of Suppliers - Raw]]/$C$151</f>
        <v>0</v>
      </c>
      <c r="E107" s="26">
        <v>0</v>
      </c>
      <c r="F107" s="38">
        <f>Tabella117[[#This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Tabella117[[#This Row],[Percentage of Suppliers - Raw]]/$C$151</f>
        <v>0</v>
      </c>
      <c r="E108" s="26">
        <v>0</v>
      </c>
      <c r="F108" s="38">
        <f>Tabella117[[#This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Tabella117[[#This Row],[Percentage of Suppliers - Raw]]/$C$151</f>
        <v>0</v>
      </c>
      <c r="E109" s="26">
        <v>0</v>
      </c>
      <c r="F109" s="38">
        <f>Tabella117[[#This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Tabella117[[#This Row],[Percentage of Suppliers - Raw]]/$C$151</f>
        <v>0</v>
      </c>
      <c r="E110" s="26">
        <v>0</v>
      </c>
      <c r="F110" s="38">
        <f>Tabella117[[#This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Tabella117[[#This Row],[Percentage of Suppliers - Raw]]/$C$151</f>
        <v>0</v>
      </c>
      <c r="E111" s="26">
        <v>6.7999999999999996E-3</v>
      </c>
      <c r="F111" s="38">
        <f>Tabella117[[#This Row],[Percentage of Supplier''s Facilities - Raw]]/$E$151</f>
        <v>6.947992234596914E-3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Tabella117[[#This Row],[Percentage of Suppliers - Raw]]/$C$151</f>
        <v>0</v>
      </c>
      <c r="E112" s="26">
        <v>7.6E-3</v>
      </c>
      <c r="F112" s="38">
        <f>Tabella117[[#This Row],[Percentage of Supplier''s Facilities - Raw]]/$E$151</f>
        <v>7.7654030857259625E-3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Tabella117[[#This Row],[Percentage of Suppliers - Raw]]/$C$151</f>
        <v>0</v>
      </c>
      <c r="E113" s="26">
        <v>3.5000000000000001E-3</v>
      </c>
      <c r="F113" s="38">
        <f>Tabella117[[#This Row],[Percentage of Supplier''s Facilities - Raw]]/$E$151</f>
        <v>3.5761724736895883E-3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Tabella117[[#This Row],[Percentage of Suppliers - Raw]]/$C$151</f>
        <v>0</v>
      </c>
      <c r="E114" s="26">
        <v>0</v>
      </c>
      <c r="F114" s="38">
        <f>Tabella117[[#This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Tabella117[[#This Row],[Percentage of Suppliers - Raw]]/$C$151</f>
        <v>0</v>
      </c>
      <c r="E115" s="26">
        <v>2.5000000000000001E-3</v>
      </c>
      <c r="F115" s="38">
        <f>Tabella117[[#This Row],[Percentage of Supplier''s Facilities - Raw]]/$E$151</f>
        <v>2.5544089097782772E-3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Tabella117[[#This Row],[Percentage of Suppliers - Raw]]/$C$151</f>
        <v>0</v>
      </c>
      <c r="E116" s="26">
        <v>1E-3</v>
      </c>
      <c r="F116" s="38">
        <f>Tabella117[[#This Row],[Percentage of Supplier''s Facilities - Raw]]/$E$151</f>
        <v>1.0217635639113108E-3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Tabella117[[#This Row],[Percentage of Suppliers - Raw]]/$C$151</f>
        <v>0</v>
      </c>
      <c r="E117" s="26">
        <v>0</v>
      </c>
      <c r="F117" s="38">
        <f>Tabella117[[#This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Tabella117[[#This Row],[Percentage of Suppliers - Raw]]/$C$151</f>
        <v>0</v>
      </c>
      <c r="E118" s="26">
        <v>3.3E-3</v>
      </c>
      <c r="F118" s="38">
        <f>Tabella117[[#This Row],[Percentage of Supplier''s Facilities - Raw]]/$E$151</f>
        <v>3.3718197609073262E-3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Tabella117[[#This Row],[Percentage of Suppliers - Raw]]/$C$151</f>
        <v>0</v>
      </c>
      <c r="E119" s="26">
        <v>0</v>
      </c>
      <c r="F119" s="38">
        <f>Tabella117[[#This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Tabella117[[#This Row],[Percentage of Suppliers - Raw]]/$C$151</f>
        <v>0</v>
      </c>
      <c r="E120" s="26">
        <v>0</v>
      </c>
      <c r="F120" s="38">
        <f>Tabella117[[#This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Tabella117[[#This Row],[Percentage of Suppliers - Raw]]/$C$151</f>
        <v>0</v>
      </c>
      <c r="E121" s="26">
        <v>0</v>
      </c>
      <c r="F121" s="38">
        <f>Tabella117[[#This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4.1000000000000003E-3</v>
      </c>
      <c r="D122" s="36">
        <f>Tabella117[[#This Row],[Percentage of Suppliers - Raw]]/$C$151</f>
        <v>4.1008201640328071E-3</v>
      </c>
      <c r="E122" s="26">
        <v>1.38E-2</v>
      </c>
      <c r="F122" s="38">
        <f>Tabella117[[#This Row],[Percentage of Supplier''s Facilities - Raw]]/$E$151</f>
        <v>1.410033718197609E-2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Tabella117[[#This Row],[Percentage of Suppliers - Raw]]/$C$151</f>
        <v>0</v>
      </c>
      <c r="E123" s="26">
        <v>1.6000000000000001E-3</v>
      </c>
      <c r="F123" s="38">
        <f>Tabella117[[#This Row],[Percentage of Supplier''s Facilities - Raw]]/$E$151</f>
        <v>1.6348217022580974E-3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Tabella117[[#This Row],[Percentage of Suppliers - Raw]]/$C$151</f>
        <v>0</v>
      </c>
      <c r="E124" s="26">
        <v>1.1000000000000001E-3</v>
      </c>
      <c r="F124" s="38">
        <f>Tabella117[[#This Row],[Percentage of Supplier''s Facilities - Raw]]/$E$151</f>
        <v>1.1239399203024421E-3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Tabella117[[#This Row],[Percentage of Suppliers - Raw]]/$C$151</f>
        <v>0</v>
      </c>
      <c r="E125" s="26">
        <v>6.4999999999999997E-3</v>
      </c>
      <c r="F125" s="38">
        <f>Tabella117[[#This Row],[Percentage of Supplier''s Facilities - Raw]]/$E$151</f>
        <v>6.6414631654235206E-3</v>
      </c>
    </row>
    <row r="126" spans="1:6" ht="19" x14ac:dyDescent="0.25">
      <c r="A126" s="31" t="s">
        <v>139</v>
      </c>
      <c r="B126" s="151">
        <v>3.57</v>
      </c>
      <c r="C126" s="22">
        <v>8.6400000000000005E-2</v>
      </c>
      <c r="D126" s="36">
        <f>Tabella117[[#This Row],[Percentage of Suppliers - Raw]]/$C$151</f>
        <v>8.6417283456691349E-2</v>
      </c>
      <c r="E126" s="26">
        <v>4.5999999999999999E-2</v>
      </c>
      <c r="F126" s="38">
        <f>Tabella117[[#This Row],[Percentage of Supplier''s Facilities - Raw]]/$E$151</f>
        <v>4.70011239399203E-2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Tabella117[[#This Row],[Percentage of Suppliers - Raw]]/$C$151</f>
        <v>0</v>
      </c>
      <c r="E127" s="26">
        <v>1.6799999999999999E-2</v>
      </c>
      <c r="F127" s="38">
        <f>Tabella117[[#This Row],[Percentage of Supplier''s Facilities - Raw]]/$E$151</f>
        <v>1.7165627873710024E-2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Tabella117[[#This Row],[Percentage of Suppliers - Raw]]/$C$151</f>
        <v>0</v>
      </c>
      <c r="E128" s="26">
        <v>0</v>
      </c>
      <c r="F128" s="38">
        <f>Tabella117[[#This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Tabella117[[#This Row],[Percentage of Suppliers - Raw]]/$C$151</f>
        <v>0</v>
      </c>
      <c r="E129" s="26">
        <v>0</v>
      </c>
      <c r="F129" s="38">
        <f>Tabella117[[#This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4.1000000000000003E-3</v>
      </c>
      <c r="D130" s="36">
        <f>Tabella117[[#This Row],[Percentage of Suppliers - Raw]]/$C$151</f>
        <v>4.1008201640328071E-3</v>
      </c>
      <c r="E130" s="26">
        <v>9.4999999999999998E-3</v>
      </c>
      <c r="F130" s="38">
        <f>Tabella117[[#This Row],[Percentage of Supplier''s Facilities - Raw]]/$E$151</f>
        <v>9.7067538571574529E-3</v>
      </c>
    </row>
    <row r="131" spans="1:6" ht="19" x14ac:dyDescent="0.25">
      <c r="A131" s="31" t="s">
        <v>144</v>
      </c>
      <c r="B131" s="154">
        <v>2.78</v>
      </c>
      <c r="C131" s="22">
        <v>2.06E-2</v>
      </c>
      <c r="D131" s="36">
        <f>Tabella117[[#This Row],[Percentage of Suppliers - Raw]]/$C$151</f>
        <v>2.0604120824164834E-2</v>
      </c>
      <c r="E131" s="26">
        <v>1.5599999999999999E-2</v>
      </c>
      <c r="F131" s="38">
        <f>Tabella117[[#This Row],[Percentage of Supplier''s Facilities - Raw]]/$E$151</f>
        <v>1.593951159701645E-2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Tabella117[[#This Row],[Percentage of Suppliers - Raw]]/$C$151</f>
        <v>0</v>
      </c>
      <c r="E132" s="26">
        <v>0</v>
      </c>
      <c r="F132" s="38">
        <f>Tabella117[[#This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Tabella117[[#This Row],[Percentage of Suppliers - Raw]]/$C$151</f>
        <v>0</v>
      </c>
      <c r="E133" s="26">
        <v>0</v>
      </c>
      <c r="F133" s="38">
        <f>Tabella117[[#This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Tabella117[[#This Row],[Percentage of Suppliers - Raw]]/$C$151</f>
        <v>0</v>
      </c>
      <c r="E134" s="26">
        <v>1.32E-2</v>
      </c>
      <c r="F134" s="38">
        <f>Tabella117[[#This Row],[Percentage of Supplier''s Facilities - Raw]]/$E$151</f>
        <v>1.3487279043629305E-2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Tabella117[[#This Row],[Percentage of Suppliers - Raw]]/$C$151</f>
        <v>0</v>
      </c>
      <c r="E135" s="26">
        <v>0</v>
      </c>
      <c r="F135" s="38">
        <f>Tabella117[[#This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Tabella117[[#This Row],[Percentage of Suppliers - Raw]]/$C$151</f>
        <v>0</v>
      </c>
      <c r="E136" s="26">
        <v>0</v>
      </c>
      <c r="F136" s="38">
        <f>Tabella117[[#This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Tabella117[[#This Row],[Percentage of Suppliers - Raw]]/$C$151</f>
        <v>0</v>
      </c>
      <c r="E137" s="26">
        <v>0</v>
      </c>
      <c r="F137" s="38">
        <f>Tabella117[[#This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Tabella117[[#This Row],[Percentage of Suppliers - Raw]]/$C$151</f>
        <v>0</v>
      </c>
      <c r="E138" s="26">
        <v>1.4E-3</v>
      </c>
      <c r="F138" s="38">
        <f>Tabella117[[#This Row],[Percentage of Supplier''s Facilities - Raw]]/$E$151</f>
        <v>1.4304689894758353E-3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Tabella117[[#This Row],[Percentage of Suppliers - Raw]]/$C$151</f>
        <v>0</v>
      </c>
      <c r="E139" s="26">
        <v>7.1000000000000004E-3</v>
      </c>
      <c r="F139" s="38">
        <f>Tabella117[[#This Row],[Percentage of Supplier''s Facilities - Raw]]/$E$151</f>
        <v>7.2545213037703083E-3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Tabella117[[#This Row],[Percentage of Suppliers - Raw]]/$C$151</f>
        <v>0</v>
      </c>
      <c r="E140" s="26">
        <v>0</v>
      </c>
      <c r="F140" s="38">
        <f>Tabella117[[#This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Tabella117[[#This Row],[Percentage of Suppliers - Raw]]/$C$151</f>
        <v>0</v>
      </c>
      <c r="E141" s="26">
        <v>0</v>
      </c>
      <c r="F141" s="38">
        <f>Tabella117[[#This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Tabella117[[#This Row],[Percentage of Suppliers - Raw]]/$C$151</f>
        <v>0</v>
      </c>
      <c r="E142" s="26">
        <v>2.8999999999999998E-3</v>
      </c>
      <c r="F142" s="38">
        <f>Tabella117[[#This Row],[Percentage of Supplier''s Facilities - Raw]]/$E$151</f>
        <v>2.9631143353428015E-3</v>
      </c>
    </row>
    <row r="143" spans="1:6" ht="19" x14ac:dyDescent="0.25">
      <c r="A143" s="31" t="s">
        <v>156</v>
      </c>
      <c r="B143" s="128">
        <v>3.32</v>
      </c>
      <c r="C143" s="22">
        <v>8.2000000000000007E-3</v>
      </c>
      <c r="D143" s="36">
        <f>Tabella117[[#This Row],[Percentage of Suppliers - Raw]]/$C$151</f>
        <v>8.2016403280656142E-3</v>
      </c>
      <c r="E143" s="26">
        <v>2.3900000000000001E-2</v>
      </c>
      <c r="F143" s="38">
        <f>Tabella117[[#This Row],[Percentage of Supplier''s Facilities - Raw]]/$E$151</f>
        <v>2.4420149177480331E-2</v>
      </c>
    </row>
    <row r="144" spans="1:6" ht="19" x14ac:dyDescent="0.25">
      <c r="A144" s="31" t="s">
        <v>157</v>
      </c>
      <c r="B144" s="165">
        <v>4.1900000000000004</v>
      </c>
      <c r="C144" s="22">
        <v>0.14399999999999999</v>
      </c>
      <c r="D144" s="36">
        <f>Tabella117[[#This Row],[Percentage of Suppliers - Raw]]/$C$151</f>
        <v>0.14402880576115223</v>
      </c>
      <c r="E144" s="26">
        <v>0.18029999999999999</v>
      </c>
      <c r="F144" s="38">
        <f>Tabella117[[#This Row],[Percentage of Supplier''s Facilities - Raw]]/$E$151</f>
        <v>0.18422397057320936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Tabella117[[#This Row],[Percentage of Suppliers - Raw]]/$C$151</f>
        <v>0</v>
      </c>
      <c r="E145" s="26">
        <v>0</v>
      </c>
      <c r="F145" s="38">
        <f>Tabella117[[#This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Tabella117[[#This Row],[Percentage of Suppliers - Raw]]/$C$151</f>
        <v>0</v>
      </c>
      <c r="E146" s="26">
        <v>0</v>
      </c>
      <c r="F146" s="38">
        <f>Tabella117[[#This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Tabella117[[#This Row],[Percentage of Suppliers - Raw]]/$C$151</f>
        <v>0</v>
      </c>
      <c r="E147" s="26">
        <v>9.7999999999999997E-3</v>
      </c>
      <c r="F147" s="38">
        <f>Tabella117[[#This Row],[Percentage of Supplier''s Facilities - Raw]]/$E$151</f>
        <v>1.0013282926330847E-2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Tabella117[[#This Row],[Percentage of Suppliers - Raw]]/$C$151</f>
        <v>0</v>
      </c>
      <c r="E148" s="26">
        <v>0</v>
      </c>
      <c r="F148" s="38">
        <f>Tabella117[[#This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Tabella117[[#This Row],[Percentage of Suppliers - Raw]]/$C$151</f>
        <v>0</v>
      </c>
      <c r="E149" s="26">
        <v>0</v>
      </c>
      <c r="F149" s="38">
        <f>Tabella117[[#This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Tabella117[[#This Row],[Percentage of Suppliers - Raw]]/$C$151</f>
        <v>0</v>
      </c>
      <c r="E150" s="26">
        <v>0</v>
      </c>
      <c r="F150" s="38">
        <f>Tabella117[[#This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0.99979999999999991</v>
      </c>
      <c r="D151" s="39">
        <f>Tabella117[[#This Row],[Percentage of Suppliers - Raw]]/$C$151</f>
        <v>1</v>
      </c>
      <c r="E151" s="25">
        <f>SUM(E4:E150)</f>
        <v>0.97870000000000001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0156-0166-C04A-BFDD-EB95877FCE92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182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Tabella118[[#This Row],[Percentage of Suppliers - Raw]]/$C$151</f>
        <v>0</v>
      </c>
      <c r="E4" s="26">
        <v>0</v>
      </c>
      <c r="F4" s="38">
        <f>Tabella118[[#This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Tabella118[[#This Row],[Percentage of Suppliers - Raw]]/$C$151</f>
        <v>0</v>
      </c>
      <c r="E5" s="26">
        <v>4.0000000000000002E-4</v>
      </c>
      <c r="F5" s="38">
        <f>Tabella118[[#This Row],[Percentage of Supplier''s Facilities - Raw]]/$E$151</f>
        <v>4.039180046450572E-4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Tabella118[[#This Row],[Percentage of Suppliers - Raw]]/$C$151</f>
        <v>0</v>
      </c>
      <c r="E6" s="26">
        <v>0</v>
      </c>
      <c r="F6" s="38">
        <f>Tabella118[[#This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2.2000000000000001E-3</v>
      </c>
      <c r="D7" s="36">
        <f>Tabella118[[#This Row],[Percentage of Suppliers - Raw]]/$C$151</f>
        <v>2.2255943348507843E-3</v>
      </c>
      <c r="E7" s="26">
        <v>4.4999999999999997E-3</v>
      </c>
      <c r="F7" s="38">
        <f>Tabella118[[#This Row],[Percentage of Supplier''s Facilities - Raw]]/$E$151</f>
        <v>4.5440775522568927E-3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Tabella118[[#This Row],[Percentage of Suppliers - Raw]]/$C$151</f>
        <v>0</v>
      </c>
      <c r="E8" s="26">
        <v>0</v>
      </c>
      <c r="F8" s="38">
        <f>Tabella118[[#This Row],[Percentage of Supplier''s Facilities - Raw]]/$E$151</f>
        <v>0</v>
      </c>
      <c r="H8" s="17" t="s">
        <v>18</v>
      </c>
      <c r="I8" s="18" t="str">
        <f>INDEX(A4:A150,MATCH(MAX(D4:D150),D4:D150,0))</f>
        <v>Japan</v>
      </c>
      <c r="J8" s="18">
        <f>INDEX(B4:B150,MATCH(MAX(D4:D150),D4:D150,0))</f>
        <v>3.38</v>
      </c>
      <c r="K8" s="19">
        <f>INDEX(D4:D150,MATCH(MAX(D4:D150),D4:D150,0))</f>
        <v>0.31512392513909965</v>
      </c>
      <c r="M8" s="17" t="s">
        <v>18</v>
      </c>
      <c r="N8" s="18" t="str">
        <f>INDEX(A4:A150,MATCH(MAX(F4:F150),F4:F150,0))</f>
        <v>Japan</v>
      </c>
      <c r="O8" s="18">
        <f>INDEX(B4:B150,MATCH(MAX(F4:F150),F4:F150,0))</f>
        <v>3.38</v>
      </c>
      <c r="P8" s="19">
        <f>INDEX(F4:F150,MATCH(MAX(F4:F150),F4:F150,0))</f>
        <v>0.19388064222962745</v>
      </c>
    </row>
    <row r="9" spans="1:16" ht="23" thickBot="1" x14ac:dyDescent="0.35">
      <c r="A9" s="31" t="s">
        <v>19</v>
      </c>
      <c r="B9" s="48">
        <v>3.22</v>
      </c>
      <c r="C9" s="22">
        <v>0.01</v>
      </c>
      <c r="D9" s="36">
        <f>Tabella118[[#This Row],[Percentage of Suppliers - Raw]]/$C$151</f>
        <v>1.0116337885685382E-2</v>
      </c>
      <c r="E9" s="26">
        <v>1.17E-2</v>
      </c>
      <c r="F9" s="38">
        <f>Tabella118[[#This Row],[Percentage of Supplier''s Facilities - Raw]]/$E$151</f>
        <v>1.1814601635867922E-2</v>
      </c>
      <c r="H9" s="20" t="s">
        <v>20</v>
      </c>
      <c r="I9" s="21"/>
      <c r="J9" s="21"/>
      <c r="K9" s="175">
        <f>SUMPRODUCT(B4:B150,D4:D150)</f>
        <v>3.9433373798684879</v>
      </c>
      <c r="M9" s="20" t="s">
        <v>21</v>
      </c>
      <c r="N9" s="21"/>
      <c r="O9" s="21"/>
      <c r="P9" s="175">
        <f>SUMPRODUCT(B4:B150,F4:F150)</f>
        <v>4.0721256184994452</v>
      </c>
    </row>
    <row r="10" spans="1:16" ht="19" x14ac:dyDescent="0.25">
      <c r="A10" s="31" t="s">
        <v>22</v>
      </c>
      <c r="B10" s="49">
        <v>3.41</v>
      </c>
      <c r="C10" s="22">
        <v>1.1000000000000001E-3</v>
      </c>
      <c r="D10" s="36">
        <f>Tabella118[[#This Row],[Percentage of Suppliers - Raw]]/$C$151</f>
        <v>1.1127971674253921E-3</v>
      </c>
      <c r="E10" s="26">
        <v>5.4999999999999997E-3</v>
      </c>
      <c r="F10" s="38">
        <f>Tabella118[[#This Row],[Percentage of Supplier''s Facilities - Raw]]/$E$151</f>
        <v>5.5538725638695358E-3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Tabella118[[#This Row],[Percentage of Suppliers - Raw]]/$C$151</f>
        <v>0</v>
      </c>
      <c r="E11" s="26">
        <v>0</v>
      </c>
      <c r="F11" s="38">
        <f>Tabella118[[#This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Tabella118[[#This Row],[Percentage of Suppliers - Raw]]/$C$151</f>
        <v>0</v>
      </c>
      <c r="E12" s="26">
        <v>0</v>
      </c>
      <c r="F12" s="38">
        <f>Tabella118[[#This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Tabella118[[#This Row],[Percentage of Suppliers - Raw]]/$C$151</f>
        <v>0</v>
      </c>
      <c r="E13" s="26">
        <v>5.0000000000000001E-4</v>
      </c>
      <c r="F13" s="38">
        <f>Tabella118[[#This Row],[Percentage of Supplier''s Facilities - Raw]]/$E$151</f>
        <v>5.0489750580632144E-4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Tabella118[[#This Row],[Percentage of Suppliers - Raw]]/$C$151</f>
        <v>0</v>
      </c>
      <c r="E14" s="26">
        <v>0</v>
      </c>
      <c r="F14" s="38">
        <f>Tabella118[[#This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2.2000000000000001E-3</v>
      </c>
      <c r="D15" s="36">
        <f>Tabella118[[#This Row],[Percentage of Suppliers - Raw]]/$C$151</f>
        <v>2.2255943348507843E-3</v>
      </c>
      <c r="E15" s="26">
        <v>4.7999999999999996E-3</v>
      </c>
      <c r="F15" s="38">
        <f>Tabella118[[#This Row],[Percentage of Supplier''s Facilities - Raw]]/$E$151</f>
        <v>4.8470160557406855E-3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Tabella118[[#This Row],[Percentage of Suppliers - Raw]]/$C$151</f>
        <v>0</v>
      </c>
      <c r="E16" s="26">
        <v>0</v>
      </c>
      <c r="F16" s="38">
        <f>Tabella118[[#This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Tabella118[[#This Row],[Percentage of Suppliers - Raw]]/$C$151</f>
        <v>0</v>
      </c>
      <c r="E17" s="26">
        <v>0</v>
      </c>
      <c r="F17" s="38">
        <f>Tabella118[[#This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Tabella118[[#This Row],[Percentage of Suppliers - Raw]]/$C$151</f>
        <v>0</v>
      </c>
      <c r="E18" s="26">
        <v>0</v>
      </c>
      <c r="F18" s="38">
        <f>Tabella118[[#This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Tabella118[[#This Row],[Percentage of Suppliers - Raw]]/$C$151</f>
        <v>0</v>
      </c>
      <c r="E19" s="26">
        <v>0</v>
      </c>
      <c r="F19" s="38">
        <f>Tabella118[[#This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Tabella118[[#This Row],[Percentage of Suppliers - Raw]]/$C$151</f>
        <v>0</v>
      </c>
      <c r="E20" s="26">
        <v>0</v>
      </c>
      <c r="F20" s="38">
        <f>Tabella118[[#This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4.4000000000000003E-3</v>
      </c>
      <c r="D21" s="36">
        <f>Tabella118[[#This Row],[Percentage of Suppliers - Raw]]/$C$151</f>
        <v>4.4511886697015685E-3</v>
      </c>
      <c r="E21" s="26">
        <v>2.0799999999999999E-2</v>
      </c>
      <c r="F21" s="38">
        <f>Tabella118[[#This Row],[Percentage of Supplier''s Facilities - Raw]]/$E$151</f>
        <v>2.1003736241542972E-2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Tabella118[[#This Row],[Percentage of Suppliers - Raw]]/$C$151</f>
        <v>0</v>
      </c>
      <c r="E22" s="26">
        <v>1.1999999999999999E-3</v>
      </c>
      <c r="F22" s="38">
        <f>Tabella118[[#This Row],[Percentage of Supplier''s Facilities - Raw]]/$E$151</f>
        <v>1.2117540139351714E-3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Tabella118[[#This Row],[Percentage of Suppliers - Raw]]/$C$151</f>
        <v>0</v>
      </c>
      <c r="E23" s="26">
        <v>0</v>
      </c>
      <c r="F23" s="38">
        <f>Tabella118[[#This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Tabella118[[#This Row],[Percentage of Suppliers - Raw]]/$C$151</f>
        <v>0</v>
      </c>
      <c r="E24" s="26">
        <v>0</v>
      </c>
      <c r="F24" s="38">
        <f>Tabella118[[#This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Tabella118[[#This Row],[Percentage of Suppliers - Raw]]/$C$151</f>
        <v>0</v>
      </c>
      <c r="E25" s="26">
        <v>5.0000000000000001E-4</v>
      </c>
      <c r="F25" s="38">
        <f>Tabella118[[#This Row],[Percentage of Supplier''s Facilities - Raw]]/$E$151</f>
        <v>5.0489750580632144E-4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Tabella118[[#This Row],[Percentage of Suppliers - Raw]]/$C$151</f>
        <v>0</v>
      </c>
      <c r="E26" s="26">
        <v>0</v>
      </c>
      <c r="F26" s="38">
        <f>Tabella118[[#This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1.89E-2</v>
      </c>
      <c r="D27" s="36">
        <f>Tabella118[[#This Row],[Percentage of Suppliers - Raw]]/$C$151</f>
        <v>1.9119878603945373E-2</v>
      </c>
      <c r="E27" s="26">
        <v>2.2800000000000001E-2</v>
      </c>
      <c r="F27" s="38">
        <f>Tabella118[[#This Row],[Percentage of Supplier''s Facilities - Raw]]/$E$151</f>
        <v>2.302332626476826E-2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Tabella118[[#This Row],[Percentage of Suppliers - Raw]]/$C$151</f>
        <v>0</v>
      </c>
      <c r="E28" s="26">
        <v>0</v>
      </c>
      <c r="F28" s="38">
        <f>Tabella118[[#This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Tabella118[[#This Row],[Percentage of Suppliers - Raw]]/$C$151</f>
        <v>0</v>
      </c>
      <c r="E29" s="26">
        <v>0</v>
      </c>
      <c r="F29" s="38">
        <f>Tabella118[[#This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Tabella118[[#This Row],[Percentage of Suppliers - Raw]]/$C$151</f>
        <v>0</v>
      </c>
      <c r="E30" s="26">
        <v>8.0000000000000004E-4</v>
      </c>
      <c r="F30" s="38">
        <f>Tabella118[[#This Row],[Percentage of Supplier''s Facilities - Raw]]/$E$151</f>
        <v>8.078360092901144E-4</v>
      </c>
    </row>
    <row r="31" spans="1:7" ht="19" x14ac:dyDescent="0.25">
      <c r="A31" s="31" t="s">
        <v>43</v>
      </c>
      <c r="B31" s="50">
        <v>4.26</v>
      </c>
      <c r="C31" s="22">
        <f xml:space="preserve"> 17.69% + 4.23%</f>
        <v>0.21920000000000001</v>
      </c>
      <c r="D31" s="36">
        <f>Tabella118[[#This Row],[Percentage of Suppliers - Raw]]/$C$151</f>
        <v>0.2217501264542236</v>
      </c>
      <c r="E31" s="26">
        <v>0.13239999999999999</v>
      </c>
      <c r="F31" s="38">
        <f>Tabella118[[#This Row],[Percentage of Supplier''s Facilities - Raw]]/$E$151</f>
        <v>0.13369685953751392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Tabella118[[#This Row],[Percentage of Suppliers - Raw]]/$C$151</f>
        <v>0</v>
      </c>
      <c r="E32" s="26">
        <v>1.5E-3</v>
      </c>
      <c r="F32" s="38">
        <f>Tabella118[[#This Row],[Percentage of Supplier''s Facilities - Raw]]/$E$151</f>
        <v>1.5146925174189644E-3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Tabella118[[#This Row],[Percentage of Suppliers - Raw]]/$C$151</f>
        <v>0</v>
      </c>
      <c r="E33" s="26">
        <v>0</v>
      </c>
      <c r="F33" s="38">
        <f>Tabella118[[#This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Tabella118[[#This Row],[Percentage of Suppliers - Raw]]/$C$151</f>
        <v>0</v>
      </c>
      <c r="E34" s="26">
        <v>5.9999999999999995E-4</v>
      </c>
      <c r="F34" s="38">
        <f>Tabella118[[#This Row],[Percentage of Supplier''s Facilities - Raw]]/$E$151</f>
        <v>6.0587700696758569E-4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Tabella118[[#This Row],[Percentage of Suppliers - Raw]]/$C$151</f>
        <v>0</v>
      </c>
      <c r="E35" s="26">
        <v>0</v>
      </c>
      <c r="F35" s="38">
        <f>Tabella118[[#This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1.1000000000000001E-3</v>
      </c>
      <c r="D36" s="36">
        <f>Tabella118[[#This Row],[Percentage of Suppliers - Raw]]/$C$151</f>
        <v>1.1127971674253921E-3</v>
      </c>
      <c r="E36" s="26">
        <v>5.0000000000000001E-4</v>
      </c>
      <c r="F36" s="38">
        <f>Tabella118[[#This Row],[Percentage of Supplier''s Facilities - Raw]]/$E$151</f>
        <v>5.0489750580632144E-4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Tabella118[[#This Row],[Percentage of Suppliers - Raw]]/$C$151</f>
        <v>0</v>
      </c>
      <c r="E37" s="26">
        <v>0</v>
      </c>
      <c r="F37" s="38">
        <f>Tabella118[[#This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Tabella118[[#This Row],[Percentage of Suppliers - Raw]]/$C$151</f>
        <v>0</v>
      </c>
      <c r="E38" s="26">
        <v>9.1000000000000004E-3</v>
      </c>
      <c r="F38" s="38">
        <f>Tabella118[[#This Row],[Percentage of Supplier''s Facilities - Raw]]/$E$151</f>
        <v>9.1891346056750516E-3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Tabella118[[#This Row],[Percentage of Suppliers - Raw]]/$C$151</f>
        <v>0</v>
      </c>
      <c r="E39" s="26">
        <v>2.3E-3</v>
      </c>
      <c r="F39" s="38">
        <f>Tabella118[[#This Row],[Percentage of Supplier''s Facilities - Raw]]/$E$151</f>
        <v>2.3225285267090786E-3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Tabella118[[#This Row],[Percentage of Suppliers - Raw]]/$C$151</f>
        <v>0</v>
      </c>
      <c r="E40" s="26">
        <v>0</v>
      </c>
      <c r="F40" s="38">
        <f>Tabella118[[#This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Tabella118[[#This Row],[Percentage of Suppliers - Raw]]/$C$151</f>
        <v>0</v>
      </c>
      <c r="E41" s="26">
        <v>5.0000000000000001E-4</v>
      </c>
      <c r="F41" s="38">
        <f>Tabella118[[#This Row],[Percentage of Supplier''s Facilities - Raw]]/$E$151</f>
        <v>5.0489750580632144E-4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Tabella118[[#This Row],[Percentage of Suppliers - Raw]]/$C$151</f>
        <v>0</v>
      </c>
      <c r="E42" s="26">
        <v>5.0000000000000001E-4</v>
      </c>
      <c r="F42" s="38">
        <f>Tabella118[[#This Row],[Percentage of Supplier''s Facilities - Raw]]/$E$151</f>
        <v>5.0489750580632144E-4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Tabella118[[#This Row],[Percentage of Suppliers - Raw]]/$C$151</f>
        <v>0</v>
      </c>
      <c r="E43" s="26">
        <v>8.0000000000000004E-4</v>
      </c>
      <c r="F43" s="38">
        <f>Tabella118[[#This Row],[Percentage of Supplier''s Facilities - Raw]]/$E$151</f>
        <v>8.078360092901144E-4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Tabella118[[#This Row],[Percentage of Suppliers - Raw]]/$C$151</f>
        <v>0</v>
      </c>
      <c r="E44" s="26">
        <v>0</v>
      </c>
      <c r="F44" s="38">
        <f>Tabella118[[#This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Tabella118[[#This Row],[Percentage of Suppliers - Raw]]/$C$151</f>
        <v>0</v>
      </c>
      <c r="E45" s="26">
        <v>5.0000000000000001E-4</v>
      </c>
      <c r="F45" s="38">
        <f>Tabella118[[#This Row],[Percentage of Supplier''s Facilities - Raw]]/$E$151</f>
        <v>5.0489750580632144E-4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Tabella118[[#This Row],[Percentage of Suppliers - Raw]]/$C$151</f>
        <v>0</v>
      </c>
      <c r="E46" s="26">
        <v>0</v>
      </c>
      <c r="F46" s="38">
        <f>Tabella118[[#This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Tabella118[[#This Row],[Percentage of Suppliers - Raw]]/$C$151</f>
        <v>0</v>
      </c>
      <c r="E47" s="26">
        <v>0</v>
      </c>
      <c r="F47" s="38">
        <f>Tabella118[[#This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2.2000000000000001E-3</v>
      </c>
      <c r="D48" s="36">
        <f>Tabella118[[#This Row],[Percentage of Suppliers - Raw]]/$C$151</f>
        <v>2.2255943348507843E-3</v>
      </c>
      <c r="E48" s="26">
        <v>1.6000000000000001E-3</v>
      </c>
      <c r="F48" s="38">
        <f>Tabella118[[#This Row],[Percentage of Supplier''s Facilities - Raw]]/$E$151</f>
        <v>1.6156720185802288E-3</v>
      </c>
    </row>
    <row r="49" spans="1:6" ht="19" x14ac:dyDescent="0.25">
      <c r="A49" s="31" t="s">
        <v>62</v>
      </c>
      <c r="B49" s="84">
        <v>3.65</v>
      </c>
      <c r="C49" s="22">
        <v>0.02</v>
      </c>
      <c r="D49" s="36">
        <f>Tabella118[[#This Row],[Percentage of Suppliers - Raw]]/$C$151</f>
        <v>2.0232675771370764E-2</v>
      </c>
      <c r="E49" s="26">
        <v>2.8400000000000002E-2</v>
      </c>
      <c r="F49" s="38">
        <f>Tabella118[[#This Row],[Percentage of Supplier''s Facilities - Raw]]/$E$151</f>
        <v>2.8678178329799062E-2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Tabella118[[#This Row],[Percentage of Suppliers - Raw]]/$C$151</f>
        <v>0</v>
      </c>
      <c r="E50" s="26">
        <v>0</v>
      </c>
      <c r="F50" s="38">
        <f>Tabella118[[#This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Tabella118[[#This Row],[Percentage of Suppliers - Raw]]/$C$151</f>
        <v>0</v>
      </c>
      <c r="E51" s="26">
        <v>0</v>
      </c>
      <c r="F51" s="38">
        <f>Tabella118[[#This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Tabella118[[#This Row],[Percentage of Suppliers - Raw]]/$C$151</f>
        <v>0</v>
      </c>
      <c r="E52" s="26">
        <v>0</v>
      </c>
      <c r="F52" s="38">
        <f>Tabella118[[#This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1.78E-2</v>
      </c>
      <c r="D53" s="36">
        <f>Tabella118[[#This Row],[Percentage of Suppliers - Raw]]/$C$151</f>
        <v>1.8007081436519981E-2</v>
      </c>
      <c r="E53" s="26">
        <v>4.6199999999999998E-2</v>
      </c>
      <c r="F53" s="38">
        <f>Tabella118[[#This Row],[Percentage of Supplier''s Facilities - Raw]]/$E$151</f>
        <v>4.6652529536504103E-2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Tabella118[[#This Row],[Percentage of Suppliers - Raw]]/$C$151</f>
        <v>0</v>
      </c>
      <c r="E54" s="26">
        <v>0</v>
      </c>
      <c r="F54" s="38">
        <f>Tabella118[[#This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Tabella118[[#This Row],[Percentage of Suppliers - Raw]]/$C$151</f>
        <v>0</v>
      </c>
      <c r="E55" s="26">
        <v>5.0000000000000001E-4</v>
      </c>
      <c r="F55" s="38">
        <f>Tabella118[[#This Row],[Percentage of Supplier''s Facilities - Raw]]/$E$151</f>
        <v>5.0489750580632144E-4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Tabella118[[#This Row],[Percentage of Suppliers - Raw]]/$C$151</f>
        <v>0</v>
      </c>
      <c r="E56" s="26">
        <v>5.9999999999999995E-4</v>
      </c>
      <c r="F56" s="38">
        <f>Tabella118[[#This Row],[Percentage of Supplier''s Facilities - Raw]]/$E$151</f>
        <v>6.0587700696758569E-4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Tabella118[[#This Row],[Percentage of Suppliers - Raw]]/$C$151</f>
        <v>0</v>
      </c>
      <c r="E57" s="26">
        <v>0</v>
      </c>
      <c r="F57" s="38">
        <f>Tabella118[[#This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Tabella118[[#This Row],[Percentage of Suppliers - Raw]]/$C$151</f>
        <v>0</v>
      </c>
      <c r="E58" s="26">
        <v>0</v>
      </c>
      <c r="F58" s="38">
        <f>Tabella118[[#This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Tabella118[[#This Row],[Percentage of Suppliers - Raw]]/$C$151</f>
        <v>0</v>
      </c>
      <c r="E59" s="26">
        <v>0</v>
      </c>
      <c r="F59" s="38">
        <f>Tabella118[[#This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Tabella118[[#This Row],[Percentage of Suppliers - Raw]]/$C$151</f>
        <v>0</v>
      </c>
      <c r="E60" s="26">
        <v>0</v>
      </c>
      <c r="F60" s="38">
        <f>Tabella118[[#This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Tabella118[[#This Row],[Percentage of Suppliers - Raw]]/$C$151</f>
        <v>0</v>
      </c>
      <c r="E61" s="26">
        <v>0</v>
      </c>
      <c r="F61" s="38">
        <f>Tabella118[[#This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Tabella118[[#This Row],[Percentage of Suppliers - Raw]]/$C$151</f>
        <v>0</v>
      </c>
      <c r="E62" s="26">
        <v>4.7999999999999996E-3</v>
      </c>
      <c r="F62" s="38">
        <f>Tabella118[[#This Row],[Percentage of Supplier''s Facilities - Raw]]/$E$151</f>
        <v>4.8470160557406855E-3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Tabella118[[#This Row],[Percentage of Suppliers - Raw]]/$C$151</f>
        <v>0</v>
      </c>
      <c r="E63" s="26">
        <v>0</v>
      </c>
      <c r="F63" s="38">
        <f>Tabella118[[#This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6.1199999999999997E-2</v>
      </c>
      <c r="D64" s="36">
        <f>Tabella118[[#This Row],[Percentage of Suppliers - Raw]]/$C$151</f>
        <v>6.1911987860394542E-2</v>
      </c>
      <c r="E64" s="26">
        <v>6.1100000000000002E-2</v>
      </c>
      <c r="F64" s="38">
        <f>Tabella118[[#This Row],[Percentage of Supplier''s Facilities - Raw]]/$E$151</f>
        <v>6.1698475209532484E-2</v>
      </c>
    </row>
    <row r="65" spans="1:6" ht="19" x14ac:dyDescent="0.25">
      <c r="A65" s="31" t="s">
        <v>78</v>
      </c>
      <c r="B65" s="99">
        <v>4.92</v>
      </c>
      <c r="C65" s="22">
        <v>1.4500000000000001E-2</v>
      </c>
      <c r="D65" s="36">
        <f>Tabella118[[#This Row],[Percentage of Suppliers - Raw]]/$C$151</f>
        <v>1.4668689934243806E-2</v>
      </c>
      <c r="E65" s="26">
        <v>1.7100000000000001E-2</v>
      </c>
      <c r="F65" s="38">
        <f>Tabella118[[#This Row],[Percentage of Supplier''s Facilities - Raw]]/$E$151</f>
        <v>1.7267494698576195E-2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Tabella118[[#This Row],[Percentage of Suppliers - Raw]]/$C$151</f>
        <v>0</v>
      </c>
      <c r="E66" s="26">
        <v>0</v>
      </c>
      <c r="F66" s="38">
        <f>Tabella118[[#This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Tabella118[[#This Row],[Percentage of Suppliers - Raw]]/$C$151</f>
        <v>0</v>
      </c>
      <c r="E67" s="26">
        <v>0</v>
      </c>
      <c r="F67" s="38">
        <f>Tabella118[[#This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3.3E-3</v>
      </c>
      <c r="D68" s="36">
        <f>Tabella118[[#This Row],[Percentage of Suppliers - Raw]]/$C$151</f>
        <v>3.3383915022761764E-3</v>
      </c>
      <c r="E68" s="26">
        <v>1E-3</v>
      </c>
      <c r="F68" s="38">
        <f>Tabella118[[#This Row],[Percentage of Supplier''s Facilities - Raw]]/$E$151</f>
        <v>1.0097950116126429E-3</v>
      </c>
    </row>
    <row r="69" spans="1:6" ht="19" x14ac:dyDescent="0.25">
      <c r="A69" s="31" t="s">
        <v>82</v>
      </c>
      <c r="B69" s="103">
        <v>4.6100000000000003</v>
      </c>
      <c r="C69" s="22">
        <v>4.4000000000000003E-3</v>
      </c>
      <c r="D69" s="36">
        <f>Tabella118[[#This Row],[Percentage of Suppliers - Raw]]/$C$151</f>
        <v>4.4511886697015685E-3</v>
      </c>
      <c r="E69" s="26">
        <v>5.9999999999999995E-4</v>
      </c>
      <c r="F69" s="38">
        <f>Tabella118[[#This Row],[Percentage of Supplier''s Facilities - Raw]]/$E$151</f>
        <v>6.0587700696758569E-4</v>
      </c>
    </row>
    <row r="70" spans="1:6" ht="19" x14ac:dyDescent="0.25">
      <c r="A70" s="31" t="s">
        <v>83</v>
      </c>
      <c r="B70" s="104">
        <v>3.84</v>
      </c>
      <c r="C70" s="22">
        <v>6.7000000000000002E-3</v>
      </c>
      <c r="D70" s="36">
        <f>Tabella118[[#This Row],[Percentage of Suppliers - Raw]]/$C$151</f>
        <v>6.7779463834092063E-3</v>
      </c>
      <c r="E70" s="26">
        <v>1.4800000000000001E-2</v>
      </c>
      <c r="F70" s="38">
        <f>Tabella118[[#This Row],[Percentage of Supplier''s Facilities - Raw]]/$E$151</f>
        <v>1.4944966171867115E-2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Tabella118[[#This Row],[Percentage of Suppliers - Raw]]/$C$151</f>
        <v>0</v>
      </c>
      <c r="E71" s="26">
        <v>0</v>
      </c>
      <c r="F71" s="38">
        <f>Tabella118[[#This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0.3115</v>
      </c>
      <c r="D72" s="36">
        <f>Tabella118[[#This Row],[Percentage of Suppliers - Raw]]/$C$151</f>
        <v>0.31512392513909965</v>
      </c>
      <c r="E72" s="26">
        <v>0.192</v>
      </c>
      <c r="F72" s="38">
        <f>Tabella118[[#This Row],[Percentage of Supplier''s Facilities - Raw]]/$E$151</f>
        <v>0.19388064222962745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Tabella118[[#This Row],[Percentage of Suppliers - Raw]]/$C$151</f>
        <v>0</v>
      </c>
      <c r="E73" s="26">
        <v>0</v>
      </c>
      <c r="F73" s="38">
        <f>Tabella118[[#This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Tabella118[[#This Row],[Percentage of Suppliers - Raw]]/$C$151</f>
        <v>0</v>
      </c>
      <c r="E74" s="26">
        <v>0</v>
      </c>
      <c r="F74" s="38">
        <f>Tabella118[[#This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Tabella118[[#This Row],[Percentage of Suppliers - Raw]]/$C$151</f>
        <v>0</v>
      </c>
      <c r="E75" s="26">
        <v>5.0000000000000001E-4</v>
      </c>
      <c r="F75" s="38">
        <f>Tabella118[[#This Row],[Percentage of Supplier''s Facilities - Raw]]/$E$151</f>
        <v>5.0489750580632144E-4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Tabella118[[#This Row],[Percentage of Suppliers - Raw]]/$C$151</f>
        <v>0</v>
      </c>
      <c r="E76" s="26">
        <v>0</v>
      </c>
      <c r="F76" s="38">
        <f>Tabella118[[#This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Tabella118[[#This Row],[Percentage of Suppliers - Raw]]/$C$151</f>
        <v>0</v>
      </c>
      <c r="E77" s="26">
        <v>0</v>
      </c>
      <c r="F77" s="38">
        <f>Tabella118[[#This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Tabella118[[#This Row],[Percentage of Suppliers - Raw]]/$C$151</f>
        <v>0</v>
      </c>
      <c r="E78" s="26">
        <v>0</v>
      </c>
      <c r="F78" s="38">
        <f>Tabella118[[#This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Tabella118[[#This Row],[Percentage of Suppliers - Raw]]/$C$151</f>
        <v>0</v>
      </c>
      <c r="E79" s="26">
        <v>0</v>
      </c>
      <c r="F79" s="38">
        <f>Tabella118[[#This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Tabella118[[#This Row],[Percentage of Suppliers - Raw]]/$C$151</f>
        <v>0</v>
      </c>
      <c r="E80" s="26">
        <v>0</v>
      </c>
      <c r="F80" s="38">
        <f>Tabella118[[#This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Tabella118[[#This Row],[Percentage of Suppliers - Raw]]/$C$151</f>
        <v>0</v>
      </c>
      <c r="E81" s="26">
        <v>0</v>
      </c>
      <c r="F81" s="38">
        <f>Tabella118[[#This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Tabella118[[#This Row],[Percentage of Suppliers - Raw]]/$C$151</f>
        <v>0</v>
      </c>
      <c r="E82" s="26">
        <v>0</v>
      </c>
      <c r="F82" s="38">
        <f>Tabella118[[#This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Tabella118[[#This Row],[Percentage of Suppliers - Raw]]/$C$151</f>
        <v>0</v>
      </c>
      <c r="E83" s="26">
        <v>0</v>
      </c>
      <c r="F83" s="38">
        <f>Tabella118[[#This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Tabella118[[#This Row],[Percentage of Suppliers - Raw]]/$C$151</f>
        <v>0</v>
      </c>
      <c r="E84" s="26">
        <v>0</v>
      </c>
      <c r="F84" s="38">
        <f>Tabella118[[#This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Tabella118[[#This Row],[Percentage of Suppliers - Raw]]/$C$151</f>
        <v>0</v>
      </c>
      <c r="E85" s="26">
        <v>0</v>
      </c>
      <c r="F85" s="38">
        <f>Tabella118[[#This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Tabella118[[#This Row],[Percentage of Suppliers - Raw]]/$C$151</f>
        <v>0</v>
      </c>
      <c r="E86" s="26">
        <v>0</v>
      </c>
      <c r="F86" s="38">
        <f>Tabella118[[#This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0.01</v>
      </c>
      <c r="D87" s="36">
        <f>Tabella118[[#This Row],[Percentage of Suppliers - Raw]]/$C$151</f>
        <v>1.0116337885685382E-2</v>
      </c>
      <c r="E87" s="26">
        <v>1.34E-2</v>
      </c>
      <c r="F87" s="38">
        <f>Tabella118[[#This Row],[Percentage of Supplier''s Facilities - Raw]]/$E$151</f>
        <v>1.3531253155609416E-2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Tabella118[[#This Row],[Percentage of Suppliers - Raw]]/$C$151</f>
        <v>0</v>
      </c>
      <c r="E88" s="26">
        <v>0</v>
      </c>
      <c r="F88" s="38">
        <f>Tabella118[[#This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Tabella118[[#This Row],[Percentage of Suppliers - Raw]]/$C$151</f>
        <v>0</v>
      </c>
      <c r="E89" s="26">
        <v>0</v>
      </c>
      <c r="F89" s="38">
        <f>Tabella118[[#This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Tabella118[[#This Row],[Percentage of Suppliers - Raw]]/$C$151</f>
        <v>0</v>
      </c>
      <c r="E90" s="26">
        <v>0</v>
      </c>
      <c r="F90" s="38">
        <f>Tabella118[[#This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6.7000000000000002E-3</v>
      </c>
      <c r="D91" s="36">
        <f>Tabella118[[#This Row],[Percentage of Suppliers - Raw]]/$C$151</f>
        <v>6.7779463834092063E-3</v>
      </c>
      <c r="E91" s="26">
        <v>3.3399999999999999E-2</v>
      </c>
      <c r="F91" s="38">
        <f>Tabella118[[#This Row],[Percentage of Supplier''s Facilities - Raw]]/$E$151</f>
        <v>3.3727153387862273E-2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Tabella118[[#This Row],[Percentage of Suppliers - Raw]]/$C$151</f>
        <v>0</v>
      </c>
      <c r="E92" s="26">
        <v>0</v>
      </c>
      <c r="F92" s="38">
        <f>Tabella118[[#This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Tabella118[[#This Row],[Percentage of Suppliers - Raw]]/$C$151</f>
        <v>0</v>
      </c>
      <c r="E93" s="26">
        <v>0</v>
      </c>
      <c r="F93" s="38">
        <f>Tabella118[[#This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Tabella118[[#This Row],[Percentage of Suppliers - Raw]]/$C$151</f>
        <v>0</v>
      </c>
      <c r="E94" s="26">
        <v>2.7000000000000001E-3</v>
      </c>
      <c r="F94" s="38">
        <f>Tabella118[[#This Row],[Percentage of Supplier''s Facilities - Raw]]/$E$151</f>
        <v>2.726446531354136E-3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Tabella118[[#This Row],[Percentage of Suppliers - Raw]]/$C$151</f>
        <v>0</v>
      </c>
      <c r="E95" s="26">
        <v>0</v>
      </c>
      <c r="F95" s="38">
        <f>Tabella118[[#This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Tabella118[[#This Row],[Percentage of Suppliers - Raw]]/$C$151</f>
        <v>0</v>
      </c>
      <c r="E96" s="26">
        <v>0</v>
      </c>
      <c r="F96" s="38">
        <f>Tabella118[[#This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Tabella118[[#This Row],[Percentage of Suppliers - Raw]]/$C$151</f>
        <v>0</v>
      </c>
      <c r="E97" s="26">
        <v>0</v>
      </c>
      <c r="F97" s="38">
        <f>Tabella118[[#This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4.4000000000000003E-3</v>
      </c>
      <c r="D98" s="36">
        <f>Tabella118[[#This Row],[Percentage of Suppliers - Raw]]/$C$151</f>
        <v>4.4511886697015685E-3</v>
      </c>
      <c r="E98" s="26">
        <v>6.8999999999999999E-3</v>
      </c>
      <c r="F98" s="38">
        <f>Tabella118[[#This Row],[Percentage of Supplier''s Facilities - Raw]]/$E$151</f>
        <v>6.9675855801272363E-3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Tabella118[[#This Row],[Percentage of Suppliers - Raw]]/$C$151</f>
        <v>0</v>
      </c>
      <c r="E99" s="26">
        <v>1.6000000000000001E-3</v>
      </c>
      <c r="F99" s="38">
        <f>Tabella118[[#This Row],[Percentage of Supplier''s Facilities - Raw]]/$E$151</f>
        <v>1.6156720185802288E-3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Tabella118[[#This Row],[Percentage of Suppliers - Raw]]/$C$151</f>
        <v>0</v>
      </c>
      <c r="E100" s="26">
        <v>0</v>
      </c>
      <c r="F100" s="38">
        <f>Tabella118[[#This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Tabella118[[#This Row],[Percentage of Suppliers - Raw]]/$C$151</f>
        <v>0</v>
      </c>
      <c r="E101" s="26">
        <v>0</v>
      </c>
      <c r="F101" s="38">
        <f>Tabella118[[#This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Tabella118[[#This Row],[Percentage of Suppliers - Raw]]/$C$151</f>
        <v>0</v>
      </c>
      <c r="E102" s="26">
        <v>0</v>
      </c>
      <c r="F102" s="38">
        <f>Tabella118[[#This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Tabella118[[#This Row],[Percentage of Suppliers - Raw]]/$C$151</f>
        <v>0</v>
      </c>
      <c r="E103" s="26">
        <v>5.0000000000000001E-4</v>
      </c>
      <c r="F103" s="38">
        <f>Tabella118[[#This Row],[Percentage of Supplier''s Facilities - Raw]]/$E$151</f>
        <v>5.0489750580632144E-4</v>
      </c>
    </row>
    <row r="104" spans="1:6" ht="19" x14ac:dyDescent="0.25">
      <c r="A104" s="31" t="s">
        <v>117</v>
      </c>
      <c r="B104" s="133">
        <v>3.38</v>
      </c>
      <c r="C104" s="22">
        <v>4.4000000000000003E-3</v>
      </c>
      <c r="D104" s="36">
        <f>Tabella118[[#This Row],[Percentage of Suppliers - Raw]]/$C$151</f>
        <v>4.4511886697015685E-3</v>
      </c>
      <c r="E104" s="26">
        <v>1.9E-3</v>
      </c>
      <c r="F104" s="38">
        <f>Tabella118[[#This Row],[Percentage of Supplier''s Facilities - Raw]]/$E$151</f>
        <v>1.9186105220640214E-3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Tabella118[[#This Row],[Percentage of Suppliers - Raw]]/$C$151</f>
        <v>0</v>
      </c>
      <c r="E105" s="26">
        <v>0</v>
      </c>
      <c r="F105" s="38">
        <f>Tabella118[[#This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7.7999999999999996E-3</v>
      </c>
      <c r="D106" s="36">
        <f>Tabella118[[#This Row],[Percentage of Suppliers - Raw]]/$C$151</f>
        <v>7.8907435508345988E-3</v>
      </c>
      <c r="E106" s="26">
        <v>1.6999999999999999E-3</v>
      </c>
      <c r="F106" s="38">
        <f>Tabella118[[#This Row],[Percentage of Supplier''s Facilities - Raw]]/$E$151</f>
        <v>1.7166515197414929E-3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Tabella118[[#This Row],[Percentage of Suppliers - Raw]]/$C$151</f>
        <v>0</v>
      </c>
      <c r="E107" s="26">
        <v>0</v>
      </c>
      <c r="F107" s="38">
        <f>Tabella118[[#This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Tabella118[[#This Row],[Percentage of Suppliers - Raw]]/$C$151</f>
        <v>0</v>
      </c>
      <c r="E108" s="26">
        <v>0</v>
      </c>
      <c r="F108" s="38">
        <f>Tabella118[[#This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Tabella118[[#This Row],[Percentage of Suppliers - Raw]]/$C$151</f>
        <v>0</v>
      </c>
      <c r="E109" s="26">
        <v>0</v>
      </c>
      <c r="F109" s="38">
        <f>Tabella118[[#This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Tabella118[[#This Row],[Percentage of Suppliers - Raw]]/$C$151</f>
        <v>0</v>
      </c>
      <c r="E110" s="26">
        <v>5.0000000000000001E-4</v>
      </c>
      <c r="F110" s="38">
        <f>Tabella118[[#This Row],[Percentage of Supplier''s Facilities - Raw]]/$E$151</f>
        <v>5.0489750580632144E-4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Tabella118[[#This Row],[Percentage of Suppliers - Raw]]/$C$151</f>
        <v>0</v>
      </c>
      <c r="E111" s="26">
        <v>4.1000000000000003E-3</v>
      </c>
      <c r="F111" s="38">
        <f>Tabella118[[#This Row],[Percentage of Supplier''s Facilities - Raw]]/$E$151</f>
        <v>4.1401595476118361E-3</v>
      </c>
    </row>
    <row r="112" spans="1:6" ht="19" x14ac:dyDescent="0.25">
      <c r="A112" s="31" t="s">
        <v>125</v>
      </c>
      <c r="B112" s="140">
        <v>4.1500000000000004</v>
      </c>
      <c r="C112" s="22">
        <v>1.1000000000000001E-3</v>
      </c>
      <c r="D112" s="36">
        <f>Tabella118[[#This Row],[Percentage of Suppliers - Raw]]/$C$151</f>
        <v>1.1127971674253921E-3</v>
      </c>
      <c r="E112" s="26">
        <v>1.03E-2</v>
      </c>
      <c r="F112" s="38">
        <f>Tabella118[[#This Row],[Percentage of Supplier''s Facilities - Raw]]/$E$151</f>
        <v>1.0400888619610221E-2</v>
      </c>
    </row>
    <row r="113" spans="1:6" ht="19" x14ac:dyDescent="0.25">
      <c r="A113" s="31" t="s">
        <v>126</v>
      </c>
      <c r="B113" s="141">
        <v>3.43</v>
      </c>
      <c r="C113" s="22">
        <v>1.1000000000000001E-3</v>
      </c>
      <c r="D113" s="36">
        <f>Tabella118[[#This Row],[Percentage of Suppliers - Raw]]/$C$151</f>
        <v>1.1127971674253921E-3</v>
      </c>
      <c r="E113" s="26">
        <v>2.7000000000000001E-3</v>
      </c>
      <c r="F113" s="38">
        <f>Tabella118[[#This Row],[Percentage of Supplier''s Facilities - Raw]]/$E$151</f>
        <v>2.726446531354136E-3</v>
      </c>
    </row>
    <row r="114" spans="1:6" ht="19" x14ac:dyDescent="0.25">
      <c r="A114" s="31" t="s">
        <v>127</v>
      </c>
      <c r="B114" s="75">
        <v>3.2</v>
      </c>
      <c r="C114" s="22">
        <v>1.1000000000000001E-3</v>
      </c>
      <c r="D114" s="36">
        <f>Tabella118[[#This Row],[Percentage of Suppliers - Raw]]/$C$151</f>
        <v>1.1127971674253921E-3</v>
      </c>
      <c r="E114" s="26">
        <v>0</v>
      </c>
      <c r="F114" s="38">
        <f>Tabella118[[#This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Tabella118[[#This Row],[Percentage of Suppliers - Raw]]/$C$151</f>
        <v>0</v>
      </c>
      <c r="E115" s="26">
        <v>4.7999999999999996E-3</v>
      </c>
      <c r="F115" s="38">
        <f>Tabella118[[#This Row],[Percentage of Supplier''s Facilities - Raw]]/$E$151</f>
        <v>4.8470160557406855E-3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Tabella118[[#This Row],[Percentage of Suppliers - Raw]]/$C$151</f>
        <v>0</v>
      </c>
      <c r="E116" s="26">
        <v>2.5000000000000001E-3</v>
      </c>
      <c r="F116" s="38">
        <f>Tabella118[[#This Row],[Percentage of Supplier''s Facilities - Raw]]/$E$151</f>
        <v>2.5244875290316073E-3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Tabella118[[#This Row],[Percentage of Suppliers - Raw]]/$C$151</f>
        <v>0</v>
      </c>
      <c r="E117" s="26">
        <v>0</v>
      </c>
      <c r="F117" s="38">
        <f>Tabella118[[#This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Tabella118[[#This Row],[Percentage of Suppliers - Raw]]/$C$151</f>
        <v>0</v>
      </c>
      <c r="E118" s="26">
        <v>1E-3</v>
      </c>
      <c r="F118" s="38">
        <f>Tabella118[[#This Row],[Percentage of Supplier''s Facilities - Raw]]/$E$151</f>
        <v>1.0097950116126429E-3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Tabella118[[#This Row],[Percentage of Suppliers - Raw]]/$C$151</f>
        <v>0</v>
      </c>
      <c r="E119" s="26">
        <v>0</v>
      </c>
      <c r="F119" s="38">
        <f>Tabella118[[#This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Tabella118[[#This Row],[Percentage of Suppliers - Raw]]/$C$151</f>
        <v>0</v>
      </c>
      <c r="E120" s="26">
        <v>1.8E-3</v>
      </c>
      <c r="F120" s="38">
        <f>Tabella118[[#This Row],[Percentage of Supplier''s Facilities - Raw]]/$E$151</f>
        <v>1.8176310209027573E-3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Tabella118[[#This Row],[Percentage of Suppliers - Raw]]/$C$151</f>
        <v>0</v>
      </c>
      <c r="E121" s="26">
        <v>0</v>
      </c>
      <c r="F121" s="38">
        <f>Tabella118[[#This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3.3E-3</v>
      </c>
      <c r="D122" s="36">
        <f>Tabella118[[#This Row],[Percentage of Suppliers - Raw]]/$C$151</f>
        <v>3.3383915022761764E-3</v>
      </c>
      <c r="E122" s="26">
        <v>4.3E-3</v>
      </c>
      <c r="F122" s="38">
        <f>Tabella118[[#This Row],[Percentage of Supplier''s Facilities - Raw]]/$E$151</f>
        <v>4.3421185499343644E-3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Tabella118[[#This Row],[Percentage of Suppliers - Raw]]/$C$151</f>
        <v>0</v>
      </c>
      <c r="E123" s="26">
        <v>3.8999999999999998E-3</v>
      </c>
      <c r="F123" s="38">
        <f>Tabella118[[#This Row],[Percentage of Supplier''s Facilities - Raw]]/$E$151</f>
        <v>3.938200545289307E-3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Tabella118[[#This Row],[Percentage of Suppliers - Raw]]/$C$151</f>
        <v>0</v>
      </c>
      <c r="E124" s="26">
        <v>8.9999999999999998E-4</v>
      </c>
      <c r="F124" s="38">
        <f>Tabella118[[#This Row],[Percentage of Supplier''s Facilities - Raw]]/$E$151</f>
        <v>9.0881551045137864E-4</v>
      </c>
    </row>
    <row r="125" spans="1:6" ht="19" x14ac:dyDescent="0.25">
      <c r="A125" s="31" t="s">
        <v>138</v>
      </c>
      <c r="B125" s="150">
        <v>5.22</v>
      </c>
      <c r="C125" s="22">
        <v>3.3E-3</v>
      </c>
      <c r="D125" s="36">
        <f>Tabella118[[#This Row],[Percentage of Suppliers - Raw]]/$C$151</f>
        <v>3.3383915022761764E-3</v>
      </c>
      <c r="E125" s="26">
        <v>6.3E-3</v>
      </c>
      <c r="F125" s="38">
        <f>Tabella118[[#This Row],[Percentage of Supplier''s Facilities - Raw]]/$E$151</f>
        <v>6.3617085731596506E-3</v>
      </c>
    </row>
    <row r="126" spans="1:6" ht="19" x14ac:dyDescent="0.25">
      <c r="A126" s="31" t="s">
        <v>139</v>
      </c>
      <c r="B126" s="151">
        <v>3.57</v>
      </c>
      <c r="C126" s="22">
        <v>2.6700000000000002E-2</v>
      </c>
      <c r="D126" s="36">
        <f>Tabella118[[#This Row],[Percentage of Suppliers - Raw]]/$C$151</f>
        <v>2.7010622154779972E-2</v>
      </c>
      <c r="E126" s="26">
        <v>1.83E-2</v>
      </c>
      <c r="F126" s="38">
        <f>Tabella118[[#This Row],[Percentage of Supplier''s Facilities - Raw]]/$E$151</f>
        <v>1.8479248712511366E-2</v>
      </c>
    </row>
    <row r="127" spans="1:6" ht="19" x14ac:dyDescent="0.25">
      <c r="A127" s="31" t="s">
        <v>140</v>
      </c>
      <c r="B127" s="152">
        <v>3.7</v>
      </c>
      <c r="C127" s="22">
        <v>3.3E-3</v>
      </c>
      <c r="D127" s="36">
        <f>Tabella118[[#This Row],[Percentage of Suppliers - Raw]]/$C$151</f>
        <v>3.3383915022761764E-3</v>
      </c>
      <c r="E127" s="26">
        <v>1.5800000000000002E-2</v>
      </c>
      <c r="F127" s="38">
        <f>Tabella118[[#This Row],[Percentage of Supplier''s Facilities - Raw]]/$E$151</f>
        <v>1.595476118347976E-2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Tabella118[[#This Row],[Percentage of Suppliers - Raw]]/$C$151</f>
        <v>0</v>
      </c>
      <c r="E128" s="26">
        <v>5.0000000000000001E-4</v>
      </c>
      <c r="F128" s="38">
        <f>Tabella118[[#This Row],[Percentage of Supplier''s Facilities - Raw]]/$E$151</f>
        <v>5.0489750580632144E-4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Tabella118[[#This Row],[Percentage of Suppliers - Raw]]/$C$151</f>
        <v>0</v>
      </c>
      <c r="E129" s="26">
        <v>0</v>
      </c>
      <c r="F129" s="38">
        <f>Tabella118[[#This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2.2000000000000001E-3</v>
      </c>
      <c r="D130" s="36">
        <f>Tabella118[[#This Row],[Percentage of Suppliers - Raw]]/$C$151</f>
        <v>2.2255943348507843E-3</v>
      </c>
      <c r="E130" s="26">
        <v>5.0000000000000001E-3</v>
      </c>
      <c r="F130" s="38">
        <f>Tabella118[[#This Row],[Percentage of Supplier''s Facilities - Raw]]/$E$151</f>
        <v>5.0489750580632146E-3</v>
      </c>
    </row>
    <row r="131" spans="1:6" ht="19" x14ac:dyDescent="0.25">
      <c r="A131" s="31" t="s">
        <v>144</v>
      </c>
      <c r="B131" s="154">
        <v>2.78</v>
      </c>
      <c r="C131" s="22">
        <v>1.11E-2</v>
      </c>
      <c r="D131" s="36">
        <f>Tabella118[[#This Row],[Percentage of Suppliers - Raw]]/$C$151</f>
        <v>1.1229135053110776E-2</v>
      </c>
      <c r="E131" s="26">
        <v>5.3E-3</v>
      </c>
      <c r="F131" s="38">
        <f>Tabella118[[#This Row],[Percentage of Supplier''s Facilities - Raw]]/$E$151</f>
        <v>5.3519135615470075E-3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Tabella118[[#This Row],[Percentage of Suppliers - Raw]]/$C$151</f>
        <v>0</v>
      </c>
      <c r="E132" s="26">
        <v>0</v>
      </c>
      <c r="F132" s="38">
        <f>Tabella118[[#This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Tabella118[[#This Row],[Percentage of Suppliers - Raw]]/$C$151</f>
        <v>0</v>
      </c>
      <c r="E133" s="26">
        <v>0</v>
      </c>
      <c r="F133" s="38">
        <f>Tabella118[[#This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1.11E-2</v>
      </c>
      <c r="D134" s="36">
        <f>Tabella118[[#This Row],[Percentage of Suppliers - Raw]]/$C$151</f>
        <v>1.1229135053110776E-2</v>
      </c>
      <c r="E134" s="26">
        <v>2.2499999999999999E-2</v>
      </c>
      <c r="F134" s="38">
        <f>Tabella118[[#This Row],[Percentage of Supplier''s Facilities - Raw]]/$E$151</f>
        <v>2.2720387761284464E-2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Tabella118[[#This Row],[Percentage of Suppliers - Raw]]/$C$151</f>
        <v>0</v>
      </c>
      <c r="E135" s="26">
        <v>0</v>
      </c>
      <c r="F135" s="38">
        <f>Tabella118[[#This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Tabella118[[#This Row],[Percentage of Suppliers - Raw]]/$C$151</f>
        <v>0</v>
      </c>
      <c r="E136" s="26">
        <v>0</v>
      </c>
      <c r="F136" s="38">
        <f>Tabella118[[#This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Tabella118[[#This Row],[Percentage of Suppliers - Raw]]/$C$151</f>
        <v>0</v>
      </c>
      <c r="E137" s="26">
        <v>0</v>
      </c>
      <c r="F137" s="38">
        <f>Tabella118[[#This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Tabella118[[#This Row],[Percentage of Suppliers - Raw]]/$C$151</f>
        <v>0</v>
      </c>
      <c r="E138" s="26">
        <v>1.2999999999999999E-3</v>
      </c>
      <c r="F138" s="38">
        <f>Tabella118[[#This Row],[Percentage of Supplier''s Facilities - Raw]]/$E$151</f>
        <v>1.3127335150964357E-3</v>
      </c>
    </row>
    <row r="139" spans="1:6" ht="19" x14ac:dyDescent="0.25">
      <c r="A139" s="31" t="s">
        <v>152</v>
      </c>
      <c r="B139" s="161">
        <v>5.26</v>
      </c>
      <c r="C139" s="22">
        <v>1.1000000000000001E-3</v>
      </c>
      <c r="D139" s="36">
        <f>Tabella118[[#This Row],[Percentage of Suppliers - Raw]]/$C$151</f>
        <v>1.1127971674253921E-3</v>
      </c>
      <c r="E139" s="26">
        <v>6.6E-3</v>
      </c>
      <c r="F139" s="38">
        <f>Tabella118[[#This Row],[Percentage of Supplier''s Facilities - Raw]]/$E$151</f>
        <v>6.6646470766434434E-3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Tabella118[[#This Row],[Percentage of Suppliers - Raw]]/$C$151</f>
        <v>0</v>
      </c>
      <c r="E140" s="26">
        <v>0</v>
      </c>
      <c r="F140" s="38">
        <f>Tabella118[[#This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Tabella118[[#This Row],[Percentage of Suppliers - Raw]]/$C$151</f>
        <v>0</v>
      </c>
      <c r="E141" s="26">
        <v>4.0000000000000002E-4</v>
      </c>
      <c r="F141" s="38">
        <f>Tabella118[[#This Row],[Percentage of Supplier''s Facilities - Raw]]/$E$151</f>
        <v>4.039180046450572E-4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Tabella118[[#This Row],[Percentage of Suppliers - Raw]]/$C$151</f>
        <v>0</v>
      </c>
      <c r="E142" s="26">
        <v>1.5E-3</v>
      </c>
      <c r="F142" s="38">
        <f>Tabella118[[#This Row],[Percentage of Supplier''s Facilities - Raw]]/$E$151</f>
        <v>1.5146925174189644E-3</v>
      </c>
    </row>
    <row r="143" spans="1:6" ht="19" x14ac:dyDescent="0.25">
      <c r="A143" s="31" t="s">
        <v>156</v>
      </c>
      <c r="B143" s="128">
        <v>3.32</v>
      </c>
      <c r="C143" s="22">
        <v>1.78E-2</v>
      </c>
      <c r="D143" s="36">
        <f>Tabella118[[#This Row],[Percentage of Suppliers - Raw]]/$C$151</f>
        <v>1.8007081436519981E-2</v>
      </c>
      <c r="E143" s="26">
        <v>0.02</v>
      </c>
      <c r="F143" s="38">
        <f>Tabella118[[#This Row],[Percentage of Supplier''s Facilities - Raw]]/$E$151</f>
        <v>2.0195900232252859E-2</v>
      </c>
    </row>
    <row r="144" spans="1:6" ht="19" x14ac:dyDescent="0.25">
      <c r="A144" s="31" t="s">
        <v>157</v>
      </c>
      <c r="B144" s="165">
        <v>4.1900000000000004</v>
      </c>
      <c r="C144" s="22">
        <v>0.16569999999999999</v>
      </c>
      <c r="D144" s="36">
        <f>Tabella118[[#This Row],[Percentage of Suppliers - Raw]]/$C$151</f>
        <v>0.16762771876580679</v>
      </c>
      <c r="E144" s="26">
        <v>0.18759999999999999</v>
      </c>
      <c r="F144" s="38">
        <f>Tabella118[[#This Row],[Percentage of Supplier''s Facilities - Raw]]/$E$151</f>
        <v>0.18943754417853179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Tabella118[[#This Row],[Percentage of Suppliers - Raw]]/$C$151</f>
        <v>0</v>
      </c>
      <c r="E145" s="26">
        <v>0</v>
      </c>
      <c r="F145" s="38">
        <f>Tabella118[[#This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Tabella118[[#This Row],[Percentage of Suppliers - Raw]]/$C$151</f>
        <v>0</v>
      </c>
      <c r="E146" s="26">
        <v>0</v>
      </c>
      <c r="F146" s="38">
        <f>Tabella118[[#This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5.5999999999999999E-3</v>
      </c>
      <c r="D147" s="36">
        <f>Tabella118[[#This Row],[Percentage of Suppliers - Raw]]/$C$151</f>
        <v>5.6651492159838146E-3</v>
      </c>
      <c r="E147" s="26">
        <v>8.8999999999999999E-3</v>
      </c>
      <c r="F147" s="38">
        <f>Tabella118[[#This Row],[Percentage of Supplier''s Facilities - Raw]]/$E$151</f>
        <v>8.9871756033525225E-3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Tabella118[[#This Row],[Percentage of Suppliers - Raw]]/$C$151</f>
        <v>0</v>
      </c>
      <c r="E148" s="26">
        <v>0</v>
      </c>
      <c r="F148" s="38">
        <f>Tabella118[[#This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Tabella118[[#This Row],[Percentage of Suppliers - Raw]]/$C$151</f>
        <v>0</v>
      </c>
      <c r="E149" s="26">
        <v>0</v>
      </c>
      <c r="F149" s="38">
        <f>Tabella118[[#This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Tabella118[[#This Row],[Percentage of Suppliers - Raw]]/$C$151</f>
        <v>0</v>
      </c>
      <c r="E150" s="26">
        <v>0</v>
      </c>
      <c r="F150" s="38">
        <f>Tabella118[[#This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0.98849999999999993</v>
      </c>
      <c r="D151" s="39">
        <f>Tabella118[[#This Row],[Percentage of Suppliers - Raw]]/$C$151</f>
        <v>1</v>
      </c>
      <c r="E151" s="25">
        <f>SUM(E4:E150)</f>
        <v>0.99029999999999974</v>
      </c>
      <c r="F151" s="39">
        <f>SUM(F4:F150)</f>
        <v>0.99999999999999989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FAFD-4B95-F64B-AC9C-B9A38F8ACBB4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183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Tabella119[[#This Row],[Percentage of Suppliers - Raw]]/$C$151</f>
        <v>0</v>
      </c>
      <c r="E4" s="26">
        <v>0</v>
      </c>
      <c r="F4" s="38">
        <f>Tabella119[[#This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Tabella119[[#This Row],[Percentage of Suppliers - Raw]]/$C$151</f>
        <v>0</v>
      </c>
      <c r="E5" s="26">
        <v>0</v>
      </c>
      <c r="F5" s="38">
        <f>Tabella119[[#This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Tabella119[[#This Row],[Percentage of Suppliers - Raw]]/$C$151</f>
        <v>0</v>
      </c>
      <c r="E6" s="26">
        <v>0</v>
      </c>
      <c r="F6" s="38">
        <f>Tabella119[[#This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Tabella119[[#This Row],[Percentage of Suppliers - Raw]]/$C$151</f>
        <v>0</v>
      </c>
      <c r="E7" s="26">
        <v>0</v>
      </c>
      <c r="F7" s="38">
        <f>Tabella119[[#This Row],[Percentage of Supplier''s Facilities - Raw]]/$E$151</f>
        <v>0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Tabella119[[#This Row],[Percentage of Suppliers - Raw]]/$C$151</f>
        <v>0</v>
      </c>
      <c r="E8" s="26">
        <v>0</v>
      </c>
      <c r="F8" s="38">
        <f>Tabella119[[#This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0.48315513415372197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0.39428571428571418</v>
      </c>
    </row>
    <row r="9" spans="1:16" ht="23" thickBot="1" x14ac:dyDescent="0.35">
      <c r="A9" s="31" t="s">
        <v>19</v>
      </c>
      <c r="B9" s="48">
        <v>3.22</v>
      </c>
      <c r="C9" s="22">
        <v>1.6799999999999999E-2</v>
      </c>
      <c r="D9" s="36">
        <f>Tabella119[[#This Row],[Percentage of Suppliers - Raw]]/$C$151</f>
        <v>1.6945733306435343E-2</v>
      </c>
      <c r="E9" s="26">
        <v>2.0899999999999998E-2</v>
      </c>
      <c r="F9" s="38">
        <f>Tabella119[[#This Row],[Percentage of Supplier''s Facilities - Raw]]/$E$151</f>
        <v>2.0952380952380945E-2</v>
      </c>
      <c r="H9" s="20" t="s">
        <v>20</v>
      </c>
      <c r="I9" s="21"/>
      <c r="J9" s="21"/>
      <c r="K9" s="175">
        <f>SUMPRODUCT(B4:B150,D4:D150)</f>
        <v>3.9442868670566873</v>
      </c>
      <c r="M9" s="20" t="s">
        <v>21</v>
      </c>
      <c r="N9" s="21"/>
      <c r="O9" s="21"/>
      <c r="P9" s="175">
        <f>SUMPRODUCT(B4:B150,F4:F150)</f>
        <v>3.9114255639097739</v>
      </c>
    </row>
    <row r="10" spans="1:16" ht="19" x14ac:dyDescent="0.25">
      <c r="A10" s="31" t="s">
        <v>22</v>
      </c>
      <c r="B10" s="49">
        <v>3.41</v>
      </c>
      <c r="C10" s="22">
        <v>8.3999999999999995E-3</v>
      </c>
      <c r="D10" s="36">
        <f>Tabella119[[#This Row],[Percentage of Suppliers - Raw]]/$C$151</f>
        <v>8.4728666532176717E-3</v>
      </c>
      <c r="E10" s="26">
        <v>2.3999999999999998E-3</v>
      </c>
      <c r="F10" s="38">
        <f>Tabella119[[#This Row],[Percentage of Supplier''s Facilities - Raw]]/$E$151</f>
        <v>2.406015037593984E-3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Tabella119[[#This Row],[Percentage of Suppliers - Raw]]/$C$151</f>
        <v>0</v>
      </c>
      <c r="E11" s="26">
        <v>0</v>
      </c>
      <c r="F11" s="38">
        <f>Tabella119[[#This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Tabella119[[#This Row],[Percentage of Suppliers - Raw]]/$C$151</f>
        <v>0</v>
      </c>
      <c r="E12" s="26">
        <v>0</v>
      </c>
      <c r="F12" s="38">
        <f>Tabella119[[#This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Tabella119[[#This Row],[Percentage of Suppliers - Raw]]/$C$151</f>
        <v>0</v>
      </c>
      <c r="E13" s="26">
        <v>0</v>
      </c>
      <c r="F13" s="38">
        <f>Tabella119[[#This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Tabella119[[#This Row],[Percentage of Suppliers - Raw]]/$C$151</f>
        <v>0</v>
      </c>
      <c r="E14" s="26">
        <v>0</v>
      </c>
      <c r="F14" s="38">
        <f>Tabella119[[#This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8.3999999999999995E-3</v>
      </c>
      <c r="D15" s="36">
        <f>Tabella119[[#This Row],[Percentage of Suppliers - Raw]]/$C$151</f>
        <v>8.4728666532176717E-3</v>
      </c>
      <c r="E15" s="26">
        <v>1.1999999999999999E-3</v>
      </c>
      <c r="F15" s="38">
        <f>Tabella119[[#This Row],[Percentage of Supplier''s Facilities - Raw]]/$E$151</f>
        <v>1.203007518796992E-3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Tabella119[[#This Row],[Percentage of Suppliers - Raw]]/$C$151</f>
        <v>0</v>
      </c>
      <c r="E16" s="26">
        <v>0</v>
      </c>
      <c r="F16" s="38">
        <f>Tabella119[[#This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Tabella119[[#This Row],[Percentage of Suppliers - Raw]]/$C$151</f>
        <v>0</v>
      </c>
      <c r="E17" s="26">
        <v>0</v>
      </c>
      <c r="F17" s="38">
        <f>Tabella119[[#This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Tabella119[[#This Row],[Percentage of Suppliers - Raw]]/$C$151</f>
        <v>0</v>
      </c>
      <c r="E18" s="26">
        <v>0</v>
      </c>
      <c r="F18" s="38">
        <f>Tabella119[[#This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Tabella119[[#This Row],[Percentage of Suppliers - Raw]]/$C$151</f>
        <v>0</v>
      </c>
      <c r="E19" s="26">
        <v>0</v>
      </c>
      <c r="F19" s="38">
        <f>Tabella119[[#This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Tabella119[[#This Row],[Percentage of Suppliers - Raw]]/$C$151</f>
        <v>0</v>
      </c>
      <c r="E20" s="26">
        <v>0</v>
      </c>
      <c r="F20" s="38">
        <f>Tabella119[[#This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Tabella119[[#This Row],[Percentage of Suppliers - Raw]]/$C$151</f>
        <v>0</v>
      </c>
      <c r="E21" s="26">
        <v>9.4999999999999998E-3</v>
      </c>
      <c r="F21" s="38">
        <f>Tabella119[[#This Row],[Percentage of Supplier''s Facilities - Raw]]/$E$151</f>
        <v>9.5238095238095212E-3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Tabella119[[#This Row],[Percentage of Suppliers - Raw]]/$C$151</f>
        <v>0</v>
      </c>
      <c r="E22" s="26">
        <v>0</v>
      </c>
      <c r="F22" s="38">
        <f>Tabella119[[#This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Tabella119[[#This Row],[Percentage of Suppliers - Raw]]/$C$151</f>
        <v>0</v>
      </c>
      <c r="E23" s="26">
        <v>0</v>
      </c>
      <c r="F23" s="38">
        <f>Tabella119[[#This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Tabella119[[#This Row],[Percentage of Suppliers - Raw]]/$C$151</f>
        <v>0</v>
      </c>
      <c r="E24" s="26">
        <v>0</v>
      </c>
      <c r="F24" s="38">
        <f>Tabella119[[#This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Tabella119[[#This Row],[Percentage of Suppliers - Raw]]/$C$151</f>
        <v>0</v>
      </c>
      <c r="E25" s="26">
        <v>0</v>
      </c>
      <c r="F25" s="38">
        <f>Tabella119[[#This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Tabella119[[#This Row],[Percentage of Suppliers - Raw]]/$C$151</f>
        <v>0</v>
      </c>
      <c r="E26" s="26">
        <v>0</v>
      </c>
      <c r="F26" s="38">
        <f>Tabella119[[#This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4.2000000000000003E-2</v>
      </c>
      <c r="D27" s="36">
        <f>Tabella119[[#This Row],[Percentage of Suppliers - Raw]]/$C$151</f>
        <v>4.2364333266088357E-2</v>
      </c>
      <c r="E27" s="26">
        <v>3.8100000000000002E-2</v>
      </c>
      <c r="F27" s="38">
        <f>Tabella119[[#This Row],[Percentage of Supplier''s Facilities - Raw]]/$E$151</f>
        <v>3.8195488721804505E-2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Tabella119[[#This Row],[Percentage of Suppliers - Raw]]/$C$151</f>
        <v>0</v>
      </c>
      <c r="E28" s="26">
        <v>0</v>
      </c>
      <c r="F28" s="38">
        <f>Tabella119[[#This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Tabella119[[#This Row],[Percentage of Suppliers - Raw]]/$C$151</f>
        <v>0</v>
      </c>
      <c r="E29" s="26">
        <v>0</v>
      </c>
      <c r="F29" s="38">
        <f>Tabella119[[#This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Tabella119[[#This Row],[Percentage of Suppliers - Raw]]/$C$151</f>
        <v>0</v>
      </c>
      <c r="E30" s="26">
        <v>3.2199999999999999E-2</v>
      </c>
      <c r="F30" s="38">
        <f>Tabella119[[#This Row],[Percentage of Supplier''s Facilities - Raw]]/$E$151</f>
        <v>3.2280701754385958E-2</v>
      </c>
    </row>
    <row r="31" spans="1:7" ht="19" x14ac:dyDescent="0.25">
      <c r="A31" s="31" t="s">
        <v>43</v>
      </c>
      <c r="B31" s="50">
        <v>4.26</v>
      </c>
      <c r="C31" s="22">
        <v>2.52E-2</v>
      </c>
      <c r="D31" s="36">
        <f>Tabella119[[#This Row],[Percentage of Suppliers - Raw]]/$C$151</f>
        <v>2.5418599959653013E-2</v>
      </c>
      <c r="E31" s="26">
        <v>2.8000000000000001E-2</v>
      </c>
      <c r="F31" s="38">
        <f>Tabella119[[#This Row],[Percentage of Supplier''s Facilities - Raw]]/$E$151</f>
        <v>2.8070175438596485E-2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Tabella119[[#This Row],[Percentage of Suppliers - Raw]]/$C$151</f>
        <v>0</v>
      </c>
      <c r="E32" s="26">
        <v>0</v>
      </c>
      <c r="F32" s="38">
        <f>Tabella119[[#This Row],[Percentage of Supplier''s Facilities - Raw]]/$E$151</f>
        <v>0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Tabella119[[#This Row],[Percentage of Suppliers - Raw]]/$C$151</f>
        <v>0</v>
      </c>
      <c r="E33" s="26">
        <v>0</v>
      </c>
      <c r="F33" s="38">
        <f>Tabella119[[#This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Tabella119[[#This Row],[Percentage of Suppliers - Raw]]/$C$151</f>
        <v>0</v>
      </c>
      <c r="E34" s="26">
        <v>1.8E-3</v>
      </c>
      <c r="F34" s="38">
        <f>Tabella119[[#This Row],[Percentage of Supplier''s Facilities - Raw]]/$E$151</f>
        <v>1.8045112781954881E-3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Tabella119[[#This Row],[Percentage of Suppliers - Raw]]/$C$151</f>
        <v>0</v>
      </c>
      <c r="E35" s="26">
        <v>0</v>
      </c>
      <c r="F35" s="38">
        <f>Tabella119[[#This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Tabella119[[#This Row],[Percentage of Suppliers - Raw]]/$C$151</f>
        <v>0</v>
      </c>
      <c r="E36" s="26">
        <v>0</v>
      </c>
      <c r="F36" s="38">
        <f>Tabella119[[#This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Tabella119[[#This Row],[Percentage of Suppliers - Raw]]/$C$151</f>
        <v>0</v>
      </c>
      <c r="E37" s="26">
        <v>0</v>
      </c>
      <c r="F37" s="38">
        <f>Tabella119[[#This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Tabella119[[#This Row],[Percentage of Suppliers - Raw]]/$C$151</f>
        <v>0</v>
      </c>
      <c r="E38" s="26">
        <v>3.0000000000000001E-3</v>
      </c>
      <c r="F38" s="38">
        <f>Tabella119[[#This Row],[Percentage of Supplier''s Facilities - Raw]]/$E$151</f>
        <v>3.0075187969924805E-3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Tabella119[[#This Row],[Percentage of Suppliers - Raw]]/$C$151</f>
        <v>0</v>
      </c>
      <c r="E39" s="26">
        <v>0</v>
      </c>
      <c r="F39" s="38">
        <f>Tabella119[[#This Row],[Percentage of Supplier''s Facilities - Raw]]/$E$151</f>
        <v>0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Tabella119[[#This Row],[Percentage of Suppliers - Raw]]/$C$151</f>
        <v>0</v>
      </c>
      <c r="E40" s="26">
        <v>0</v>
      </c>
      <c r="F40" s="38">
        <f>Tabella119[[#This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Tabella119[[#This Row],[Percentage of Suppliers - Raw]]/$C$151</f>
        <v>0</v>
      </c>
      <c r="E41" s="26">
        <v>0</v>
      </c>
      <c r="F41" s="38">
        <f>Tabella119[[#This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Tabella119[[#This Row],[Percentage of Suppliers - Raw]]/$C$151</f>
        <v>0</v>
      </c>
      <c r="E42" s="26">
        <v>0</v>
      </c>
      <c r="F42" s="38">
        <f>Tabella119[[#This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Tabella119[[#This Row],[Percentage of Suppliers - Raw]]/$C$151</f>
        <v>0</v>
      </c>
      <c r="E43" s="26">
        <v>1.8E-3</v>
      </c>
      <c r="F43" s="38">
        <f>Tabella119[[#This Row],[Percentage of Supplier''s Facilities - Raw]]/$E$151</f>
        <v>1.8045112781954881E-3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Tabella119[[#This Row],[Percentage of Suppliers - Raw]]/$C$151</f>
        <v>0</v>
      </c>
      <c r="E44" s="26">
        <v>0</v>
      </c>
      <c r="F44" s="38">
        <f>Tabella119[[#This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Tabella119[[#This Row],[Percentage of Suppliers - Raw]]/$C$151</f>
        <v>0</v>
      </c>
      <c r="E45" s="26">
        <v>0</v>
      </c>
      <c r="F45" s="38">
        <f>Tabella119[[#This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Tabella119[[#This Row],[Percentage of Suppliers - Raw]]/$C$151</f>
        <v>0</v>
      </c>
      <c r="E46" s="26">
        <v>0</v>
      </c>
      <c r="F46" s="38">
        <f>Tabella119[[#This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Tabella119[[#This Row],[Percentage of Suppliers - Raw]]/$C$151</f>
        <v>0</v>
      </c>
      <c r="E47" s="26">
        <v>0</v>
      </c>
      <c r="F47" s="38">
        <f>Tabella119[[#This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8.3999999999999995E-3</v>
      </c>
      <c r="D48" s="36">
        <f>Tabella119[[#This Row],[Percentage of Suppliers - Raw]]/$C$151</f>
        <v>8.4728666532176717E-3</v>
      </c>
      <c r="E48" s="26">
        <v>0</v>
      </c>
      <c r="F48" s="38">
        <f>Tabella119[[#This Row],[Percentage of Supplier''s Facilities - Raw]]/$E$151</f>
        <v>0</v>
      </c>
    </row>
    <row r="49" spans="1:6" ht="19" x14ac:dyDescent="0.25">
      <c r="A49" s="31" t="s">
        <v>62</v>
      </c>
      <c r="B49" s="84">
        <v>3.65</v>
      </c>
      <c r="C49" s="22">
        <v>2.52E-2</v>
      </c>
      <c r="D49" s="36">
        <f>Tabella119[[#This Row],[Percentage of Suppliers - Raw]]/$C$151</f>
        <v>2.5418599959653013E-2</v>
      </c>
      <c r="E49" s="26">
        <v>1.0699999999999999E-2</v>
      </c>
      <c r="F49" s="38">
        <f>Tabella119[[#This Row],[Percentage of Supplier''s Facilities - Raw]]/$E$151</f>
        <v>1.0726817042606513E-2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Tabella119[[#This Row],[Percentage of Suppliers - Raw]]/$C$151</f>
        <v>0</v>
      </c>
      <c r="E50" s="26">
        <v>0</v>
      </c>
      <c r="F50" s="38">
        <f>Tabella119[[#This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Tabella119[[#This Row],[Percentage of Suppliers - Raw]]/$C$151</f>
        <v>0</v>
      </c>
      <c r="E51" s="26">
        <v>0</v>
      </c>
      <c r="F51" s="38">
        <f>Tabella119[[#This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Tabella119[[#This Row],[Percentage of Suppliers - Raw]]/$C$151</f>
        <v>0</v>
      </c>
      <c r="E52" s="26">
        <v>0</v>
      </c>
      <c r="F52" s="38">
        <f>Tabella119[[#This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0.1008</v>
      </c>
      <c r="D53" s="36">
        <f>Tabella119[[#This Row],[Percentage of Suppliers - Raw]]/$C$151</f>
        <v>0.10167439983861205</v>
      </c>
      <c r="E53" s="26">
        <v>5.0700000000000002E-2</v>
      </c>
      <c r="F53" s="38">
        <f>Tabella119[[#This Row],[Percentage of Supplier''s Facilities - Raw]]/$E$151</f>
        <v>5.0827067669172922E-2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Tabella119[[#This Row],[Percentage of Suppliers - Raw]]/$C$151</f>
        <v>0</v>
      </c>
      <c r="E54" s="26">
        <v>0</v>
      </c>
      <c r="F54" s="38">
        <f>Tabella119[[#This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Tabella119[[#This Row],[Percentage of Suppliers - Raw]]/$C$151</f>
        <v>0</v>
      </c>
      <c r="E55" s="26">
        <v>0</v>
      </c>
      <c r="F55" s="38">
        <f>Tabella119[[#This Row],[Percentage of Supplier''s Facilities - Raw]]/$E$151</f>
        <v>0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Tabella119[[#This Row],[Percentage of Suppliers - Raw]]/$C$151</f>
        <v>0</v>
      </c>
      <c r="E56" s="26">
        <v>0</v>
      </c>
      <c r="F56" s="38">
        <f>Tabella119[[#This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Tabella119[[#This Row],[Percentage of Suppliers - Raw]]/$C$151</f>
        <v>0</v>
      </c>
      <c r="E57" s="26">
        <v>0</v>
      </c>
      <c r="F57" s="38">
        <f>Tabella119[[#This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Tabella119[[#This Row],[Percentage of Suppliers - Raw]]/$C$151</f>
        <v>0</v>
      </c>
      <c r="E58" s="26">
        <v>0</v>
      </c>
      <c r="F58" s="38">
        <f>Tabella119[[#This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Tabella119[[#This Row],[Percentage of Suppliers - Raw]]/$C$151</f>
        <v>0</v>
      </c>
      <c r="E59" s="26">
        <v>0</v>
      </c>
      <c r="F59" s="38">
        <f>Tabella119[[#This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Tabella119[[#This Row],[Percentage of Suppliers - Raw]]/$C$151</f>
        <v>0</v>
      </c>
      <c r="E60" s="26">
        <v>0</v>
      </c>
      <c r="F60" s="38">
        <f>Tabella119[[#This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Tabella119[[#This Row],[Percentage of Suppliers - Raw]]/$C$151</f>
        <v>0</v>
      </c>
      <c r="E61" s="26">
        <v>0</v>
      </c>
      <c r="F61" s="38">
        <f>Tabella119[[#This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Tabella119[[#This Row],[Percentage of Suppliers - Raw]]/$C$151</f>
        <v>0</v>
      </c>
      <c r="E62" s="26">
        <v>0</v>
      </c>
      <c r="F62" s="38">
        <f>Tabella119[[#This Row],[Percentage of Supplier''s Facilities - Raw]]/$E$151</f>
        <v>0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Tabella119[[#This Row],[Percentage of Suppliers - Raw]]/$C$151</f>
        <v>0</v>
      </c>
      <c r="E63" s="26">
        <v>0</v>
      </c>
      <c r="F63" s="38">
        <f>Tabella119[[#This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2.52E-2</v>
      </c>
      <c r="D64" s="36">
        <f>Tabella119[[#This Row],[Percentage of Suppliers - Raw]]/$C$151</f>
        <v>2.5418599959653013E-2</v>
      </c>
      <c r="E64" s="26">
        <v>2.2100000000000002E-2</v>
      </c>
      <c r="F64" s="38">
        <f>Tabella119[[#This Row],[Percentage of Supplier''s Facilities - Raw]]/$E$151</f>
        <v>2.2155388471177942E-2</v>
      </c>
    </row>
    <row r="65" spans="1:6" ht="19" x14ac:dyDescent="0.25">
      <c r="A65" s="31" t="s">
        <v>78</v>
      </c>
      <c r="B65" s="99">
        <v>4.92</v>
      </c>
      <c r="C65" s="22">
        <v>8.3999999999999995E-3</v>
      </c>
      <c r="D65" s="36">
        <f>Tabella119[[#This Row],[Percentage of Suppliers - Raw]]/$C$151</f>
        <v>8.4728666532176717E-3</v>
      </c>
      <c r="E65" s="26">
        <v>5.4000000000000003E-3</v>
      </c>
      <c r="F65" s="38">
        <f>Tabella119[[#This Row],[Percentage of Supplier''s Facilities - Raw]]/$E$151</f>
        <v>5.4135338345864649E-3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Tabella119[[#This Row],[Percentage of Suppliers - Raw]]/$C$151</f>
        <v>0</v>
      </c>
      <c r="E66" s="26">
        <v>0</v>
      </c>
      <c r="F66" s="38">
        <f>Tabella119[[#This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Tabella119[[#This Row],[Percentage of Suppliers - Raw]]/$C$151</f>
        <v>0</v>
      </c>
      <c r="E67" s="26">
        <v>0</v>
      </c>
      <c r="F67" s="38">
        <f>Tabella119[[#This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2.52E-2</v>
      </c>
      <c r="D68" s="36">
        <f>Tabella119[[#This Row],[Percentage of Suppliers - Raw]]/$C$151</f>
        <v>2.5418599959653013E-2</v>
      </c>
      <c r="E68" s="26">
        <v>4.1999999999999997E-3</v>
      </c>
      <c r="F68" s="38">
        <f>Tabella119[[#This Row],[Percentage of Supplier''s Facilities - Raw]]/$E$151</f>
        <v>4.2105263157894719E-3</v>
      </c>
    </row>
    <row r="69" spans="1:6" ht="19" x14ac:dyDescent="0.25">
      <c r="A69" s="31" t="s">
        <v>82</v>
      </c>
      <c r="B69" s="103">
        <v>4.6100000000000003</v>
      </c>
      <c r="C69" s="22">
        <v>3.3599999999999998E-2</v>
      </c>
      <c r="D69" s="36">
        <f>Tabella119[[#This Row],[Percentage of Suppliers - Raw]]/$C$151</f>
        <v>3.3891466612870687E-2</v>
      </c>
      <c r="E69" s="26">
        <v>4.1999999999999997E-3</v>
      </c>
      <c r="F69" s="38">
        <f>Tabella119[[#This Row],[Percentage of Supplier''s Facilities - Raw]]/$E$151</f>
        <v>4.2105263157894719E-3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Tabella119[[#This Row],[Percentage of Suppliers - Raw]]/$C$151</f>
        <v>0</v>
      </c>
      <c r="E70" s="26">
        <v>9.4999999999999998E-3</v>
      </c>
      <c r="F70" s="38">
        <f>Tabella119[[#This Row],[Percentage of Supplier''s Facilities - Raw]]/$E$151</f>
        <v>9.5238095238095212E-3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Tabella119[[#This Row],[Percentage of Suppliers - Raw]]/$C$151</f>
        <v>0</v>
      </c>
      <c r="E71" s="26">
        <v>0</v>
      </c>
      <c r="F71" s="38">
        <f>Tabella119[[#This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4.2000000000000003E-2</v>
      </c>
      <c r="D72" s="36">
        <f>Tabella119[[#This Row],[Percentage of Suppliers - Raw]]/$C$151</f>
        <v>4.2364333266088357E-2</v>
      </c>
      <c r="E72" s="26">
        <v>0.21099999999999999</v>
      </c>
      <c r="F72" s="38">
        <f>Tabella119[[#This Row],[Percentage of Supplier''s Facilities - Raw]]/$E$151</f>
        <v>0.21152882205513779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Tabella119[[#This Row],[Percentage of Suppliers - Raw]]/$C$151</f>
        <v>0</v>
      </c>
      <c r="E73" s="26">
        <v>0</v>
      </c>
      <c r="F73" s="38">
        <f>Tabella119[[#This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Tabella119[[#This Row],[Percentage of Suppliers - Raw]]/$C$151</f>
        <v>0</v>
      </c>
      <c r="E74" s="26">
        <v>0</v>
      </c>
      <c r="F74" s="38">
        <f>Tabella119[[#This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Tabella119[[#This Row],[Percentage of Suppliers - Raw]]/$C$151</f>
        <v>0</v>
      </c>
      <c r="E75" s="26">
        <v>0</v>
      </c>
      <c r="F75" s="38">
        <f>Tabella119[[#This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Tabella119[[#This Row],[Percentage of Suppliers - Raw]]/$C$151</f>
        <v>0</v>
      </c>
      <c r="E76" s="26">
        <v>0</v>
      </c>
      <c r="F76" s="38">
        <f>Tabella119[[#This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Tabella119[[#This Row],[Percentage of Suppliers - Raw]]/$C$151</f>
        <v>0</v>
      </c>
      <c r="E77" s="26">
        <v>0</v>
      </c>
      <c r="F77" s="38">
        <f>Tabella119[[#This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Tabella119[[#This Row],[Percentage of Suppliers - Raw]]/$C$151</f>
        <v>0</v>
      </c>
      <c r="E78" s="26">
        <v>0</v>
      </c>
      <c r="F78" s="38">
        <f>Tabella119[[#This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Tabella119[[#This Row],[Percentage of Suppliers - Raw]]/$C$151</f>
        <v>0</v>
      </c>
      <c r="E79" s="26">
        <v>0</v>
      </c>
      <c r="F79" s="38">
        <f>Tabella119[[#This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Tabella119[[#This Row],[Percentage of Suppliers - Raw]]/$C$151</f>
        <v>0</v>
      </c>
      <c r="E80" s="26">
        <v>0</v>
      </c>
      <c r="F80" s="38">
        <f>Tabella119[[#This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Tabella119[[#This Row],[Percentage of Suppliers - Raw]]/$C$151</f>
        <v>0</v>
      </c>
      <c r="E81" s="26">
        <v>0</v>
      </c>
      <c r="F81" s="38">
        <f>Tabella119[[#This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Tabella119[[#This Row],[Percentage of Suppliers - Raw]]/$C$151</f>
        <v>0</v>
      </c>
      <c r="E82" s="26">
        <v>0</v>
      </c>
      <c r="F82" s="38">
        <f>Tabella119[[#This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Tabella119[[#This Row],[Percentage of Suppliers - Raw]]/$C$151</f>
        <v>0</v>
      </c>
      <c r="E83" s="26">
        <v>0</v>
      </c>
      <c r="F83" s="38">
        <f>Tabella119[[#This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Tabella119[[#This Row],[Percentage of Suppliers - Raw]]/$C$151</f>
        <v>0</v>
      </c>
      <c r="E84" s="26">
        <v>0</v>
      </c>
      <c r="F84" s="38">
        <f>Tabella119[[#This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Tabella119[[#This Row],[Percentage of Suppliers - Raw]]/$C$151</f>
        <v>0</v>
      </c>
      <c r="E85" s="26">
        <v>0</v>
      </c>
      <c r="F85" s="38">
        <f>Tabella119[[#This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Tabella119[[#This Row],[Percentage of Suppliers - Raw]]/$C$151</f>
        <v>0</v>
      </c>
      <c r="E86" s="26">
        <v>0</v>
      </c>
      <c r="F86" s="38">
        <f>Tabella119[[#This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Tabella119[[#This Row],[Percentage of Suppliers - Raw]]/$C$151</f>
        <v>0</v>
      </c>
      <c r="E87" s="26">
        <v>6.0000000000000001E-3</v>
      </c>
      <c r="F87" s="38">
        <f>Tabella119[[#This Row],[Percentage of Supplier''s Facilities - Raw]]/$E$151</f>
        <v>6.015037593984961E-3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Tabella119[[#This Row],[Percentage of Suppliers - Raw]]/$C$151</f>
        <v>0</v>
      </c>
      <c r="E88" s="26">
        <v>0</v>
      </c>
      <c r="F88" s="38">
        <f>Tabella119[[#This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Tabella119[[#This Row],[Percentage of Suppliers - Raw]]/$C$151</f>
        <v>0</v>
      </c>
      <c r="E89" s="26">
        <v>0</v>
      </c>
      <c r="F89" s="38">
        <f>Tabella119[[#This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Tabella119[[#This Row],[Percentage of Suppliers - Raw]]/$C$151</f>
        <v>0</v>
      </c>
      <c r="E90" s="26">
        <v>0</v>
      </c>
      <c r="F90" s="38">
        <f>Tabella119[[#This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Tabella119[[#This Row],[Percentage of Suppliers - Raw]]/$C$151</f>
        <v>0</v>
      </c>
      <c r="E91" s="26">
        <v>1.61E-2</v>
      </c>
      <c r="F91" s="38">
        <f>Tabella119[[#This Row],[Percentage of Supplier''s Facilities - Raw]]/$E$151</f>
        <v>1.6140350877192979E-2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Tabella119[[#This Row],[Percentage of Suppliers - Raw]]/$C$151</f>
        <v>0</v>
      </c>
      <c r="E92" s="26">
        <v>0</v>
      </c>
      <c r="F92" s="38">
        <f>Tabella119[[#This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Tabella119[[#This Row],[Percentage of Suppliers - Raw]]/$C$151</f>
        <v>0</v>
      </c>
      <c r="E93" s="26">
        <v>0</v>
      </c>
      <c r="F93" s="38">
        <f>Tabella119[[#This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Tabella119[[#This Row],[Percentage of Suppliers - Raw]]/$C$151</f>
        <v>0</v>
      </c>
      <c r="E94" s="26">
        <v>0</v>
      </c>
      <c r="F94" s="38">
        <f>Tabella119[[#This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Tabella119[[#This Row],[Percentage of Suppliers - Raw]]/$C$151</f>
        <v>0</v>
      </c>
      <c r="E95" s="26">
        <v>0</v>
      </c>
      <c r="F95" s="38">
        <f>Tabella119[[#This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Tabella119[[#This Row],[Percentage of Suppliers - Raw]]/$C$151</f>
        <v>0</v>
      </c>
      <c r="E96" s="26">
        <v>0</v>
      </c>
      <c r="F96" s="38">
        <f>Tabella119[[#This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Tabella119[[#This Row],[Percentage of Suppliers - Raw]]/$C$151</f>
        <v>0</v>
      </c>
      <c r="E97" s="26">
        <v>0</v>
      </c>
      <c r="F97" s="38">
        <f>Tabella119[[#This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8.3999999999999995E-3</v>
      </c>
      <c r="D98" s="36">
        <f>Tabella119[[#This Row],[Percentage of Suppliers - Raw]]/$C$151</f>
        <v>8.4728666532176717E-3</v>
      </c>
      <c r="E98" s="26">
        <v>1.8E-3</v>
      </c>
      <c r="F98" s="38">
        <f>Tabella119[[#This Row],[Percentage of Supplier''s Facilities - Raw]]/$E$151</f>
        <v>1.8045112781954881E-3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Tabella119[[#This Row],[Percentage of Suppliers - Raw]]/$C$151</f>
        <v>0</v>
      </c>
      <c r="E99" s="26">
        <v>0</v>
      </c>
      <c r="F99" s="38">
        <f>Tabella119[[#This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Tabella119[[#This Row],[Percentage of Suppliers - Raw]]/$C$151</f>
        <v>0</v>
      </c>
      <c r="E100" s="26">
        <v>0</v>
      </c>
      <c r="F100" s="38">
        <f>Tabella119[[#This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Tabella119[[#This Row],[Percentage of Suppliers - Raw]]/$C$151</f>
        <v>0</v>
      </c>
      <c r="E101" s="26">
        <v>0</v>
      </c>
      <c r="F101" s="38">
        <f>Tabella119[[#This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Tabella119[[#This Row],[Percentage of Suppliers - Raw]]/$C$151</f>
        <v>0</v>
      </c>
      <c r="E102" s="26">
        <v>0</v>
      </c>
      <c r="F102" s="38">
        <f>Tabella119[[#This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Tabella119[[#This Row],[Percentage of Suppliers - Raw]]/$C$151</f>
        <v>0</v>
      </c>
      <c r="E103" s="26">
        <v>0</v>
      </c>
      <c r="F103" s="38">
        <f>Tabella119[[#This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Tabella119[[#This Row],[Percentage of Suppliers - Raw]]/$C$151</f>
        <v>0</v>
      </c>
      <c r="E104" s="26">
        <v>3.2800000000000003E-2</v>
      </c>
      <c r="F104" s="38">
        <f>Tabella119[[#This Row],[Percentage of Supplier''s Facilities - Raw]]/$E$151</f>
        <v>3.2882205513784457E-2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Tabella119[[#This Row],[Percentage of Suppliers - Raw]]/$C$151</f>
        <v>0</v>
      </c>
      <c r="E105" s="26">
        <v>0</v>
      </c>
      <c r="F105" s="38">
        <f>Tabella119[[#This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8.3999999999999995E-3</v>
      </c>
      <c r="D106" s="36">
        <f>Tabella119[[#This Row],[Percentage of Suppliers - Raw]]/$C$151</f>
        <v>8.4728666532176717E-3</v>
      </c>
      <c r="E106" s="26">
        <v>0</v>
      </c>
      <c r="F106" s="38">
        <f>Tabella119[[#This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Tabella119[[#This Row],[Percentage of Suppliers - Raw]]/$C$151</f>
        <v>0</v>
      </c>
      <c r="E107" s="26">
        <v>0</v>
      </c>
      <c r="F107" s="38">
        <f>Tabella119[[#This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Tabella119[[#This Row],[Percentage of Suppliers - Raw]]/$C$151</f>
        <v>0</v>
      </c>
      <c r="E108" s="26">
        <v>0</v>
      </c>
      <c r="F108" s="38">
        <f>Tabella119[[#This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Tabella119[[#This Row],[Percentage of Suppliers - Raw]]/$C$151</f>
        <v>0</v>
      </c>
      <c r="E109" s="26">
        <v>0</v>
      </c>
      <c r="F109" s="38">
        <f>Tabella119[[#This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Tabella119[[#This Row],[Percentage of Suppliers - Raw]]/$C$151</f>
        <v>0</v>
      </c>
      <c r="E110" s="26">
        <v>0</v>
      </c>
      <c r="F110" s="38">
        <f>Tabella119[[#This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Tabella119[[#This Row],[Percentage of Suppliers - Raw]]/$C$151</f>
        <v>0</v>
      </c>
      <c r="E111" s="26">
        <v>0</v>
      </c>
      <c r="F111" s="38">
        <f>Tabella119[[#This Row],[Percentage of Supplier''s Facilities - Raw]]/$E$151</f>
        <v>0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Tabella119[[#This Row],[Percentage of Suppliers - Raw]]/$C$151</f>
        <v>0</v>
      </c>
      <c r="E112" s="26">
        <v>7.1999999999999998E-3</v>
      </c>
      <c r="F112" s="38">
        <f>Tabella119[[#This Row],[Percentage of Supplier''s Facilities - Raw]]/$E$151</f>
        <v>7.2180451127819524E-3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Tabella119[[#This Row],[Percentage of Suppliers - Raw]]/$C$151</f>
        <v>0</v>
      </c>
      <c r="E113" s="26">
        <v>0</v>
      </c>
      <c r="F113" s="38">
        <f>Tabella119[[#This Row],[Percentage of Supplier''s Facilities - Raw]]/$E$151</f>
        <v>0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Tabella119[[#This Row],[Percentage of Suppliers - Raw]]/$C$151</f>
        <v>0</v>
      </c>
      <c r="E114" s="26">
        <v>0</v>
      </c>
      <c r="F114" s="38">
        <f>Tabella119[[#This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Tabella119[[#This Row],[Percentage of Suppliers - Raw]]/$C$151</f>
        <v>0</v>
      </c>
      <c r="E115" s="26">
        <v>0</v>
      </c>
      <c r="F115" s="38">
        <f>Tabella119[[#This Row],[Percentage of Supplier''s Facilities - Raw]]/$E$151</f>
        <v>0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Tabella119[[#This Row],[Percentage of Suppliers - Raw]]/$C$151</f>
        <v>0</v>
      </c>
      <c r="E116" s="26">
        <v>0</v>
      </c>
      <c r="F116" s="38">
        <f>Tabella119[[#This Row],[Percentage of Supplier''s Facilities - Raw]]/$E$151</f>
        <v>0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Tabella119[[#This Row],[Percentage of Suppliers - Raw]]/$C$151</f>
        <v>0</v>
      </c>
      <c r="E117" s="26">
        <v>0</v>
      </c>
      <c r="F117" s="38">
        <f>Tabella119[[#This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Tabella119[[#This Row],[Percentage of Suppliers - Raw]]/$C$151</f>
        <v>0</v>
      </c>
      <c r="E118" s="26">
        <v>7.1999999999999998E-3</v>
      </c>
      <c r="F118" s="38">
        <f>Tabella119[[#This Row],[Percentage of Supplier''s Facilities - Raw]]/$E$151</f>
        <v>7.2180451127819524E-3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Tabella119[[#This Row],[Percentage of Suppliers - Raw]]/$C$151</f>
        <v>0</v>
      </c>
      <c r="E119" s="26">
        <v>0</v>
      </c>
      <c r="F119" s="38">
        <f>Tabella119[[#This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Tabella119[[#This Row],[Percentage of Suppliers - Raw]]/$C$151</f>
        <v>0</v>
      </c>
      <c r="E120" s="26">
        <v>0</v>
      </c>
      <c r="F120" s="38">
        <f>Tabella119[[#This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Tabella119[[#This Row],[Percentage of Suppliers - Raw]]/$C$151</f>
        <v>0</v>
      </c>
      <c r="E121" s="26">
        <v>0</v>
      </c>
      <c r="F121" s="38">
        <f>Tabella119[[#This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2.52E-2</v>
      </c>
      <c r="D122" s="36">
        <f>Tabella119[[#This Row],[Percentage of Suppliers - Raw]]/$C$151</f>
        <v>2.5418599959653013E-2</v>
      </c>
      <c r="E122" s="26">
        <v>1.1999999999999999E-3</v>
      </c>
      <c r="F122" s="38">
        <f>Tabella119[[#This Row],[Percentage of Supplier''s Facilities - Raw]]/$E$151</f>
        <v>1.203007518796992E-3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Tabella119[[#This Row],[Percentage of Suppliers - Raw]]/$C$151</f>
        <v>0</v>
      </c>
      <c r="E123" s="26">
        <v>5.9999999999999995E-4</v>
      </c>
      <c r="F123" s="38">
        <f>Tabella119[[#This Row],[Percentage of Supplier''s Facilities - Raw]]/$E$151</f>
        <v>6.0150375939849599E-4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Tabella119[[#This Row],[Percentage of Suppliers - Raw]]/$C$151</f>
        <v>0</v>
      </c>
      <c r="E124" s="26">
        <v>0</v>
      </c>
      <c r="F124" s="38">
        <f>Tabella119[[#This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Tabella119[[#This Row],[Percentage of Suppliers - Raw]]/$C$151</f>
        <v>0</v>
      </c>
      <c r="E125" s="26">
        <v>5.9999999999999995E-4</v>
      </c>
      <c r="F125" s="38">
        <f>Tabella119[[#This Row],[Percentage of Supplier''s Facilities - Raw]]/$E$151</f>
        <v>6.0150375939849599E-4</v>
      </c>
    </row>
    <row r="126" spans="1:6" ht="19" x14ac:dyDescent="0.25">
      <c r="A126" s="31" t="s">
        <v>139</v>
      </c>
      <c r="B126" s="151">
        <v>3.57</v>
      </c>
      <c r="C126" s="22">
        <v>2.52E-2</v>
      </c>
      <c r="D126" s="36">
        <f>Tabella119[[#This Row],[Percentage of Suppliers - Raw]]/$C$151</f>
        <v>2.5418599959653013E-2</v>
      </c>
      <c r="E126" s="26">
        <v>8.8999999999999999E-3</v>
      </c>
      <c r="F126" s="38">
        <f>Tabella119[[#This Row],[Percentage of Supplier''s Facilities - Raw]]/$E$151</f>
        <v>8.9223057644110242E-3</v>
      </c>
    </row>
    <row r="127" spans="1:6" ht="19" x14ac:dyDescent="0.25">
      <c r="A127" s="31" t="s">
        <v>140</v>
      </c>
      <c r="B127" s="152">
        <v>3.7</v>
      </c>
      <c r="C127" s="22">
        <v>3.3599999999999998E-2</v>
      </c>
      <c r="D127" s="36">
        <f>Tabella119[[#This Row],[Percentage of Suppliers - Raw]]/$C$151</f>
        <v>3.3891466612870687E-2</v>
      </c>
      <c r="E127" s="26">
        <v>1.67E-2</v>
      </c>
      <c r="F127" s="38">
        <f>Tabella119[[#This Row],[Percentage of Supplier''s Facilities - Raw]]/$E$151</f>
        <v>1.6741854636591474E-2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Tabella119[[#This Row],[Percentage of Suppliers - Raw]]/$C$151</f>
        <v>0</v>
      </c>
      <c r="E128" s="26">
        <v>0</v>
      </c>
      <c r="F128" s="38">
        <f>Tabella119[[#This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Tabella119[[#This Row],[Percentage of Suppliers - Raw]]/$C$151</f>
        <v>0</v>
      </c>
      <c r="E129" s="26">
        <v>0</v>
      </c>
      <c r="F129" s="38">
        <f>Tabella119[[#This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1.6799999999999999E-2</v>
      </c>
      <c r="D130" s="36">
        <f>Tabella119[[#This Row],[Percentage of Suppliers - Raw]]/$C$151</f>
        <v>1.6945733306435343E-2</v>
      </c>
      <c r="E130" s="26">
        <v>0</v>
      </c>
      <c r="F130" s="38">
        <f>Tabella119[[#This Row],[Percentage of Supplier''s Facilities - Raw]]/$E$151</f>
        <v>0</v>
      </c>
    </row>
    <row r="131" spans="1:6" ht="19" x14ac:dyDescent="0.25">
      <c r="A131" s="31" t="s">
        <v>144</v>
      </c>
      <c r="B131" s="154">
        <v>2.78</v>
      </c>
      <c r="C131" s="22">
        <v>0</v>
      </c>
      <c r="D131" s="36">
        <f>Tabella119[[#This Row],[Percentage of Suppliers - Raw]]/$C$151</f>
        <v>0</v>
      </c>
      <c r="E131" s="26">
        <v>0</v>
      </c>
      <c r="F131" s="38">
        <f>Tabella119[[#This Row],[Percentage of Supplier''s Facilities - Raw]]/$E$151</f>
        <v>0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Tabella119[[#This Row],[Percentage of Suppliers - Raw]]/$C$151</f>
        <v>0</v>
      </c>
      <c r="E132" s="26">
        <v>0</v>
      </c>
      <c r="F132" s="38">
        <f>Tabella119[[#This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Tabella119[[#This Row],[Percentage of Suppliers - Raw]]/$C$151</f>
        <v>0</v>
      </c>
      <c r="E133" s="26">
        <v>0</v>
      </c>
      <c r="F133" s="38">
        <f>Tabella119[[#This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Tabella119[[#This Row],[Percentage of Suppliers - Raw]]/$C$151</f>
        <v>0</v>
      </c>
      <c r="E134" s="26">
        <v>6.0000000000000001E-3</v>
      </c>
      <c r="F134" s="38">
        <f>Tabella119[[#This Row],[Percentage of Supplier''s Facilities - Raw]]/$E$151</f>
        <v>6.015037593984961E-3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Tabella119[[#This Row],[Percentage of Suppliers - Raw]]/$C$151</f>
        <v>0</v>
      </c>
      <c r="E135" s="26">
        <v>0</v>
      </c>
      <c r="F135" s="38">
        <f>Tabella119[[#This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Tabella119[[#This Row],[Percentage of Suppliers - Raw]]/$C$151</f>
        <v>0</v>
      </c>
      <c r="E136" s="26">
        <v>0</v>
      </c>
      <c r="F136" s="38">
        <f>Tabella119[[#This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Tabella119[[#This Row],[Percentage of Suppliers - Raw]]/$C$151</f>
        <v>0</v>
      </c>
      <c r="E137" s="26">
        <v>0</v>
      </c>
      <c r="F137" s="38">
        <f>Tabella119[[#This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Tabella119[[#This Row],[Percentage of Suppliers - Raw]]/$C$151</f>
        <v>0</v>
      </c>
      <c r="E138" s="26">
        <v>0</v>
      </c>
      <c r="F138" s="38">
        <f>Tabella119[[#This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Tabella119[[#This Row],[Percentage of Suppliers - Raw]]/$C$151</f>
        <v>0</v>
      </c>
      <c r="E139" s="26">
        <v>5.9999999999999995E-4</v>
      </c>
      <c r="F139" s="38">
        <f>Tabella119[[#This Row],[Percentage of Supplier''s Facilities - Raw]]/$E$151</f>
        <v>6.0150375939849599E-4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Tabella119[[#This Row],[Percentage of Suppliers - Raw]]/$C$151</f>
        <v>0</v>
      </c>
      <c r="E140" s="26">
        <v>0</v>
      </c>
      <c r="F140" s="38">
        <f>Tabella119[[#This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Tabella119[[#This Row],[Percentage of Suppliers - Raw]]/$C$151</f>
        <v>0</v>
      </c>
      <c r="E141" s="26">
        <v>0</v>
      </c>
      <c r="F141" s="38">
        <f>Tabella119[[#This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Tabella119[[#This Row],[Percentage of Suppliers - Raw]]/$C$151</f>
        <v>0</v>
      </c>
      <c r="E142" s="26">
        <v>4.7999999999999996E-3</v>
      </c>
      <c r="F142" s="38">
        <f>Tabella119[[#This Row],[Percentage of Supplier''s Facilities - Raw]]/$E$151</f>
        <v>4.812030075187968E-3</v>
      </c>
    </row>
    <row r="143" spans="1:6" ht="19" x14ac:dyDescent="0.25">
      <c r="A143" s="31" t="s">
        <v>156</v>
      </c>
      <c r="B143" s="128">
        <v>3.32</v>
      </c>
      <c r="C143" s="22">
        <v>1.6799999999999999E-2</v>
      </c>
      <c r="D143" s="36">
        <f>Tabella119[[#This Row],[Percentage of Suppliers - Raw]]/$C$151</f>
        <v>1.6945733306435343E-2</v>
      </c>
      <c r="E143" s="26">
        <v>3.5200000000000002E-2</v>
      </c>
      <c r="F143" s="38">
        <f>Tabella119[[#This Row],[Percentage of Supplier''s Facilities - Raw]]/$E$151</f>
        <v>3.5288220551378438E-2</v>
      </c>
    </row>
    <row r="144" spans="1:6" ht="19" x14ac:dyDescent="0.25">
      <c r="A144" s="31" t="s">
        <v>157</v>
      </c>
      <c r="B144" s="165">
        <v>4.1900000000000004</v>
      </c>
      <c r="C144" s="22">
        <v>0.47899999999999998</v>
      </c>
      <c r="D144" s="36">
        <f>Tabella119[[#This Row],[Percentage of Suppliers - Raw]]/$C$151</f>
        <v>0.48315513415372197</v>
      </c>
      <c r="E144" s="26">
        <v>0.39329999999999998</v>
      </c>
      <c r="F144" s="38">
        <f>Tabella119[[#This Row],[Percentage of Supplier''s Facilities - Raw]]/$E$151</f>
        <v>0.39428571428571418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Tabella119[[#This Row],[Percentage of Suppliers - Raw]]/$C$151</f>
        <v>0</v>
      </c>
      <c r="E145" s="26">
        <v>0</v>
      </c>
      <c r="F145" s="38">
        <f>Tabella119[[#This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Tabella119[[#This Row],[Percentage of Suppliers - Raw]]/$C$151</f>
        <v>0</v>
      </c>
      <c r="E146" s="26">
        <v>0</v>
      </c>
      <c r="F146" s="38">
        <f>Tabella119[[#This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8.3999999999999995E-3</v>
      </c>
      <c r="D147" s="36">
        <f>Tabella119[[#This Row],[Percentage of Suppliers - Raw]]/$C$151</f>
        <v>8.4728666532176717E-3</v>
      </c>
      <c r="E147" s="26">
        <v>1.8E-3</v>
      </c>
      <c r="F147" s="38">
        <f>Tabella119[[#This Row],[Percentage of Supplier''s Facilities - Raw]]/$E$151</f>
        <v>1.8045112781954881E-3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Tabella119[[#This Row],[Percentage of Suppliers - Raw]]/$C$151</f>
        <v>0</v>
      </c>
      <c r="E148" s="26">
        <v>0</v>
      </c>
      <c r="F148" s="38">
        <f>Tabella119[[#This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Tabella119[[#This Row],[Percentage of Suppliers - Raw]]/$C$151</f>
        <v>0</v>
      </c>
      <c r="E149" s="26">
        <v>0</v>
      </c>
      <c r="F149" s="38">
        <f>Tabella119[[#This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Tabella119[[#This Row],[Percentage of Suppliers - Raw]]/$C$151</f>
        <v>0</v>
      </c>
      <c r="E150" s="26">
        <v>0</v>
      </c>
      <c r="F150" s="38">
        <f>Tabella119[[#This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0.99140000000000006</v>
      </c>
      <c r="D151" s="39">
        <f>Tabella119[[#This Row],[Percentage of Suppliers - Raw]]/$C$151</f>
        <v>1</v>
      </c>
      <c r="E151" s="25">
        <f>SUM(E4:E150)</f>
        <v>0.99750000000000028</v>
      </c>
      <c r="F151" s="39">
        <f>SUM(F4:F150)</f>
        <v>0.99999999999999956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566E-19B7-3D40-B7FC-329EC7EBC758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184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Tabella120[[#This Row],[Percentage of Suppliers - Raw]]/$C$151</f>
        <v>0</v>
      </c>
      <c r="E4" s="26">
        <v>0</v>
      </c>
      <c r="F4" s="38">
        <f>Tabella120[[#This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Tabella120[[#This Row],[Percentage of Suppliers - Raw]]/$C$151</f>
        <v>0</v>
      </c>
      <c r="E5" s="26">
        <v>0</v>
      </c>
      <c r="F5" s="38">
        <f>Tabella120[[#This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Tabella120[[#This Row],[Percentage of Suppliers - Raw]]/$C$151</f>
        <v>0</v>
      </c>
      <c r="E6" s="26">
        <v>0</v>
      </c>
      <c r="F6" s="38">
        <f>Tabella120[[#This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Tabella120[[#This Row],[Percentage of Suppliers - Raw]]/$C$151</f>
        <v>0</v>
      </c>
      <c r="E7" s="26">
        <v>6.4999999999999997E-3</v>
      </c>
      <c r="F7" s="38">
        <f>Tabella120[[#This Row],[Percentage of Supplier''s Facilities - Raw]]/$E$151</f>
        <v>7.0270270270270264E-3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Tabella120[[#This Row],[Percentage of Suppliers - Raw]]/$C$151</f>
        <v>0</v>
      </c>
      <c r="E8" s="26">
        <v>0</v>
      </c>
      <c r="F8" s="38">
        <f>Tabella120[[#This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0.42526854219948851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0.19102702702702701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Tabella120[[#This Row],[Percentage of Suppliers - Raw]]/$C$151</f>
        <v>0</v>
      </c>
      <c r="E9" s="26">
        <v>1.18E-2</v>
      </c>
      <c r="F9" s="38">
        <f>Tabella120[[#This Row],[Percentage of Supplier''s Facilities - Raw]]/$E$151</f>
        <v>1.2756756756756756E-2</v>
      </c>
      <c r="H9" s="20" t="s">
        <v>20</v>
      </c>
      <c r="I9" s="21"/>
      <c r="J9" s="21"/>
      <c r="K9" s="175">
        <f>SUMPRODUCT(B4:B150,D4:D150)</f>
        <v>3.7931161125319699</v>
      </c>
      <c r="M9" s="20" t="s">
        <v>21</v>
      </c>
      <c r="N9" s="21"/>
      <c r="O9" s="21"/>
      <c r="P9" s="175">
        <f>SUMPRODUCT(B4:B150,F4:F150)</f>
        <v>4.0044572972972974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Tabella120[[#This Row],[Percentage of Suppliers - Raw]]/$C$151</f>
        <v>0</v>
      </c>
      <c r="E10" s="26">
        <v>7.7999999999999996E-3</v>
      </c>
      <c r="F10" s="38">
        <f>Tabella120[[#This Row],[Percentage of Supplier''s Facilities - Raw]]/$E$151</f>
        <v>8.432432432432432E-3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Tabella120[[#This Row],[Percentage of Suppliers - Raw]]/$C$151</f>
        <v>0</v>
      </c>
      <c r="E11" s="26">
        <v>0</v>
      </c>
      <c r="F11" s="38">
        <f>Tabella120[[#This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Tabella120[[#This Row],[Percentage of Suppliers - Raw]]/$C$151</f>
        <v>0</v>
      </c>
      <c r="E12" s="26">
        <v>0</v>
      </c>
      <c r="F12" s="38">
        <f>Tabella120[[#This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Tabella120[[#This Row],[Percentage of Suppliers - Raw]]/$C$151</f>
        <v>0</v>
      </c>
      <c r="E13" s="26">
        <v>0</v>
      </c>
      <c r="F13" s="38">
        <f>Tabella120[[#This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Tabella120[[#This Row],[Percentage of Suppliers - Raw]]/$C$151</f>
        <v>0</v>
      </c>
      <c r="E14" s="26">
        <v>0</v>
      </c>
      <c r="F14" s="38">
        <f>Tabella120[[#This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Tabella120[[#This Row],[Percentage of Suppliers - Raw]]/$C$151</f>
        <v>0</v>
      </c>
      <c r="E15" s="26">
        <v>1.18E-2</v>
      </c>
      <c r="F15" s="38">
        <f>Tabella120[[#This Row],[Percentage of Supplier''s Facilities - Raw]]/$E$151</f>
        <v>1.2756756756756756E-2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Tabella120[[#This Row],[Percentage of Suppliers - Raw]]/$C$151</f>
        <v>0</v>
      </c>
      <c r="E16" s="26">
        <v>0</v>
      </c>
      <c r="F16" s="38">
        <f>Tabella120[[#This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Tabella120[[#This Row],[Percentage of Suppliers - Raw]]/$C$151</f>
        <v>0</v>
      </c>
      <c r="E17" s="26">
        <v>0</v>
      </c>
      <c r="F17" s="38">
        <f>Tabella120[[#This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Tabella120[[#This Row],[Percentage of Suppliers - Raw]]/$C$151</f>
        <v>0</v>
      </c>
      <c r="E18" s="26">
        <v>0</v>
      </c>
      <c r="F18" s="38">
        <f>Tabella120[[#This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Tabella120[[#This Row],[Percentage of Suppliers - Raw]]/$C$151</f>
        <v>0</v>
      </c>
      <c r="E19" s="26">
        <v>0</v>
      </c>
      <c r="F19" s="38">
        <f>Tabella120[[#This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Tabella120[[#This Row],[Percentage of Suppliers - Raw]]/$C$151</f>
        <v>0</v>
      </c>
      <c r="E20" s="26">
        <v>0</v>
      </c>
      <c r="F20" s="38">
        <f>Tabella120[[#This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Tabella120[[#This Row],[Percentage of Suppliers - Raw]]/$C$151</f>
        <v>0</v>
      </c>
      <c r="E21" s="26">
        <v>2.0500000000000001E-2</v>
      </c>
      <c r="F21" s="38">
        <f>Tabella120[[#This Row],[Percentage of Supplier''s Facilities - Raw]]/$E$151</f>
        <v>2.2162162162162161E-2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Tabella120[[#This Row],[Percentage of Suppliers - Raw]]/$C$151</f>
        <v>0</v>
      </c>
      <c r="E22" s="26">
        <v>0</v>
      </c>
      <c r="F22" s="38">
        <f>Tabella120[[#This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Tabella120[[#This Row],[Percentage of Suppliers - Raw]]/$C$151</f>
        <v>0</v>
      </c>
      <c r="E23" s="26">
        <v>0</v>
      </c>
      <c r="F23" s="38">
        <f>Tabella120[[#This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Tabella120[[#This Row],[Percentage of Suppliers - Raw]]/$C$151</f>
        <v>0</v>
      </c>
      <c r="E24" s="26">
        <v>0</v>
      </c>
      <c r="F24" s="38">
        <f>Tabella120[[#This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Tabella120[[#This Row],[Percentage of Suppliers - Raw]]/$C$151</f>
        <v>0</v>
      </c>
      <c r="E25" s="26">
        <v>0</v>
      </c>
      <c r="F25" s="38">
        <f>Tabella120[[#This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Tabella120[[#This Row],[Percentage of Suppliers - Raw]]/$C$151</f>
        <v>0</v>
      </c>
      <c r="E26" s="26">
        <v>0</v>
      </c>
      <c r="F26" s="38">
        <f>Tabella120[[#This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8.9899999999999994E-2</v>
      </c>
      <c r="D27" s="36">
        <f>Tabella120[[#This Row],[Percentage of Suppliers - Raw]]/$C$151</f>
        <v>9.1969309462915594E-2</v>
      </c>
      <c r="E27" s="26">
        <v>2.1299999999999999E-2</v>
      </c>
      <c r="F27" s="38">
        <f>Tabella120[[#This Row],[Percentage of Supplier''s Facilities - Raw]]/$E$151</f>
        <v>2.3027027027027025E-2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Tabella120[[#This Row],[Percentage of Suppliers - Raw]]/$C$151</f>
        <v>0</v>
      </c>
      <c r="E28" s="26">
        <v>0</v>
      </c>
      <c r="F28" s="38">
        <f>Tabella120[[#This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Tabella120[[#This Row],[Percentage of Suppliers - Raw]]/$C$151</f>
        <v>0</v>
      </c>
      <c r="E29" s="26">
        <v>0</v>
      </c>
      <c r="F29" s="38">
        <f>Tabella120[[#This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Tabella120[[#This Row],[Percentage of Suppliers - Raw]]/$C$151</f>
        <v>0</v>
      </c>
      <c r="E30" s="26">
        <v>5.4999999999999997E-3</v>
      </c>
      <c r="F30" s="38">
        <f>Tabella120[[#This Row],[Percentage of Supplier''s Facilities - Raw]]/$E$151</f>
        <v>5.9459459459459451E-3</v>
      </c>
    </row>
    <row r="31" spans="1:7" ht="19" x14ac:dyDescent="0.25">
      <c r="A31" s="31" t="s">
        <v>43</v>
      </c>
      <c r="B31" s="50">
        <v>4.26</v>
      </c>
      <c r="C31" s="22">
        <f xml:space="preserve"> 5.62% + 1.12%</f>
        <v>6.7400000000000002E-2</v>
      </c>
      <c r="D31" s="36">
        <f>Tabella120[[#This Row],[Percentage of Suppliers - Raw]]/$C$151</f>
        <v>6.8951406649616367E-2</v>
      </c>
      <c r="E31" s="26">
        <v>7.3300000000000004E-2</v>
      </c>
      <c r="F31" s="38">
        <f>Tabella120[[#This Row],[Percentage of Supplier''s Facilities - Raw]]/$E$151</f>
        <v>7.924324324324325E-2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Tabella120[[#This Row],[Percentage of Suppliers - Raw]]/$C$151</f>
        <v>0</v>
      </c>
      <c r="E32" s="26">
        <v>4.1999999999999997E-3</v>
      </c>
      <c r="F32" s="38">
        <f>Tabella120[[#This Row],[Percentage of Supplier''s Facilities - Raw]]/$E$151</f>
        <v>4.5405405405405403E-3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Tabella120[[#This Row],[Percentage of Suppliers - Raw]]/$C$151</f>
        <v>0</v>
      </c>
      <c r="E33" s="26">
        <v>0</v>
      </c>
      <c r="F33" s="38">
        <f>Tabella120[[#This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Tabella120[[#This Row],[Percentage of Suppliers - Raw]]/$C$151</f>
        <v>0</v>
      </c>
      <c r="E34" s="26">
        <v>0</v>
      </c>
      <c r="F34" s="38">
        <f>Tabella120[[#This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Tabella120[[#This Row],[Percentage of Suppliers - Raw]]/$C$151</f>
        <v>0</v>
      </c>
      <c r="E35" s="26">
        <v>0</v>
      </c>
      <c r="F35" s="38">
        <f>Tabella120[[#This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Tabella120[[#This Row],[Percentage of Suppliers - Raw]]/$C$151</f>
        <v>0</v>
      </c>
      <c r="E36" s="26">
        <v>0</v>
      </c>
      <c r="F36" s="38">
        <f>Tabella120[[#This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Tabella120[[#This Row],[Percentage of Suppliers - Raw]]/$C$151</f>
        <v>0</v>
      </c>
      <c r="E37" s="26">
        <v>0</v>
      </c>
      <c r="F37" s="38">
        <f>Tabella120[[#This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Tabella120[[#This Row],[Percentage of Suppliers - Raw]]/$C$151</f>
        <v>0</v>
      </c>
      <c r="E38" s="26">
        <v>9.2999999999999992E-3</v>
      </c>
      <c r="F38" s="38">
        <f>Tabella120[[#This Row],[Percentage of Supplier''s Facilities - Raw]]/$E$151</f>
        <v>1.0054054054054053E-2</v>
      </c>
    </row>
    <row r="39" spans="1:6" ht="19" x14ac:dyDescent="0.25">
      <c r="A39" s="31" t="s">
        <v>52</v>
      </c>
      <c r="B39" s="75">
        <v>3.2</v>
      </c>
      <c r="C39" s="22">
        <v>0.1124</v>
      </c>
      <c r="D39" s="36">
        <f>Tabella120[[#This Row],[Percentage of Suppliers - Raw]]/$C$151</f>
        <v>0.11498721227621483</v>
      </c>
      <c r="E39" s="26">
        <v>6.7999999999999996E-3</v>
      </c>
      <c r="F39" s="38">
        <f>Tabella120[[#This Row],[Percentage of Supplier''s Facilities - Raw]]/$E$151</f>
        <v>7.3513513513513507E-3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Tabella120[[#This Row],[Percentage of Suppliers - Raw]]/$C$151</f>
        <v>0</v>
      </c>
      <c r="E40" s="26">
        <v>0</v>
      </c>
      <c r="F40" s="38">
        <f>Tabella120[[#This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Tabella120[[#This Row],[Percentage of Suppliers - Raw]]/$C$151</f>
        <v>0</v>
      </c>
      <c r="E41" s="26">
        <v>0</v>
      </c>
      <c r="F41" s="38">
        <f>Tabella120[[#This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Tabella120[[#This Row],[Percentage of Suppliers - Raw]]/$C$151</f>
        <v>0</v>
      </c>
      <c r="E42" s="26">
        <v>0</v>
      </c>
      <c r="F42" s="38">
        <f>Tabella120[[#This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Tabella120[[#This Row],[Percentage of Suppliers - Raw]]/$C$151</f>
        <v>0</v>
      </c>
      <c r="E43" s="26">
        <v>2.3E-3</v>
      </c>
      <c r="F43" s="38">
        <f>Tabella120[[#This Row],[Percentage of Supplier''s Facilities - Raw]]/$E$151</f>
        <v>2.4864864864864865E-3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Tabella120[[#This Row],[Percentage of Suppliers - Raw]]/$C$151</f>
        <v>0</v>
      </c>
      <c r="E44" s="26">
        <v>0</v>
      </c>
      <c r="F44" s="38">
        <f>Tabella120[[#This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Tabella120[[#This Row],[Percentage of Suppliers - Raw]]/$C$151</f>
        <v>0</v>
      </c>
      <c r="E45" s="26">
        <v>0</v>
      </c>
      <c r="F45" s="38">
        <f>Tabella120[[#This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Tabella120[[#This Row],[Percentage of Suppliers - Raw]]/$C$151</f>
        <v>0</v>
      </c>
      <c r="E46" s="26">
        <v>0</v>
      </c>
      <c r="F46" s="38">
        <f>Tabella120[[#This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Tabella120[[#This Row],[Percentage of Suppliers - Raw]]/$C$151</f>
        <v>0</v>
      </c>
      <c r="E47" s="26">
        <v>0</v>
      </c>
      <c r="F47" s="38">
        <f>Tabella120[[#This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Tabella120[[#This Row],[Percentage of Suppliers - Raw]]/$C$151</f>
        <v>0</v>
      </c>
      <c r="E48" s="26">
        <v>3.8E-3</v>
      </c>
      <c r="F48" s="38">
        <f>Tabella120[[#This Row],[Percentage of Supplier''s Facilities - Raw]]/$E$151</f>
        <v>4.1081081081081076E-3</v>
      </c>
    </row>
    <row r="49" spans="1:6" ht="19" x14ac:dyDescent="0.25">
      <c r="A49" s="31" t="s">
        <v>62</v>
      </c>
      <c r="B49" s="84">
        <v>3.65</v>
      </c>
      <c r="C49" s="22">
        <v>5.62E-2</v>
      </c>
      <c r="D49" s="36">
        <f>Tabella120[[#This Row],[Percentage of Suppliers - Raw]]/$C$151</f>
        <v>5.7493606138107417E-2</v>
      </c>
      <c r="E49" s="26">
        <v>7.2400000000000006E-2</v>
      </c>
      <c r="F49" s="38">
        <f>Tabella120[[#This Row],[Percentage of Supplier''s Facilities - Raw]]/$E$151</f>
        <v>7.8270270270270267E-2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Tabella120[[#This Row],[Percentage of Suppliers - Raw]]/$C$151</f>
        <v>0</v>
      </c>
      <c r="E50" s="26">
        <v>0</v>
      </c>
      <c r="F50" s="38">
        <f>Tabella120[[#This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Tabella120[[#This Row],[Percentage of Suppliers - Raw]]/$C$151</f>
        <v>0</v>
      </c>
      <c r="E51" s="26">
        <v>0</v>
      </c>
      <c r="F51" s="38">
        <f>Tabella120[[#This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Tabella120[[#This Row],[Percentage of Suppliers - Raw]]/$C$151</f>
        <v>0</v>
      </c>
      <c r="E52" s="26">
        <v>2.3E-3</v>
      </c>
      <c r="F52" s="38">
        <f>Tabella120[[#This Row],[Percentage of Supplier''s Facilities - Raw]]/$E$151</f>
        <v>2.4864864864864865E-3</v>
      </c>
    </row>
    <row r="53" spans="1:6" ht="19" x14ac:dyDescent="0.25">
      <c r="A53" s="31" t="s">
        <v>66</v>
      </c>
      <c r="B53" s="88">
        <v>3.42</v>
      </c>
      <c r="C53" s="22">
        <v>2.2499999999999999E-2</v>
      </c>
      <c r="D53" s="36">
        <f>Tabella120[[#This Row],[Percentage of Suppliers - Raw]]/$C$151</f>
        <v>2.301790281329923E-2</v>
      </c>
      <c r="E53" s="26">
        <v>6.1400000000000003E-2</v>
      </c>
      <c r="F53" s="38">
        <f>Tabella120[[#This Row],[Percentage of Supplier''s Facilities - Raw]]/$E$151</f>
        <v>6.6378378378378372E-2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Tabella120[[#This Row],[Percentage of Suppliers - Raw]]/$C$151</f>
        <v>0</v>
      </c>
      <c r="E54" s="26">
        <v>0</v>
      </c>
      <c r="F54" s="38">
        <f>Tabella120[[#This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Tabella120[[#This Row],[Percentage of Suppliers - Raw]]/$C$151</f>
        <v>0</v>
      </c>
      <c r="E55" s="26">
        <v>3.0000000000000001E-3</v>
      </c>
      <c r="F55" s="38">
        <f>Tabella120[[#This Row],[Percentage of Supplier''s Facilities - Raw]]/$E$151</f>
        <v>3.2432432432432431E-3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Tabella120[[#This Row],[Percentage of Suppliers - Raw]]/$C$151</f>
        <v>0</v>
      </c>
      <c r="E56" s="26">
        <v>2.5000000000000001E-3</v>
      </c>
      <c r="F56" s="38">
        <f>Tabella120[[#This Row],[Percentage of Supplier''s Facilities - Raw]]/$E$151</f>
        <v>2.7027027027027024E-3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Tabella120[[#This Row],[Percentage of Suppliers - Raw]]/$C$151</f>
        <v>0</v>
      </c>
      <c r="E57" s="26">
        <v>0</v>
      </c>
      <c r="F57" s="38">
        <f>Tabella120[[#This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Tabella120[[#This Row],[Percentage of Suppliers - Raw]]/$C$151</f>
        <v>0</v>
      </c>
      <c r="E58" s="26">
        <v>0</v>
      </c>
      <c r="F58" s="38">
        <f>Tabella120[[#This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Tabella120[[#This Row],[Percentage of Suppliers - Raw]]/$C$151</f>
        <v>0</v>
      </c>
      <c r="E59" s="26">
        <v>0</v>
      </c>
      <c r="F59" s="38">
        <f>Tabella120[[#This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Tabella120[[#This Row],[Percentage of Suppliers - Raw]]/$C$151</f>
        <v>0</v>
      </c>
      <c r="E60" s="26">
        <v>0</v>
      </c>
      <c r="F60" s="38">
        <f>Tabella120[[#This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Tabella120[[#This Row],[Percentage of Suppliers - Raw]]/$C$151</f>
        <v>0</v>
      </c>
      <c r="E61" s="26">
        <v>0</v>
      </c>
      <c r="F61" s="38">
        <f>Tabella120[[#This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Tabella120[[#This Row],[Percentage of Suppliers - Raw]]/$C$151</f>
        <v>0</v>
      </c>
      <c r="E62" s="26">
        <v>3.0000000000000001E-3</v>
      </c>
      <c r="F62" s="38">
        <f>Tabella120[[#This Row],[Percentage of Supplier''s Facilities - Raw]]/$E$151</f>
        <v>3.2432432432432431E-3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Tabella120[[#This Row],[Percentage of Suppliers - Raw]]/$C$151</f>
        <v>0</v>
      </c>
      <c r="E63" s="26">
        <v>0</v>
      </c>
      <c r="F63" s="38">
        <f>Tabella120[[#This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1.12E-2</v>
      </c>
      <c r="D64" s="36">
        <f>Tabella120[[#This Row],[Percentage of Suppliers - Raw]]/$C$151</f>
        <v>1.145780051150895E-2</v>
      </c>
      <c r="E64" s="26">
        <v>4.2000000000000003E-2</v>
      </c>
      <c r="F64" s="38">
        <f>Tabella120[[#This Row],[Percentage of Supplier''s Facilities - Raw]]/$E$151</f>
        <v>4.5405405405405407E-2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Tabella120[[#This Row],[Percentage of Suppliers - Raw]]/$C$151</f>
        <v>0</v>
      </c>
      <c r="E65" s="26">
        <v>1.1599999999999999E-2</v>
      </c>
      <c r="F65" s="38">
        <f>Tabella120[[#This Row],[Percentage of Supplier''s Facilities - Raw]]/$E$151</f>
        <v>1.2540540540540539E-2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Tabella120[[#This Row],[Percentage of Suppliers - Raw]]/$C$151</f>
        <v>0</v>
      </c>
      <c r="E66" s="26">
        <v>0</v>
      </c>
      <c r="F66" s="38">
        <f>Tabella120[[#This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Tabella120[[#This Row],[Percentage of Suppliers - Raw]]/$C$151</f>
        <v>0</v>
      </c>
      <c r="E67" s="26">
        <v>0</v>
      </c>
      <c r="F67" s="38">
        <f>Tabella120[[#This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1.12E-2</v>
      </c>
      <c r="D68" s="36">
        <f>Tabella120[[#This Row],[Percentage of Suppliers - Raw]]/$C$151</f>
        <v>1.145780051150895E-2</v>
      </c>
      <c r="E68" s="26">
        <v>4.1999999999999997E-3</v>
      </c>
      <c r="F68" s="38">
        <f>Tabella120[[#This Row],[Percentage of Supplier''s Facilities - Raw]]/$E$151</f>
        <v>4.5405405405405403E-3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Tabella120[[#This Row],[Percentage of Suppliers - Raw]]/$C$151</f>
        <v>0</v>
      </c>
      <c r="E69" s="26">
        <v>3.2000000000000002E-3</v>
      </c>
      <c r="F69" s="38">
        <f>Tabella120[[#This Row],[Percentage of Supplier''s Facilities - Raw]]/$E$151</f>
        <v>3.4594594594594594E-3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Tabella120[[#This Row],[Percentage of Suppliers - Raw]]/$C$151</f>
        <v>0</v>
      </c>
      <c r="E70" s="26">
        <v>2.7E-2</v>
      </c>
      <c r="F70" s="38">
        <f>Tabella120[[#This Row],[Percentage of Supplier''s Facilities - Raw]]/$E$151</f>
        <v>2.9189189189189186E-2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Tabella120[[#This Row],[Percentage of Suppliers - Raw]]/$C$151</f>
        <v>0</v>
      </c>
      <c r="E71" s="26">
        <v>0</v>
      </c>
      <c r="F71" s="38">
        <f>Tabella120[[#This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7.8700000000000006E-2</v>
      </c>
      <c r="D72" s="36">
        <f>Tabella120[[#This Row],[Percentage of Suppliers - Raw]]/$C$151</f>
        <v>8.0511508951406657E-2</v>
      </c>
      <c r="E72" s="26">
        <v>8.0399999999999999E-2</v>
      </c>
      <c r="F72" s="38">
        <f>Tabella120[[#This Row],[Percentage of Supplier''s Facilities - Raw]]/$E$151</f>
        <v>8.6918918918918911E-2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Tabella120[[#This Row],[Percentage of Suppliers - Raw]]/$C$151</f>
        <v>0</v>
      </c>
      <c r="E73" s="26">
        <v>0</v>
      </c>
      <c r="F73" s="38">
        <f>Tabella120[[#This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Tabella120[[#This Row],[Percentage of Suppliers - Raw]]/$C$151</f>
        <v>0</v>
      </c>
      <c r="E74" s="26">
        <v>0</v>
      </c>
      <c r="F74" s="38">
        <f>Tabella120[[#This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Tabella120[[#This Row],[Percentage of Suppliers - Raw]]/$C$151</f>
        <v>0</v>
      </c>
      <c r="E75" s="26">
        <v>0</v>
      </c>
      <c r="F75" s="38">
        <f>Tabella120[[#This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Tabella120[[#This Row],[Percentage of Suppliers - Raw]]/$C$151</f>
        <v>0</v>
      </c>
      <c r="E76" s="26">
        <v>0</v>
      </c>
      <c r="F76" s="38">
        <f>Tabella120[[#This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Tabella120[[#This Row],[Percentage of Suppliers - Raw]]/$C$151</f>
        <v>0</v>
      </c>
      <c r="E77" s="26">
        <v>0</v>
      </c>
      <c r="F77" s="38">
        <f>Tabella120[[#This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Tabella120[[#This Row],[Percentage of Suppliers - Raw]]/$C$151</f>
        <v>0</v>
      </c>
      <c r="E78" s="26">
        <v>0</v>
      </c>
      <c r="F78" s="38">
        <f>Tabella120[[#This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Tabella120[[#This Row],[Percentage of Suppliers - Raw]]/$C$151</f>
        <v>0</v>
      </c>
      <c r="E79" s="26">
        <v>0</v>
      </c>
      <c r="F79" s="38">
        <f>Tabella120[[#This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Tabella120[[#This Row],[Percentage of Suppliers - Raw]]/$C$151</f>
        <v>0</v>
      </c>
      <c r="E80" s="26">
        <v>0</v>
      </c>
      <c r="F80" s="38">
        <f>Tabella120[[#This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Tabella120[[#This Row],[Percentage of Suppliers - Raw]]/$C$151</f>
        <v>0</v>
      </c>
      <c r="E81" s="26">
        <v>0</v>
      </c>
      <c r="F81" s="38">
        <f>Tabella120[[#This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Tabella120[[#This Row],[Percentage of Suppliers - Raw]]/$C$151</f>
        <v>0</v>
      </c>
      <c r="E82" s="26">
        <v>0</v>
      </c>
      <c r="F82" s="38">
        <f>Tabella120[[#This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Tabella120[[#This Row],[Percentage of Suppliers - Raw]]/$C$151</f>
        <v>0</v>
      </c>
      <c r="E83" s="26">
        <v>0</v>
      </c>
      <c r="F83" s="38">
        <f>Tabella120[[#This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Tabella120[[#This Row],[Percentage of Suppliers - Raw]]/$C$151</f>
        <v>0</v>
      </c>
      <c r="E84" s="26">
        <v>0</v>
      </c>
      <c r="F84" s="38">
        <f>Tabella120[[#This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Tabella120[[#This Row],[Percentage of Suppliers - Raw]]/$C$151</f>
        <v>0</v>
      </c>
      <c r="E85" s="26">
        <v>0</v>
      </c>
      <c r="F85" s="38">
        <f>Tabella120[[#This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Tabella120[[#This Row],[Percentage of Suppliers - Raw]]/$C$151</f>
        <v>0</v>
      </c>
      <c r="E86" s="26">
        <v>0</v>
      </c>
      <c r="F86" s="38">
        <f>Tabella120[[#This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Tabella120[[#This Row],[Percentage of Suppliers - Raw]]/$C$151</f>
        <v>0</v>
      </c>
      <c r="E87" s="26">
        <v>1.4999999999999999E-2</v>
      </c>
      <c r="F87" s="38">
        <f>Tabella120[[#This Row],[Percentage of Supplier''s Facilities - Raw]]/$E$151</f>
        <v>1.6216216216216214E-2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Tabella120[[#This Row],[Percentage of Suppliers - Raw]]/$C$151</f>
        <v>0</v>
      </c>
      <c r="E88" s="26">
        <v>0</v>
      </c>
      <c r="F88" s="38">
        <f>Tabella120[[#This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Tabella120[[#This Row],[Percentage of Suppliers - Raw]]/$C$151</f>
        <v>0</v>
      </c>
      <c r="E89" s="26">
        <v>0</v>
      </c>
      <c r="F89" s="38">
        <f>Tabella120[[#This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Tabella120[[#This Row],[Percentage of Suppliers - Raw]]/$C$151</f>
        <v>0</v>
      </c>
      <c r="E90" s="26">
        <v>0</v>
      </c>
      <c r="F90" s="38">
        <f>Tabella120[[#This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Tabella120[[#This Row],[Percentage of Suppliers - Raw]]/$C$151</f>
        <v>0</v>
      </c>
      <c r="E91" s="26">
        <v>1.3299999999999999E-2</v>
      </c>
      <c r="F91" s="38">
        <f>Tabella120[[#This Row],[Percentage of Supplier''s Facilities - Raw]]/$E$151</f>
        <v>1.4378378378378376E-2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Tabella120[[#This Row],[Percentage of Suppliers - Raw]]/$C$151</f>
        <v>0</v>
      </c>
      <c r="E92" s="26">
        <v>0</v>
      </c>
      <c r="F92" s="38">
        <f>Tabella120[[#This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Tabella120[[#This Row],[Percentage of Suppliers - Raw]]/$C$151</f>
        <v>0</v>
      </c>
      <c r="E93" s="26">
        <v>0</v>
      </c>
      <c r="F93" s="38">
        <f>Tabella120[[#This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Tabella120[[#This Row],[Percentage of Suppliers - Raw]]/$C$151</f>
        <v>0</v>
      </c>
      <c r="E94" s="26">
        <v>2.3E-3</v>
      </c>
      <c r="F94" s="38">
        <f>Tabella120[[#This Row],[Percentage of Supplier''s Facilities - Raw]]/$E$151</f>
        <v>2.4864864864864865E-3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Tabella120[[#This Row],[Percentage of Suppliers - Raw]]/$C$151</f>
        <v>0</v>
      </c>
      <c r="E95" s="26">
        <v>0</v>
      </c>
      <c r="F95" s="38">
        <f>Tabella120[[#This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Tabella120[[#This Row],[Percentage of Suppliers - Raw]]/$C$151</f>
        <v>0</v>
      </c>
      <c r="E96" s="26">
        <v>0</v>
      </c>
      <c r="F96" s="38">
        <f>Tabella120[[#This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Tabella120[[#This Row],[Percentage of Suppliers - Raw]]/$C$151</f>
        <v>0</v>
      </c>
      <c r="E97" s="26">
        <v>0</v>
      </c>
      <c r="F97" s="38">
        <f>Tabella120[[#This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0</v>
      </c>
      <c r="D98" s="36">
        <f>Tabella120[[#This Row],[Percentage of Suppliers - Raw]]/$C$151</f>
        <v>0</v>
      </c>
      <c r="E98" s="26">
        <v>2.5100000000000001E-2</v>
      </c>
      <c r="F98" s="38">
        <f>Tabella120[[#This Row],[Percentage of Supplier''s Facilities - Raw]]/$E$151</f>
        <v>2.7135135135135133E-2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Tabella120[[#This Row],[Percentage of Suppliers - Raw]]/$C$151</f>
        <v>0</v>
      </c>
      <c r="E99" s="26">
        <v>3.3999999999999998E-3</v>
      </c>
      <c r="F99" s="38">
        <f>Tabella120[[#This Row],[Percentage of Supplier''s Facilities - Raw]]/$E$151</f>
        <v>3.6756756756756753E-3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Tabella120[[#This Row],[Percentage of Suppliers - Raw]]/$C$151</f>
        <v>0</v>
      </c>
      <c r="E100" s="26">
        <v>0</v>
      </c>
      <c r="F100" s="38">
        <f>Tabella120[[#This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Tabella120[[#This Row],[Percentage of Suppliers - Raw]]/$C$151</f>
        <v>0</v>
      </c>
      <c r="E101" s="26">
        <v>0</v>
      </c>
      <c r="F101" s="38">
        <f>Tabella120[[#This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Tabella120[[#This Row],[Percentage of Suppliers - Raw]]/$C$151</f>
        <v>0</v>
      </c>
      <c r="E102" s="26">
        <v>0</v>
      </c>
      <c r="F102" s="38">
        <f>Tabella120[[#This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Tabella120[[#This Row],[Percentage of Suppliers - Raw]]/$C$151</f>
        <v>0</v>
      </c>
      <c r="E103" s="26">
        <v>0</v>
      </c>
      <c r="F103" s="38">
        <f>Tabella120[[#This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1.12E-2</v>
      </c>
      <c r="D104" s="36">
        <f>Tabella120[[#This Row],[Percentage of Suppliers - Raw]]/$C$151</f>
        <v>1.145780051150895E-2</v>
      </c>
      <c r="E104" s="26">
        <v>7.6E-3</v>
      </c>
      <c r="F104" s="38">
        <f>Tabella120[[#This Row],[Percentage of Supplier''s Facilities - Raw]]/$E$151</f>
        <v>8.2162162162162152E-3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Tabella120[[#This Row],[Percentage of Suppliers - Raw]]/$C$151</f>
        <v>0</v>
      </c>
      <c r="E105" s="26">
        <v>0</v>
      </c>
      <c r="F105" s="38">
        <f>Tabella120[[#This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Tabella120[[#This Row],[Percentage of Suppliers - Raw]]/$C$151</f>
        <v>0</v>
      </c>
      <c r="E106" s="26">
        <v>0</v>
      </c>
      <c r="F106" s="38">
        <f>Tabella120[[#This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Tabella120[[#This Row],[Percentage of Suppliers - Raw]]/$C$151</f>
        <v>0</v>
      </c>
      <c r="E107" s="26">
        <v>0</v>
      </c>
      <c r="F107" s="38">
        <f>Tabella120[[#This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Tabella120[[#This Row],[Percentage of Suppliers - Raw]]/$C$151</f>
        <v>0</v>
      </c>
      <c r="E108" s="26">
        <v>0</v>
      </c>
      <c r="F108" s="38">
        <f>Tabella120[[#This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Tabella120[[#This Row],[Percentage of Suppliers - Raw]]/$C$151</f>
        <v>0</v>
      </c>
      <c r="E109" s="26">
        <v>0</v>
      </c>
      <c r="F109" s="38">
        <f>Tabella120[[#This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Tabella120[[#This Row],[Percentage of Suppliers - Raw]]/$C$151</f>
        <v>0</v>
      </c>
      <c r="E110" s="26">
        <v>2.5000000000000001E-3</v>
      </c>
      <c r="F110" s="38">
        <f>Tabella120[[#This Row],[Percentage of Supplier''s Facilities - Raw]]/$E$151</f>
        <v>2.7027027027027024E-3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Tabella120[[#This Row],[Percentage of Suppliers - Raw]]/$C$151</f>
        <v>0</v>
      </c>
      <c r="E111" s="26">
        <v>8.6999999999999994E-3</v>
      </c>
      <c r="F111" s="38">
        <f>Tabella120[[#This Row],[Percentage of Supplier''s Facilities - Raw]]/$E$151</f>
        <v>9.4054054054054041E-3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Tabella120[[#This Row],[Percentage of Suppliers - Raw]]/$C$151</f>
        <v>0</v>
      </c>
      <c r="E112" s="26">
        <v>1.4999999999999999E-2</v>
      </c>
      <c r="F112" s="38">
        <f>Tabella120[[#This Row],[Percentage of Supplier''s Facilities - Raw]]/$E$151</f>
        <v>1.6216216216216214E-2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Tabella120[[#This Row],[Percentage of Suppliers - Raw]]/$C$151</f>
        <v>0</v>
      </c>
      <c r="E113" s="26">
        <v>4.1999999999999997E-3</v>
      </c>
      <c r="F113" s="38">
        <f>Tabella120[[#This Row],[Percentage of Supplier''s Facilities - Raw]]/$E$151</f>
        <v>4.5405405405405403E-3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Tabella120[[#This Row],[Percentage of Suppliers - Raw]]/$C$151</f>
        <v>0</v>
      </c>
      <c r="E114" s="26">
        <v>0</v>
      </c>
      <c r="F114" s="38">
        <f>Tabella120[[#This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Tabella120[[#This Row],[Percentage of Suppliers - Raw]]/$C$151</f>
        <v>0</v>
      </c>
      <c r="E115" s="26">
        <v>5.4999999999999997E-3</v>
      </c>
      <c r="F115" s="38">
        <f>Tabella120[[#This Row],[Percentage of Supplier''s Facilities - Raw]]/$E$151</f>
        <v>5.9459459459459451E-3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Tabella120[[#This Row],[Percentage of Suppliers - Raw]]/$C$151</f>
        <v>0</v>
      </c>
      <c r="E116" s="26">
        <v>0</v>
      </c>
      <c r="F116" s="38">
        <f>Tabella120[[#This Row],[Percentage of Supplier''s Facilities - Raw]]/$E$151</f>
        <v>0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Tabella120[[#This Row],[Percentage of Suppliers - Raw]]/$C$151</f>
        <v>0</v>
      </c>
      <c r="E117" s="26">
        <v>0</v>
      </c>
      <c r="F117" s="38">
        <f>Tabella120[[#This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Tabella120[[#This Row],[Percentage of Suppliers - Raw]]/$C$151</f>
        <v>0</v>
      </c>
      <c r="E118" s="26">
        <v>3.5999999999999999E-3</v>
      </c>
      <c r="F118" s="38">
        <f>Tabella120[[#This Row],[Percentage of Supplier''s Facilities - Raw]]/$E$151</f>
        <v>3.8918918918918917E-3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Tabella120[[#This Row],[Percentage of Suppliers - Raw]]/$C$151</f>
        <v>0</v>
      </c>
      <c r="E119" s="26">
        <v>0</v>
      </c>
      <c r="F119" s="38">
        <f>Tabella120[[#This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Tabella120[[#This Row],[Percentage of Suppliers - Raw]]/$C$151</f>
        <v>0</v>
      </c>
      <c r="E120" s="26">
        <v>0</v>
      </c>
      <c r="F120" s="38">
        <f>Tabella120[[#This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Tabella120[[#This Row],[Percentage of Suppliers - Raw]]/$C$151</f>
        <v>0</v>
      </c>
      <c r="E121" s="26">
        <v>0</v>
      </c>
      <c r="F121" s="38">
        <f>Tabella120[[#This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Tabella120[[#This Row],[Percentage of Suppliers - Raw]]/$C$151</f>
        <v>0</v>
      </c>
      <c r="E122" s="26">
        <v>7.0000000000000001E-3</v>
      </c>
      <c r="F122" s="38">
        <f>Tabella120[[#This Row],[Percentage of Supplier''s Facilities - Raw]]/$E$151</f>
        <v>7.5675675675675675E-3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Tabella120[[#This Row],[Percentage of Suppliers - Raw]]/$C$151</f>
        <v>0</v>
      </c>
      <c r="E123" s="26">
        <v>3.5999999999999999E-3</v>
      </c>
      <c r="F123" s="38">
        <f>Tabella120[[#This Row],[Percentage of Supplier''s Facilities - Raw]]/$E$151</f>
        <v>3.8918918918918917E-3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Tabella120[[#This Row],[Percentage of Suppliers - Raw]]/$C$151</f>
        <v>0</v>
      </c>
      <c r="E124" s="26">
        <v>0</v>
      </c>
      <c r="F124" s="38">
        <f>Tabella120[[#This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Tabella120[[#This Row],[Percentage of Suppliers - Raw]]/$C$151</f>
        <v>0</v>
      </c>
      <c r="E125" s="26">
        <v>5.7000000000000002E-3</v>
      </c>
      <c r="F125" s="38">
        <f>Tabella120[[#This Row],[Percentage of Supplier''s Facilities - Raw]]/$E$151</f>
        <v>6.1621621621621618E-3</v>
      </c>
    </row>
    <row r="126" spans="1:6" ht="19" x14ac:dyDescent="0.25">
      <c r="A126" s="31" t="s">
        <v>139</v>
      </c>
      <c r="B126" s="151">
        <v>3.57</v>
      </c>
      <c r="C126" s="22">
        <v>1.12E-2</v>
      </c>
      <c r="D126" s="36">
        <f>Tabella120[[#This Row],[Percentage of Suppliers - Raw]]/$C$151</f>
        <v>1.145780051150895E-2</v>
      </c>
      <c r="E126" s="26">
        <v>9.2999999999999992E-3</v>
      </c>
      <c r="F126" s="38">
        <f>Tabella120[[#This Row],[Percentage of Supplier''s Facilities - Raw]]/$E$151</f>
        <v>1.0054054054054053E-2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Tabella120[[#This Row],[Percentage of Suppliers - Raw]]/$C$151</f>
        <v>0</v>
      </c>
      <c r="E127" s="26">
        <v>2.3E-2</v>
      </c>
      <c r="F127" s="38">
        <f>Tabella120[[#This Row],[Percentage of Supplier''s Facilities - Raw]]/$E$151</f>
        <v>2.4864864864864864E-2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Tabella120[[#This Row],[Percentage of Suppliers - Raw]]/$C$151</f>
        <v>0</v>
      </c>
      <c r="E128" s="26">
        <v>0</v>
      </c>
      <c r="F128" s="38">
        <f>Tabella120[[#This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Tabella120[[#This Row],[Percentage of Suppliers - Raw]]/$C$151</f>
        <v>0</v>
      </c>
      <c r="E129" s="26">
        <v>0</v>
      </c>
      <c r="F129" s="38">
        <f>Tabella120[[#This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2.2499999999999999E-2</v>
      </c>
      <c r="D130" s="36">
        <f>Tabella120[[#This Row],[Percentage of Suppliers - Raw]]/$C$151</f>
        <v>2.301790281329923E-2</v>
      </c>
      <c r="E130" s="26">
        <v>7.7999999999999996E-3</v>
      </c>
      <c r="F130" s="38">
        <f>Tabella120[[#This Row],[Percentage of Supplier''s Facilities - Raw]]/$E$151</f>
        <v>8.432432432432432E-3</v>
      </c>
    </row>
    <row r="131" spans="1:6" ht="19" x14ac:dyDescent="0.25">
      <c r="A131" s="31" t="s">
        <v>144</v>
      </c>
      <c r="B131" s="154">
        <v>2.78</v>
      </c>
      <c r="C131" s="22">
        <v>2.2499999999999999E-2</v>
      </c>
      <c r="D131" s="36">
        <f>Tabella120[[#This Row],[Percentage of Suppliers - Raw]]/$C$151</f>
        <v>2.301790281329923E-2</v>
      </c>
      <c r="E131" s="26">
        <v>9.9000000000000008E-3</v>
      </c>
      <c r="F131" s="38">
        <f>Tabella120[[#This Row],[Percentage of Supplier''s Facilities - Raw]]/$E$151</f>
        <v>1.0702702702702703E-2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Tabella120[[#This Row],[Percentage of Suppliers - Raw]]/$C$151</f>
        <v>0</v>
      </c>
      <c r="E132" s="26">
        <v>0</v>
      </c>
      <c r="F132" s="38">
        <f>Tabella120[[#This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Tabella120[[#This Row],[Percentage of Suppliers - Raw]]/$C$151</f>
        <v>0</v>
      </c>
      <c r="E133" s="26">
        <v>0</v>
      </c>
      <c r="F133" s="38">
        <f>Tabella120[[#This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Tabella120[[#This Row],[Percentage of Suppliers - Raw]]/$C$151</f>
        <v>0</v>
      </c>
      <c r="E134" s="26">
        <v>1.1599999999999999E-2</v>
      </c>
      <c r="F134" s="38">
        <f>Tabella120[[#This Row],[Percentage of Supplier''s Facilities - Raw]]/$E$151</f>
        <v>1.2540540540540539E-2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Tabella120[[#This Row],[Percentage of Suppliers - Raw]]/$C$151</f>
        <v>0</v>
      </c>
      <c r="E135" s="26">
        <v>0</v>
      </c>
      <c r="F135" s="38">
        <f>Tabella120[[#This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Tabella120[[#This Row],[Percentage of Suppliers - Raw]]/$C$151</f>
        <v>0</v>
      </c>
      <c r="E136" s="26">
        <v>0</v>
      </c>
      <c r="F136" s="38">
        <f>Tabella120[[#This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Tabella120[[#This Row],[Percentage of Suppliers - Raw]]/$C$151</f>
        <v>0</v>
      </c>
      <c r="E137" s="26">
        <v>0</v>
      </c>
      <c r="F137" s="38">
        <f>Tabella120[[#This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Tabella120[[#This Row],[Percentage of Suppliers - Raw]]/$C$151</f>
        <v>0</v>
      </c>
      <c r="E138" s="26">
        <v>0</v>
      </c>
      <c r="F138" s="38">
        <f>Tabella120[[#This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Tabella120[[#This Row],[Percentage of Suppliers - Raw]]/$C$151</f>
        <v>0</v>
      </c>
      <c r="E139" s="26">
        <v>5.4999999999999997E-3</v>
      </c>
      <c r="F139" s="38">
        <f>Tabella120[[#This Row],[Percentage of Supplier''s Facilities - Raw]]/$E$151</f>
        <v>5.9459459459459451E-3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Tabella120[[#This Row],[Percentage of Suppliers - Raw]]/$C$151</f>
        <v>0</v>
      </c>
      <c r="E140" s="26">
        <v>0</v>
      </c>
      <c r="F140" s="38">
        <f>Tabella120[[#This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Tabella120[[#This Row],[Percentage of Suppliers - Raw]]/$C$151</f>
        <v>0</v>
      </c>
      <c r="E141" s="26">
        <v>4.4000000000000003E-3</v>
      </c>
      <c r="F141" s="38">
        <f>Tabella120[[#This Row],[Percentage of Supplier''s Facilities - Raw]]/$E$151</f>
        <v>4.7567567567567571E-3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Tabella120[[#This Row],[Percentage of Suppliers - Raw]]/$C$151</f>
        <v>0</v>
      </c>
      <c r="E142" s="26">
        <v>3.0000000000000001E-3</v>
      </c>
      <c r="F142" s="38">
        <f>Tabella120[[#This Row],[Percentage of Supplier''s Facilities - Raw]]/$E$151</f>
        <v>3.2432432432432431E-3</v>
      </c>
    </row>
    <row r="143" spans="1:6" ht="19" x14ac:dyDescent="0.25">
      <c r="A143" s="31" t="s">
        <v>156</v>
      </c>
      <c r="B143" s="128">
        <v>3.32</v>
      </c>
      <c r="C143" s="22">
        <v>4.4900000000000002E-2</v>
      </c>
      <c r="D143" s="36">
        <f>Tabella120[[#This Row],[Percentage of Suppliers - Raw]]/$C$151</f>
        <v>4.5933503836317134E-2</v>
      </c>
      <c r="E143" s="26">
        <v>4.1200000000000001E-2</v>
      </c>
      <c r="F143" s="38">
        <f>Tabella120[[#This Row],[Percentage of Supplier''s Facilities - Raw]]/$E$151</f>
        <v>4.4540540540540539E-2</v>
      </c>
    </row>
    <row r="144" spans="1:6" ht="19" x14ac:dyDescent="0.25">
      <c r="A144" s="31" t="s">
        <v>157</v>
      </c>
      <c r="B144" s="165">
        <v>4.1900000000000004</v>
      </c>
      <c r="C144" s="22">
        <v>0.41570000000000001</v>
      </c>
      <c r="D144" s="36">
        <f>Tabella120[[#This Row],[Percentage of Suppliers - Raw]]/$C$151</f>
        <v>0.42526854219948851</v>
      </c>
      <c r="E144" s="26">
        <v>0.1767</v>
      </c>
      <c r="F144" s="38">
        <f>Tabella120[[#This Row],[Percentage of Supplier''s Facilities - Raw]]/$E$151</f>
        <v>0.19102702702702701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Tabella120[[#This Row],[Percentage of Suppliers - Raw]]/$C$151</f>
        <v>0</v>
      </c>
      <c r="E145" s="26">
        <v>0</v>
      </c>
      <c r="F145" s="38">
        <f>Tabella120[[#This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Tabella120[[#This Row],[Percentage of Suppliers - Raw]]/$C$151</f>
        <v>0</v>
      </c>
      <c r="E146" s="26">
        <v>2.3E-3</v>
      </c>
      <c r="F146" s="38">
        <f>Tabella120[[#This Row],[Percentage of Supplier''s Facilities - Raw]]/$E$151</f>
        <v>2.4864864864864865E-3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Tabella120[[#This Row],[Percentage of Suppliers - Raw]]/$C$151</f>
        <v>0</v>
      </c>
      <c r="E147" s="26">
        <v>9.9000000000000008E-3</v>
      </c>
      <c r="F147" s="38">
        <f>Tabella120[[#This Row],[Percentage of Supplier''s Facilities - Raw]]/$E$151</f>
        <v>1.0702702702702703E-2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Tabella120[[#This Row],[Percentage of Suppliers - Raw]]/$C$151</f>
        <v>0</v>
      </c>
      <c r="E148" s="26">
        <v>0</v>
      </c>
      <c r="F148" s="38">
        <f>Tabella120[[#This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Tabella120[[#This Row],[Percentage of Suppliers - Raw]]/$C$151</f>
        <v>0</v>
      </c>
      <c r="E149" s="26">
        <v>0</v>
      </c>
      <c r="F149" s="38">
        <f>Tabella120[[#This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Tabella120[[#This Row],[Percentage of Suppliers - Raw]]/$C$151</f>
        <v>0</v>
      </c>
      <c r="E150" s="26">
        <v>0</v>
      </c>
      <c r="F150" s="38">
        <f>Tabella120[[#This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0.97750000000000004</v>
      </c>
      <c r="D151" s="39">
        <f>Tabella120[[#This Row],[Percentage of Suppliers - Raw]]/$C$151</f>
        <v>1</v>
      </c>
      <c r="E151" s="25">
        <f>SUM(E4:E150)</f>
        <v>0.92500000000000004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5AA4-2097-394F-8561-993AFBB75B3A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185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Tabella121[[#This Row],[Percentage of Suppliers - Raw]]/$C$151</f>
        <v>0</v>
      </c>
      <c r="E4" s="26">
        <v>0</v>
      </c>
      <c r="F4" s="38">
        <f>Tabella121[[#This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Tabella121[[#This Row],[Percentage of Suppliers - Raw]]/$C$151</f>
        <v>0</v>
      </c>
      <c r="E5" s="26">
        <v>0</v>
      </c>
      <c r="F5" s="38">
        <f>Tabella121[[#This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Tabella121[[#This Row],[Percentage of Suppliers - Raw]]/$C$151</f>
        <v>0</v>
      </c>
      <c r="E6" s="26">
        <v>6.9999999999999999E-4</v>
      </c>
      <c r="F6" s="38">
        <f>Tabella121[[#This Row],[Percentage of Supplier''s Facilities - Raw]]/$E$151</f>
        <v>7.0457976849521884E-4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Tabella121[[#This Row],[Percentage of Suppliers - Raw]]/$C$151</f>
        <v>0</v>
      </c>
      <c r="E7" s="26">
        <v>7.0000000000000001E-3</v>
      </c>
      <c r="F7" s="38">
        <f>Tabella121[[#This Row],[Percentage of Supplier''s Facilities - Raw]]/$E$151</f>
        <v>7.0457976849521891E-3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Tabella121[[#This Row],[Percentage of Suppliers - Raw]]/$C$151</f>
        <v>0</v>
      </c>
      <c r="E8" s="26">
        <v>0</v>
      </c>
      <c r="F8" s="38">
        <f>Tabella121[[#This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0.2685665854433732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0.27226975339708104</v>
      </c>
    </row>
    <row r="9" spans="1:16" ht="23" thickBot="1" x14ac:dyDescent="0.35">
      <c r="A9" s="31" t="s">
        <v>19</v>
      </c>
      <c r="B9" s="48">
        <v>3.22</v>
      </c>
      <c r="C9" s="22">
        <v>9.4000000000000004E-3</v>
      </c>
      <c r="D9" s="36">
        <f>Tabella121[[#This Row],[Percentage of Suppliers - Raw]]/$C$151</f>
        <v>9.9586820637779429E-3</v>
      </c>
      <c r="E9" s="26">
        <v>1.3299999999999999E-2</v>
      </c>
      <c r="F9" s="38">
        <f>Tabella121[[#This Row],[Percentage of Supplier''s Facilities - Raw]]/$E$151</f>
        <v>1.3387015601409159E-2</v>
      </c>
      <c r="H9" s="20" t="s">
        <v>20</v>
      </c>
      <c r="I9" s="21"/>
      <c r="J9" s="21"/>
      <c r="K9" s="175">
        <f>SUMPRODUCT(B4:B150,D4:D150)</f>
        <v>3.8057601440830595</v>
      </c>
      <c r="M9" s="20" t="s">
        <v>21</v>
      </c>
      <c r="N9" s="21"/>
      <c r="O9" s="21"/>
      <c r="P9" s="175">
        <f>SUMPRODUCT(B4:B150,F4:F150)</f>
        <v>4.0393145445395078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Tabella121[[#This Row],[Percentage of Suppliers - Raw]]/$C$151</f>
        <v>0</v>
      </c>
      <c r="E10" s="26">
        <v>3.7000000000000002E-3</v>
      </c>
      <c r="F10" s="38">
        <f>Tabella121[[#This Row],[Percentage of Supplier''s Facilities - Raw]]/$E$151</f>
        <v>3.7242073477604431E-3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Tabella121[[#This Row],[Percentage of Suppliers - Raw]]/$C$151</f>
        <v>0</v>
      </c>
      <c r="E11" s="26">
        <v>0</v>
      </c>
      <c r="F11" s="38">
        <f>Tabella121[[#This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Tabella121[[#This Row],[Percentage of Suppliers - Raw]]/$C$151</f>
        <v>0</v>
      </c>
      <c r="E12" s="26">
        <v>0</v>
      </c>
      <c r="F12" s="38">
        <f>Tabella121[[#This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Tabella121[[#This Row],[Percentage of Suppliers - Raw]]/$C$151</f>
        <v>0</v>
      </c>
      <c r="E13" s="26">
        <v>1.1000000000000001E-3</v>
      </c>
      <c r="F13" s="38">
        <f>Tabella121[[#This Row],[Percentage of Supplier''s Facilities - Raw]]/$E$151</f>
        <v>1.1071967790639156E-3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Tabella121[[#This Row],[Percentage of Suppliers - Raw]]/$C$151</f>
        <v>0</v>
      </c>
      <c r="E14" s="26">
        <v>0</v>
      </c>
      <c r="F14" s="38">
        <f>Tabella121[[#This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9.4000000000000004E-3</v>
      </c>
      <c r="D15" s="36">
        <f>Tabella121[[#This Row],[Percentage of Suppliers - Raw]]/$C$151</f>
        <v>9.9586820637779429E-3</v>
      </c>
      <c r="E15" s="26">
        <v>1.0699999999999999E-2</v>
      </c>
      <c r="F15" s="38">
        <f>Tabella121[[#This Row],[Percentage of Supplier''s Facilities - Raw]]/$E$151</f>
        <v>1.077000503271263E-2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Tabella121[[#This Row],[Percentage of Suppliers - Raw]]/$C$151</f>
        <v>0</v>
      </c>
      <c r="E16" s="26">
        <v>0</v>
      </c>
      <c r="F16" s="38">
        <f>Tabella121[[#This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Tabella121[[#This Row],[Percentage of Suppliers - Raw]]/$C$151</f>
        <v>0</v>
      </c>
      <c r="E17" s="26">
        <v>0</v>
      </c>
      <c r="F17" s="38">
        <f>Tabella121[[#This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Tabella121[[#This Row],[Percentage of Suppliers - Raw]]/$C$151</f>
        <v>0</v>
      </c>
      <c r="E18" s="26">
        <v>0</v>
      </c>
      <c r="F18" s="38">
        <f>Tabella121[[#This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Tabella121[[#This Row],[Percentage of Suppliers - Raw]]/$C$151</f>
        <v>0</v>
      </c>
      <c r="E19" s="26">
        <v>0</v>
      </c>
      <c r="F19" s="38">
        <f>Tabella121[[#This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Tabella121[[#This Row],[Percentage of Suppliers - Raw]]/$C$151</f>
        <v>0</v>
      </c>
      <c r="E20" s="26">
        <v>0</v>
      </c>
      <c r="F20" s="38">
        <f>Tabella121[[#This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4.7000000000000002E-3</v>
      </c>
      <c r="D21" s="36">
        <f>Tabella121[[#This Row],[Percentage of Suppliers - Raw]]/$C$151</f>
        <v>4.9793410318889715E-3</v>
      </c>
      <c r="E21" s="26">
        <v>0.03</v>
      </c>
      <c r="F21" s="38">
        <f>Tabella121[[#This Row],[Percentage of Supplier''s Facilities - Raw]]/$E$151</f>
        <v>3.0196275792652237E-2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Tabella121[[#This Row],[Percentage of Suppliers - Raw]]/$C$151</f>
        <v>0</v>
      </c>
      <c r="E22" s="26">
        <v>4.0000000000000002E-4</v>
      </c>
      <c r="F22" s="38">
        <f>Tabella121[[#This Row],[Percentage of Supplier''s Facilities - Raw]]/$E$151</f>
        <v>4.0261701056869655E-4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Tabella121[[#This Row],[Percentage of Suppliers - Raw]]/$C$151</f>
        <v>0</v>
      </c>
      <c r="E23" s="26">
        <v>0</v>
      </c>
      <c r="F23" s="38">
        <f>Tabella121[[#This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Tabella121[[#This Row],[Percentage of Suppliers - Raw]]/$C$151</f>
        <v>0</v>
      </c>
      <c r="E24" s="26">
        <v>0</v>
      </c>
      <c r="F24" s="38">
        <f>Tabella121[[#This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Tabella121[[#This Row],[Percentage of Suppliers - Raw]]/$C$151</f>
        <v>0</v>
      </c>
      <c r="E25" s="26">
        <v>0</v>
      </c>
      <c r="F25" s="38">
        <f>Tabella121[[#This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Tabella121[[#This Row],[Percentage of Suppliers - Raw]]/$C$151</f>
        <v>0</v>
      </c>
      <c r="E26" s="26">
        <v>0</v>
      </c>
      <c r="F26" s="38">
        <f>Tabella121[[#This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2.35E-2</v>
      </c>
      <c r="D27" s="36">
        <f>Tabella121[[#This Row],[Percentage of Suppliers - Raw]]/$C$151</f>
        <v>2.4896705159444855E-2</v>
      </c>
      <c r="E27" s="26">
        <v>1.9599999999999999E-2</v>
      </c>
      <c r="F27" s="38">
        <f>Tabella121[[#This Row],[Percentage of Supplier''s Facilities - Raw]]/$E$151</f>
        <v>1.972823351786613E-2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Tabella121[[#This Row],[Percentage of Suppliers - Raw]]/$C$151</f>
        <v>0</v>
      </c>
      <c r="E28" s="26">
        <v>0</v>
      </c>
      <c r="F28" s="38">
        <f>Tabella121[[#This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Tabella121[[#This Row],[Percentage of Suppliers - Raw]]/$C$151</f>
        <v>0</v>
      </c>
      <c r="E29" s="26">
        <v>0</v>
      </c>
      <c r="F29" s="38">
        <f>Tabella121[[#This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Tabella121[[#This Row],[Percentage of Suppliers - Raw]]/$C$151</f>
        <v>0</v>
      </c>
      <c r="E30" s="26">
        <v>4.1000000000000003E-3</v>
      </c>
      <c r="F30" s="38">
        <f>Tabella121[[#This Row],[Percentage of Supplier''s Facilities - Raw]]/$E$151</f>
        <v>4.1268243583291392E-3</v>
      </c>
    </row>
    <row r="31" spans="1:7" ht="19" x14ac:dyDescent="0.25">
      <c r="A31" s="31" t="s">
        <v>43</v>
      </c>
      <c r="B31" s="50">
        <v>4.26</v>
      </c>
      <c r="C31" s="22">
        <f xml:space="preserve"> 7.04% + 1.88%</f>
        <v>8.9200000000000002E-2</v>
      </c>
      <c r="D31" s="36">
        <f>Tabella121[[#This Row],[Percentage of Suppliers - Raw]]/$C$151</f>
        <v>9.4501536179680046E-2</v>
      </c>
      <c r="E31" s="26">
        <v>7.4700000000000003E-2</v>
      </c>
      <c r="F31" s="38">
        <f>Tabella121[[#This Row],[Percentage of Supplier''s Facilities - Raw]]/$E$151</f>
        <v>7.518872672370408E-2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Tabella121[[#This Row],[Percentage of Suppliers - Raw]]/$C$151</f>
        <v>0</v>
      </c>
      <c r="E32" s="26">
        <v>6.7000000000000002E-3</v>
      </c>
      <c r="F32" s="38">
        <f>Tabella121[[#This Row],[Percentage of Supplier''s Facilities - Raw]]/$E$151</f>
        <v>6.7438349270256669E-3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Tabella121[[#This Row],[Percentage of Suppliers - Raw]]/$C$151</f>
        <v>0</v>
      </c>
      <c r="E33" s="26">
        <v>0</v>
      </c>
      <c r="F33" s="38">
        <f>Tabella121[[#This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Tabella121[[#This Row],[Percentage of Suppliers - Raw]]/$C$151</f>
        <v>0</v>
      </c>
      <c r="E34" s="26">
        <v>6.9999999999999999E-4</v>
      </c>
      <c r="F34" s="38">
        <f>Tabella121[[#This Row],[Percentage of Supplier''s Facilities - Raw]]/$E$151</f>
        <v>7.0457976849521884E-4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Tabella121[[#This Row],[Percentage of Suppliers - Raw]]/$C$151</f>
        <v>0</v>
      </c>
      <c r="E35" s="26">
        <v>0</v>
      </c>
      <c r="F35" s="38">
        <f>Tabella121[[#This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Tabella121[[#This Row],[Percentage of Suppliers - Raw]]/$C$151</f>
        <v>0</v>
      </c>
      <c r="E36" s="26">
        <v>0</v>
      </c>
      <c r="F36" s="38">
        <f>Tabella121[[#This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Tabella121[[#This Row],[Percentage of Suppliers - Raw]]/$C$151</f>
        <v>0</v>
      </c>
      <c r="E37" s="26">
        <v>0</v>
      </c>
      <c r="F37" s="38">
        <f>Tabella121[[#This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Tabella121[[#This Row],[Percentage of Suppliers - Raw]]/$C$151</f>
        <v>0</v>
      </c>
      <c r="E38" s="26">
        <v>1.15E-2</v>
      </c>
      <c r="F38" s="38">
        <f>Tabella121[[#This Row],[Percentage of Supplier''s Facilities - Raw]]/$E$151</f>
        <v>1.1575239053850024E-2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Tabella121[[#This Row],[Percentage of Suppliers - Raw]]/$C$151</f>
        <v>0</v>
      </c>
      <c r="E39" s="26">
        <v>4.7999999999999996E-3</v>
      </c>
      <c r="F39" s="38">
        <f>Tabella121[[#This Row],[Percentage of Supplier''s Facilities - Raw]]/$E$151</f>
        <v>4.8314041268243575E-3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Tabella121[[#This Row],[Percentage of Suppliers - Raw]]/$C$151</f>
        <v>0</v>
      </c>
      <c r="E40" s="26">
        <v>0</v>
      </c>
      <c r="F40" s="38">
        <f>Tabella121[[#This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Tabella121[[#This Row],[Percentage of Suppliers - Raw]]/$C$151</f>
        <v>0</v>
      </c>
      <c r="E41" s="26">
        <v>1.5E-3</v>
      </c>
      <c r="F41" s="38">
        <f>Tabella121[[#This Row],[Percentage of Supplier''s Facilities - Raw]]/$E$151</f>
        <v>1.5098137896326119E-3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Tabella121[[#This Row],[Percentage of Suppliers - Raw]]/$C$151</f>
        <v>0</v>
      </c>
      <c r="E42" s="26">
        <v>1.9E-3</v>
      </c>
      <c r="F42" s="38">
        <f>Tabella121[[#This Row],[Percentage of Supplier''s Facilities - Raw]]/$E$151</f>
        <v>1.9124308002013083E-3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Tabella121[[#This Row],[Percentage of Suppliers - Raw]]/$C$151</f>
        <v>0</v>
      </c>
      <c r="E43" s="26">
        <v>1.5E-3</v>
      </c>
      <c r="F43" s="38">
        <f>Tabella121[[#This Row],[Percentage of Supplier''s Facilities - Raw]]/$E$151</f>
        <v>1.5098137896326119E-3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Tabella121[[#This Row],[Percentage of Suppliers - Raw]]/$C$151</f>
        <v>0</v>
      </c>
      <c r="E44" s="26">
        <v>6.9999999999999999E-4</v>
      </c>
      <c r="F44" s="38">
        <f>Tabella121[[#This Row],[Percentage of Supplier''s Facilities - Raw]]/$E$151</f>
        <v>7.0457976849521884E-4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Tabella121[[#This Row],[Percentage of Suppliers - Raw]]/$C$151</f>
        <v>0</v>
      </c>
      <c r="E45" s="26">
        <v>3.3E-3</v>
      </c>
      <c r="F45" s="38">
        <f>Tabella121[[#This Row],[Percentage of Supplier''s Facilities - Raw]]/$E$151</f>
        <v>3.321590337191746E-3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Tabella121[[#This Row],[Percentage of Suppliers - Raw]]/$C$151</f>
        <v>0</v>
      </c>
      <c r="E46" s="26">
        <v>4.0000000000000002E-4</v>
      </c>
      <c r="F46" s="38">
        <f>Tabella121[[#This Row],[Percentage of Supplier''s Facilities - Raw]]/$E$151</f>
        <v>4.0261701056869655E-4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Tabella121[[#This Row],[Percentage of Suppliers - Raw]]/$C$151</f>
        <v>0</v>
      </c>
      <c r="E47" s="26">
        <v>0</v>
      </c>
      <c r="F47" s="38">
        <f>Tabella121[[#This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9.4000000000000004E-3</v>
      </c>
      <c r="D48" s="36">
        <f>Tabella121[[#This Row],[Percentage of Suppliers - Raw]]/$C$151</f>
        <v>9.9586820637779429E-3</v>
      </c>
      <c r="E48" s="26">
        <v>1.44E-2</v>
      </c>
      <c r="F48" s="38">
        <f>Tabella121[[#This Row],[Percentage of Supplier''s Facilities - Raw]]/$E$151</f>
        <v>1.4494212380473074E-2</v>
      </c>
    </row>
    <row r="49" spans="1:6" ht="19" x14ac:dyDescent="0.25">
      <c r="A49" s="31" t="s">
        <v>62</v>
      </c>
      <c r="B49" s="84">
        <v>3.65</v>
      </c>
      <c r="C49" s="22">
        <v>0.14080000000000001</v>
      </c>
      <c r="D49" s="36">
        <f>Tabella121[[#This Row],[Percentage of Suppliers - Raw]]/$C$151</f>
        <v>0.14916834410424834</v>
      </c>
      <c r="E49" s="26">
        <v>5.96E-2</v>
      </c>
      <c r="F49" s="38">
        <f>Tabella121[[#This Row],[Percentage of Supplier''s Facilities - Raw]]/$E$151</f>
        <v>5.9989934574735782E-2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Tabella121[[#This Row],[Percentage of Suppliers - Raw]]/$C$151</f>
        <v>0</v>
      </c>
      <c r="E50" s="26">
        <v>0</v>
      </c>
      <c r="F50" s="38">
        <f>Tabella121[[#This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Tabella121[[#This Row],[Percentage of Suppliers - Raw]]/$C$151</f>
        <v>0</v>
      </c>
      <c r="E51" s="26">
        <v>0</v>
      </c>
      <c r="F51" s="38">
        <f>Tabella121[[#This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Tabella121[[#This Row],[Percentage of Suppliers - Raw]]/$C$151</f>
        <v>0</v>
      </c>
      <c r="E52" s="26">
        <v>0</v>
      </c>
      <c r="F52" s="38">
        <f>Tabella121[[#This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2.8199999999999999E-2</v>
      </c>
      <c r="D53" s="36">
        <f>Tabella121[[#This Row],[Percentage of Suppliers - Raw]]/$C$151</f>
        <v>2.9876046191333824E-2</v>
      </c>
      <c r="E53" s="26">
        <v>9.2499999999999999E-2</v>
      </c>
      <c r="F53" s="38">
        <f>Tabella121[[#This Row],[Percentage of Supplier''s Facilities - Raw]]/$E$151</f>
        <v>9.3105183694011065E-2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Tabella121[[#This Row],[Percentage of Suppliers - Raw]]/$C$151</f>
        <v>0</v>
      </c>
      <c r="E54" s="26">
        <v>4.0000000000000002E-4</v>
      </c>
      <c r="F54" s="38">
        <f>Tabella121[[#This Row],[Percentage of Supplier''s Facilities - Raw]]/$E$151</f>
        <v>4.0261701056869655E-4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Tabella121[[#This Row],[Percentage of Suppliers - Raw]]/$C$151</f>
        <v>0</v>
      </c>
      <c r="E55" s="26">
        <v>1.9E-3</v>
      </c>
      <c r="F55" s="38">
        <f>Tabella121[[#This Row],[Percentage of Supplier''s Facilities - Raw]]/$E$151</f>
        <v>1.9124308002013083E-3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Tabella121[[#This Row],[Percentage of Suppliers - Raw]]/$C$151</f>
        <v>0</v>
      </c>
      <c r="E56" s="26">
        <v>4.0000000000000002E-4</v>
      </c>
      <c r="F56" s="38">
        <f>Tabella121[[#This Row],[Percentage of Supplier''s Facilities - Raw]]/$E$151</f>
        <v>4.0261701056869655E-4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Tabella121[[#This Row],[Percentage of Suppliers - Raw]]/$C$151</f>
        <v>0</v>
      </c>
      <c r="E57" s="26">
        <v>0</v>
      </c>
      <c r="F57" s="38">
        <f>Tabella121[[#This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Tabella121[[#This Row],[Percentage of Suppliers - Raw]]/$C$151</f>
        <v>0</v>
      </c>
      <c r="E58" s="26">
        <v>0</v>
      </c>
      <c r="F58" s="38">
        <f>Tabella121[[#This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Tabella121[[#This Row],[Percentage of Suppliers - Raw]]/$C$151</f>
        <v>0</v>
      </c>
      <c r="E59" s="26">
        <v>0</v>
      </c>
      <c r="F59" s="38">
        <f>Tabella121[[#This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Tabella121[[#This Row],[Percentage of Suppliers - Raw]]/$C$151</f>
        <v>0</v>
      </c>
      <c r="E60" s="26">
        <v>0</v>
      </c>
      <c r="F60" s="38">
        <f>Tabella121[[#This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Tabella121[[#This Row],[Percentage of Suppliers - Raw]]/$C$151</f>
        <v>0</v>
      </c>
      <c r="E61" s="26">
        <v>6.9999999999999999E-4</v>
      </c>
      <c r="F61" s="38">
        <f>Tabella121[[#This Row],[Percentage of Supplier''s Facilities - Raw]]/$E$151</f>
        <v>7.0457976849521884E-4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Tabella121[[#This Row],[Percentage of Suppliers - Raw]]/$C$151</f>
        <v>0</v>
      </c>
      <c r="E62" s="26">
        <v>3.7000000000000002E-3</v>
      </c>
      <c r="F62" s="38">
        <f>Tabella121[[#This Row],[Percentage of Supplier''s Facilities - Raw]]/$E$151</f>
        <v>3.7242073477604431E-3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Tabella121[[#This Row],[Percentage of Suppliers - Raw]]/$C$151</f>
        <v>0</v>
      </c>
      <c r="E63" s="26">
        <v>4.0000000000000002E-4</v>
      </c>
      <c r="F63" s="38">
        <f>Tabella121[[#This Row],[Percentage of Supplier''s Facilities - Raw]]/$E$151</f>
        <v>4.0261701056869655E-4</v>
      </c>
    </row>
    <row r="64" spans="1:6" ht="19" x14ac:dyDescent="0.25">
      <c r="A64" s="31" t="s">
        <v>77</v>
      </c>
      <c r="B64" s="98">
        <v>5.07</v>
      </c>
      <c r="C64" s="22">
        <v>2.35E-2</v>
      </c>
      <c r="D64" s="36">
        <f>Tabella121[[#This Row],[Percentage of Suppliers - Raw]]/$C$151</f>
        <v>2.4896705159444855E-2</v>
      </c>
      <c r="E64" s="26">
        <v>2.2200000000000001E-2</v>
      </c>
      <c r="F64" s="38">
        <f>Tabella121[[#This Row],[Percentage of Supplier''s Facilities - Raw]]/$E$151</f>
        <v>2.2345244086562657E-2</v>
      </c>
    </row>
    <row r="65" spans="1:6" ht="19" x14ac:dyDescent="0.25">
      <c r="A65" s="31" t="s">
        <v>78</v>
      </c>
      <c r="B65" s="99">
        <v>4.92</v>
      </c>
      <c r="C65" s="22">
        <v>4.7000000000000002E-3</v>
      </c>
      <c r="D65" s="36">
        <f>Tabella121[[#This Row],[Percentage of Suppliers - Raw]]/$C$151</f>
        <v>4.9793410318889715E-3</v>
      </c>
      <c r="E65" s="26">
        <v>9.2999999999999992E-3</v>
      </c>
      <c r="F65" s="38">
        <f>Tabella121[[#This Row],[Percentage of Supplier''s Facilities - Raw]]/$E$151</f>
        <v>9.3608454957221938E-3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Tabella121[[#This Row],[Percentage of Suppliers - Raw]]/$C$151</f>
        <v>0</v>
      </c>
      <c r="E66" s="26">
        <v>4.0000000000000002E-4</v>
      </c>
      <c r="F66" s="38">
        <f>Tabella121[[#This Row],[Percentage of Supplier''s Facilities - Raw]]/$E$151</f>
        <v>4.0261701056869655E-4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Tabella121[[#This Row],[Percentage of Suppliers - Raw]]/$C$151</f>
        <v>0</v>
      </c>
      <c r="E67" s="26">
        <v>0</v>
      </c>
      <c r="F67" s="38">
        <f>Tabella121[[#This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Tabella121[[#This Row],[Percentage of Suppliers - Raw]]/$C$151</f>
        <v>0</v>
      </c>
      <c r="E68" s="26">
        <v>1.9E-3</v>
      </c>
      <c r="F68" s="38">
        <f>Tabella121[[#This Row],[Percentage of Supplier''s Facilities - Raw]]/$E$151</f>
        <v>1.9124308002013083E-3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Tabella121[[#This Row],[Percentage of Suppliers - Raw]]/$C$151</f>
        <v>0</v>
      </c>
      <c r="E69" s="26">
        <v>2.2000000000000001E-3</v>
      </c>
      <c r="F69" s="38">
        <f>Tabella121[[#This Row],[Percentage of Supplier''s Facilities - Raw]]/$E$151</f>
        <v>2.2143935581278311E-3</v>
      </c>
    </row>
    <row r="70" spans="1:6" ht="19" x14ac:dyDescent="0.25">
      <c r="A70" s="31" t="s">
        <v>83</v>
      </c>
      <c r="B70" s="104">
        <v>3.84</v>
      </c>
      <c r="C70" s="22">
        <v>1.8800000000000001E-2</v>
      </c>
      <c r="D70" s="36">
        <f>Tabella121[[#This Row],[Percentage of Suppliers - Raw]]/$C$151</f>
        <v>1.9917364127555886E-2</v>
      </c>
      <c r="E70" s="26">
        <v>3.2599999999999997E-2</v>
      </c>
      <c r="F70" s="38">
        <f>Tabella121[[#This Row],[Percentage of Supplier''s Facilities - Raw]]/$E$151</f>
        <v>3.281328636134876E-2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Tabella121[[#This Row],[Percentage of Suppliers - Raw]]/$C$151</f>
        <v>0</v>
      </c>
      <c r="E71" s="26">
        <v>0</v>
      </c>
      <c r="F71" s="38">
        <f>Tabella121[[#This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2.8199999999999999E-2</v>
      </c>
      <c r="D72" s="36">
        <f>Tabella121[[#This Row],[Percentage of Suppliers - Raw]]/$C$151</f>
        <v>2.9876046191333824E-2</v>
      </c>
      <c r="E72" s="26">
        <v>1.55E-2</v>
      </c>
      <c r="F72" s="38">
        <f>Tabella121[[#This Row],[Percentage of Supplier''s Facilities - Raw]]/$E$151</f>
        <v>1.560140915953699E-2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Tabella121[[#This Row],[Percentage of Suppliers - Raw]]/$C$151</f>
        <v>0</v>
      </c>
      <c r="E73" s="26">
        <v>0</v>
      </c>
      <c r="F73" s="38">
        <f>Tabella121[[#This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Tabella121[[#This Row],[Percentage of Suppliers - Raw]]/$C$151</f>
        <v>0</v>
      </c>
      <c r="E74" s="26">
        <v>4.0000000000000002E-4</v>
      </c>
      <c r="F74" s="38">
        <f>Tabella121[[#This Row],[Percentage of Supplier''s Facilities - Raw]]/$E$151</f>
        <v>4.0261701056869655E-4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Tabella121[[#This Row],[Percentage of Suppliers - Raw]]/$C$151</f>
        <v>0</v>
      </c>
      <c r="E75" s="26">
        <v>1.1000000000000001E-3</v>
      </c>
      <c r="F75" s="38">
        <f>Tabella121[[#This Row],[Percentage of Supplier''s Facilities - Raw]]/$E$151</f>
        <v>1.1071967790639156E-3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Tabella121[[#This Row],[Percentage of Suppliers - Raw]]/$C$151</f>
        <v>0</v>
      </c>
      <c r="E76" s="26">
        <v>0</v>
      </c>
      <c r="F76" s="38">
        <f>Tabella121[[#This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Tabella121[[#This Row],[Percentage of Suppliers - Raw]]/$C$151</f>
        <v>0</v>
      </c>
      <c r="E77" s="26">
        <v>0</v>
      </c>
      <c r="F77" s="38">
        <f>Tabella121[[#This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Tabella121[[#This Row],[Percentage of Suppliers - Raw]]/$C$151</f>
        <v>0</v>
      </c>
      <c r="E78" s="26">
        <v>0</v>
      </c>
      <c r="F78" s="38">
        <f>Tabella121[[#This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Tabella121[[#This Row],[Percentage of Suppliers - Raw]]/$C$151</f>
        <v>0</v>
      </c>
      <c r="E79" s="26">
        <v>6.9999999999999999E-4</v>
      </c>
      <c r="F79" s="38">
        <f>Tabella121[[#This Row],[Percentage of Supplier''s Facilities - Raw]]/$E$151</f>
        <v>7.0457976849521884E-4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Tabella121[[#This Row],[Percentage of Suppliers - Raw]]/$C$151</f>
        <v>0</v>
      </c>
      <c r="E80" s="26">
        <v>0</v>
      </c>
      <c r="F80" s="38">
        <f>Tabella121[[#This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Tabella121[[#This Row],[Percentage of Suppliers - Raw]]/$C$151</f>
        <v>0</v>
      </c>
      <c r="E81" s="26">
        <v>0</v>
      </c>
      <c r="F81" s="38">
        <f>Tabella121[[#This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Tabella121[[#This Row],[Percentage of Suppliers - Raw]]/$C$151</f>
        <v>0</v>
      </c>
      <c r="E82" s="26">
        <v>0</v>
      </c>
      <c r="F82" s="38">
        <f>Tabella121[[#This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Tabella121[[#This Row],[Percentage of Suppliers - Raw]]/$C$151</f>
        <v>0</v>
      </c>
      <c r="E83" s="26">
        <v>0</v>
      </c>
      <c r="F83" s="38">
        <f>Tabella121[[#This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Tabella121[[#This Row],[Percentage of Suppliers - Raw]]/$C$151</f>
        <v>0</v>
      </c>
      <c r="E84" s="26">
        <v>6.9999999999999999E-4</v>
      </c>
      <c r="F84" s="38">
        <f>Tabella121[[#This Row],[Percentage of Supplier''s Facilities - Raw]]/$E$151</f>
        <v>7.0457976849521884E-4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Tabella121[[#This Row],[Percentage of Suppliers - Raw]]/$C$151</f>
        <v>0</v>
      </c>
      <c r="E85" s="26">
        <v>0</v>
      </c>
      <c r="F85" s="38">
        <f>Tabella121[[#This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Tabella121[[#This Row],[Percentage of Suppliers - Raw]]/$C$151</f>
        <v>0</v>
      </c>
      <c r="E86" s="26">
        <v>0</v>
      </c>
      <c r="F86" s="38">
        <f>Tabella121[[#This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9.4000000000000004E-3</v>
      </c>
      <c r="D87" s="36">
        <f>Tabella121[[#This Row],[Percentage of Suppliers - Raw]]/$C$151</f>
        <v>9.9586820637779429E-3</v>
      </c>
      <c r="E87" s="26">
        <v>5.8999999999999999E-3</v>
      </c>
      <c r="F87" s="38">
        <f>Tabella121[[#This Row],[Percentage of Supplier''s Facilities - Raw]]/$E$151</f>
        <v>5.9386009058882737E-3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Tabella121[[#This Row],[Percentage of Suppliers - Raw]]/$C$151</f>
        <v>0</v>
      </c>
      <c r="E88" s="26">
        <v>0</v>
      </c>
      <c r="F88" s="38">
        <f>Tabella121[[#This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Tabella121[[#This Row],[Percentage of Suppliers - Raw]]/$C$151</f>
        <v>0</v>
      </c>
      <c r="E89" s="26">
        <v>0</v>
      </c>
      <c r="F89" s="38">
        <f>Tabella121[[#This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4.7000000000000002E-3</v>
      </c>
      <c r="D90" s="36">
        <f>Tabella121[[#This Row],[Percentage of Suppliers - Raw]]/$C$151</f>
        <v>4.9793410318889715E-3</v>
      </c>
      <c r="E90" s="26">
        <v>0</v>
      </c>
      <c r="F90" s="38">
        <f>Tabella121[[#This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Tabella121[[#This Row],[Percentage of Suppliers - Raw]]/$C$151</f>
        <v>0</v>
      </c>
      <c r="E91" s="26">
        <v>2.1100000000000001E-2</v>
      </c>
      <c r="F91" s="38">
        <f>Tabella121[[#This Row],[Percentage of Supplier''s Facilities - Raw]]/$E$151</f>
        <v>2.1238047307498741E-2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Tabella121[[#This Row],[Percentage of Suppliers - Raw]]/$C$151</f>
        <v>0</v>
      </c>
      <c r="E92" s="26">
        <v>0</v>
      </c>
      <c r="F92" s="38">
        <f>Tabella121[[#This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Tabella121[[#This Row],[Percentage of Suppliers - Raw]]/$C$151</f>
        <v>0</v>
      </c>
      <c r="E93" s="26">
        <v>4.0000000000000002E-4</v>
      </c>
      <c r="F93" s="38">
        <f>Tabella121[[#This Row],[Percentage of Supplier''s Facilities - Raw]]/$E$151</f>
        <v>4.0261701056869655E-4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Tabella121[[#This Row],[Percentage of Suppliers - Raw]]/$C$151</f>
        <v>0</v>
      </c>
      <c r="E94" s="26">
        <v>1.5E-3</v>
      </c>
      <c r="F94" s="38">
        <f>Tabella121[[#This Row],[Percentage of Supplier''s Facilities - Raw]]/$E$151</f>
        <v>1.5098137896326119E-3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Tabella121[[#This Row],[Percentage of Suppliers - Raw]]/$C$151</f>
        <v>0</v>
      </c>
      <c r="E95" s="26">
        <v>0</v>
      </c>
      <c r="F95" s="38">
        <f>Tabella121[[#This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Tabella121[[#This Row],[Percentage of Suppliers - Raw]]/$C$151</f>
        <v>0</v>
      </c>
      <c r="E96" s="26">
        <v>0</v>
      </c>
      <c r="F96" s="38">
        <f>Tabella121[[#This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Tabella121[[#This Row],[Percentage of Suppliers - Raw]]/$C$151</f>
        <v>0</v>
      </c>
      <c r="E97" s="26">
        <v>0</v>
      </c>
      <c r="F97" s="38">
        <f>Tabella121[[#This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3.2899999999999999E-2</v>
      </c>
      <c r="D98" s="36">
        <f>Tabella121[[#This Row],[Percentage of Suppliers - Raw]]/$C$151</f>
        <v>3.4855387223222796E-2</v>
      </c>
      <c r="E98" s="26">
        <v>1.6299999999999999E-2</v>
      </c>
      <c r="F98" s="38">
        <f>Tabella121[[#This Row],[Percentage of Supplier''s Facilities - Raw]]/$E$151</f>
        <v>1.640664318067438E-2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Tabella121[[#This Row],[Percentage of Suppliers - Raw]]/$C$151</f>
        <v>0</v>
      </c>
      <c r="E99" s="26">
        <v>4.7999999999999996E-3</v>
      </c>
      <c r="F99" s="38">
        <f>Tabella121[[#This Row],[Percentage of Supplier''s Facilities - Raw]]/$E$151</f>
        <v>4.8314041268243575E-3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Tabella121[[#This Row],[Percentage of Suppliers - Raw]]/$C$151</f>
        <v>0</v>
      </c>
      <c r="E100" s="26">
        <v>0</v>
      </c>
      <c r="F100" s="38">
        <f>Tabella121[[#This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Tabella121[[#This Row],[Percentage of Suppliers - Raw]]/$C$151</f>
        <v>0</v>
      </c>
      <c r="E101" s="26">
        <v>0</v>
      </c>
      <c r="F101" s="38">
        <f>Tabella121[[#This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Tabella121[[#This Row],[Percentage of Suppliers - Raw]]/$C$151</f>
        <v>0</v>
      </c>
      <c r="E102" s="26">
        <v>4.0000000000000002E-4</v>
      </c>
      <c r="F102" s="38">
        <f>Tabella121[[#This Row],[Percentage of Supplier''s Facilities - Raw]]/$E$151</f>
        <v>4.0261701056869655E-4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Tabella121[[#This Row],[Percentage of Suppliers - Raw]]/$C$151</f>
        <v>0</v>
      </c>
      <c r="E103" s="26">
        <v>4.0000000000000002E-4</v>
      </c>
      <c r="F103" s="38">
        <f>Tabella121[[#This Row],[Percentage of Supplier''s Facilities - Raw]]/$E$151</f>
        <v>4.0261701056869655E-4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Tabella121[[#This Row],[Percentage of Suppliers - Raw]]/$C$151</f>
        <v>0</v>
      </c>
      <c r="E104" s="26">
        <v>1.9E-3</v>
      </c>
      <c r="F104" s="38">
        <f>Tabella121[[#This Row],[Percentage of Supplier''s Facilities - Raw]]/$E$151</f>
        <v>1.9124308002013083E-3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Tabella121[[#This Row],[Percentage of Suppliers - Raw]]/$C$151</f>
        <v>0</v>
      </c>
      <c r="E105" s="26">
        <v>0</v>
      </c>
      <c r="F105" s="38">
        <f>Tabella121[[#This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Tabella121[[#This Row],[Percentage of Suppliers - Raw]]/$C$151</f>
        <v>0</v>
      </c>
      <c r="E106" s="26">
        <v>1.9E-3</v>
      </c>
      <c r="F106" s="38">
        <f>Tabella121[[#This Row],[Percentage of Supplier''s Facilities - Raw]]/$E$151</f>
        <v>1.9124308002013083E-3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Tabella121[[#This Row],[Percentage of Suppliers - Raw]]/$C$151</f>
        <v>0</v>
      </c>
      <c r="E107" s="26">
        <v>0</v>
      </c>
      <c r="F107" s="38">
        <f>Tabella121[[#This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Tabella121[[#This Row],[Percentage of Suppliers - Raw]]/$C$151</f>
        <v>0</v>
      </c>
      <c r="E108" s="26">
        <v>0</v>
      </c>
      <c r="F108" s="38">
        <f>Tabella121[[#This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Tabella121[[#This Row],[Percentage of Suppliers - Raw]]/$C$151</f>
        <v>0</v>
      </c>
      <c r="E109" s="26">
        <v>0</v>
      </c>
      <c r="F109" s="38">
        <f>Tabella121[[#This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Tabella121[[#This Row],[Percentage of Suppliers - Raw]]/$C$151</f>
        <v>0</v>
      </c>
      <c r="E110" s="26">
        <v>3.0000000000000001E-3</v>
      </c>
      <c r="F110" s="38">
        <f>Tabella121[[#This Row],[Percentage of Supplier''s Facilities - Raw]]/$E$151</f>
        <v>3.0196275792652239E-3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Tabella121[[#This Row],[Percentage of Suppliers - Raw]]/$C$151</f>
        <v>0</v>
      </c>
      <c r="E111" s="26">
        <v>3.7000000000000002E-3</v>
      </c>
      <c r="F111" s="38">
        <f>Tabella121[[#This Row],[Percentage of Supplier''s Facilities - Raw]]/$E$151</f>
        <v>3.7242073477604431E-3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Tabella121[[#This Row],[Percentage of Suppliers - Raw]]/$C$151</f>
        <v>0</v>
      </c>
      <c r="E112" s="26">
        <v>2.0400000000000001E-2</v>
      </c>
      <c r="F112" s="38">
        <f>Tabella121[[#This Row],[Percentage of Supplier''s Facilities - Raw]]/$E$151</f>
        <v>2.0533467539003522E-2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Tabella121[[#This Row],[Percentage of Suppliers - Raw]]/$C$151</f>
        <v>0</v>
      </c>
      <c r="E113" s="26">
        <v>2.2000000000000001E-3</v>
      </c>
      <c r="F113" s="38">
        <f>Tabella121[[#This Row],[Percentage of Supplier''s Facilities - Raw]]/$E$151</f>
        <v>2.2143935581278311E-3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Tabella121[[#This Row],[Percentage of Suppliers - Raw]]/$C$151</f>
        <v>0</v>
      </c>
      <c r="E114" s="26">
        <v>0</v>
      </c>
      <c r="F114" s="38">
        <f>Tabella121[[#This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Tabella121[[#This Row],[Percentage of Suppliers - Raw]]/$C$151</f>
        <v>0</v>
      </c>
      <c r="E115" s="26">
        <v>2.5999999999999999E-3</v>
      </c>
      <c r="F115" s="38">
        <f>Tabella121[[#This Row],[Percentage of Supplier''s Facilities - Raw]]/$E$151</f>
        <v>2.6170105686965273E-3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Tabella121[[#This Row],[Percentage of Suppliers - Raw]]/$C$151</f>
        <v>0</v>
      </c>
      <c r="E116" s="26">
        <v>4.4000000000000003E-3</v>
      </c>
      <c r="F116" s="38">
        <f>Tabella121[[#This Row],[Percentage of Supplier''s Facilities - Raw]]/$E$151</f>
        <v>4.4287871162556622E-3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Tabella121[[#This Row],[Percentage of Suppliers - Raw]]/$C$151</f>
        <v>0</v>
      </c>
      <c r="E117" s="26">
        <v>0</v>
      </c>
      <c r="F117" s="38">
        <f>Tabella121[[#This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4.7000000000000002E-3</v>
      </c>
      <c r="D118" s="36">
        <f>Tabella121[[#This Row],[Percentage of Suppliers - Raw]]/$C$151</f>
        <v>4.9793410318889715E-3</v>
      </c>
      <c r="E118" s="26">
        <v>1.1000000000000001E-3</v>
      </c>
      <c r="F118" s="38">
        <f>Tabella121[[#This Row],[Percentage of Supplier''s Facilities - Raw]]/$E$151</f>
        <v>1.1071967790639156E-3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Tabella121[[#This Row],[Percentage of Suppliers - Raw]]/$C$151</f>
        <v>0</v>
      </c>
      <c r="E119" s="26">
        <v>0</v>
      </c>
      <c r="F119" s="38">
        <f>Tabella121[[#This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Tabella121[[#This Row],[Percentage of Suppliers - Raw]]/$C$151</f>
        <v>0</v>
      </c>
      <c r="E120" s="26">
        <v>4.0000000000000002E-4</v>
      </c>
      <c r="F120" s="38">
        <f>Tabella121[[#This Row],[Percentage of Supplier''s Facilities - Raw]]/$E$151</f>
        <v>4.0261701056869655E-4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Tabella121[[#This Row],[Percentage of Suppliers - Raw]]/$C$151</f>
        <v>0</v>
      </c>
      <c r="E121" s="26">
        <v>0</v>
      </c>
      <c r="F121" s="38">
        <f>Tabella121[[#This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3.2899999999999999E-2</v>
      </c>
      <c r="D122" s="36">
        <f>Tabella121[[#This Row],[Percentage of Suppliers - Raw]]/$C$151</f>
        <v>3.4855387223222796E-2</v>
      </c>
      <c r="E122" s="26">
        <v>6.3E-3</v>
      </c>
      <c r="F122" s="38">
        <f>Tabella121[[#This Row],[Percentage of Supplier''s Facilities - Raw]]/$E$151</f>
        <v>6.3412179164569699E-3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Tabella121[[#This Row],[Percentage of Suppliers - Raw]]/$C$151</f>
        <v>0</v>
      </c>
      <c r="E123" s="26">
        <v>4.1000000000000003E-3</v>
      </c>
      <c r="F123" s="38">
        <f>Tabella121[[#This Row],[Percentage of Supplier''s Facilities - Raw]]/$E$151</f>
        <v>4.1268243583291392E-3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Tabella121[[#This Row],[Percentage of Suppliers - Raw]]/$C$151</f>
        <v>0</v>
      </c>
      <c r="E124" s="26">
        <v>2.2000000000000001E-3</v>
      </c>
      <c r="F124" s="38">
        <f>Tabella121[[#This Row],[Percentage of Supplier''s Facilities - Raw]]/$E$151</f>
        <v>2.2143935581278311E-3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Tabella121[[#This Row],[Percentage of Suppliers - Raw]]/$C$151</f>
        <v>0</v>
      </c>
      <c r="E125" s="26">
        <v>5.5999999999999999E-3</v>
      </c>
      <c r="F125" s="38">
        <f>Tabella121[[#This Row],[Percentage of Supplier''s Facilities - Raw]]/$E$151</f>
        <v>5.6366381479617507E-3</v>
      </c>
    </row>
    <row r="126" spans="1:6" ht="19" x14ac:dyDescent="0.25">
      <c r="A126" s="31" t="s">
        <v>139</v>
      </c>
      <c r="B126" s="151">
        <v>3.57</v>
      </c>
      <c r="C126" s="22">
        <v>6.0999999999999999E-2</v>
      </c>
      <c r="D126" s="36">
        <f>Tabella121[[#This Row],[Percentage of Suppliers - Raw]]/$C$151</f>
        <v>6.4625489988346219E-2</v>
      </c>
      <c r="E126" s="26">
        <v>2.1100000000000001E-2</v>
      </c>
      <c r="F126" s="38">
        <f>Tabella121[[#This Row],[Percentage of Supplier''s Facilities - Raw]]/$E$151</f>
        <v>2.1238047307498741E-2</v>
      </c>
    </row>
    <row r="127" spans="1:6" ht="19" x14ac:dyDescent="0.25">
      <c r="A127" s="31" t="s">
        <v>140</v>
      </c>
      <c r="B127" s="152">
        <v>3.7</v>
      </c>
      <c r="C127" s="22">
        <v>1.8800000000000001E-2</v>
      </c>
      <c r="D127" s="36">
        <f>Tabella121[[#This Row],[Percentage of Suppliers - Raw]]/$C$151</f>
        <v>1.9917364127555886E-2</v>
      </c>
      <c r="E127" s="26">
        <v>2.0400000000000001E-2</v>
      </c>
      <c r="F127" s="38">
        <f>Tabella121[[#This Row],[Percentage of Supplier''s Facilities - Raw]]/$E$151</f>
        <v>2.0533467539003522E-2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Tabella121[[#This Row],[Percentage of Suppliers - Raw]]/$C$151</f>
        <v>0</v>
      </c>
      <c r="E128" s="26">
        <v>6.9999999999999999E-4</v>
      </c>
      <c r="F128" s="38">
        <f>Tabella121[[#This Row],[Percentage of Supplier''s Facilities - Raw]]/$E$151</f>
        <v>7.0457976849521884E-4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Tabella121[[#This Row],[Percentage of Suppliers - Raw]]/$C$151</f>
        <v>0</v>
      </c>
      <c r="E129" s="26">
        <v>0</v>
      </c>
      <c r="F129" s="38">
        <f>Tabella121[[#This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9.4000000000000004E-3</v>
      </c>
      <c r="D130" s="36">
        <f>Tabella121[[#This Row],[Percentage of Suppliers - Raw]]/$C$151</f>
        <v>9.9586820637779429E-3</v>
      </c>
      <c r="E130" s="26">
        <v>1.44E-2</v>
      </c>
      <c r="F130" s="38">
        <f>Tabella121[[#This Row],[Percentage of Supplier''s Facilities - Raw]]/$E$151</f>
        <v>1.4494212380473074E-2</v>
      </c>
    </row>
    <row r="131" spans="1:6" ht="19" x14ac:dyDescent="0.25">
      <c r="A131" s="31" t="s">
        <v>144</v>
      </c>
      <c r="B131" s="154">
        <v>2.78</v>
      </c>
      <c r="C131" s="22">
        <v>1.8800000000000001E-2</v>
      </c>
      <c r="D131" s="36">
        <f>Tabella121[[#This Row],[Percentage of Suppliers - Raw]]/$C$151</f>
        <v>1.9917364127555886E-2</v>
      </c>
      <c r="E131" s="26">
        <v>1.37E-2</v>
      </c>
      <c r="F131" s="38">
        <f>Tabella121[[#This Row],[Percentage of Supplier''s Facilities - Raw]]/$E$151</f>
        <v>1.3789632611977855E-2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Tabella121[[#This Row],[Percentage of Suppliers - Raw]]/$C$151</f>
        <v>0</v>
      </c>
      <c r="E132" s="26">
        <v>0</v>
      </c>
      <c r="F132" s="38">
        <f>Tabella121[[#This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Tabella121[[#This Row],[Percentage of Suppliers - Raw]]/$C$151</f>
        <v>0</v>
      </c>
      <c r="E133" s="26">
        <v>0</v>
      </c>
      <c r="F133" s="38">
        <f>Tabella121[[#This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Tabella121[[#This Row],[Percentage of Suppliers - Raw]]/$C$151</f>
        <v>0</v>
      </c>
      <c r="E134" s="26">
        <v>8.5000000000000006E-3</v>
      </c>
      <c r="F134" s="38">
        <f>Tabella121[[#This Row],[Percentage of Supplier''s Facilities - Raw]]/$E$151</f>
        <v>8.5556114745848014E-3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Tabella121[[#This Row],[Percentage of Suppliers - Raw]]/$C$151</f>
        <v>0</v>
      </c>
      <c r="E135" s="26">
        <v>0</v>
      </c>
      <c r="F135" s="38">
        <f>Tabella121[[#This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Tabella121[[#This Row],[Percentage of Suppliers - Raw]]/$C$151</f>
        <v>0</v>
      </c>
      <c r="E136" s="26">
        <v>0</v>
      </c>
      <c r="F136" s="38">
        <f>Tabella121[[#This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Tabella121[[#This Row],[Percentage of Suppliers - Raw]]/$C$151</f>
        <v>0</v>
      </c>
      <c r="E137" s="26">
        <v>0</v>
      </c>
      <c r="F137" s="38">
        <f>Tabella121[[#This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Tabella121[[#This Row],[Percentage of Suppliers - Raw]]/$C$151</f>
        <v>0</v>
      </c>
      <c r="E138" s="26">
        <v>1.1000000000000001E-3</v>
      </c>
      <c r="F138" s="38">
        <f>Tabella121[[#This Row],[Percentage of Supplier''s Facilities - Raw]]/$E$151</f>
        <v>1.1071967790639156E-3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Tabella121[[#This Row],[Percentage of Suppliers - Raw]]/$C$151</f>
        <v>0</v>
      </c>
      <c r="E139" s="26">
        <v>4.7999999999999996E-3</v>
      </c>
      <c r="F139" s="38">
        <f>Tabella121[[#This Row],[Percentage of Supplier''s Facilities - Raw]]/$E$151</f>
        <v>4.8314041268243575E-3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Tabella121[[#This Row],[Percentage of Suppliers - Raw]]/$C$151</f>
        <v>0</v>
      </c>
      <c r="E140" s="26">
        <v>0</v>
      </c>
      <c r="F140" s="38">
        <f>Tabella121[[#This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Tabella121[[#This Row],[Percentage of Suppliers - Raw]]/$C$151</f>
        <v>0</v>
      </c>
      <c r="E141" s="26">
        <v>6.9999999999999999E-4</v>
      </c>
      <c r="F141" s="38">
        <f>Tabella121[[#This Row],[Percentage of Supplier''s Facilities - Raw]]/$E$151</f>
        <v>7.0457976849521884E-4</v>
      </c>
    </row>
    <row r="142" spans="1:6" ht="19" x14ac:dyDescent="0.25">
      <c r="A142" s="31" t="s">
        <v>155</v>
      </c>
      <c r="B142" s="164">
        <v>3.72</v>
      </c>
      <c r="C142" s="22">
        <v>4.7000000000000002E-3</v>
      </c>
      <c r="D142" s="36">
        <f>Tabella121[[#This Row],[Percentage of Suppliers - Raw]]/$C$151</f>
        <v>4.9793410318889715E-3</v>
      </c>
      <c r="E142" s="26">
        <v>1.9E-3</v>
      </c>
      <c r="F142" s="38">
        <f>Tabella121[[#This Row],[Percentage of Supplier''s Facilities - Raw]]/$E$151</f>
        <v>1.9124308002013083E-3</v>
      </c>
    </row>
    <row r="143" spans="1:6" ht="19" x14ac:dyDescent="0.25">
      <c r="A143" s="31" t="s">
        <v>156</v>
      </c>
      <c r="B143" s="128">
        <v>3.32</v>
      </c>
      <c r="C143" s="22">
        <v>9.8599999999999993E-2</v>
      </c>
      <c r="D143" s="36">
        <f>Tabella121[[#This Row],[Percentage of Suppliers - Raw]]/$C$151</f>
        <v>0.10446021824345798</v>
      </c>
      <c r="E143" s="26">
        <v>5.2200000000000003E-2</v>
      </c>
      <c r="F143" s="38">
        <f>Tabella121[[#This Row],[Percentage of Supplier''s Facilities - Raw]]/$E$151</f>
        <v>5.2541519879214897E-2</v>
      </c>
    </row>
    <row r="144" spans="1:6" ht="19" x14ac:dyDescent="0.25">
      <c r="A144" s="31" t="s">
        <v>157</v>
      </c>
      <c r="B144" s="165">
        <v>4.1900000000000004</v>
      </c>
      <c r="C144" s="22">
        <v>0.2535</v>
      </c>
      <c r="D144" s="36">
        <f>Tabella121[[#This Row],[Percentage of Suppliers - Raw]]/$C$151</f>
        <v>0.2685665854433732</v>
      </c>
      <c r="E144" s="26">
        <v>0.27050000000000002</v>
      </c>
      <c r="F144" s="38">
        <f>Tabella121[[#This Row],[Percentage of Supplier''s Facilities - Raw]]/$E$151</f>
        <v>0.27226975339708104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Tabella121[[#This Row],[Percentage of Suppliers - Raw]]/$C$151</f>
        <v>0</v>
      </c>
      <c r="E145" s="26">
        <v>6.9999999999999999E-4</v>
      </c>
      <c r="F145" s="38">
        <f>Tabella121[[#This Row],[Percentage of Supplier''s Facilities - Raw]]/$E$151</f>
        <v>7.0457976849521884E-4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Tabella121[[#This Row],[Percentage of Suppliers - Raw]]/$C$151</f>
        <v>0</v>
      </c>
      <c r="E146" s="26">
        <v>3.3E-3</v>
      </c>
      <c r="F146" s="38">
        <f>Tabella121[[#This Row],[Percentage of Supplier''s Facilities - Raw]]/$E$151</f>
        <v>3.321590337191746E-3</v>
      </c>
    </row>
    <row r="147" spans="1:6" ht="19" x14ac:dyDescent="0.25">
      <c r="A147" s="31" t="s">
        <v>160</v>
      </c>
      <c r="B147" s="168">
        <v>4.32</v>
      </c>
      <c r="C147" s="22">
        <v>4.7000000000000002E-3</v>
      </c>
      <c r="D147" s="36">
        <f>Tabella121[[#This Row],[Percentage of Suppliers - Raw]]/$C$151</f>
        <v>4.9793410318889715E-3</v>
      </c>
      <c r="E147" s="26">
        <v>9.5999999999999992E-3</v>
      </c>
      <c r="F147" s="38">
        <f>Tabella121[[#This Row],[Percentage of Supplier''s Facilities - Raw]]/$E$151</f>
        <v>9.662808253648715E-3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Tabella121[[#This Row],[Percentage of Suppliers - Raw]]/$C$151</f>
        <v>0</v>
      </c>
      <c r="E148" s="26">
        <v>0</v>
      </c>
      <c r="F148" s="38">
        <f>Tabella121[[#This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Tabella121[[#This Row],[Percentage of Suppliers - Raw]]/$C$151</f>
        <v>0</v>
      </c>
      <c r="E149" s="26">
        <v>0</v>
      </c>
      <c r="F149" s="38">
        <f>Tabella121[[#This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Tabella121[[#This Row],[Percentage of Suppliers - Raw]]/$C$151</f>
        <v>0</v>
      </c>
      <c r="E150" s="26">
        <v>0</v>
      </c>
      <c r="F150" s="38">
        <f>Tabella121[[#This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0.94390000000000007</v>
      </c>
      <c r="D151" s="39">
        <f>Tabella121[[#This Row],[Percentage of Suppliers - Raw]]/$C$151</f>
        <v>1</v>
      </c>
      <c r="E151" s="25">
        <f>SUM(E4:E150)</f>
        <v>0.99350000000000005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0311-843B-444B-B4E0-A831DF211013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186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Tabella122[[#This Row],[Percentage of Suppliers - Raw]]/$C$151</f>
        <v>0</v>
      </c>
      <c r="E4" s="26">
        <v>0</v>
      </c>
      <c r="F4" s="38">
        <f>Tabella122[[#This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Tabella122[[#This Row],[Percentage of Suppliers - Raw]]/$C$151</f>
        <v>0</v>
      </c>
      <c r="E5" s="26">
        <v>0</v>
      </c>
      <c r="F5" s="38">
        <f>Tabella122[[#This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Tabella122[[#This Row],[Percentage of Suppliers - Raw]]/$C$151</f>
        <v>0</v>
      </c>
      <c r="E6" s="26">
        <v>1.1000000000000001E-3</v>
      </c>
      <c r="F6" s="38">
        <f>Tabella122[[#This Row],[Percentage of Supplier''s Facilities - Raw]]/$E$151</f>
        <v>1.1080890500654781E-3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Tabella122[[#This Row],[Percentage of Suppliers - Raw]]/$C$151</f>
        <v>0</v>
      </c>
      <c r="E7" s="26">
        <v>6.0000000000000001E-3</v>
      </c>
      <c r="F7" s="38">
        <f>Tabella122[[#This Row],[Percentage of Supplier''s Facilities - Raw]]/$E$151</f>
        <v>6.0441220912662444E-3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Tabella122[[#This Row],[Percentage of Suppliers - Raw]]/$C$151</f>
        <v>0</v>
      </c>
      <c r="E8" s="26">
        <v>0</v>
      </c>
      <c r="F8" s="38">
        <f>Tabella122[[#This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0.25519579960621308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0.35670393875289619</v>
      </c>
    </row>
    <row r="9" spans="1:16" ht="23" thickBot="1" x14ac:dyDescent="0.35">
      <c r="A9" s="31" t="s">
        <v>19</v>
      </c>
      <c r="B9" s="48">
        <v>3.22</v>
      </c>
      <c r="C9" s="22">
        <v>1.43E-2</v>
      </c>
      <c r="D9" s="36">
        <f>Tabella122[[#This Row],[Percentage of Suppliers - Raw]]/$C$151</f>
        <v>1.5642091446073068E-2</v>
      </c>
      <c r="E9" s="26">
        <v>1.14E-2</v>
      </c>
      <c r="F9" s="38">
        <f>Tabella122[[#This Row],[Percentage of Supplier''s Facilities - Raw]]/$E$151</f>
        <v>1.1483831973405864E-2</v>
      </c>
      <c r="H9" s="20" t="s">
        <v>20</v>
      </c>
      <c r="I9" s="21"/>
      <c r="J9" s="21"/>
      <c r="K9" s="175">
        <f>SUMPRODUCT(B4:B150,D4:D150)</f>
        <v>3.9195712098009183</v>
      </c>
      <c r="M9" s="20" t="s">
        <v>21</v>
      </c>
      <c r="N9" s="21"/>
      <c r="O9" s="21"/>
      <c r="P9" s="175">
        <f>SUMPRODUCT(B4:B150,F4:F150)</f>
        <v>4.0681061750780696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Tabella122[[#This Row],[Percentage of Suppliers - Raw]]/$C$151</f>
        <v>0</v>
      </c>
      <c r="E10" s="26">
        <v>2.8999999999999998E-3</v>
      </c>
      <c r="F10" s="38">
        <f>Tabella122[[#This Row],[Percentage of Supplier''s Facilities - Raw]]/$E$151</f>
        <v>2.9213256774453509E-3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Tabella122[[#This Row],[Percentage of Suppliers - Raw]]/$C$151</f>
        <v>0</v>
      </c>
      <c r="E11" s="26">
        <v>0</v>
      </c>
      <c r="F11" s="38">
        <f>Tabella122[[#This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Tabella122[[#This Row],[Percentage of Suppliers - Raw]]/$C$151</f>
        <v>0</v>
      </c>
      <c r="E12" s="26">
        <v>2.0000000000000001E-4</v>
      </c>
      <c r="F12" s="38">
        <f>Tabella122[[#This Row],[Percentage of Supplier''s Facilities - Raw]]/$E$151</f>
        <v>2.0147073637554147E-4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Tabella122[[#This Row],[Percentage of Suppliers - Raw]]/$C$151</f>
        <v>0</v>
      </c>
      <c r="E13" s="26">
        <v>0</v>
      </c>
      <c r="F13" s="38">
        <f>Tabella122[[#This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Tabella122[[#This Row],[Percentage of Suppliers - Raw]]/$C$151</f>
        <v>0</v>
      </c>
      <c r="E14" s="26">
        <v>0</v>
      </c>
      <c r="F14" s="38">
        <f>Tabella122[[#This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9.4999999999999998E-3</v>
      </c>
      <c r="D15" s="36">
        <f>Tabella122[[#This Row],[Percentage of Suppliers - Raw]]/$C$151</f>
        <v>1.0391599212426163E-2</v>
      </c>
      <c r="E15" s="26">
        <v>9.1999999999999998E-3</v>
      </c>
      <c r="F15" s="38">
        <f>Tabella122[[#This Row],[Percentage of Supplier''s Facilities - Raw]]/$E$151</f>
        <v>9.2676538732749079E-3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Tabella122[[#This Row],[Percentage of Suppliers - Raw]]/$C$151</f>
        <v>0</v>
      </c>
      <c r="E16" s="26">
        <v>2.0000000000000001E-4</v>
      </c>
      <c r="F16" s="38">
        <f>Tabella122[[#This Row],[Percentage of Supplier''s Facilities - Raw]]/$E$151</f>
        <v>2.0147073637554147E-4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Tabella122[[#This Row],[Percentage of Suppliers - Raw]]/$C$151</f>
        <v>0</v>
      </c>
      <c r="E17" s="26">
        <v>0</v>
      </c>
      <c r="F17" s="38">
        <f>Tabella122[[#This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Tabella122[[#This Row],[Percentage of Suppliers - Raw]]/$C$151</f>
        <v>0</v>
      </c>
      <c r="E18" s="26">
        <v>0</v>
      </c>
      <c r="F18" s="38">
        <f>Tabella122[[#This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Tabella122[[#This Row],[Percentage of Suppliers - Raw]]/$C$151</f>
        <v>0</v>
      </c>
      <c r="E19" s="26">
        <v>0</v>
      </c>
      <c r="F19" s="38">
        <f>Tabella122[[#This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Tabella122[[#This Row],[Percentage of Suppliers - Raw]]/$C$151</f>
        <v>0</v>
      </c>
      <c r="E20" s="26">
        <v>2.0000000000000001E-4</v>
      </c>
      <c r="F20" s="38">
        <f>Tabella122[[#This Row],[Percentage of Supplier''s Facilities - Raw]]/$E$151</f>
        <v>2.0147073637554147E-4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Tabella122[[#This Row],[Percentage of Suppliers - Raw]]/$C$151</f>
        <v>0</v>
      </c>
      <c r="E21" s="26">
        <v>2.3E-2</v>
      </c>
      <c r="F21" s="38">
        <f>Tabella122[[#This Row],[Percentage of Supplier''s Facilities - Raw]]/$E$151</f>
        <v>2.3169134683187268E-2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Tabella122[[#This Row],[Percentage of Suppliers - Raw]]/$C$151</f>
        <v>0</v>
      </c>
      <c r="E22" s="26">
        <v>1.1000000000000001E-3</v>
      </c>
      <c r="F22" s="38">
        <f>Tabella122[[#This Row],[Percentage of Supplier''s Facilities - Raw]]/$E$151</f>
        <v>1.1080890500654781E-3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Tabella122[[#This Row],[Percentage of Suppliers - Raw]]/$C$151</f>
        <v>0</v>
      </c>
      <c r="E23" s="26">
        <v>2.0000000000000001E-4</v>
      </c>
      <c r="F23" s="38">
        <f>Tabella122[[#This Row],[Percentage of Supplier''s Facilities - Raw]]/$E$151</f>
        <v>2.0147073637554147E-4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Tabella122[[#This Row],[Percentage of Suppliers - Raw]]/$C$151</f>
        <v>0</v>
      </c>
      <c r="E24" s="26">
        <v>0</v>
      </c>
      <c r="F24" s="38">
        <f>Tabella122[[#This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Tabella122[[#This Row],[Percentage of Suppliers - Raw]]/$C$151</f>
        <v>0</v>
      </c>
      <c r="E25" s="26">
        <v>0</v>
      </c>
      <c r="F25" s="38">
        <f>Tabella122[[#This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Tabella122[[#This Row],[Percentage of Suppliers - Raw]]/$C$151</f>
        <v>0</v>
      </c>
      <c r="E26" s="26">
        <v>2.0000000000000001E-4</v>
      </c>
      <c r="F26" s="38">
        <f>Tabella122[[#This Row],[Percentage of Supplier''s Facilities - Raw]]/$E$151</f>
        <v>2.0147073637554147E-4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Tabella122[[#This Row],[Percentage of Suppliers - Raw]]/$C$151</f>
        <v>0</v>
      </c>
      <c r="E27" s="26">
        <v>2.1299999999999999E-2</v>
      </c>
      <c r="F27" s="38">
        <f>Tabella122[[#This Row],[Percentage of Supplier''s Facilities - Raw]]/$E$151</f>
        <v>2.1456633423995165E-2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Tabella122[[#This Row],[Percentage of Suppliers - Raw]]/$C$151</f>
        <v>0</v>
      </c>
      <c r="E28" s="26">
        <v>0</v>
      </c>
      <c r="F28" s="38">
        <f>Tabella122[[#This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Tabella122[[#This Row],[Percentage of Suppliers - Raw]]/$C$151</f>
        <v>0</v>
      </c>
      <c r="E29" s="26">
        <v>0</v>
      </c>
      <c r="F29" s="38">
        <f>Tabella122[[#This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Tabella122[[#This Row],[Percentage of Suppliers - Raw]]/$C$151</f>
        <v>0</v>
      </c>
      <c r="E30" s="26">
        <v>3.5000000000000001E-3</v>
      </c>
      <c r="F30" s="38">
        <f>Tabella122[[#This Row],[Percentage of Supplier''s Facilities - Raw]]/$E$151</f>
        <v>3.5257378865719757E-3</v>
      </c>
    </row>
    <row r="31" spans="1:7" ht="19" x14ac:dyDescent="0.25">
      <c r="A31" s="31" t="s">
        <v>43</v>
      </c>
      <c r="B31" s="50">
        <v>4.26</v>
      </c>
      <c r="C31" s="22">
        <f xml:space="preserve"> 12.86% + 1.9%</f>
        <v>0.14759999999999998</v>
      </c>
      <c r="D31" s="36">
        <f>Tabella122[[#This Row],[Percentage of Suppliers - Raw]]/$C$151</f>
        <v>0.16145263618464226</v>
      </c>
      <c r="E31" s="26">
        <v>7.3300000000000004E-2</v>
      </c>
      <c r="F31" s="38">
        <f>Tabella122[[#This Row],[Percentage of Supplier''s Facilities - Raw]]/$E$151</f>
        <v>7.3839024881635948E-2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Tabella122[[#This Row],[Percentage of Suppliers - Raw]]/$C$151</f>
        <v>0</v>
      </c>
      <c r="E32" s="26">
        <v>4.5999999999999999E-3</v>
      </c>
      <c r="F32" s="38">
        <f>Tabella122[[#This Row],[Percentage of Supplier''s Facilities - Raw]]/$E$151</f>
        <v>4.633826936637454E-3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Tabella122[[#This Row],[Percentage of Suppliers - Raw]]/$C$151</f>
        <v>0</v>
      </c>
      <c r="E33" s="26">
        <v>0</v>
      </c>
      <c r="F33" s="38">
        <f>Tabella122[[#This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Tabella122[[#This Row],[Percentage of Suppliers - Raw]]/$C$151</f>
        <v>0</v>
      </c>
      <c r="E34" s="26">
        <v>5.9999999999999995E-4</v>
      </c>
      <c r="F34" s="38">
        <f>Tabella122[[#This Row],[Percentage of Supplier''s Facilities - Raw]]/$E$151</f>
        <v>6.0441220912662436E-4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Tabella122[[#This Row],[Percentage of Suppliers - Raw]]/$C$151</f>
        <v>0</v>
      </c>
      <c r="E35" s="26">
        <v>0</v>
      </c>
      <c r="F35" s="38">
        <f>Tabella122[[#This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Tabella122[[#This Row],[Percentage of Suppliers - Raw]]/$C$151</f>
        <v>0</v>
      </c>
      <c r="E36" s="26">
        <v>5.0000000000000001E-4</v>
      </c>
      <c r="F36" s="38">
        <f>Tabella122[[#This Row],[Percentage of Supplier''s Facilities - Raw]]/$E$151</f>
        <v>5.036768409388537E-4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Tabella122[[#This Row],[Percentage of Suppliers - Raw]]/$C$151</f>
        <v>0</v>
      </c>
      <c r="E37" s="26">
        <v>0</v>
      </c>
      <c r="F37" s="38">
        <f>Tabella122[[#This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Tabella122[[#This Row],[Percentage of Suppliers - Raw]]/$C$151</f>
        <v>0</v>
      </c>
      <c r="E38" s="26">
        <v>6.0000000000000001E-3</v>
      </c>
      <c r="F38" s="38">
        <f>Tabella122[[#This Row],[Percentage of Supplier''s Facilities - Raw]]/$E$151</f>
        <v>6.0441220912662444E-3</v>
      </c>
    </row>
    <row r="39" spans="1:6" ht="19" x14ac:dyDescent="0.25">
      <c r="A39" s="31" t="s">
        <v>52</v>
      </c>
      <c r="B39" s="75">
        <v>3.2</v>
      </c>
      <c r="C39" s="22">
        <v>4.7999999999999996E-3</v>
      </c>
      <c r="D39" s="36">
        <f>Tabella122[[#This Row],[Percentage of Suppliers - Raw]]/$C$151</f>
        <v>5.2504922336469029E-3</v>
      </c>
      <c r="E39" s="26">
        <v>4.1000000000000003E-3</v>
      </c>
      <c r="F39" s="38">
        <f>Tabella122[[#This Row],[Percentage of Supplier''s Facilities - Raw]]/$E$151</f>
        <v>4.1301500956986001E-3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Tabella122[[#This Row],[Percentage of Suppliers - Raw]]/$C$151</f>
        <v>0</v>
      </c>
      <c r="E40" s="26">
        <v>0</v>
      </c>
      <c r="F40" s="38">
        <f>Tabella122[[#This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Tabella122[[#This Row],[Percentage of Suppliers - Raw]]/$C$151</f>
        <v>0</v>
      </c>
      <c r="E41" s="26">
        <v>1E-3</v>
      </c>
      <c r="F41" s="38">
        <f>Tabella122[[#This Row],[Percentage of Supplier''s Facilities - Raw]]/$E$151</f>
        <v>1.0073536818777074E-3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Tabella122[[#This Row],[Percentage of Suppliers - Raw]]/$C$151</f>
        <v>0</v>
      </c>
      <c r="E42" s="26">
        <v>8.0000000000000004E-4</v>
      </c>
      <c r="F42" s="38">
        <f>Tabella122[[#This Row],[Percentage of Supplier''s Facilities - Raw]]/$E$151</f>
        <v>8.0588294550216588E-4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Tabella122[[#This Row],[Percentage of Suppliers - Raw]]/$C$151</f>
        <v>0</v>
      </c>
      <c r="E43" s="26">
        <v>2.8999999999999998E-3</v>
      </c>
      <c r="F43" s="38">
        <f>Tabella122[[#This Row],[Percentage of Supplier''s Facilities - Raw]]/$E$151</f>
        <v>2.9213256774453509E-3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Tabella122[[#This Row],[Percentage of Suppliers - Raw]]/$C$151</f>
        <v>0</v>
      </c>
      <c r="E44" s="26">
        <v>2.9999999999999997E-4</v>
      </c>
      <c r="F44" s="38">
        <f>Tabella122[[#This Row],[Percentage of Supplier''s Facilities - Raw]]/$E$151</f>
        <v>3.0220610456331218E-4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Tabella122[[#This Row],[Percentage of Suppliers - Raw]]/$C$151</f>
        <v>0</v>
      </c>
      <c r="E45" s="26">
        <v>1.9E-3</v>
      </c>
      <c r="F45" s="38">
        <f>Tabella122[[#This Row],[Percentage of Supplier''s Facilities - Raw]]/$E$151</f>
        <v>1.9139719955676439E-3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Tabella122[[#This Row],[Percentage of Suppliers - Raw]]/$C$151</f>
        <v>0</v>
      </c>
      <c r="E46" s="26">
        <v>2.9999999999999997E-4</v>
      </c>
      <c r="F46" s="38">
        <f>Tabella122[[#This Row],[Percentage of Supplier''s Facilities - Raw]]/$E$151</f>
        <v>3.0220610456331218E-4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Tabella122[[#This Row],[Percentage of Suppliers - Raw]]/$C$151</f>
        <v>0</v>
      </c>
      <c r="E47" s="26">
        <v>0</v>
      </c>
      <c r="F47" s="38">
        <f>Tabella122[[#This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9.4999999999999998E-3</v>
      </c>
      <c r="D48" s="36">
        <f>Tabella122[[#This Row],[Percentage of Suppliers - Raw]]/$C$151</f>
        <v>1.0391599212426163E-2</v>
      </c>
      <c r="E48" s="26">
        <v>7.9000000000000008E-3</v>
      </c>
      <c r="F48" s="38">
        <f>Tabella122[[#This Row],[Percentage of Supplier''s Facilities - Raw]]/$E$151</f>
        <v>7.9580940868338897E-3</v>
      </c>
    </row>
    <row r="49" spans="1:6" ht="19" x14ac:dyDescent="0.25">
      <c r="A49" s="31" t="s">
        <v>62</v>
      </c>
      <c r="B49" s="84">
        <v>3.65</v>
      </c>
      <c r="C49" s="22">
        <v>0.1333</v>
      </c>
      <c r="D49" s="36">
        <f>Tabella122[[#This Row],[Percentage of Suppliers - Raw]]/$C$151</f>
        <v>0.14581054473856922</v>
      </c>
      <c r="E49" s="26">
        <v>4.8899999999999999E-2</v>
      </c>
      <c r="F49" s="38">
        <f>Tabella122[[#This Row],[Percentage of Supplier''s Facilities - Raw]]/$E$151</f>
        <v>4.9259595043819888E-2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Tabella122[[#This Row],[Percentage of Suppliers - Raw]]/$C$151</f>
        <v>0</v>
      </c>
      <c r="E50" s="26">
        <v>2.0000000000000001E-4</v>
      </c>
      <c r="F50" s="38">
        <f>Tabella122[[#This Row],[Percentage of Supplier''s Facilities - Raw]]/$E$151</f>
        <v>2.0147073637554147E-4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Tabella122[[#This Row],[Percentage of Suppliers - Raw]]/$C$151</f>
        <v>0</v>
      </c>
      <c r="E51" s="26">
        <v>0</v>
      </c>
      <c r="F51" s="38">
        <f>Tabella122[[#This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Tabella122[[#This Row],[Percentage of Suppliers - Raw]]/$C$151</f>
        <v>0</v>
      </c>
      <c r="E52" s="26">
        <v>0</v>
      </c>
      <c r="F52" s="38">
        <f>Tabella122[[#This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2.86E-2</v>
      </c>
      <c r="D53" s="36">
        <f>Tabella122[[#This Row],[Percentage of Suppliers - Raw]]/$C$151</f>
        <v>3.1284182892146135E-2</v>
      </c>
      <c r="E53" s="26">
        <v>5.9900000000000002E-2</v>
      </c>
      <c r="F53" s="38">
        <f>Tabella122[[#This Row],[Percentage of Supplier''s Facilities - Raw]]/$E$151</f>
        <v>6.0340485544474673E-2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Tabella122[[#This Row],[Percentage of Suppliers - Raw]]/$C$151</f>
        <v>0</v>
      </c>
      <c r="E54" s="26">
        <v>2.9999999999999997E-4</v>
      </c>
      <c r="F54" s="38">
        <f>Tabella122[[#This Row],[Percentage of Supplier''s Facilities - Raw]]/$E$151</f>
        <v>3.0220610456331218E-4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Tabella122[[#This Row],[Percentage of Suppliers - Raw]]/$C$151</f>
        <v>0</v>
      </c>
      <c r="E55" s="26">
        <v>1.4E-3</v>
      </c>
      <c r="F55" s="38">
        <f>Tabella122[[#This Row],[Percentage of Supplier''s Facilities - Raw]]/$E$151</f>
        <v>1.4102951546287902E-3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Tabella122[[#This Row],[Percentage of Suppliers - Raw]]/$C$151</f>
        <v>0</v>
      </c>
      <c r="E56" s="26">
        <v>5.0000000000000001E-4</v>
      </c>
      <c r="F56" s="38">
        <f>Tabella122[[#This Row],[Percentage of Supplier''s Facilities - Raw]]/$E$151</f>
        <v>5.036768409388537E-4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Tabella122[[#This Row],[Percentage of Suppliers - Raw]]/$C$151</f>
        <v>0</v>
      </c>
      <c r="E57" s="26">
        <v>0</v>
      </c>
      <c r="F57" s="38">
        <f>Tabella122[[#This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Tabella122[[#This Row],[Percentage of Suppliers - Raw]]/$C$151</f>
        <v>0</v>
      </c>
      <c r="E58" s="26">
        <v>0</v>
      </c>
      <c r="F58" s="38">
        <f>Tabella122[[#This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Tabella122[[#This Row],[Percentage of Suppliers - Raw]]/$C$151</f>
        <v>0</v>
      </c>
      <c r="E59" s="26">
        <v>0</v>
      </c>
      <c r="F59" s="38">
        <f>Tabella122[[#This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Tabella122[[#This Row],[Percentage of Suppliers - Raw]]/$C$151</f>
        <v>0</v>
      </c>
      <c r="E60" s="26">
        <v>0</v>
      </c>
      <c r="F60" s="38">
        <f>Tabella122[[#This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Tabella122[[#This Row],[Percentage of Suppliers - Raw]]/$C$151</f>
        <v>0</v>
      </c>
      <c r="E61" s="26">
        <v>2.0000000000000001E-4</v>
      </c>
      <c r="F61" s="38">
        <f>Tabella122[[#This Row],[Percentage of Supplier''s Facilities - Raw]]/$E$151</f>
        <v>2.0147073637554147E-4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Tabella122[[#This Row],[Percentage of Suppliers - Raw]]/$C$151</f>
        <v>0</v>
      </c>
      <c r="E62" s="26">
        <v>2.8999999999999998E-3</v>
      </c>
      <c r="F62" s="38">
        <f>Tabella122[[#This Row],[Percentage of Supplier''s Facilities - Raw]]/$E$151</f>
        <v>2.9213256774453509E-3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Tabella122[[#This Row],[Percentage of Suppliers - Raw]]/$C$151</f>
        <v>0</v>
      </c>
      <c r="E63" s="26">
        <v>0</v>
      </c>
      <c r="F63" s="38">
        <f>Tabella122[[#This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4.2900000000000001E-2</v>
      </c>
      <c r="D64" s="36">
        <f>Tabella122[[#This Row],[Percentage of Suppliers - Raw]]/$C$151</f>
        <v>4.69262743382192E-2</v>
      </c>
      <c r="E64" s="26">
        <v>3.1300000000000001E-2</v>
      </c>
      <c r="F64" s="38">
        <f>Tabella122[[#This Row],[Percentage of Supplier''s Facilities - Raw]]/$E$151</f>
        <v>3.1530170242772243E-2</v>
      </c>
    </row>
    <row r="65" spans="1:6" ht="19" x14ac:dyDescent="0.25">
      <c r="A65" s="31" t="s">
        <v>78</v>
      </c>
      <c r="B65" s="99">
        <v>4.92</v>
      </c>
      <c r="C65" s="22">
        <v>9.4999999999999998E-3</v>
      </c>
      <c r="D65" s="36">
        <f>Tabella122[[#This Row],[Percentage of Suppliers - Raw]]/$C$151</f>
        <v>1.0391599212426163E-2</v>
      </c>
      <c r="E65" s="26">
        <v>7.3000000000000001E-3</v>
      </c>
      <c r="F65" s="38">
        <f>Tabella122[[#This Row],[Percentage of Supplier''s Facilities - Raw]]/$E$151</f>
        <v>7.3536818777072636E-3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Tabella122[[#This Row],[Percentage of Suppliers - Raw]]/$C$151</f>
        <v>0</v>
      </c>
      <c r="E66" s="26">
        <v>2.0000000000000001E-4</v>
      </c>
      <c r="F66" s="38">
        <f>Tabella122[[#This Row],[Percentage of Supplier''s Facilities - Raw]]/$E$151</f>
        <v>2.0147073637554147E-4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Tabella122[[#This Row],[Percentage of Suppliers - Raw]]/$C$151</f>
        <v>0</v>
      </c>
      <c r="E67" s="26">
        <v>0</v>
      </c>
      <c r="F67" s="38">
        <f>Tabella122[[#This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Tabella122[[#This Row],[Percentage of Suppliers - Raw]]/$C$151</f>
        <v>0</v>
      </c>
      <c r="E68" s="26">
        <v>3.3E-3</v>
      </c>
      <c r="F68" s="38">
        <f>Tabella122[[#This Row],[Percentage of Supplier''s Facilities - Raw]]/$E$151</f>
        <v>3.3242671501964344E-3</v>
      </c>
    </row>
    <row r="69" spans="1:6" ht="19" x14ac:dyDescent="0.25">
      <c r="A69" s="31" t="s">
        <v>82</v>
      </c>
      <c r="B69" s="103">
        <v>4.6100000000000003</v>
      </c>
      <c r="C69" s="22">
        <v>4.7999999999999996E-3</v>
      </c>
      <c r="D69" s="36">
        <f>Tabella122[[#This Row],[Percentage of Suppliers - Raw]]/$C$151</f>
        <v>5.2504922336469029E-3</v>
      </c>
      <c r="E69" s="26">
        <v>1.1000000000000001E-3</v>
      </c>
      <c r="F69" s="38">
        <f>Tabella122[[#This Row],[Percentage of Supplier''s Facilities - Raw]]/$E$151</f>
        <v>1.1080890500654781E-3</v>
      </c>
    </row>
    <row r="70" spans="1:6" ht="19" x14ac:dyDescent="0.25">
      <c r="A70" s="31" t="s">
        <v>83</v>
      </c>
      <c r="B70" s="104">
        <v>3.84</v>
      </c>
      <c r="C70" s="22">
        <v>9.4999999999999998E-3</v>
      </c>
      <c r="D70" s="36">
        <f>Tabella122[[#This Row],[Percentage of Suppliers - Raw]]/$C$151</f>
        <v>1.0391599212426163E-2</v>
      </c>
      <c r="E70" s="26">
        <v>2.46E-2</v>
      </c>
      <c r="F70" s="38">
        <f>Tabella122[[#This Row],[Percentage of Supplier''s Facilities - Raw]]/$E$151</f>
        <v>2.4780900574191602E-2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Tabella122[[#This Row],[Percentage of Suppliers - Raw]]/$C$151</f>
        <v>0</v>
      </c>
      <c r="E71" s="26">
        <v>0</v>
      </c>
      <c r="F71" s="38">
        <f>Tabella122[[#This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1.9E-2</v>
      </c>
      <c r="D72" s="36">
        <f>Tabella122[[#This Row],[Percentage of Suppliers - Raw]]/$C$151</f>
        <v>2.0783198424852326E-2</v>
      </c>
      <c r="E72" s="26">
        <v>2.1100000000000001E-2</v>
      </c>
      <c r="F72" s="38">
        <f>Tabella122[[#This Row],[Percentage of Supplier''s Facilities - Raw]]/$E$151</f>
        <v>2.1255162687619625E-2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Tabella122[[#This Row],[Percentage of Suppliers - Raw]]/$C$151</f>
        <v>0</v>
      </c>
      <c r="E73" s="26">
        <v>0</v>
      </c>
      <c r="F73" s="38">
        <f>Tabella122[[#This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Tabella122[[#This Row],[Percentage of Suppliers - Raw]]/$C$151</f>
        <v>0</v>
      </c>
      <c r="E74" s="26">
        <v>5.0000000000000001E-4</v>
      </c>
      <c r="F74" s="38">
        <f>Tabella122[[#This Row],[Percentage of Supplier''s Facilities - Raw]]/$E$151</f>
        <v>5.036768409388537E-4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Tabella122[[#This Row],[Percentage of Suppliers - Raw]]/$C$151</f>
        <v>0</v>
      </c>
      <c r="E75" s="26">
        <v>2.0000000000000001E-4</v>
      </c>
      <c r="F75" s="38">
        <f>Tabella122[[#This Row],[Percentage of Supplier''s Facilities - Raw]]/$E$151</f>
        <v>2.0147073637554147E-4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Tabella122[[#This Row],[Percentage of Suppliers - Raw]]/$C$151</f>
        <v>0</v>
      </c>
      <c r="E76" s="26">
        <v>0</v>
      </c>
      <c r="F76" s="38">
        <f>Tabella122[[#This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Tabella122[[#This Row],[Percentage of Suppliers - Raw]]/$C$151</f>
        <v>0</v>
      </c>
      <c r="E77" s="26">
        <v>0</v>
      </c>
      <c r="F77" s="38">
        <f>Tabella122[[#This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Tabella122[[#This Row],[Percentage of Suppliers - Raw]]/$C$151</f>
        <v>0</v>
      </c>
      <c r="E78" s="26">
        <v>0</v>
      </c>
      <c r="F78" s="38">
        <f>Tabella122[[#This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Tabella122[[#This Row],[Percentage of Suppliers - Raw]]/$C$151</f>
        <v>0</v>
      </c>
      <c r="E79" s="26">
        <v>2.9999999999999997E-4</v>
      </c>
      <c r="F79" s="38">
        <f>Tabella122[[#This Row],[Percentage of Supplier''s Facilities - Raw]]/$E$151</f>
        <v>3.0220610456331218E-4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Tabella122[[#This Row],[Percentage of Suppliers - Raw]]/$C$151</f>
        <v>0</v>
      </c>
      <c r="E80" s="26">
        <v>0</v>
      </c>
      <c r="F80" s="38">
        <f>Tabella122[[#This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Tabella122[[#This Row],[Percentage of Suppliers - Raw]]/$C$151</f>
        <v>0</v>
      </c>
      <c r="E81" s="26">
        <v>0</v>
      </c>
      <c r="F81" s="38">
        <f>Tabella122[[#This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Tabella122[[#This Row],[Percentage of Suppliers - Raw]]/$C$151</f>
        <v>0</v>
      </c>
      <c r="E82" s="26">
        <v>0</v>
      </c>
      <c r="F82" s="38">
        <f>Tabella122[[#This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Tabella122[[#This Row],[Percentage of Suppliers - Raw]]/$C$151</f>
        <v>0</v>
      </c>
      <c r="E83" s="26">
        <v>0</v>
      </c>
      <c r="F83" s="38">
        <f>Tabella122[[#This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Tabella122[[#This Row],[Percentage of Suppliers - Raw]]/$C$151</f>
        <v>0</v>
      </c>
      <c r="E84" s="26">
        <v>5.0000000000000001E-4</v>
      </c>
      <c r="F84" s="38">
        <f>Tabella122[[#This Row],[Percentage of Supplier''s Facilities - Raw]]/$E$151</f>
        <v>5.036768409388537E-4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Tabella122[[#This Row],[Percentage of Suppliers - Raw]]/$C$151</f>
        <v>0</v>
      </c>
      <c r="E85" s="26">
        <v>5.0000000000000001E-4</v>
      </c>
      <c r="F85" s="38">
        <f>Tabella122[[#This Row],[Percentage of Supplier''s Facilities - Raw]]/$E$151</f>
        <v>5.036768409388537E-4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Tabella122[[#This Row],[Percentage of Suppliers - Raw]]/$C$151</f>
        <v>0</v>
      </c>
      <c r="E86" s="26">
        <v>0</v>
      </c>
      <c r="F86" s="38">
        <f>Tabella122[[#This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9.4999999999999998E-3</v>
      </c>
      <c r="D87" s="36">
        <f>Tabella122[[#This Row],[Percentage of Suppliers - Raw]]/$C$151</f>
        <v>1.0391599212426163E-2</v>
      </c>
      <c r="E87" s="26">
        <v>6.7999999999999996E-3</v>
      </c>
      <c r="F87" s="38">
        <f>Tabella122[[#This Row],[Percentage of Supplier''s Facilities - Raw]]/$E$151</f>
        <v>6.8500050367684097E-3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Tabella122[[#This Row],[Percentage of Suppliers - Raw]]/$C$151</f>
        <v>0</v>
      </c>
      <c r="E88" s="26">
        <v>2.0000000000000001E-4</v>
      </c>
      <c r="F88" s="38">
        <f>Tabella122[[#This Row],[Percentage of Supplier''s Facilities - Raw]]/$E$151</f>
        <v>2.0147073637554147E-4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Tabella122[[#This Row],[Percentage of Suppliers - Raw]]/$C$151</f>
        <v>0</v>
      </c>
      <c r="E89" s="26">
        <v>0</v>
      </c>
      <c r="F89" s="38">
        <f>Tabella122[[#This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Tabella122[[#This Row],[Percentage of Suppliers - Raw]]/$C$151</f>
        <v>0</v>
      </c>
      <c r="E90" s="26">
        <v>0</v>
      </c>
      <c r="F90" s="38">
        <f>Tabella122[[#This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9.4999999999999998E-3</v>
      </c>
      <c r="D91" s="36">
        <f>Tabella122[[#This Row],[Percentage of Suppliers - Raw]]/$C$151</f>
        <v>1.0391599212426163E-2</v>
      </c>
      <c r="E91" s="26">
        <v>1.7299999999999999E-2</v>
      </c>
      <c r="F91" s="38">
        <f>Tabella122[[#This Row],[Percentage of Supplier''s Facilities - Raw]]/$E$151</f>
        <v>1.7427218696484337E-2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Tabella122[[#This Row],[Percentage of Suppliers - Raw]]/$C$151</f>
        <v>0</v>
      </c>
      <c r="E92" s="26">
        <v>2.0000000000000001E-4</v>
      </c>
      <c r="F92" s="38">
        <f>Tabella122[[#This Row],[Percentage of Supplier''s Facilities - Raw]]/$E$151</f>
        <v>2.0147073637554147E-4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Tabella122[[#This Row],[Percentage of Suppliers - Raw]]/$C$151</f>
        <v>0</v>
      </c>
      <c r="E93" s="26">
        <v>0</v>
      </c>
      <c r="F93" s="38">
        <f>Tabella122[[#This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Tabella122[[#This Row],[Percentage of Suppliers - Raw]]/$C$151</f>
        <v>0</v>
      </c>
      <c r="E94" s="26">
        <v>1.2999999999999999E-3</v>
      </c>
      <c r="F94" s="38">
        <f>Tabella122[[#This Row],[Percentage of Supplier''s Facilities - Raw]]/$E$151</f>
        <v>1.3095597864410196E-3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Tabella122[[#This Row],[Percentage of Suppliers - Raw]]/$C$151</f>
        <v>0</v>
      </c>
      <c r="E95" s="26">
        <v>0</v>
      </c>
      <c r="F95" s="38">
        <f>Tabella122[[#This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Tabella122[[#This Row],[Percentage of Suppliers - Raw]]/$C$151</f>
        <v>0</v>
      </c>
      <c r="E96" s="26">
        <v>2.9999999999999997E-4</v>
      </c>
      <c r="F96" s="38">
        <f>Tabella122[[#This Row],[Percentage of Supplier''s Facilities - Raw]]/$E$151</f>
        <v>3.0220610456331218E-4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Tabella122[[#This Row],[Percentage of Suppliers - Raw]]/$C$151</f>
        <v>0</v>
      </c>
      <c r="E97" s="26">
        <v>0</v>
      </c>
      <c r="F97" s="38">
        <f>Tabella122[[#This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9.4999999999999998E-3</v>
      </c>
      <c r="D98" s="36">
        <f>Tabella122[[#This Row],[Percentage of Suppliers - Raw]]/$C$151</f>
        <v>1.0391599212426163E-2</v>
      </c>
      <c r="E98" s="26">
        <v>1.35E-2</v>
      </c>
      <c r="F98" s="38">
        <f>Tabella122[[#This Row],[Percentage of Supplier''s Facilities - Raw]]/$E$151</f>
        <v>1.359927470534905E-2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Tabella122[[#This Row],[Percentage of Suppliers - Raw]]/$C$151</f>
        <v>0</v>
      </c>
      <c r="E99" s="26">
        <v>3.5000000000000001E-3</v>
      </c>
      <c r="F99" s="38">
        <f>Tabella122[[#This Row],[Percentage of Supplier''s Facilities - Raw]]/$E$151</f>
        <v>3.5257378865719757E-3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Tabella122[[#This Row],[Percentage of Suppliers - Raw]]/$C$151</f>
        <v>0</v>
      </c>
      <c r="E100" s="26">
        <v>0</v>
      </c>
      <c r="F100" s="38">
        <f>Tabella122[[#This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Tabella122[[#This Row],[Percentage of Suppliers - Raw]]/$C$151</f>
        <v>0</v>
      </c>
      <c r="E101" s="26">
        <v>0</v>
      </c>
      <c r="F101" s="38">
        <f>Tabella122[[#This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Tabella122[[#This Row],[Percentage of Suppliers - Raw]]/$C$151</f>
        <v>0</v>
      </c>
      <c r="E102" s="26">
        <v>1.2999999999999999E-3</v>
      </c>
      <c r="F102" s="38">
        <f>Tabella122[[#This Row],[Percentage of Supplier''s Facilities - Raw]]/$E$151</f>
        <v>1.3095597864410196E-3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Tabella122[[#This Row],[Percentage of Suppliers - Raw]]/$C$151</f>
        <v>0</v>
      </c>
      <c r="E103" s="26">
        <v>2.9999999999999997E-4</v>
      </c>
      <c r="F103" s="38">
        <f>Tabella122[[#This Row],[Percentage of Supplier''s Facilities - Raw]]/$E$151</f>
        <v>3.0220610456331218E-4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Tabella122[[#This Row],[Percentage of Suppliers - Raw]]/$C$151</f>
        <v>0</v>
      </c>
      <c r="E104" s="26">
        <v>1.2999999999999999E-3</v>
      </c>
      <c r="F104" s="38">
        <f>Tabella122[[#This Row],[Percentage of Supplier''s Facilities - Raw]]/$E$151</f>
        <v>1.3095597864410196E-3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Tabella122[[#This Row],[Percentage of Suppliers - Raw]]/$C$151</f>
        <v>0</v>
      </c>
      <c r="E105" s="26">
        <v>2.9999999999999997E-4</v>
      </c>
      <c r="F105" s="38">
        <f>Tabella122[[#This Row],[Percentage of Supplier''s Facilities - Raw]]/$E$151</f>
        <v>3.0220610456331218E-4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Tabella122[[#This Row],[Percentage of Suppliers - Raw]]/$C$151</f>
        <v>0</v>
      </c>
      <c r="E106" s="26">
        <v>1.1000000000000001E-3</v>
      </c>
      <c r="F106" s="38">
        <f>Tabella122[[#This Row],[Percentage of Supplier''s Facilities - Raw]]/$E$151</f>
        <v>1.1080890500654781E-3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Tabella122[[#This Row],[Percentage of Suppliers - Raw]]/$C$151</f>
        <v>0</v>
      </c>
      <c r="E107" s="26">
        <v>0</v>
      </c>
      <c r="F107" s="38">
        <f>Tabella122[[#This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Tabella122[[#This Row],[Percentage of Suppliers - Raw]]/$C$151</f>
        <v>0</v>
      </c>
      <c r="E108" s="26">
        <v>0</v>
      </c>
      <c r="F108" s="38">
        <f>Tabella122[[#This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Tabella122[[#This Row],[Percentage of Suppliers - Raw]]/$C$151</f>
        <v>0</v>
      </c>
      <c r="E109" s="26">
        <v>5.9999999999999995E-4</v>
      </c>
      <c r="F109" s="38">
        <f>Tabella122[[#This Row],[Percentage of Supplier''s Facilities - Raw]]/$E$151</f>
        <v>6.0441220912662436E-4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Tabella122[[#This Row],[Percentage of Suppliers - Raw]]/$C$151</f>
        <v>0</v>
      </c>
      <c r="E110" s="26">
        <v>1.4E-3</v>
      </c>
      <c r="F110" s="38">
        <f>Tabella122[[#This Row],[Percentage of Supplier''s Facilities - Raw]]/$E$151</f>
        <v>1.4102951546287902E-3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Tabella122[[#This Row],[Percentage of Suppliers - Raw]]/$C$151</f>
        <v>0</v>
      </c>
      <c r="E111" s="26">
        <v>3.5000000000000001E-3</v>
      </c>
      <c r="F111" s="38">
        <f>Tabella122[[#This Row],[Percentage of Supplier''s Facilities - Raw]]/$E$151</f>
        <v>3.5257378865719757E-3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Tabella122[[#This Row],[Percentage of Suppliers - Raw]]/$C$151</f>
        <v>0</v>
      </c>
      <c r="E112" s="26">
        <v>1.46E-2</v>
      </c>
      <c r="F112" s="38">
        <f>Tabella122[[#This Row],[Percentage of Supplier''s Facilities - Raw]]/$E$151</f>
        <v>1.4707363755414527E-2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Tabella122[[#This Row],[Percentage of Suppliers - Raw]]/$C$151</f>
        <v>0</v>
      </c>
      <c r="E113" s="26">
        <v>2.5000000000000001E-3</v>
      </c>
      <c r="F113" s="38">
        <f>Tabella122[[#This Row],[Percentage of Supplier''s Facilities - Raw]]/$E$151</f>
        <v>2.5183842046942683E-3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Tabella122[[#This Row],[Percentage of Suppliers - Raw]]/$C$151</f>
        <v>0</v>
      </c>
      <c r="E114" s="26">
        <v>2.9999999999999997E-4</v>
      </c>
      <c r="F114" s="38">
        <f>Tabella122[[#This Row],[Percentage of Supplier''s Facilities - Raw]]/$E$151</f>
        <v>3.0220610456331218E-4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Tabella122[[#This Row],[Percentage of Suppliers - Raw]]/$C$151</f>
        <v>0</v>
      </c>
      <c r="E115" s="26">
        <v>1.4E-3</v>
      </c>
      <c r="F115" s="38">
        <f>Tabella122[[#This Row],[Percentage of Supplier''s Facilities - Raw]]/$E$151</f>
        <v>1.4102951546287902E-3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Tabella122[[#This Row],[Percentage of Suppliers - Raw]]/$C$151</f>
        <v>0</v>
      </c>
      <c r="E116" s="26">
        <v>2.7000000000000001E-3</v>
      </c>
      <c r="F116" s="38">
        <f>Tabella122[[#This Row],[Percentage of Supplier''s Facilities - Raw]]/$E$151</f>
        <v>2.71985494106981E-3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Tabella122[[#This Row],[Percentage of Suppliers - Raw]]/$C$151</f>
        <v>0</v>
      </c>
      <c r="E117" s="26">
        <v>0</v>
      </c>
      <c r="F117" s="38">
        <f>Tabella122[[#This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Tabella122[[#This Row],[Percentage of Suppliers - Raw]]/$C$151</f>
        <v>0</v>
      </c>
      <c r="E118" s="26">
        <v>2.8999999999999998E-3</v>
      </c>
      <c r="F118" s="38">
        <f>Tabella122[[#This Row],[Percentage of Supplier''s Facilities - Raw]]/$E$151</f>
        <v>2.9213256774453509E-3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Tabella122[[#This Row],[Percentage of Suppliers - Raw]]/$C$151</f>
        <v>0</v>
      </c>
      <c r="E119" s="26">
        <v>2.0000000000000001E-4</v>
      </c>
      <c r="F119" s="38">
        <f>Tabella122[[#This Row],[Percentage of Supplier''s Facilities - Raw]]/$E$151</f>
        <v>2.0147073637554147E-4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Tabella122[[#This Row],[Percentage of Suppliers - Raw]]/$C$151</f>
        <v>0</v>
      </c>
      <c r="E120" s="26">
        <v>2.9999999999999997E-4</v>
      </c>
      <c r="F120" s="38">
        <f>Tabella122[[#This Row],[Percentage of Supplier''s Facilities - Raw]]/$E$151</f>
        <v>3.0220610456331218E-4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Tabella122[[#This Row],[Percentage of Suppliers - Raw]]/$C$151</f>
        <v>0</v>
      </c>
      <c r="E121" s="26">
        <v>0</v>
      </c>
      <c r="F121" s="38">
        <f>Tabella122[[#This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2.86E-2</v>
      </c>
      <c r="D122" s="36">
        <f>Tabella122[[#This Row],[Percentage of Suppliers - Raw]]/$C$151</f>
        <v>3.1284182892146135E-2</v>
      </c>
      <c r="E122" s="26">
        <v>6.7999999999999996E-3</v>
      </c>
      <c r="F122" s="38">
        <f>Tabella122[[#This Row],[Percentage of Supplier''s Facilities - Raw]]/$E$151</f>
        <v>6.8500050367684097E-3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Tabella122[[#This Row],[Percentage of Suppliers - Raw]]/$C$151</f>
        <v>0</v>
      </c>
      <c r="E123" s="26">
        <v>1.6999999999999999E-3</v>
      </c>
      <c r="F123" s="38">
        <f>Tabella122[[#This Row],[Percentage of Supplier''s Facilities - Raw]]/$E$151</f>
        <v>1.7125012591921024E-3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Tabella122[[#This Row],[Percentage of Suppliers - Raw]]/$C$151</f>
        <v>0</v>
      </c>
      <c r="E124" s="26">
        <v>1E-3</v>
      </c>
      <c r="F124" s="38">
        <f>Tabella122[[#This Row],[Percentage of Supplier''s Facilities - Raw]]/$E$151</f>
        <v>1.0073536818777074E-3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Tabella122[[#This Row],[Percentage of Suppliers - Raw]]/$C$151</f>
        <v>0</v>
      </c>
      <c r="E125" s="26">
        <v>6.7999999999999996E-3</v>
      </c>
      <c r="F125" s="38">
        <f>Tabella122[[#This Row],[Percentage of Supplier''s Facilities - Raw]]/$E$151</f>
        <v>6.8500050367684097E-3</v>
      </c>
    </row>
    <row r="126" spans="1:6" ht="19" x14ac:dyDescent="0.25">
      <c r="A126" s="31" t="s">
        <v>139</v>
      </c>
      <c r="B126" s="151">
        <v>3.57</v>
      </c>
      <c r="C126" s="22">
        <v>6.1899999999999997E-2</v>
      </c>
      <c r="D126" s="36">
        <f>Tabella122[[#This Row],[Percentage of Suppliers - Raw]]/$C$151</f>
        <v>6.7709472763071529E-2</v>
      </c>
      <c r="E126" s="26">
        <v>2.0199999999999999E-2</v>
      </c>
      <c r="F126" s="38">
        <f>Tabella122[[#This Row],[Percentage of Supplier''s Facilities - Raw]]/$E$151</f>
        <v>2.0348544373929689E-2</v>
      </c>
    </row>
    <row r="127" spans="1:6" ht="19" x14ac:dyDescent="0.25">
      <c r="A127" s="31" t="s">
        <v>140</v>
      </c>
      <c r="B127" s="152">
        <v>3.7</v>
      </c>
      <c r="C127" s="22">
        <v>2.3800000000000002E-2</v>
      </c>
      <c r="D127" s="36">
        <f>Tabella122[[#This Row],[Percentage of Suppliers - Raw]]/$C$151</f>
        <v>2.6033690658499233E-2</v>
      </c>
      <c r="E127" s="26">
        <v>2.3300000000000001E-2</v>
      </c>
      <c r="F127" s="38">
        <f>Tabella122[[#This Row],[Percentage of Supplier''s Facilities - Raw]]/$E$151</f>
        <v>2.3471340787750584E-2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Tabella122[[#This Row],[Percentage of Suppliers - Raw]]/$C$151</f>
        <v>0</v>
      </c>
      <c r="E128" s="26">
        <v>2.0000000000000001E-4</v>
      </c>
      <c r="F128" s="38">
        <f>Tabella122[[#This Row],[Percentage of Supplier''s Facilities - Raw]]/$E$151</f>
        <v>2.0147073637554147E-4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Tabella122[[#This Row],[Percentage of Suppliers - Raw]]/$C$151</f>
        <v>0</v>
      </c>
      <c r="E129" s="26">
        <v>0</v>
      </c>
      <c r="F129" s="38">
        <f>Tabella122[[#This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1.9E-2</v>
      </c>
      <c r="D130" s="36">
        <f>Tabella122[[#This Row],[Percentage of Suppliers - Raw]]/$C$151</f>
        <v>2.0783198424852326E-2</v>
      </c>
      <c r="E130" s="26">
        <v>1.0999999999999999E-2</v>
      </c>
      <c r="F130" s="38">
        <f>Tabella122[[#This Row],[Percentage of Supplier''s Facilities - Raw]]/$E$151</f>
        <v>1.1080890500654781E-2</v>
      </c>
    </row>
    <row r="131" spans="1:6" ht="19" x14ac:dyDescent="0.25">
      <c r="A131" s="31" t="s">
        <v>144</v>
      </c>
      <c r="B131" s="154">
        <v>2.78</v>
      </c>
      <c r="C131" s="22">
        <v>0</v>
      </c>
      <c r="D131" s="36">
        <f>Tabella122[[#This Row],[Percentage of Suppliers - Raw]]/$C$151</f>
        <v>0</v>
      </c>
      <c r="E131" s="26">
        <v>6.7000000000000002E-3</v>
      </c>
      <c r="F131" s="38">
        <f>Tabella122[[#This Row],[Percentage of Supplier''s Facilities - Raw]]/$E$151</f>
        <v>6.7492696685806392E-3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Tabella122[[#This Row],[Percentage of Suppliers - Raw]]/$C$151</f>
        <v>0</v>
      </c>
      <c r="E132" s="26">
        <v>0</v>
      </c>
      <c r="F132" s="38">
        <f>Tabella122[[#This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Tabella122[[#This Row],[Percentage of Suppliers - Raw]]/$C$151</f>
        <v>0</v>
      </c>
      <c r="E133" s="26">
        <v>0</v>
      </c>
      <c r="F133" s="38">
        <f>Tabella122[[#This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4.7999999999999996E-3</v>
      </c>
      <c r="D134" s="36">
        <f>Tabella122[[#This Row],[Percentage of Suppliers - Raw]]/$C$151</f>
        <v>5.2504922336469029E-3</v>
      </c>
      <c r="E134" s="26">
        <v>9.1999999999999998E-3</v>
      </c>
      <c r="F134" s="38">
        <f>Tabella122[[#This Row],[Percentage of Supplier''s Facilities - Raw]]/$E$151</f>
        <v>9.2676538732749079E-3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Tabella122[[#This Row],[Percentage of Suppliers - Raw]]/$C$151</f>
        <v>0</v>
      </c>
      <c r="E135" s="26">
        <v>0</v>
      </c>
      <c r="F135" s="38">
        <f>Tabella122[[#This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Tabella122[[#This Row],[Percentage of Suppliers - Raw]]/$C$151</f>
        <v>0</v>
      </c>
      <c r="E136" s="26">
        <v>0</v>
      </c>
      <c r="F136" s="38">
        <f>Tabella122[[#This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Tabella122[[#This Row],[Percentage of Suppliers - Raw]]/$C$151</f>
        <v>0</v>
      </c>
      <c r="E137" s="26">
        <v>0</v>
      </c>
      <c r="F137" s="38">
        <f>Tabella122[[#This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Tabella122[[#This Row],[Percentage of Suppliers - Raw]]/$C$151</f>
        <v>0</v>
      </c>
      <c r="E138" s="26">
        <v>1.1000000000000001E-3</v>
      </c>
      <c r="F138" s="38">
        <f>Tabella122[[#This Row],[Percentage of Supplier''s Facilities - Raw]]/$E$151</f>
        <v>1.1080890500654781E-3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Tabella122[[#This Row],[Percentage of Suppliers - Raw]]/$C$151</f>
        <v>0</v>
      </c>
      <c r="E139" s="26">
        <v>5.5999999999999999E-3</v>
      </c>
      <c r="F139" s="38">
        <f>Tabella122[[#This Row],[Percentage of Supplier''s Facilities - Raw]]/$E$151</f>
        <v>5.6411806185151609E-3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Tabella122[[#This Row],[Percentage of Suppliers - Raw]]/$C$151</f>
        <v>0</v>
      </c>
      <c r="E140" s="26">
        <v>0</v>
      </c>
      <c r="F140" s="38">
        <f>Tabella122[[#This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Tabella122[[#This Row],[Percentage of Suppliers - Raw]]/$C$151</f>
        <v>0</v>
      </c>
      <c r="E141" s="26">
        <v>5.0000000000000001E-4</v>
      </c>
      <c r="F141" s="38">
        <f>Tabella122[[#This Row],[Percentage of Supplier''s Facilities - Raw]]/$E$151</f>
        <v>5.036768409388537E-4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Tabella122[[#This Row],[Percentage of Suppliers - Raw]]/$C$151</f>
        <v>0</v>
      </c>
      <c r="E142" s="26">
        <v>2.7000000000000001E-3</v>
      </c>
      <c r="F142" s="38">
        <f>Tabella122[[#This Row],[Percentage of Supplier''s Facilities - Raw]]/$E$151</f>
        <v>2.71985494106981E-3</v>
      </c>
    </row>
    <row r="143" spans="1:6" ht="19" x14ac:dyDescent="0.25">
      <c r="A143" s="31" t="s">
        <v>156</v>
      </c>
      <c r="B143" s="128">
        <v>3.32</v>
      </c>
      <c r="C143" s="22">
        <v>8.1000000000000003E-2</v>
      </c>
      <c r="D143" s="36">
        <f>Tabella122[[#This Row],[Percentage of Suppliers - Raw]]/$C$151</f>
        <v>8.8602056442791496E-2</v>
      </c>
      <c r="E143" s="26">
        <v>6.4899999999999999E-2</v>
      </c>
      <c r="F143" s="38">
        <f>Tabella122[[#This Row],[Percentage of Supplier''s Facilities - Raw]]/$E$151</f>
        <v>6.5377253953863207E-2</v>
      </c>
    </row>
    <row r="144" spans="1:6" ht="19" x14ac:dyDescent="0.25">
      <c r="A144" s="31" t="s">
        <v>157</v>
      </c>
      <c r="B144" s="165">
        <v>4.1900000000000004</v>
      </c>
      <c r="C144" s="22">
        <v>0.23330000000000001</v>
      </c>
      <c r="D144" s="36">
        <f>Tabella122[[#This Row],[Percentage of Suppliers - Raw]]/$C$151</f>
        <v>0.25519579960621308</v>
      </c>
      <c r="E144" s="26">
        <v>0.35410000000000003</v>
      </c>
      <c r="F144" s="38">
        <f>Tabella122[[#This Row],[Percentage of Supplier''s Facilities - Raw]]/$E$151</f>
        <v>0.35670393875289619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Tabella122[[#This Row],[Percentage of Suppliers - Raw]]/$C$151</f>
        <v>0</v>
      </c>
      <c r="E145" s="26">
        <v>5.0000000000000001E-4</v>
      </c>
      <c r="F145" s="38">
        <f>Tabella122[[#This Row],[Percentage of Supplier''s Facilities - Raw]]/$E$151</f>
        <v>5.036768409388537E-4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Tabella122[[#This Row],[Percentage of Suppliers - Raw]]/$C$151</f>
        <v>0</v>
      </c>
      <c r="E146" s="26">
        <v>2.2000000000000001E-3</v>
      </c>
      <c r="F146" s="38">
        <f>Tabella122[[#This Row],[Percentage of Supplier''s Facilities - Raw]]/$E$151</f>
        <v>2.2161781001309561E-3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Tabella122[[#This Row],[Percentage of Suppliers - Raw]]/$C$151</f>
        <v>0</v>
      </c>
      <c r="E147" s="26">
        <v>6.4999999999999997E-3</v>
      </c>
      <c r="F147" s="38">
        <f>Tabella122[[#This Row],[Percentage of Supplier''s Facilities - Raw]]/$E$151</f>
        <v>6.5477989322050975E-3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Tabella122[[#This Row],[Percentage of Suppliers - Raw]]/$C$151</f>
        <v>0</v>
      </c>
      <c r="E148" s="26">
        <v>0</v>
      </c>
      <c r="F148" s="38">
        <f>Tabella122[[#This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Tabella122[[#This Row],[Percentage of Suppliers - Raw]]/$C$151</f>
        <v>0</v>
      </c>
      <c r="E149" s="26">
        <v>0</v>
      </c>
      <c r="F149" s="38">
        <f>Tabella122[[#This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Tabella122[[#This Row],[Percentage of Suppliers - Raw]]/$C$151</f>
        <v>0</v>
      </c>
      <c r="E150" s="26">
        <v>0</v>
      </c>
      <c r="F150" s="38">
        <f>Tabella122[[#This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0.91420000000000012</v>
      </c>
      <c r="D151" s="39">
        <f>Tabella122[[#This Row],[Percentage of Suppliers - Raw]]/$C$151</f>
        <v>1</v>
      </c>
      <c r="E151" s="25">
        <f>SUM(E4:E150)</f>
        <v>0.99269999999999992</v>
      </c>
      <c r="F151" s="39">
        <f>SUM(F4:F150)</f>
        <v>1.0000000000000002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A12C-C4AA-314C-A380-30CE1FC7DC93}">
  <dimension ref="A1:P151"/>
  <sheetViews>
    <sheetView workbookViewId="0">
      <selection activeCell="P9" sqref="P9"/>
    </sheetView>
  </sheetViews>
  <sheetFormatPr baseColWidth="10" defaultColWidth="10.6640625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187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Tabella123[[#This Row],[Percentage of Suppliers - Raw]]/$C$151</f>
        <v>0</v>
      </c>
      <c r="E4" s="26">
        <v>0</v>
      </c>
      <c r="F4" s="38">
        <f>Tabella123[[#This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Tabella123[[#This Row],[Percentage of Suppliers - Raw]]/$C$151</f>
        <v>0</v>
      </c>
      <c r="E5" s="26">
        <v>2.2000000000000001E-3</v>
      </c>
      <c r="F5" s="38">
        <f>Tabella123[[#This Row],[Percentage of Supplier''s Facilities - Raw]]/$E$151</f>
        <v>2.1749876421156707E-3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Tabella123[[#This Row],[Percentage of Suppliers - Raw]]/$C$151</f>
        <v>0</v>
      </c>
      <c r="E6" s="26">
        <v>0</v>
      </c>
      <c r="F6" s="38">
        <f>Tabella123[[#This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Tabella123[[#This Row],[Percentage of Suppliers - Raw]]/$C$151</f>
        <v>0</v>
      </c>
      <c r="E7" s="26">
        <v>6.4999999999999997E-3</v>
      </c>
      <c r="F7" s="38">
        <f>Tabella123[[#This Row],[Percentage of Supplier''s Facilities - Raw]]/$E$151</f>
        <v>6.4260998517053905E-3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Tabella123[[#This Row],[Percentage of Suppliers - Raw]]/$C$151</f>
        <v>0</v>
      </c>
      <c r="E8" s="26">
        <v>0</v>
      </c>
      <c r="F8" s="38">
        <f>Tabella123[[#This Row],[Percentage of Supplier''s Facilities - Raw]]/$E$151</f>
        <v>0</v>
      </c>
      <c r="H8" s="17" t="s">
        <v>18</v>
      </c>
      <c r="I8" s="18" t="str">
        <f>INDEX(A4:A150,MATCH(MAX(D4:D150),D4:D150,0))</f>
        <v>France</v>
      </c>
      <c r="J8" s="18">
        <f>INDEX(B4:B150,MATCH(MAX(D4:D150),D4:D150,0))</f>
        <v>3.65</v>
      </c>
      <c r="K8" s="19">
        <f>INDEX(D4:D150,MATCH(MAX(D4:D150),D4:D150,0))</f>
        <v>0.24213349840090789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4.26</v>
      </c>
      <c r="P8" s="19">
        <f>INDEX(F4:F150,MATCH(MAX(F4:F150),F4:F150,0))</f>
        <v>0.2412259021255562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Tabella123[[#This Row],[Percentage of Suppliers - Raw]]/$C$151</f>
        <v>0</v>
      </c>
      <c r="E9" s="26">
        <v>1.7399999999999999E-2</v>
      </c>
      <c r="F9" s="38">
        <f>Tabella123[[#This Row],[Percentage of Supplier''s Facilities - Raw]]/$E$151</f>
        <v>1.7202174987642121E-2</v>
      </c>
      <c r="H9" s="20" t="s">
        <v>20</v>
      </c>
      <c r="I9" s="21"/>
      <c r="J9" s="21"/>
      <c r="K9" s="175">
        <f>SUMPRODUCT(B4:B150,D4:D150)</f>
        <v>3.752411018260601</v>
      </c>
      <c r="M9" s="20" t="s">
        <v>21</v>
      </c>
      <c r="N9" s="21"/>
      <c r="O9" s="21"/>
      <c r="P9" s="175">
        <f>SUMPRODUCT(B4:B150,F4:F150)</f>
        <v>4.1784399406821562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Tabella123[[#This Row],[Percentage of Suppliers - Raw]]/$C$151</f>
        <v>0</v>
      </c>
      <c r="E10" s="26">
        <v>2.2000000000000001E-3</v>
      </c>
      <c r="F10" s="38">
        <f>Tabella123[[#This Row],[Percentage of Supplier''s Facilities - Raw]]/$E$151</f>
        <v>2.1749876421156707E-3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Tabella123[[#This Row],[Percentage of Suppliers - Raw]]/$C$151</f>
        <v>0</v>
      </c>
      <c r="E11" s="26">
        <v>2.2000000000000001E-3</v>
      </c>
      <c r="F11" s="38">
        <f>Tabella123[[#This Row],[Percentage of Supplier''s Facilities - Raw]]/$E$151</f>
        <v>2.1749876421156707E-3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Tabella123[[#This Row],[Percentage of Suppliers - Raw]]/$C$151</f>
        <v>0</v>
      </c>
      <c r="E12" s="26">
        <v>0</v>
      </c>
      <c r="F12" s="38">
        <f>Tabella123[[#This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Tabella123[[#This Row],[Percentage of Suppliers - Raw]]/$C$151</f>
        <v>0</v>
      </c>
      <c r="E13" s="26">
        <v>0</v>
      </c>
      <c r="F13" s="38">
        <f>Tabella123[[#This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Tabella123[[#This Row],[Percentage of Suppliers - Raw]]/$C$151</f>
        <v>0</v>
      </c>
      <c r="E14" s="26">
        <v>0</v>
      </c>
      <c r="F14" s="38">
        <f>Tabella123[[#This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1.0200000000000001E-2</v>
      </c>
      <c r="D15" s="36">
        <f>Tabella123[[#This Row],[Percentage of Suppliers - Raw]]/$C$151</f>
        <v>1.0523057876818325E-2</v>
      </c>
      <c r="E15" s="26">
        <v>8.6999999999999994E-3</v>
      </c>
      <c r="F15" s="38">
        <f>Tabella123[[#This Row],[Percentage of Supplier''s Facilities - Raw]]/$E$151</f>
        <v>8.6010874938210607E-3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Tabella123[[#This Row],[Percentage of Suppliers - Raw]]/$C$151</f>
        <v>0</v>
      </c>
      <c r="E16" s="26">
        <v>0</v>
      </c>
      <c r="F16" s="38">
        <f>Tabella123[[#This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Tabella123[[#This Row],[Percentage of Suppliers - Raw]]/$C$151</f>
        <v>0</v>
      </c>
      <c r="E17" s="26">
        <v>0</v>
      </c>
      <c r="F17" s="38">
        <f>Tabella123[[#This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Tabella123[[#This Row],[Percentage of Suppliers - Raw]]/$C$151</f>
        <v>0</v>
      </c>
      <c r="E18" s="26">
        <v>0</v>
      </c>
      <c r="F18" s="38">
        <f>Tabella123[[#This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Tabella123[[#This Row],[Percentage of Suppliers - Raw]]/$C$151</f>
        <v>0</v>
      </c>
      <c r="E19" s="26">
        <v>0</v>
      </c>
      <c r="F19" s="38">
        <f>Tabella123[[#This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Tabella123[[#This Row],[Percentage of Suppliers - Raw]]/$C$151</f>
        <v>0</v>
      </c>
      <c r="E20" s="26">
        <v>0</v>
      </c>
      <c r="F20" s="38">
        <f>Tabella123[[#This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1.0200000000000001E-2</v>
      </c>
      <c r="D21" s="36">
        <f>Tabella123[[#This Row],[Percentage of Suppliers - Raw]]/$C$151</f>
        <v>1.0523057876818325E-2</v>
      </c>
      <c r="E21" s="26">
        <v>4.7899999999999998E-2</v>
      </c>
      <c r="F21" s="38">
        <f>Tabella123[[#This Row],[Percentage of Supplier''s Facilities - Raw]]/$E$151</f>
        <v>4.7355412753336643E-2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Tabella123[[#This Row],[Percentage of Suppliers - Raw]]/$C$151</f>
        <v>0</v>
      </c>
      <c r="E22" s="26">
        <v>0</v>
      </c>
      <c r="F22" s="38">
        <f>Tabella123[[#This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Tabella123[[#This Row],[Percentage of Suppliers - Raw]]/$C$151</f>
        <v>0</v>
      </c>
      <c r="E23" s="26">
        <v>0</v>
      </c>
      <c r="F23" s="38">
        <f>Tabella123[[#This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Tabella123[[#This Row],[Percentage of Suppliers - Raw]]/$C$151</f>
        <v>0</v>
      </c>
      <c r="E24" s="26">
        <v>0</v>
      </c>
      <c r="F24" s="38">
        <f>Tabella123[[#This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Tabella123[[#This Row],[Percentage of Suppliers - Raw]]/$C$151</f>
        <v>0</v>
      </c>
      <c r="E25" s="26">
        <v>2.2000000000000001E-3</v>
      </c>
      <c r="F25" s="38">
        <f>Tabella123[[#This Row],[Percentage of Supplier''s Facilities - Raw]]/$E$151</f>
        <v>2.1749876421156707E-3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Tabella123[[#This Row],[Percentage of Suppliers - Raw]]/$C$151</f>
        <v>0</v>
      </c>
      <c r="E26" s="26">
        <v>0</v>
      </c>
      <c r="F26" s="38">
        <f>Tabella123[[#This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1.0200000000000001E-2</v>
      </c>
      <c r="D27" s="36">
        <f>Tabella123[[#This Row],[Percentage of Suppliers - Raw]]/$C$151</f>
        <v>1.0523057876818325E-2</v>
      </c>
      <c r="E27" s="26">
        <v>3.6999999999999998E-2</v>
      </c>
      <c r="F27" s="38">
        <f>Tabella123[[#This Row],[Percentage of Supplier''s Facilities - Raw]]/$E$151</f>
        <v>3.6579337617399912E-2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Tabella123[[#This Row],[Percentage of Suppliers - Raw]]/$C$151</f>
        <v>0</v>
      </c>
      <c r="E28" s="26">
        <v>0</v>
      </c>
      <c r="F28" s="38">
        <f>Tabella123[[#This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Tabella123[[#This Row],[Percentage of Suppliers - Raw]]/$C$151</f>
        <v>0</v>
      </c>
      <c r="E29" s="26">
        <v>0</v>
      </c>
      <c r="F29" s="38">
        <f>Tabella123[[#This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1.0200000000000001E-2</v>
      </c>
      <c r="D30" s="36">
        <f>Tabella123[[#This Row],[Percentage of Suppliers - Raw]]/$C$151</f>
        <v>1.0523057876818325E-2</v>
      </c>
      <c r="E30" s="26">
        <v>4.4000000000000003E-3</v>
      </c>
      <c r="F30" s="38">
        <f>Tabella123[[#This Row],[Percentage of Supplier''s Facilities - Raw]]/$E$151</f>
        <v>4.3499752842313414E-3</v>
      </c>
    </row>
    <row r="31" spans="1:7" ht="19" x14ac:dyDescent="0.25">
      <c r="A31" s="31" t="s">
        <v>43</v>
      </c>
      <c r="B31" s="50">
        <v>4.26</v>
      </c>
      <c r="C31" s="22">
        <f xml:space="preserve"> 1.02% + 1.02%</f>
        <v>2.0400000000000001E-2</v>
      </c>
      <c r="D31" s="36">
        <f>Tabella123[[#This Row],[Percentage of Suppliers - Raw]]/$C$151</f>
        <v>2.104611575363665E-2</v>
      </c>
      <c r="E31" s="26">
        <v>0.24399999999999999</v>
      </c>
      <c r="F31" s="38">
        <f>Tabella123[[#This Row],[Percentage of Supplier''s Facilities - Raw]]/$E$151</f>
        <v>0.2412259021255562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Tabella123[[#This Row],[Percentage of Suppliers - Raw]]/$C$151</f>
        <v>0</v>
      </c>
      <c r="E32" s="26">
        <v>6.4999999999999997E-3</v>
      </c>
      <c r="F32" s="38">
        <f>Tabella123[[#This Row],[Percentage of Supplier''s Facilities - Raw]]/$E$151</f>
        <v>6.4260998517053905E-3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Tabella123[[#This Row],[Percentage of Suppliers - Raw]]/$C$151</f>
        <v>0</v>
      </c>
      <c r="E33" s="26">
        <v>0</v>
      </c>
      <c r="F33" s="38">
        <f>Tabella123[[#This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Tabella123[[#This Row],[Percentage of Suppliers - Raw]]/$C$151</f>
        <v>0</v>
      </c>
      <c r="E34" s="26">
        <v>0</v>
      </c>
      <c r="F34" s="38">
        <f>Tabella123[[#This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Tabella123[[#This Row],[Percentage of Suppliers - Raw]]/$C$151</f>
        <v>0</v>
      </c>
      <c r="E35" s="26">
        <v>0</v>
      </c>
      <c r="F35" s="38">
        <f>Tabella123[[#This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Tabella123[[#This Row],[Percentage of Suppliers - Raw]]/$C$151</f>
        <v>0</v>
      </c>
      <c r="E36" s="26">
        <v>0</v>
      </c>
      <c r="F36" s="38">
        <f>Tabella123[[#This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Tabella123[[#This Row],[Percentage of Suppliers - Raw]]/$C$151</f>
        <v>0</v>
      </c>
      <c r="E37" s="26">
        <v>0</v>
      </c>
      <c r="F37" s="38">
        <f>Tabella123[[#This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Tabella123[[#This Row],[Percentage of Suppliers - Raw]]/$C$151</f>
        <v>0</v>
      </c>
      <c r="E38" s="26">
        <v>2.2000000000000001E-3</v>
      </c>
      <c r="F38" s="38">
        <f>Tabella123[[#This Row],[Percentage of Supplier''s Facilities - Raw]]/$E$151</f>
        <v>2.1749876421156707E-3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Tabella123[[#This Row],[Percentage of Suppliers - Raw]]/$C$151</f>
        <v>0</v>
      </c>
      <c r="E39" s="26">
        <v>2.2000000000000001E-3</v>
      </c>
      <c r="F39" s="38">
        <f>Tabella123[[#This Row],[Percentage of Supplier''s Facilities - Raw]]/$E$151</f>
        <v>2.1749876421156707E-3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Tabella123[[#This Row],[Percentage of Suppliers - Raw]]/$C$151</f>
        <v>0</v>
      </c>
      <c r="E40" s="26">
        <v>0</v>
      </c>
      <c r="F40" s="38">
        <f>Tabella123[[#This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Tabella123[[#This Row],[Percentage of Suppliers - Raw]]/$C$151</f>
        <v>0</v>
      </c>
      <c r="E41" s="26">
        <v>0</v>
      </c>
      <c r="F41" s="38">
        <f>Tabella123[[#This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Tabella123[[#This Row],[Percentage of Suppliers - Raw]]/$C$151</f>
        <v>0</v>
      </c>
      <c r="E42" s="26">
        <v>6.4999999999999997E-3</v>
      </c>
      <c r="F42" s="38">
        <f>Tabella123[[#This Row],[Percentage of Supplier''s Facilities - Raw]]/$E$151</f>
        <v>6.4260998517053905E-3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Tabella123[[#This Row],[Percentage of Suppliers - Raw]]/$C$151</f>
        <v>0</v>
      </c>
      <c r="E43" s="26">
        <v>0</v>
      </c>
      <c r="F43" s="38">
        <f>Tabella123[[#This Row],[Percentage of Supplier''s Facilities - Raw]]/$E$151</f>
        <v>0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Tabella123[[#This Row],[Percentage of Suppliers - Raw]]/$C$151</f>
        <v>0</v>
      </c>
      <c r="E44" s="26">
        <v>0</v>
      </c>
      <c r="F44" s="38">
        <f>Tabella123[[#This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Tabella123[[#This Row],[Percentage of Suppliers - Raw]]/$C$151</f>
        <v>0</v>
      </c>
      <c r="E45" s="26">
        <v>0</v>
      </c>
      <c r="F45" s="38">
        <f>Tabella123[[#This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Tabella123[[#This Row],[Percentage of Suppliers - Raw]]/$C$151</f>
        <v>0</v>
      </c>
      <c r="E46" s="26">
        <v>0</v>
      </c>
      <c r="F46" s="38">
        <f>Tabella123[[#This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Tabella123[[#This Row],[Percentage of Suppliers - Raw]]/$C$151</f>
        <v>0</v>
      </c>
      <c r="E47" s="26">
        <v>0</v>
      </c>
      <c r="F47" s="38">
        <f>Tabella123[[#This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1.0200000000000001E-2</v>
      </c>
      <c r="D48" s="36">
        <f>Tabella123[[#This Row],[Percentage of Suppliers - Raw]]/$C$151</f>
        <v>1.0523057876818325E-2</v>
      </c>
      <c r="E48" s="26">
        <v>2.2000000000000001E-3</v>
      </c>
      <c r="F48" s="38">
        <f>Tabella123[[#This Row],[Percentage of Supplier''s Facilities - Raw]]/$E$151</f>
        <v>2.1749876421156707E-3</v>
      </c>
    </row>
    <row r="49" spans="1:6" ht="19" x14ac:dyDescent="0.25">
      <c r="A49" s="31" t="s">
        <v>62</v>
      </c>
      <c r="B49" s="84">
        <v>3.65</v>
      </c>
      <c r="C49" s="22">
        <v>0.23469999999999999</v>
      </c>
      <c r="D49" s="36">
        <f>Tabella123[[#This Row],[Percentage of Suppliers - Raw]]/$C$151</f>
        <v>0.24213349840090789</v>
      </c>
      <c r="E49" s="26">
        <v>9.8000000000000004E-2</v>
      </c>
      <c r="F49" s="38">
        <f>Tabella123[[#This Row],[Percentage of Supplier''s Facilities - Raw]]/$E$151</f>
        <v>9.6885813148788968E-2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Tabella123[[#This Row],[Percentage of Suppliers - Raw]]/$C$151</f>
        <v>0</v>
      </c>
      <c r="E50" s="26">
        <v>0</v>
      </c>
      <c r="F50" s="38">
        <f>Tabella123[[#This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Tabella123[[#This Row],[Percentage of Suppliers - Raw]]/$C$151</f>
        <v>0</v>
      </c>
      <c r="E51" s="26">
        <v>0</v>
      </c>
      <c r="F51" s="38">
        <f>Tabella123[[#This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Tabella123[[#This Row],[Percentage of Suppliers - Raw]]/$C$151</f>
        <v>0</v>
      </c>
      <c r="E52" s="26">
        <v>0</v>
      </c>
      <c r="F52" s="38">
        <f>Tabella123[[#This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3.0599999999999999E-2</v>
      </c>
      <c r="D53" s="36">
        <f>Tabella123[[#This Row],[Percentage of Suppliers - Raw]]/$C$151</f>
        <v>3.1569173630454972E-2</v>
      </c>
      <c r="E53" s="26">
        <v>3.49E-2</v>
      </c>
      <c r="F53" s="38">
        <f>Tabella123[[#This Row],[Percentage of Supplier''s Facilities - Raw]]/$E$151</f>
        <v>3.4503213049925867E-2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Tabella123[[#This Row],[Percentage of Suppliers - Raw]]/$C$151</f>
        <v>0</v>
      </c>
      <c r="E54" s="26">
        <v>0</v>
      </c>
      <c r="F54" s="38">
        <f>Tabella123[[#This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1.0200000000000001E-2</v>
      </c>
      <c r="D55" s="36">
        <f>Tabella123[[#This Row],[Percentage of Suppliers - Raw]]/$C$151</f>
        <v>1.0523057876818325E-2</v>
      </c>
      <c r="E55" s="26">
        <v>2.2000000000000001E-3</v>
      </c>
      <c r="F55" s="38">
        <f>Tabella123[[#This Row],[Percentage of Supplier''s Facilities - Raw]]/$E$151</f>
        <v>2.1749876421156707E-3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Tabella123[[#This Row],[Percentage of Suppliers - Raw]]/$C$151</f>
        <v>0</v>
      </c>
      <c r="E56" s="26">
        <v>0</v>
      </c>
      <c r="F56" s="38">
        <f>Tabella123[[#This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Tabella123[[#This Row],[Percentage of Suppliers - Raw]]/$C$151</f>
        <v>0</v>
      </c>
      <c r="E57" s="26">
        <v>0</v>
      </c>
      <c r="F57" s="38">
        <f>Tabella123[[#This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Tabella123[[#This Row],[Percentage of Suppliers - Raw]]/$C$151</f>
        <v>0</v>
      </c>
      <c r="E58" s="26">
        <v>0</v>
      </c>
      <c r="F58" s="38">
        <f>Tabella123[[#This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Tabella123[[#This Row],[Percentage of Suppliers - Raw]]/$C$151</f>
        <v>0</v>
      </c>
      <c r="E59" s="26">
        <v>0</v>
      </c>
      <c r="F59" s="38">
        <f>Tabella123[[#This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Tabella123[[#This Row],[Percentage of Suppliers - Raw]]/$C$151</f>
        <v>0</v>
      </c>
      <c r="E60" s="26">
        <v>0</v>
      </c>
      <c r="F60" s="38">
        <f>Tabella123[[#This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Tabella123[[#This Row],[Percentage of Suppliers - Raw]]/$C$151</f>
        <v>0</v>
      </c>
      <c r="E61" s="26">
        <v>0</v>
      </c>
      <c r="F61" s="38">
        <f>Tabella123[[#This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Tabella123[[#This Row],[Percentage of Suppliers - Raw]]/$C$151</f>
        <v>0</v>
      </c>
      <c r="E62" s="26">
        <v>6.4999999999999997E-3</v>
      </c>
      <c r="F62" s="38">
        <f>Tabella123[[#This Row],[Percentage of Supplier''s Facilities - Raw]]/$E$151</f>
        <v>6.4260998517053905E-3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Tabella123[[#This Row],[Percentage of Suppliers - Raw]]/$C$151</f>
        <v>0</v>
      </c>
      <c r="E63" s="26">
        <v>0</v>
      </c>
      <c r="F63" s="38">
        <f>Tabella123[[#This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2.0400000000000001E-2</v>
      </c>
      <c r="D64" s="36">
        <f>Tabella123[[#This Row],[Percentage of Suppliers - Raw]]/$C$151</f>
        <v>2.104611575363665E-2</v>
      </c>
      <c r="E64" s="26">
        <v>4.36E-2</v>
      </c>
      <c r="F64" s="38">
        <f>Tabella123[[#This Row],[Percentage of Supplier''s Facilities - Raw]]/$E$151</f>
        <v>4.3104300543746928E-2</v>
      </c>
    </row>
    <row r="65" spans="1:6" ht="19" x14ac:dyDescent="0.25">
      <c r="A65" s="31" t="s">
        <v>78</v>
      </c>
      <c r="B65" s="99">
        <v>4.92</v>
      </c>
      <c r="C65" s="22">
        <v>1.0200000000000001E-2</v>
      </c>
      <c r="D65" s="36">
        <f>Tabella123[[#This Row],[Percentage of Suppliers - Raw]]/$C$151</f>
        <v>1.0523057876818325E-2</v>
      </c>
      <c r="E65" s="26">
        <v>2.2000000000000001E-3</v>
      </c>
      <c r="F65" s="38">
        <f>Tabella123[[#This Row],[Percentage of Supplier''s Facilities - Raw]]/$E$151</f>
        <v>2.1749876421156707E-3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Tabella123[[#This Row],[Percentage of Suppliers - Raw]]/$C$151</f>
        <v>0</v>
      </c>
      <c r="E66" s="26">
        <v>0</v>
      </c>
      <c r="F66" s="38">
        <f>Tabella123[[#This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Tabella123[[#This Row],[Percentage of Suppliers - Raw]]/$C$151</f>
        <v>0</v>
      </c>
      <c r="E67" s="26">
        <v>0</v>
      </c>
      <c r="F67" s="38">
        <f>Tabella123[[#This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Tabella123[[#This Row],[Percentage of Suppliers - Raw]]/$C$151</f>
        <v>0</v>
      </c>
      <c r="E68" s="26">
        <v>2.2000000000000001E-3</v>
      </c>
      <c r="F68" s="38">
        <f>Tabella123[[#This Row],[Percentage of Supplier''s Facilities - Raw]]/$E$151</f>
        <v>2.1749876421156707E-3</v>
      </c>
    </row>
    <row r="69" spans="1:6" ht="19" x14ac:dyDescent="0.25">
      <c r="A69" s="31" t="s">
        <v>82</v>
      </c>
      <c r="B69" s="103">
        <v>4.6100000000000003</v>
      </c>
      <c r="C69" s="22">
        <v>3.0599999999999999E-2</v>
      </c>
      <c r="D69" s="36">
        <f>Tabella123[[#This Row],[Percentage of Suppliers - Raw]]/$C$151</f>
        <v>3.1569173630454972E-2</v>
      </c>
      <c r="E69" s="26">
        <v>4.4000000000000003E-3</v>
      </c>
      <c r="F69" s="38">
        <f>Tabella123[[#This Row],[Percentage of Supplier''s Facilities - Raw]]/$E$151</f>
        <v>4.3499752842313414E-3</v>
      </c>
    </row>
    <row r="70" spans="1:6" ht="19" x14ac:dyDescent="0.25">
      <c r="A70" s="31" t="s">
        <v>83</v>
      </c>
      <c r="B70" s="104">
        <v>3.84</v>
      </c>
      <c r="C70" s="22">
        <v>2.0400000000000001E-2</v>
      </c>
      <c r="D70" s="36">
        <f>Tabella123[[#This Row],[Percentage of Suppliers - Raw]]/$C$151</f>
        <v>2.104611575363665E-2</v>
      </c>
      <c r="E70" s="26">
        <v>7.8399999999999997E-2</v>
      </c>
      <c r="F70" s="38">
        <f>Tabella123[[#This Row],[Percentage of Supplier''s Facilities - Raw]]/$E$151</f>
        <v>7.7508650519031164E-2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Tabella123[[#This Row],[Percentage of Suppliers - Raw]]/$C$151</f>
        <v>0</v>
      </c>
      <c r="E71" s="26">
        <v>0</v>
      </c>
      <c r="F71" s="38">
        <f>Tabella123[[#This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1.0200000000000001E-2</v>
      </c>
      <c r="D72" s="36">
        <f>Tabella123[[#This Row],[Percentage of Suppliers - Raw]]/$C$151</f>
        <v>1.0523057876818325E-2</v>
      </c>
      <c r="E72" s="26">
        <v>8.6999999999999994E-3</v>
      </c>
      <c r="F72" s="38">
        <f>Tabella123[[#This Row],[Percentage of Supplier''s Facilities - Raw]]/$E$151</f>
        <v>8.6010874938210607E-3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Tabella123[[#This Row],[Percentage of Suppliers - Raw]]/$C$151</f>
        <v>0</v>
      </c>
      <c r="E73" s="26">
        <v>0</v>
      </c>
      <c r="F73" s="38">
        <f>Tabella123[[#This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Tabella123[[#This Row],[Percentage of Suppliers - Raw]]/$C$151</f>
        <v>0</v>
      </c>
      <c r="E74" s="26">
        <v>0</v>
      </c>
      <c r="F74" s="38">
        <f>Tabella123[[#This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Tabella123[[#This Row],[Percentage of Suppliers - Raw]]/$C$151</f>
        <v>0</v>
      </c>
      <c r="E75" s="26">
        <v>0</v>
      </c>
      <c r="F75" s="38">
        <f>Tabella123[[#This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Tabella123[[#This Row],[Percentage of Suppliers - Raw]]/$C$151</f>
        <v>0</v>
      </c>
      <c r="E76" s="26">
        <v>0</v>
      </c>
      <c r="F76" s="38">
        <f>Tabella123[[#This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Tabella123[[#This Row],[Percentage of Suppliers - Raw]]/$C$151</f>
        <v>0</v>
      </c>
      <c r="E77" s="26">
        <v>0</v>
      </c>
      <c r="F77" s="38">
        <f>Tabella123[[#This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Tabella123[[#This Row],[Percentage of Suppliers - Raw]]/$C$151</f>
        <v>0</v>
      </c>
      <c r="E78" s="26">
        <v>0</v>
      </c>
      <c r="F78" s="38">
        <f>Tabella123[[#This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Tabella123[[#This Row],[Percentage of Suppliers - Raw]]/$C$151</f>
        <v>0</v>
      </c>
      <c r="E79" s="26">
        <v>0</v>
      </c>
      <c r="F79" s="38">
        <f>Tabella123[[#This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Tabella123[[#This Row],[Percentage of Suppliers - Raw]]/$C$151</f>
        <v>0</v>
      </c>
      <c r="E80" s="26">
        <v>0</v>
      </c>
      <c r="F80" s="38">
        <f>Tabella123[[#This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Tabella123[[#This Row],[Percentage of Suppliers - Raw]]/$C$151</f>
        <v>0</v>
      </c>
      <c r="E81" s="26">
        <v>0</v>
      </c>
      <c r="F81" s="38">
        <f>Tabella123[[#This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Tabella123[[#This Row],[Percentage of Suppliers - Raw]]/$C$151</f>
        <v>0</v>
      </c>
      <c r="E82" s="26">
        <v>0</v>
      </c>
      <c r="F82" s="38">
        <f>Tabella123[[#This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Tabella123[[#This Row],[Percentage of Suppliers - Raw]]/$C$151</f>
        <v>0</v>
      </c>
      <c r="E83" s="26">
        <v>0</v>
      </c>
      <c r="F83" s="38">
        <f>Tabella123[[#This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Tabella123[[#This Row],[Percentage of Suppliers - Raw]]/$C$151</f>
        <v>0</v>
      </c>
      <c r="E84" s="26">
        <v>0</v>
      </c>
      <c r="F84" s="38">
        <f>Tabella123[[#This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Tabella123[[#This Row],[Percentage of Suppliers - Raw]]/$C$151</f>
        <v>0</v>
      </c>
      <c r="E85" s="26">
        <v>0</v>
      </c>
      <c r="F85" s="38">
        <f>Tabella123[[#This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Tabella123[[#This Row],[Percentage of Suppliers - Raw]]/$C$151</f>
        <v>0</v>
      </c>
      <c r="E86" s="26">
        <v>0</v>
      </c>
      <c r="F86" s="38">
        <f>Tabella123[[#This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1.0200000000000001E-2</v>
      </c>
      <c r="D87" s="36">
        <f>Tabella123[[#This Row],[Percentage of Suppliers - Raw]]/$C$151</f>
        <v>1.0523057876818325E-2</v>
      </c>
      <c r="E87" s="26">
        <v>2.2000000000000001E-3</v>
      </c>
      <c r="F87" s="38">
        <f>Tabella123[[#This Row],[Percentage of Supplier''s Facilities - Raw]]/$E$151</f>
        <v>2.1749876421156707E-3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Tabella123[[#This Row],[Percentage of Suppliers - Raw]]/$C$151</f>
        <v>0</v>
      </c>
      <c r="E88" s="26">
        <v>0</v>
      </c>
      <c r="F88" s="38">
        <f>Tabella123[[#This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Tabella123[[#This Row],[Percentage of Suppliers - Raw]]/$C$151</f>
        <v>0</v>
      </c>
      <c r="E89" s="26">
        <v>0</v>
      </c>
      <c r="F89" s="38">
        <f>Tabella123[[#This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Tabella123[[#This Row],[Percentage of Suppliers - Raw]]/$C$151</f>
        <v>0</v>
      </c>
      <c r="E90" s="26">
        <v>0</v>
      </c>
      <c r="F90" s="38">
        <f>Tabella123[[#This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Tabella123[[#This Row],[Percentage of Suppliers - Raw]]/$C$151</f>
        <v>0</v>
      </c>
      <c r="E91" s="26">
        <v>3.0499999999999999E-2</v>
      </c>
      <c r="F91" s="38">
        <f>Tabella123[[#This Row],[Percentage of Supplier''s Facilities - Raw]]/$E$151</f>
        <v>3.0153237765694525E-2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Tabella123[[#This Row],[Percentage of Suppliers - Raw]]/$C$151</f>
        <v>0</v>
      </c>
      <c r="E92" s="26">
        <v>0</v>
      </c>
      <c r="F92" s="38">
        <f>Tabella123[[#This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Tabella123[[#This Row],[Percentage of Suppliers - Raw]]/$C$151</f>
        <v>0</v>
      </c>
      <c r="E93" s="26">
        <v>0</v>
      </c>
      <c r="F93" s="38">
        <f>Tabella123[[#This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Tabella123[[#This Row],[Percentage of Suppliers - Raw]]/$C$151</f>
        <v>0</v>
      </c>
      <c r="E94" s="26">
        <v>4.4000000000000003E-3</v>
      </c>
      <c r="F94" s="38">
        <f>Tabella123[[#This Row],[Percentage of Supplier''s Facilities - Raw]]/$E$151</f>
        <v>4.3499752842313414E-3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Tabella123[[#This Row],[Percentage of Suppliers - Raw]]/$C$151</f>
        <v>0</v>
      </c>
      <c r="E95" s="26">
        <v>0</v>
      </c>
      <c r="F95" s="38">
        <f>Tabella123[[#This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Tabella123[[#This Row],[Percentage of Suppliers - Raw]]/$C$151</f>
        <v>0</v>
      </c>
      <c r="E96" s="26">
        <v>0</v>
      </c>
      <c r="F96" s="38">
        <f>Tabella123[[#This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Tabella123[[#This Row],[Percentage of Suppliers - Raw]]/$C$151</f>
        <v>0</v>
      </c>
      <c r="E97" s="26">
        <v>0</v>
      </c>
      <c r="F97" s="38">
        <f>Tabella123[[#This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1.0200000000000001E-2</v>
      </c>
      <c r="D98" s="36">
        <f>Tabella123[[#This Row],[Percentage of Suppliers - Raw]]/$C$151</f>
        <v>1.0523057876818325E-2</v>
      </c>
      <c r="E98" s="26">
        <v>8.6999999999999994E-3</v>
      </c>
      <c r="F98" s="38">
        <f>Tabella123[[#This Row],[Percentage of Supplier''s Facilities - Raw]]/$E$151</f>
        <v>8.6010874938210607E-3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Tabella123[[#This Row],[Percentage of Suppliers - Raw]]/$C$151</f>
        <v>0</v>
      </c>
      <c r="E99" s="26">
        <v>2.2000000000000001E-3</v>
      </c>
      <c r="F99" s="38">
        <f>Tabella123[[#This Row],[Percentage of Supplier''s Facilities - Raw]]/$E$151</f>
        <v>2.1749876421156707E-3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Tabella123[[#This Row],[Percentage of Suppliers - Raw]]/$C$151</f>
        <v>0</v>
      </c>
      <c r="E100" s="26">
        <v>0</v>
      </c>
      <c r="F100" s="38">
        <f>Tabella123[[#This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Tabella123[[#This Row],[Percentage of Suppliers - Raw]]/$C$151</f>
        <v>0</v>
      </c>
      <c r="E101" s="26">
        <v>0</v>
      </c>
      <c r="F101" s="38">
        <f>Tabella123[[#This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Tabella123[[#This Row],[Percentage of Suppliers - Raw]]/$C$151</f>
        <v>0</v>
      </c>
      <c r="E102" s="26">
        <v>0</v>
      </c>
      <c r="F102" s="38">
        <f>Tabella123[[#This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Tabella123[[#This Row],[Percentage of Suppliers - Raw]]/$C$151</f>
        <v>0</v>
      </c>
      <c r="E103" s="26">
        <v>0</v>
      </c>
      <c r="F103" s="38">
        <f>Tabella123[[#This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3.0599999999999999E-2</v>
      </c>
      <c r="D104" s="36">
        <f>Tabella123[[#This Row],[Percentage of Suppliers - Raw]]/$C$151</f>
        <v>3.1569173630454972E-2</v>
      </c>
      <c r="E104" s="26">
        <v>2.2000000000000001E-3</v>
      </c>
      <c r="F104" s="38">
        <f>Tabella123[[#This Row],[Percentage of Supplier''s Facilities - Raw]]/$E$151</f>
        <v>2.1749876421156707E-3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Tabella123[[#This Row],[Percentage of Suppliers - Raw]]/$C$151</f>
        <v>0</v>
      </c>
      <c r="E105" s="26">
        <v>0</v>
      </c>
      <c r="F105" s="38">
        <f>Tabella123[[#This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Tabella123[[#This Row],[Percentage of Suppliers - Raw]]/$C$151</f>
        <v>0</v>
      </c>
      <c r="E106" s="26">
        <v>2.2000000000000001E-3</v>
      </c>
      <c r="F106" s="38">
        <f>Tabella123[[#This Row],[Percentage of Supplier''s Facilities - Raw]]/$E$151</f>
        <v>2.1749876421156707E-3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Tabella123[[#This Row],[Percentage of Suppliers - Raw]]/$C$151</f>
        <v>0</v>
      </c>
      <c r="E107" s="26">
        <v>0</v>
      </c>
      <c r="F107" s="38">
        <f>Tabella123[[#This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Tabella123[[#This Row],[Percentage of Suppliers - Raw]]/$C$151</f>
        <v>0</v>
      </c>
      <c r="E108" s="26">
        <v>0</v>
      </c>
      <c r="F108" s="38">
        <f>Tabella123[[#This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Tabella123[[#This Row],[Percentage of Suppliers - Raw]]/$C$151</f>
        <v>0</v>
      </c>
      <c r="E109" s="26">
        <v>0</v>
      </c>
      <c r="F109" s="38">
        <f>Tabella123[[#This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Tabella123[[#This Row],[Percentage of Suppliers - Raw]]/$C$151</f>
        <v>0</v>
      </c>
      <c r="E110" s="26">
        <v>2.2000000000000001E-3</v>
      </c>
      <c r="F110" s="38">
        <f>Tabella123[[#This Row],[Percentage of Supplier''s Facilities - Raw]]/$E$151</f>
        <v>2.1749876421156707E-3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Tabella123[[#This Row],[Percentage of Suppliers - Raw]]/$C$151</f>
        <v>0</v>
      </c>
      <c r="E111" s="26">
        <v>0</v>
      </c>
      <c r="F111" s="38">
        <f>Tabella123[[#This Row],[Percentage of Supplier''s Facilities - Raw]]/$E$151</f>
        <v>0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Tabella123[[#This Row],[Percentage of Suppliers - Raw]]/$C$151</f>
        <v>0</v>
      </c>
      <c r="E112" s="26">
        <v>1.09E-2</v>
      </c>
      <c r="F112" s="38">
        <f>Tabella123[[#This Row],[Percentage of Supplier''s Facilities - Raw]]/$E$151</f>
        <v>1.0776075135936732E-2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Tabella123[[#This Row],[Percentage of Suppliers - Raw]]/$C$151</f>
        <v>0</v>
      </c>
      <c r="E113" s="26">
        <v>4.4000000000000003E-3</v>
      </c>
      <c r="F113" s="38">
        <f>Tabella123[[#This Row],[Percentage of Supplier''s Facilities - Raw]]/$E$151</f>
        <v>4.3499752842313414E-3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Tabella123[[#This Row],[Percentage of Suppliers - Raw]]/$C$151</f>
        <v>0</v>
      </c>
      <c r="E114" s="26">
        <v>0</v>
      </c>
      <c r="F114" s="38">
        <f>Tabella123[[#This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1.0200000000000001E-2</v>
      </c>
      <c r="D115" s="36">
        <f>Tabella123[[#This Row],[Percentage of Suppliers - Raw]]/$C$151</f>
        <v>1.0523057876818325E-2</v>
      </c>
      <c r="E115" s="26">
        <v>2.2000000000000001E-3</v>
      </c>
      <c r="F115" s="38">
        <f>Tabella123[[#This Row],[Percentage of Supplier''s Facilities - Raw]]/$E$151</f>
        <v>2.1749876421156707E-3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Tabella123[[#This Row],[Percentage of Suppliers - Raw]]/$C$151</f>
        <v>0</v>
      </c>
      <c r="E116" s="26">
        <v>2.2000000000000001E-3</v>
      </c>
      <c r="F116" s="38">
        <f>Tabella123[[#This Row],[Percentage of Supplier''s Facilities - Raw]]/$E$151</f>
        <v>2.1749876421156707E-3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Tabella123[[#This Row],[Percentage of Suppliers - Raw]]/$C$151</f>
        <v>0</v>
      </c>
      <c r="E117" s="26">
        <v>0</v>
      </c>
      <c r="F117" s="38">
        <f>Tabella123[[#This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Tabella123[[#This Row],[Percentage of Suppliers - Raw]]/$C$151</f>
        <v>0</v>
      </c>
      <c r="E118" s="26">
        <v>2.2000000000000001E-3</v>
      </c>
      <c r="F118" s="38">
        <f>Tabella123[[#This Row],[Percentage of Supplier''s Facilities - Raw]]/$E$151</f>
        <v>2.1749876421156707E-3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Tabella123[[#This Row],[Percentage of Suppliers - Raw]]/$C$151</f>
        <v>0</v>
      </c>
      <c r="E119" s="26">
        <v>0</v>
      </c>
      <c r="F119" s="38">
        <f>Tabella123[[#This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Tabella123[[#This Row],[Percentage of Suppliers - Raw]]/$C$151</f>
        <v>0</v>
      </c>
      <c r="E120" s="26">
        <v>2.2000000000000001E-3</v>
      </c>
      <c r="F120" s="38">
        <f>Tabella123[[#This Row],[Percentage of Supplier''s Facilities - Raw]]/$E$151</f>
        <v>2.1749876421156707E-3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Tabella123[[#This Row],[Percentage of Suppliers - Raw]]/$C$151</f>
        <v>0</v>
      </c>
      <c r="E121" s="26">
        <v>0</v>
      </c>
      <c r="F121" s="38">
        <f>Tabella123[[#This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3.0599999999999999E-2</v>
      </c>
      <c r="D122" s="36">
        <f>Tabella123[[#This Row],[Percentage of Suppliers - Raw]]/$C$151</f>
        <v>3.1569173630454972E-2</v>
      </c>
      <c r="E122" s="26">
        <v>1.09E-2</v>
      </c>
      <c r="F122" s="38">
        <f>Tabella123[[#This Row],[Percentage of Supplier''s Facilities - Raw]]/$E$151</f>
        <v>1.0776075135936732E-2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Tabella123[[#This Row],[Percentage of Suppliers - Raw]]/$C$151</f>
        <v>0</v>
      </c>
      <c r="E123" s="26">
        <v>2.2000000000000001E-3</v>
      </c>
      <c r="F123" s="38">
        <f>Tabella123[[#This Row],[Percentage of Supplier''s Facilities - Raw]]/$E$151</f>
        <v>2.1749876421156707E-3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Tabella123[[#This Row],[Percentage of Suppliers - Raw]]/$C$151</f>
        <v>0</v>
      </c>
      <c r="E124" s="26">
        <v>0</v>
      </c>
      <c r="F124" s="38">
        <f>Tabella123[[#This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Tabella123[[#This Row],[Percentage of Suppliers - Raw]]/$C$151</f>
        <v>0</v>
      </c>
      <c r="E125" s="26">
        <v>8.6999999999999994E-3</v>
      </c>
      <c r="F125" s="38">
        <f>Tabella123[[#This Row],[Percentage of Supplier''s Facilities - Raw]]/$E$151</f>
        <v>8.6010874938210607E-3</v>
      </c>
    </row>
    <row r="126" spans="1:6" ht="19" x14ac:dyDescent="0.25">
      <c r="A126" s="31" t="s">
        <v>139</v>
      </c>
      <c r="B126" s="151">
        <v>3.57</v>
      </c>
      <c r="C126" s="22">
        <v>2.0400000000000001E-2</v>
      </c>
      <c r="D126" s="36">
        <f>Tabella123[[#This Row],[Percentage of Suppliers - Raw]]/$C$151</f>
        <v>2.104611575363665E-2</v>
      </c>
      <c r="E126" s="26">
        <v>1.09E-2</v>
      </c>
      <c r="F126" s="38">
        <f>Tabella123[[#This Row],[Percentage of Supplier''s Facilities - Raw]]/$E$151</f>
        <v>1.0776075135936732E-2</v>
      </c>
    </row>
    <row r="127" spans="1:6" ht="19" x14ac:dyDescent="0.25">
      <c r="A127" s="31" t="s">
        <v>140</v>
      </c>
      <c r="B127" s="152">
        <v>3.7</v>
      </c>
      <c r="C127" s="22">
        <v>3.0599999999999999E-2</v>
      </c>
      <c r="D127" s="36">
        <f>Tabella123[[#This Row],[Percentage of Suppliers - Raw]]/$C$151</f>
        <v>3.1569173630454972E-2</v>
      </c>
      <c r="E127" s="26">
        <v>1.3100000000000001E-2</v>
      </c>
      <c r="F127" s="38">
        <f>Tabella123[[#This Row],[Percentage of Supplier''s Facilities - Raw]]/$E$151</f>
        <v>1.2951062778052403E-2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Tabella123[[#This Row],[Percentage of Suppliers - Raw]]/$C$151</f>
        <v>0</v>
      </c>
      <c r="E128" s="26">
        <v>0</v>
      </c>
      <c r="F128" s="38">
        <f>Tabella123[[#This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Tabella123[[#This Row],[Percentage of Suppliers - Raw]]/$C$151</f>
        <v>0</v>
      </c>
      <c r="E129" s="26">
        <v>0</v>
      </c>
      <c r="F129" s="38">
        <f>Tabella123[[#This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2.0400000000000001E-2</v>
      </c>
      <c r="D130" s="36">
        <f>Tabella123[[#This Row],[Percentage of Suppliers - Raw]]/$C$151</f>
        <v>2.104611575363665E-2</v>
      </c>
      <c r="E130" s="26">
        <v>2.2000000000000001E-3</v>
      </c>
      <c r="F130" s="38">
        <f>Tabella123[[#This Row],[Percentage of Supplier''s Facilities - Raw]]/$E$151</f>
        <v>2.1749876421156707E-3</v>
      </c>
    </row>
    <row r="131" spans="1:6" ht="19" x14ac:dyDescent="0.25">
      <c r="A131" s="31" t="s">
        <v>144</v>
      </c>
      <c r="B131" s="154">
        <v>2.78</v>
      </c>
      <c r="C131" s="22">
        <v>4.0800000000000003E-2</v>
      </c>
      <c r="D131" s="36">
        <f>Tabella123[[#This Row],[Percentage of Suppliers - Raw]]/$C$151</f>
        <v>4.2092231507273301E-2</v>
      </c>
      <c r="E131" s="26">
        <v>2.2000000000000001E-3</v>
      </c>
      <c r="F131" s="38">
        <f>Tabella123[[#This Row],[Percentage of Supplier''s Facilities - Raw]]/$E$151</f>
        <v>2.1749876421156707E-3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Tabella123[[#This Row],[Percentage of Suppliers - Raw]]/$C$151</f>
        <v>0</v>
      </c>
      <c r="E132" s="26">
        <v>0</v>
      </c>
      <c r="F132" s="38">
        <f>Tabella123[[#This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Tabella123[[#This Row],[Percentage of Suppliers - Raw]]/$C$151</f>
        <v>0</v>
      </c>
      <c r="E133" s="26">
        <v>0</v>
      </c>
      <c r="F133" s="38">
        <f>Tabella123[[#This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Tabella123[[#This Row],[Percentage of Suppliers - Raw]]/$C$151</f>
        <v>0</v>
      </c>
      <c r="E134" s="26">
        <v>4.4000000000000003E-3</v>
      </c>
      <c r="F134" s="38">
        <f>Tabella123[[#This Row],[Percentage of Supplier''s Facilities - Raw]]/$E$151</f>
        <v>4.3499752842313414E-3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Tabella123[[#This Row],[Percentage of Suppliers - Raw]]/$C$151</f>
        <v>0</v>
      </c>
      <c r="E135" s="26">
        <v>0</v>
      </c>
      <c r="F135" s="38">
        <f>Tabella123[[#This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Tabella123[[#This Row],[Percentage of Suppliers - Raw]]/$C$151</f>
        <v>0</v>
      </c>
      <c r="E136" s="26">
        <v>0</v>
      </c>
      <c r="F136" s="38">
        <f>Tabella123[[#This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Tabella123[[#This Row],[Percentage of Suppliers - Raw]]/$C$151</f>
        <v>0</v>
      </c>
      <c r="E137" s="26">
        <v>0</v>
      </c>
      <c r="F137" s="38">
        <f>Tabella123[[#This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Tabella123[[#This Row],[Percentage of Suppliers - Raw]]/$C$151</f>
        <v>0</v>
      </c>
      <c r="E138" s="26">
        <v>0</v>
      </c>
      <c r="F138" s="38">
        <f>Tabella123[[#This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Tabella123[[#This Row],[Percentage of Suppliers - Raw]]/$C$151</f>
        <v>0</v>
      </c>
      <c r="E139" s="26">
        <v>1.3100000000000001E-2</v>
      </c>
      <c r="F139" s="38">
        <f>Tabella123[[#This Row],[Percentage of Supplier''s Facilities - Raw]]/$E$151</f>
        <v>1.2951062778052403E-2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Tabella123[[#This Row],[Percentage of Suppliers - Raw]]/$C$151</f>
        <v>0</v>
      </c>
      <c r="E140" s="26">
        <v>0</v>
      </c>
      <c r="F140" s="38">
        <f>Tabella123[[#This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Tabella123[[#This Row],[Percentage of Suppliers - Raw]]/$C$151</f>
        <v>0</v>
      </c>
      <c r="E141" s="26">
        <v>0</v>
      </c>
      <c r="F141" s="38">
        <f>Tabella123[[#This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1.0200000000000001E-2</v>
      </c>
      <c r="D142" s="36">
        <f>Tabella123[[#This Row],[Percentage of Suppliers - Raw]]/$C$151</f>
        <v>1.0523057876818325E-2</v>
      </c>
      <c r="E142" s="26">
        <v>2.2000000000000001E-3</v>
      </c>
      <c r="F142" s="38">
        <f>Tabella123[[#This Row],[Percentage of Supplier''s Facilities - Raw]]/$E$151</f>
        <v>2.1749876421156707E-3</v>
      </c>
    </row>
    <row r="143" spans="1:6" ht="19" x14ac:dyDescent="0.25">
      <c r="A143" s="31" t="s">
        <v>156</v>
      </c>
      <c r="B143" s="128">
        <v>3.32</v>
      </c>
      <c r="C143" s="22">
        <v>0.13270000000000001</v>
      </c>
      <c r="D143" s="36">
        <f>Tabella123[[#This Row],[Percentage of Suppliers - Raw]]/$C$151</f>
        <v>0.13690291963272469</v>
      </c>
      <c r="E143" s="26">
        <v>2.4E-2</v>
      </c>
      <c r="F143" s="38">
        <f>Tabella123[[#This Row],[Percentage of Supplier''s Facilities - Raw]]/$E$151</f>
        <v>2.3727137913989133E-2</v>
      </c>
    </row>
    <row r="144" spans="1:6" ht="19" x14ac:dyDescent="0.25">
      <c r="A144" s="31" t="s">
        <v>157</v>
      </c>
      <c r="B144" s="165">
        <v>4.1900000000000004</v>
      </c>
      <c r="C144" s="22">
        <v>0.1837</v>
      </c>
      <c r="D144" s="36">
        <f>Tabella123[[#This Row],[Percentage of Suppliers - Raw]]/$C$151</f>
        <v>0.18951820901681629</v>
      </c>
      <c r="E144" s="26">
        <v>0.15690000000000001</v>
      </c>
      <c r="F144" s="38">
        <f>Tabella123[[#This Row],[Percentage of Supplier''s Facilities - Raw]]/$E$151</f>
        <v>0.15511616411270399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Tabella123[[#This Row],[Percentage of Suppliers - Raw]]/$C$151</f>
        <v>0</v>
      </c>
      <c r="E145" s="26">
        <v>2.2000000000000001E-3</v>
      </c>
      <c r="F145" s="38">
        <f>Tabella123[[#This Row],[Percentage of Supplier''s Facilities - Raw]]/$E$151</f>
        <v>2.1749876421156707E-3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Tabella123[[#This Row],[Percentage of Suppliers - Raw]]/$C$151</f>
        <v>0</v>
      </c>
      <c r="E146" s="26">
        <v>4.4000000000000003E-3</v>
      </c>
      <c r="F146" s="38">
        <f>Tabella123[[#This Row],[Percentage of Supplier''s Facilities - Raw]]/$E$151</f>
        <v>4.3499752842313414E-3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Tabella123[[#This Row],[Percentage of Suppliers - Raw]]/$C$151</f>
        <v>0</v>
      </c>
      <c r="E147" s="26">
        <v>0</v>
      </c>
      <c r="F147" s="38">
        <f>Tabella123[[#This Row],[Percentage of Supplier''s Facilities - Raw]]/$E$151</f>
        <v>0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Tabella123[[#This Row],[Percentage of Suppliers - Raw]]/$C$151</f>
        <v>0</v>
      </c>
      <c r="E148" s="26">
        <v>0</v>
      </c>
      <c r="F148" s="38">
        <f>Tabella123[[#This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Tabella123[[#This Row],[Percentage of Suppliers - Raw]]/$C$151</f>
        <v>0</v>
      </c>
      <c r="E149" s="26">
        <v>0</v>
      </c>
      <c r="F149" s="38">
        <f>Tabella123[[#This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Tabella123[[#This Row],[Percentage of Suppliers - Raw]]/$C$151</f>
        <v>0</v>
      </c>
      <c r="E150" s="26">
        <v>0</v>
      </c>
      <c r="F150" s="38">
        <f>Tabella123[[#This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0.96929999999999983</v>
      </c>
      <c r="D151" s="39">
        <f>Tabella123[[#This Row],[Percentage of Suppliers - Raw]]/$C$151</f>
        <v>1</v>
      </c>
      <c r="E151" s="25">
        <f>SUM(E4:E150)</f>
        <v>1.0114999999999996</v>
      </c>
      <c r="F151" s="39">
        <f>Tabella123[[#This Row],[Percentage of Supplier''s Facilities - Raw]]/$E$151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FB7B-5CF5-6B4F-B5A6-6EAE3C00004E}">
  <dimension ref="A1:P151"/>
  <sheetViews>
    <sheetView workbookViewId="0">
      <selection activeCell="P9" sqref="P9"/>
    </sheetView>
  </sheetViews>
  <sheetFormatPr baseColWidth="10" defaultColWidth="10.6640625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2.332031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188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Tabella124[[#This Row],[Percentage of Suppliers - Raw]]/$C$151</f>
        <v>0</v>
      </c>
      <c r="E4" s="26">
        <v>0</v>
      </c>
      <c r="F4" s="38">
        <f>Tabella124[[#This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Tabella124[[#This Row],[Percentage of Suppliers - Raw]]/$C$151</f>
        <v>0</v>
      </c>
      <c r="E5" s="26">
        <v>0</v>
      </c>
      <c r="F5" s="38">
        <f>Tabella124[[#This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Tabella124[[#This Row],[Percentage of Suppliers - Raw]]/$C$151</f>
        <v>0</v>
      </c>
      <c r="E6" s="26">
        <v>0</v>
      </c>
      <c r="F6" s="38">
        <f>Tabella124[[#This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8.9999999999999998E-4</v>
      </c>
      <c r="D7" s="36">
        <f>Tabella124[[#This Row],[Percentage of Suppliers - Raw]]/$C$151</f>
        <v>9.1028623444927668E-4</v>
      </c>
      <c r="E7" s="26">
        <v>2.3999999999999998E-3</v>
      </c>
      <c r="F7" s="38">
        <f>Tabella124[[#This Row],[Percentage of Supplier''s Facilities - Raw]]/$E$151</f>
        <v>2.437043054427295E-3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Tabella124[[#This Row],[Percentage of Suppliers - Raw]]/$C$151</f>
        <v>0</v>
      </c>
      <c r="E8" s="26">
        <v>0</v>
      </c>
      <c r="F8" s="38">
        <f>Tabella124[[#This Row],[Percentage of Supplier''s Facilities - Raw]]/$E$151</f>
        <v>0</v>
      </c>
      <c r="H8" s="17" t="s">
        <v>18</v>
      </c>
      <c r="I8" s="18" t="str">
        <f>INDEX(A4:A150,MATCH(MAX(D4:D150),D4:D150,0))</f>
        <v>South Korea</v>
      </c>
      <c r="J8" s="18">
        <f>INDEX(B4:B150,MATCH(MAX(D4:D150),D4:D150,0))</f>
        <v>3.57</v>
      </c>
      <c r="K8" s="19">
        <f>INDEX(D4:D150,MATCH(MAX(D4:D150),D4:D150,0))</f>
        <v>0.40012137149792654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4.26</v>
      </c>
      <c r="P8" s="19">
        <f>INDEX(F4:F150,MATCH(MAX(F4:F150),F4:F150,0))</f>
        <v>0.22004467912266454</v>
      </c>
    </row>
    <row r="9" spans="1:16" ht="23" thickBot="1" x14ac:dyDescent="0.35">
      <c r="A9" s="31" t="s">
        <v>19</v>
      </c>
      <c r="B9" s="48">
        <v>3.22</v>
      </c>
      <c r="C9" s="22">
        <v>4.4000000000000003E-3</v>
      </c>
      <c r="D9" s="36">
        <f>Tabella124[[#This Row],[Percentage of Suppliers - Raw]]/$C$151</f>
        <v>4.4502882573075756E-3</v>
      </c>
      <c r="E9" s="26">
        <v>9.7000000000000003E-3</v>
      </c>
      <c r="F9" s="38">
        <f>Tabella124[[#This Row],[Percentage of Supplier''s Facilities - Raw]]/$E$151</f>
        <v>9.8497156783103178E-3</v>
      </c>
      <c r="H9" s="20" t="s">
        <v>20</v>
      </c>
      <c r="I9" s="21"/>
      <c r="J9" s="21"/>
      <c r="K9" s="175">
        <f>SUMPRODUCT(B4:B150,D4:D150)</f>
        <v>3.8782522504298562</v>
      </c>
      <c r="M9" s="20" t="s">
        <v>21</v>
      </c>
      <c r="N9" s="21"/>
      <c r="O9" s="21"/>
      <c r="P9" s="175">
        <f>SUMPRODUCT(B4:B150,F4:F150)</f>
        <v>4.0275142160844837</v>
      </c>
    </row>
    <row r="10" spans="1:16" ht="19" x14ac:dyDescent="0.25">
      <c r="A10" s="31" t="s">
        <v>22</v>
      </c>
      <c r="B10" s="49">
        <v>3.41</v>
      </c>
      <c r="C10" s="22">
        <v>2.7000000000000001E-3</v>
      </c>
      <c r="D10" s="36">
        <f>Tabella124[[#This Row],[Percentage of Suppliers - Raw]]/$C$151</f>
        <v>2.7308587033478301E-3</v>
      </c>
      <c r="E10" s="26">
        <v>3.0000000000000001E-3</v>
      </c>
      <c r="F10" s="38">
        <f>Tabella124[[#This Row],[Percentage of Supplier''s Facilities - Raw]]/$E$151</f>
        <v>3.0463038180341189E-3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Tabella124[[#This Row],[Percentage of Suppliers - Raw]]/$C$151</f>
        <v>0</v>
      </c>
      <c r="E11" s="26">
        <v>0</v>
      </c>
      <c r="F11" s="38">
        <f>Tabella124[[#This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Tabella124[[#This Row],[Percentage of Suppliers - Raw]]/$C$151</f>
        <v>0</v>
      </c>
      <c r="E12" s="26">
        <v>0</v>
      </c>
      <c r="F12" s="38">
        <f>Tabella124[[#This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8.9999999999999998E-4</v>
      </c>
      <c r="D13" s="36">
        <f>Tabella124[[#This Row],[Percentage of Suppliers - Raw]]/$C$151</f>
        <v>9.1028623444927668E-4</v>
      </c>
      <c r="E13" s="26">
        <v>0</v>
      </c>
      <c r="F13" s="38">
        <f>Tabella124[[#This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Tabella124[[#This Row],[Percentage of Suppliers - Raw]]/$C$151</f>
        <v>0</v>
      </c>
      <c r="E14" s="26">
        <v>0</v>
      </c>
      <c r="F14" s="38">
        <f>Tabella124[[#This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2.7000000000000001E-3</v>
      </c>
      <c r="D15" s="36">
        <f>Tabella124[[#This Row],[Percentage of Suppliers - Raw]]/$C$151</f>
        <v>2.7308587033478301E-3</v>
      </c>
      <c r="E15" s="26">
        <v>6.8999999999999999E-3</v>
      </c>
      <c r="F15" s="38">
        <f>Tabella124[[#This Row],[Percentage of Supplier''s Facilities - Raw]]/$E$151</f>
        <v>7.006498781478473E-3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Tabella124[[#This Row],[Percentage of Suppliers - Raw]]/$C$151</f>
        <v>0</v>
      </c>
      <c r="E16" s="26">
        <v>0</v>
      </c>
      <c r="F16" s="38">
        <f>Tabella124[[#This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Tabella124[[#This Row],[Percentage of Suppliers - Raw]]/$C$151</f>
        <v>0</v>
      </c>
      <c r="E17" s="26">
        <v>0</v>
      </c>
      <c r="F17" s="38">
        <f>Tabella124[[#This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Tabella124[[#This Row],[Percentage of Suppliers - Raw]]/$C$151</f>
        <v>0</v>
      </c>
      <c r="E18" s="26">
        <v>0</v>
      </c>
      <c r="F18" s="38">
        <f>Tabella124[[#This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Tabella124[[#This Row],[Percentage of Suppliers - Raw]]/$C$151</f>
        <v>0</v>
      </c>
      <c r="E19" s="26">
        <v>0</v>
      </c>
      <c r="F19" s="38">
        <f>Tabella124[[#This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Tabella124[[#This Row],[Percentage of Suppliers - Raw]]/$C$151</f>
        <v>0</v>
      </c>
      <c r="E20" s="26">
        <v>0</v>
      </c>
      <c r="F20" s="38">
        <f>Tabella124[[#This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8.9999999999999998E-4</v>
      </c>
      <c r="D21" s="36">
        <f>Tabella124[[#This Row],[Percentage of Suppliers - Raw]]/$C$151</f>
        <v>9.1028623444927668E-4</v>
      </c>
      <c r="E21" s="26">
        <v>1.34E-2</v>
      </c>
      <c r="F21" s="38">
        <f>Tabella124[[#This Row],[Percentage of Supplier''s Facilities - Raw]]/$E$151</f>
        <v>1.3606823720552398E-2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Tabella124[[#This Row],[Percentage of Suppliers - Raw]]/$C$151</f>
        <v>0</v>
      </c>
      <c r="E22" s="26">
        <v>1.4E-3</v>
      </c>
      <c r="F22" s="38">
        <f>Tabella124[[#This Row],[Percentage of Supplier''s Facilities - Raw]]/$E$151</f>
        <v>1.4216084484159222E-3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Tabella124[[#This Row],[Percentage of Suppliers - Raw]]/$C$151</f>
        <v>0</v>
      </c>
      <c r="E23" s="26">
        <v>0</v>
      </c>
      <c r="F23" s="38">
        <f>Tabella124[[#This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Tabella124[[#This Row],[Percentage of Suppliers - Raw]]/$C$151</f>
        <v>0</v>
      </c>
      <c r="E24" s="26">
        <v>0</v>
      </c>
      <c r="F24" s="38">
        <f>Tabella124[[#This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Tabella124[[#This Row],[Percentage of Suppliers - Raw]]/$C$151</f>
        <v>0</v>
      </c>
      <c r="E25" s="26">
        <v>0</v>
      </c>
      <c r="F25" s="38">
        <f>Tabella124[[#This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Tabella124[[#This Row],[Percentage of Suppliers - Raw]]/$C$151</f>
        <v>0</v>
      </c>
      <c r="E26" s="26">
        <v>0</v>
      </c>
      <c r="F26" s="38">
        <f>Tabella124[[#This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9.7999999999999997E-3</v>
      </c>
      <c r="D27" s="36">
        <f>Tabella124[[#This Row],[Percentage of Suppliers - Raw]]/$C$151</f>
        <v>9.9120056640032341E-3</v>
      </c>
      <c r="E27" s="26">
        <v>1.2500000000000001E-2</v>
      </c>
      <c r="F27" s="38">
        <f>Tabella124[[#This Row],[Percentage of Supplier''s Facilities - Raw]]/$E$151</f>
        <v>1.2692932575142164E-2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Tabella124[[#This Row],[Percentage of Suppliers - Raw]]/$C$151</f>
        <v>0</v>
      </c>
      <c r="E28" s="26">
        <v>0</v>
      </c>
      <c r="F28" s="38">
        <f>Tabella124[[#This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Tabella124[[#This Row],[Percentage of Suppliers - Raw]]/$C$151</f>
        <v>0</v>
      </c>
      <c r="E29" s="26">
        <v>0</v>
      </c>
      <c r="F29" s="38">
        <f>Tabella124[[#This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Tabella124[[#This Row],[Percentage of Suppliers - Raw]]/$C$151</f>
        <v>0</v>
      </c>
      <c r="E30" s="26">
        <v>2.2000000000000001E-3</v>
      </c>
      <c r="F30" s="38">
        <f>Tabella124[[#This Row],[Percentage of Supplier''s Facilities - Raw]]/$E$151</f>
        <v>2.2339561332250205E-3</v>
      </c>
    </row>
    <row r="31" spans="1:7" ht="19" x14ac:dyDescent="0.25">
      <c r="A31" s="31" t="s">
        <v>43</v>
      </c>
      <c r="B31" s="50">
        <v>4.26</v>
      </c>
      <c r="C31" s="22">
        <f xml:space="preserve"> 18.4% + 5.87%</f>
        <v>0.2427</v>
      </c>
      <c r="D31" s="36">
        <f>Tabella124[[#This Row],[Percentage of Suppliers - Raw]]/$C$151</f>
        <v>0.24547385455648829</v>
      </c>
      <c r="E31" s="26">
        <v>0.2167</v>
      </c>
      <c r="F31" s="38">
        <f>Tabella124[[#This Row],[Percentage of Supplier''s Facilities - Raw]]/$E$151</f>
        <v>0.22004467912266454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Tabella124[[#This Row],[Percentage of Suppliers - Raw]]/$C$151</f>
        <v>0</v>
      </c>
      <c r="E32" s="26">
        <v>8.0000000000000004E-4</v>
      </c>
      <c r="F32" s="38">
        <f>Tabella124[[#This Row],[Percentage of Supplier''s Facilities - Raw]]/$E$151</f>
        <v>8.1234768480909836E-4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Tabella124[[#This Row],[Percentage of Suppliers - Raw]]/$C$151</f>
        <v>0</v>
      </c>
      <c r="E33" s="26">
        <v>0</v>
      </c>
      <c r="F33" s="38">
        <f>Tabella124[[#This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8.9999999999999998E-4</v>
      </c>
      <c r="D34" s="36">
        <f>Tabella124[[#This Row],[Percentage of Suppliers - Raw]]/$C$151</f>
        <v>9.1028623444927668E-4</v>
      </c>
      <c r="E34" s="26">
        <v>8.0000000000000004E-4</v>
      </c>
      <c r="F34" s="38">
        <f>Tabella124[[#This Row],[Percentage of Supplier''s Facilities - Raw]]/$E$151</f>
        <v>8.1234768480909836E-4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Tabella124[[#This Row],[Percentage of Suppliers - Raw]]/$C$151</f>
        <v>0</v>
      </c>
      <c r="E35" s="26">
        <v>0</v>
      </c>
      <c r="F35" s="38">
        <f>Tabella124[[#This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Tabella124[[#This Row],[Percentage of Suppliers - Raw]]/$C$151</f>
        <v>0</v>
      </c>
      <c r="E36" s="26">
        <v>0</v>
      </c>
      <c r="F36" s="38">
        <f>Tabella124[[#This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Tabella124[[#This Row],[Percentage of Suppliers - Raw]]/$C$151</f>
        <v>0</v>
      </c>
      <c r="E37" s="26">
        <v>0</v>
      </c>
      <c r="F37" s="38">
        <f>Tabella124[[#This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Tabella124[[#This Row],[Percentage of Suppliers - Raw]]/$C$151</f>
        <v>0</v>
      </c>
      <c r="E38" s="26">
        <v>4.1000000000000003E-3</v>
      </c>
      <c r="F38" s="38">
        <f>Tabella124[[#This Row],[Percentage of Supplier''s Facilities - Raw]]/$E$151</f>
        <v>4.1632818846466298E-3</v>
      </c>
    </row>
    <row r="39" spans="1:6" ht="19" x14ac:dyDescent="0.25">
      <c r="A39" s="31" t="s">
        <v>52</v>
      </c>
      <c r="B39" s="75">
        <v>3.2</v>
      </c>
      <c r="C39" s="22">
        <v>8.9999999999999998E-4</v>
      </c>
      <c r="D39" s="36">
        <f>Tabella124[[#This Row],[Percentage of Suppliers - Raw]]/$C$151</f>
        <v>9.1028623444927668E-4</v>
      </c>
      <c r="E39" s="26">
        <v>2.8E-3</v>
      </c>
      <c r="F39" s="38">
        <f>Tabella124[[#This Row],[Percentage of Supplier''s Facilities - Raw]]/$E$151</f>
        <v>2.8432168968318444E-3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Tabella124[[#This Row],[Percentage of Suppliers - Raw]]/$C$151</f>
        <v>0</v>
      </c>
      <c r="E40" s="26">
        <v>0</v>
      </c>
      <c r="F40" s="38">
        <f>Tabella124[[#This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Tabella124[[#This Row],[Percentage of Suppliers - Raw]]/$C$151</f>
        <v>0</v>
      </c>
      <c r="E41" s="26">
        <v>6.9999999999999999E-4</v>
      </c>
      <c r="F41" s="38">
        <f>Tabella124[[#This Row],[Percentage of Supplier''s Facilities - Raw]]/$E$151</f>
        <v>7.1080422420796111E-4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Tabella124[[#This Row],[Percentage of Suppliers - Raw]]/$C$151</f>
        <v>0</v>
      </c>
      <c r="E42" s="26">
        <v>0</v>
      </c>
      <c r="F42" s="38">
        <f>Tabella124[[#This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8.9999999999999998E-4</v>
      </c>
      <c r="D43" s="36">
        <f>Tabella124[[#This Row],[Percentage of Suppliers - Raw]]/$C$151</f>
        <v>9.1028623444927668E-4</v>
      </c>
      <c r="E43" s="26">
        <v>2.3999999999999998E-3</v>
      </c>
      <c r="F43" s="38">
        <f>Tabella124[[#This Row],[Percentage of Supplier''s Facilities - Raw]]/$E$151</f>
        <v>2.437043054427295E-3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Tabella124[[#This Row],[Percentage of Suppliers - Raw]]/$C$151</f>
        <v>0</v>
      </c>
      <c r="E44" s="26">
        <v>0</v>
      </c>
      <c r="F44" s="38">
        <f>Tabella124[[#This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Tabella124[[#This Row],[Percentage of Suppliers - Raw]]/$C$151</f>
        <v>0</v>
      </c>
      <c r="E45" s="26">
        <v>6.9999999999999999E-4</v>
      </c>
      <c r="F45" s="38">
        <f>Tabella124[[#This Row],[Percentage of Supplier''s Facilities - Raw]]/$E$151</f>
        <v>7.1080422420796111E-4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Tabella124[[#This Row],[Percentage of Suppliers - Raw]]/$C$151</f>
        <v>0</v>
      </c>
      <c r="E46" s="26">
        <v>0</v>
      </c>
      <c r="F46" s="38">
        <f>Tabella124[[#This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Tabella124[[#This Row],[Percentage of Suppliers - Raw]]/$C$151</f>
        <v>0</v>
      </c>
      <c r="E47" s="26">
        <v>0</v>
      </c>
      <c r="F47" s="38">
        <f>Tabella124[[#This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1.8E-3</v>
      </c>
      <c r="D48" s="36">
        <f>Tabella124[[#This Row],[Percentage of Suppliers - Raw]]/$C$151</f>
        <v>1.8205724688985534E-3</v>
      </c>
      <c r="E48" s="26">
        <v>2.3E-3</v>
      </c>
      <c r="F48" s="38">
        <f>Tabella124[[#This Row],[Percentage of Supplier''s Facilities - Raw]]/$E$151</f>
        <v>2.3354995938261579E-3</v>
      </c>
    </row>
    <row r="49" spans="1:6" ht="19" x14ac:dyDescent="0.25">
      <c r="A49" s="31" t="s">
        <v>62</v>
      </c>
      <c r="B49" s="84">
        <v>3.65</v>
      </c>
      <c r="C49" s="22">
        <v>1.4200000000000001E-2</v>
      </c>
      <c r="D49" s="36">
        <f>Tabella124[[#This Row],[Percentage of Suppliers - Raw]]/$C$151</f>
        <v>1.4362293921310811E-2</v>
      </c>
      <c r="E49" s="26">
        <v>1.9E-2</v>
      </c>
      <c r="F49" s="38">
        <f>Tabella124[[#This Row],[Percentage of Supplier''s Facilities - Raw]]/$E$151</f>
        <v>1.9293257514216088E-2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Tabella124[[#This Row],[Percentage of Suppliers - Raw]]/$C$151</f>
        <v>0</v>
      </c>
      <c r="E50" s="26">
        <v>0</v>
      </c>
      <c r="F50" s="38">
        <f>Tabella124[[#This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Tabella124[[#This Row],[Percentage of Suppliers - Raw]]/$C$151</f>
        <v>0</v>
      </c>
      <c r="E51" s="26">
        <v>0</v>
      </c>
      <c r="F51" s="38">
        <f>Tabella124[[#This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Tabella124[[#This Row],[Percentage of Suppliers - Raw]]/$C$151</f>
        <v>0</v>
      </c>
      <c r="E52" s="26">
        <v>0</v>
      </c>
      <c r="F52" s="38">
        <f>Tabella124[[#This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1.1599999999999999E-2</v>
      </c>
      <c r="D53" s="36">
        <f>Tabella124[[#This Row],[Percentage of Suppliers - Raw]]/$C$151</f>
        <v>1.1732578132901787E-2</v>
      </c>
      <c r="E53" s="26">
        <v>4.8300000000000003E-2</v>
      </c>
      <c r="F53" s="38">
        <f>Tabella124[[#This Row],[Percentage of Supplier''s Facilities - Raw]]/$E$151</f>
        <v>4.9045491470349319E-2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Tabella124[[#This Row],[Percentage of Suppliers - Raw]]/$C$151</f>
        <v>0</v>
      </c>
      <c r="E54" s="26">
        <v>0</v>
      </c>
      <c r="F54" s="38">
        <f>Tabella124[[#This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Tabella124[[#This Row],[Percentage of Suppliers - Raw]]/$C$151</f>
        <v>0</v>
      </c>
      <c r="E55" s="26">
        <v>5.9999999999999995E-4</v>
      </c>
      <c r="F55" s="38">
        <f>Tabella124[[#This Row],[Percentage of Supplier''s Facilities - Raw]]/$E$151</f>
        <v>6.0926076360682375E-4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Tabella124[[#This Row],[Percentage of Suppliers - Raw]]/$C$151</f>
        <v>0</v>
      </c>
      <c r="E56" s="26">
        <v>0</v>
      </c>
      <c r="F56" s="38">
        <f>Tabella124[[#This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Tabella124[[#This Row],[Percentage of Suppliers - Raw]]/$C$151</f>
        <v>0</v>
      </c>
      <c r="E57" s="26">
        <v>0</v>
      </c>
      <c r="F57" s="38">
        <f>Tabella124[[#This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Tabella124[[#This Row],[Percentage of Suppliers - Raw]]/$C$151</f>
        <v>0</v>
      </c>
      <c r="E58" s="26">
        <v>0</v>
      </c>
      <c r="F58" s="38">
        <f>Tabella124[[#This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Tabella124[[#This Row],[Percentage of Suppliers - Raw]]/$C$151</f>
        <v>0</v>
      </c>
      <c r="E59" s="26">
        <v>0</v>
      </c>
      <c r="F59" s="38">
        <f>Tabella124[[#This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Tabella124[[#This Row],[Percentage of Suppliers - Raw]]/$C$151</f>
        <v>0</v>
      </c>
      <c r="E60" s="26">
        <v>0</v>
      </c>
      <c r="F60" s="38">
        <f>Tabella124[[#This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Tabella124[[#This Row],[Percentage of Suppliers - Raw]]/$C$151</f>
        <v>0</v>
      </c>
      <c r="E61" s="26">
        <v>0</v>
      </c>
      <c r="F61" s="38">
        <f>Tabella124[[#This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Tabella124[[#This Row],[Percentage of Suppliers - Raw]]/$C$151</f>
        <v>0</v>
      </c>
      <c r="E62" s="26">
        <v>5.1000000000000004E-3</v>
      </c>
      <c r="F62" s="38">
        <f>Tabella124[[#This Row],[Percentage of Supplier''s Facilities - Raw]]/$E$151</f>
        <v>5.1787164906580028E-3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Tabella124[[#This Row],[Percentage of Suppliers - Raw]]/$C$151</f>
        <v>0</v>
      </c>
      <c r="E63" s="26">
        <v>0</v>
      </c>
      <c r="F63" s="38">
        <f>Tabella124[[#This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2.4E-2</v>
      </c>
      <c r="D64" s="36">
        <f>Tabella124[[#This Row],[Percentage of Suppliers - Raw]]/$C$151</f>
        <v>2.4274299585314046E-2</v>
      </c>
      <c r="E64" s="26">
        <v>4.0599999999999997E-2</v>
      </c>
      <c r="F64" s="38">
        <f>Tabella124[[#This Row],[Percentage of Supplier''s Facilities - Raw]]/$E$151</f>
        <v>4.1226645004061743E-2</v>
      </c>
    </row>
    <row r="65" spans="1:6" ht="19" x14ac:dyDescent="0.25">
      <c r="A65" s="31" t="s">
        <v>78</v>
      </c>
      <c r="B65" s="99">
        <v>4.92</v>
      </c>
      <c r="C65" s="22">
        <v>4.4000000000000003E-3</v>
      </c>
      <c r="D65" s="36">
        <f>Tabella124[[#This Row],[Percentage of Suppliers - Raw]]/$C$151</f>
        <v>4.4502882573075756E-3</v>
      </c>
      <c r="E65" s="26">
        <v>6.7999999999999996E-3</v>
      </c>
      <c r="F65" s="38">
        <f>Tabella124[[#This Row],[Percentage of Supplier''s Facilities - Raw]]/$E$151</f>
        <v>6.9049553208773359E-3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Tabella124[[#This Row],[Percentage of Suppliers - Raw]]/$C$151</f>
        <v>0</v>
      </c>
      <c r="E66" s="26">
        <v>0</v>
      </c>
      <c r="F66" s="38">
        <f>Tabella124[[#This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Tabella124[[#This Row],[Percentage of Suppliers - Raw]]/$C$151</f>
        <v>0</v>
      </c>
      <c r="E67" s="26">
        <v>0</v>
      </c>
      <c r="F67" s="38">
        <f>Tabella124[[#This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1.8E-3</v>
      </c>
      <c r="D68" s="36">
        <f>Tabella124[[#This Row],[Percentage of Suppliers - Raw]]/$C$151</f>
        <v>1.8205724688985534E-3</v>
      </c>
      <c r="E68" s="26">
        <v>2.5999999999999999E-3</v>
      </c>
      <c r="F68" s="38">
        <f>Tabella124[[#This Row],[Percentage of Supplier''s Facilities - Raw]]/$E$151</f>
        <v>2.6401299756295695E-3</v>
      </c>
    </row>
    <row r="69" spans="1:6" ht="19" x14ac:dyDescent="0.25">
      <c r="A69" s="31" t="s">
        <v>82</v>
      </c>
      <c r="B69" s="103">
        <v>4.6100000000000003</v>
      </c>
      <c r="C69" s="22">
        <v>5.3E-3</v>
      </c>
      <c r="D69" s="36">
        <f>Tabella124[[#This Row],[Percentage of Suppliers - Raw]]/$C$151</f>
        <v>5.3605744917568521E-3</v>
      </c>
      <c r="E69" s="26">
        <v>3.0000000000000001E-3</v>
      </c>
      <c r="F69" s="38">
        <f>Tabella124[[#This Row],[Percentage of Supplier''s Facilities - Raw]]/$E$151</f>
        <v>3.0463038180341189E-3</v>
      </c>
    </row>
    <row r="70" spans="1:6" ht="19" x14ac:dyDescent="0.25">
      <c r="A70" s="31" t="s">
        <v>83</v>
      </c>
      <c r="B70" s="104">
        <v>3.84</v>
      </c>
      <c r="C70" s="22">
        <v>1.8E-3</v>
      </c>
      <c r="D70" s="36">
        <f>Tabella124[[#This Row],[Percentage of Suppliers - Raw]]/$C$151</f>
        <v>1.8205724688985534E-3</v>
      </c>
      <c r="E70" s="26">
        <v>1.2200000000000001E-2</v>
      </c>
      <c r="F70" s="38">
        <f>Tabella124[[#This Row],[Percentage of Supplier''s Facilities - Raw]]/$E$151</f>
        <v>1.2388302193338752E-2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Tabella124[[#This Row],[Percentage of Suppliers - Raw]]/$C$151</f>
        <v>0</v>
      </c>
      <c r="E71" s="26">
        <v>0</v>
      </c>
      <c r="F71" s="38">
        <f>Tabella124[[#This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4.8000000000000001E-2</v>
      </c>
      <c r="D72" s="36">
        <f>Tabella124[[#This Row],[Percentage of Suppliers - Raw]]/$C$151</f>
        <v>4.8548599170628093E-2</v>
      </c>
      <c r="E72" s="26">
        <v>9.8299999999999998E-2</v>
      </c>
      <c r="F72" s="38">
        <f>Tabella124[[#This Row],[Percentage of Supplier''s Facilities - Raw]]/$E$151</f>
        <v>9.9817221770917966E-2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Tabella124[[#This Row],[Percentage of Suppliers - Raw]]/$C$151</f>
        <v>0</v>
      </c>
      <c r="E73" s="26">
        <v>0</v>
      </c>
      <c r="F73" s="38">
        <f>Tabella124[[#This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Tabella124[[#This Row],[Percentage of Suppliers - Raw]]/$C$151</f>
        <v>0</v>
      </c>
      <c r="E74" s="26">
        <v>0</v>
      </c>
      <c r="F74" s="38">
        <f>Tabella124[[#This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Tabella124[[#This Row],[Percentage of Suppliers - Raw]]/$C$151</f>
        <v>0</v>
      </c>
      <c r="E75" s="26">
        <v>0</v>
      </c>
      <c r="F75" s="38">
        <f>Tabella124[[#This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Tabella124[[#This Row],[Percentage of Suppliers - Raw]]/$C$151</f>
        <v>0</v>
      </c>
      <c r="E76" s="26">
        <v>0</v>
      </c>
      <c r="F76" s="38">
        <f>Tabella124[[#This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Tabella124[[#This Row],[Percentage of Suppliers - Raw]]/$C$151</f>
        <v>0</v>
      </c>
      <c r="E77" s="26">
        <v>0</v>
      </c>
      <c r="F77" s="38">
        <f>Tabella124[[#This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Tabella124[[#This Row],[Percentage of Suppliers - Raw]]/$C$151</f>
        <v>0</v>
      </c>
      <c r="E78" s="26">
        <v>0</v>
      </c>
      <c r="F78" s="38">
        <f>Tabella124[[#This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Tabella124[[#This Row],[Percentage of Suppliers - Raw]]/$C$151</f>
        <v>0</v>
      </c>
      <c r="E79" s="26">
        <v>0</v>
      </c>
      <c r="F79" s="38">
        <f>Tabella124[[#This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Tabella124[[#This Row],[Percentage of Suppliers - Raw]]/$C$151</f>
        <v>0</v>
      </c>
      <c r="E80" s="26">
        <v>0</v>
      </c>
      <c r="F80" s="38">
        <f>Tabella124[[#This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Tabella124[[#This Row],[Percentage of Suppliers - Raw]]/$C$151</f>
        <v>0</v>
      </c>
      <c r="E81" s="26">
        <v>0</v>
      </c>
      <c r="F81" s="38">
        <f>Tabella124[[#This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Tabella124[[#This Row],[Percentage of Suppliers - Raw]]/$C$151</f>
        <v>0</v>
      </c>
      <c r="E82" s="26">
        <v>0</v>
      </c>
      <c r="F82" s="38">
        <f>Tabella124[[#This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Tabella124[[#This Row],[Percentage of Suppliers - Raw]]/$C$151</f>
        <v>0</v>
      </c>
      <c r="E83" s="26">
        <v>0</v>
      </c>
      <c r="F83" s="38">
        <f>Tabella124[[#This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Tabella124[[#This Row],[Percentage of Suppliers - Raw]]/$C$151</f>
        <v>0</v>
      </c>
      <c r="E84" s="26">
        <v>0</v>
      </c>
      <c r="F84" s="38">
        <f>Tabella124[[#This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Tabella124[[#This Row],[Percentage of Suppliers - Raw]]/$C$151</f>
        <v>0</v>
      </c>
      <c r="E85" s="26">
        <v>0</v>
      </c>
      <c r="F85" s="38">
        <f>Tabella124[[#This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Tabella124[[#This Row],[Percentage of Suppliers - Raw]]/$C$151</f>
        <v>0</v>
      </c>
      <c r="E86" s="26">
        <v>0</v>
      </c>
      <c r="F86" s="38">
        <f>Tabella124[[#This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3.5999999999999999E-3</v>
      </c>
      <c r="D87" s="36">
        <f>Tabella124[[#This Row],[Percentage of Suppliers - Raw]]/$C$151</f>
        <v>3.6411449377971067E-3</v>
      </c>
      <c r="E87" s="26">
        <v>1.37E-2</v>
      </c>
      <c r="F87" s="38">
        <f>Tabella124[[#This Row],[Percentage of Supplier''s Facilities - Raw]]/$E$151</f>
        <v>1.391145410235581E-2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Tabella124[[#This Row],[Percentage of Suppliers - Raw]]/$C$151</f>
        <v>0</v>
      </c>
      <c r="E88" s="26">
        <v>0</v>
      </c>
      <c r="F88" s="38">
        <f>Tabella124[[#This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Tabella124[[#This Row],[Percentage of Suppliers - Raw]]/$C$151</f>
        <v>0</v>
      </c>
      <c r="E89" s="26">
        <v>0</v>
      </c>
      <c r="F89" s="38">
        <f>Tabella124[[#This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Tabella124[[#This Row],[Percentage of Suppliers - Raw]]/$C$151</f>
        <v>0</v>
      </c>
      <c r="E90" s="26">
        <v>0</v>
      </c>
      <c r="F90" s="38">
        <f>Tabella124[[#This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2.7000000000000001E-3</v>
      </c>
      <c r="D91" s="36">
        <f>Tabella124[[#This Row],[Percentage of Suppliers - Raw]]/$C$151</f>
        <v>2.7308587033478301E-3</v>
      </c>
      <c r="E91" s="26">
        <v>2.2200000000000001E-2</v>
      </c>
      <c r="F91" s="38">
        <f>Tabella124[[#This Row],[Percentage of Supplier''s Facilities - Raw]]/$E$151</f>
        <v>2.254264825345248E-2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Tabella124[[#This Row],[Percentage of Suppliers - Raw]]/$C$151</f>
        <v>0</v>
      </c>
      <c r="E92" s="26">
        <v>0</v>
      </c>
      <c r="F92" s="38">
        <f>Tabella124[[#This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Tabella124[[#This Row],[Percentage of Suppliers - Raw]]/$C$151</f>
        <v>0</v>
      </c>
      <c r="E93" s="26">
        <v>0</v>
      </c>
      <c r="F93" s="38">
        <f>Tabella124[[#This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Tabella124[[#This Row],[Percentage of Suppliers - Raw]]/$C$151</f>
        <v>0</v>
      </c>
      <c r="E94" s="26">
        <v>5.9999999999999995E-4</v>
      </c>
      <c r="F94" s="38">
        <f>Tabella124[[#This Row],[Percentage of Supplier''s Facilities - Raw]]/$E$151</f>
        <v>6.0926076360682375E-4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Tabella124[[#This Row],[Percentage of Suppliers - Raw]]/$C$151</f>
        <v>0</v>
      </c>
      <c r="E95" s="26">
        <v>0</v>
      </c>
      <c r="F95" s="38">
        <f>Tabella124[[#This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Tabella124[[#This Row],[Percentage of Suppliers - Raw]]/$C$151</f>
        <v>0</v>
      </c>
      <c r="E96" s="26">
        <v>0</v>
      </c>
      <c r="F96" s="38">
        <f>Tabella124[[#This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Tabella124[[#This Row],[Percentage of Suppliers - Raw]]/$C$151</f>
        <v>0</v>
      </c>
      <c r="E97" s="26">
        <v>0</v>
      </c>
      <c r="F97" s="38">
        <f>Tabella124[[#This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7.1000000000000004E-3</v>
      </c>
      <c r="D98" s="36">
        <f>Tabella124[[#This Row],[Percentage of Suppliers - Raw]]/$C$151</f>
        <v>7.1811469606554053E-3</v>
      </c>
      <c r="E98" s="26">
        <v>8.6E-3</v>
      </c>
      <c r="F98" s="38">
        <f>Tabella124[[#This Row],[Percentage of Supplier''s Facilities - Raw]]/$E$151</f>
        <v>8.7327376116978078E-3</v>
      </c>
    </row>
    <row r="99" spans="1:6" ht="19" x14ac:dyDescent="0.25">
      <c r="A99" s="31" t="s">
        <v>112</v>
      </c>
      <c r="B99" s="128">
        <v>3.32</v>
      </c>
      <c r="C99" s="22">
        <v>8.9999999999999998E-4</v>
      </c>
      <c r="D99" s="36">
        <f>Tabella124[[#This Row],[Percentage of Suppliers - Raw]]/$C$151</f>
        <v>9.1028623444927668E-4</v>
      </c>
      <c r="E99" s="26">
        <v>1.2999999999999999E-3</v>
      </c>
      <c r="F99" s="38">
        <f>Tabella124[[#This Row],[Percentage of Supplier''s Facilities - Raw]]/$E$151</f>
        <v>1.3200649878147847E-3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Tabella124[[#This Row],[Percentage of Suppliers - Raw]]/$C$151</f>
        <v>0</v>
      </c>
      <c r="E100" s="26">
        <v>0</v>
      </c>
      <c r="F100" s="38">
        <f>Tabella124[[#This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Tabella124[[#This Row],[Percentage of Suppliers - Raw]]/$C$151</f>
        <v>0</v>
      </c>
      <c r="E101" s="26">
        <v>0</v>
      </c>
      <c r="F101" s="38">
        <f>Tabella124[[#This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Tabella124[[#This Row],[Percentage of Suppliers - Raw]]/$C$151</f>
        <v>0</v>
      </c>
      <c r="E102" s="26">
        <v>5.0000000000000001E-4</v>
      </c>
      <c r="F102" s="38">
        <f>Tabella124[[#This Row],[Percentage of Supplier''s Facilities - Raw]]/$E$151</f>
        <v>5.0771730300568649E-4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Tabella124[[#This Row],[Percentage of Suppliers - Raw]]/$C$151</f>
        <v>0</v>
      </c>
      <c r="E103" s="26">
        <v>0</v>
      </c>
      <c r="F103" s="38">
        <f>Tabella124[[#This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2.7000000000000001E-3</v>
      </c>
      <c r="D104" s="36">
        <f>Tabella124[[#This Row],[Percentage of Suppliers - Raw]]/$C$151</f>
        <v>2.7308587033478301E-3</v>
      </c>
      <c r="E104" s="26">
        <v>2.5999999999999999E-3</v>
      </c>
      <c r="F104" s="38">
        <f>Tabella124[[#This Row],[Percentage of Supplier''s Facilities - Raw]]/$E$151</f>
        <v>2.6401299756295695E-3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Tabella124[[#This Row],[Percentage of Suppliers - Raw]]/$C$151</f>
        <v>0</v>
      </c>
      <c r="E105" s="26">
        <v>0</v>
      </c>
      <c r="F105" s="38">
        <f>Tabella124[[#This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8.9999999999999998E-4</v>
      </c>
      <c r="D106" s="36">
        <f>Tabella124[[#This Row],[Percentage of Suppliers - Raw]]/$C$151</f>
        <v>9.1028623444927668E-4</v>
      </c>
      <c r="E106" s="26">
        <v>1.6000000000000001E-3</v>
      </c>
      <c r="F106" s="38">
        <f>Tabella124[[#This Row],[Percentage of Supplier''s Facilities - Raw]]/$E$151</f>
        <v>1.6246953696181967E-3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Tabella124[[#This Row],[Percentage of Suppliers - Raw]]/$C$151</f>
        <v>0</v>
      </c>
      <c r="E107" s="26">
        <v>0</v>
      </c>
      <c r="F107" s="38">
        <f>Tabella124[[#This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Tabella124[[#This Row],[Percentage of Suppliers - Raw]]/$C$151</f>
        <v>0</v>
      </c>
      <c r="E108" s="26">
        <v>0</v>
      </c>
      <c r="F108" s="38">
        <f>Tabella124[[#This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Tabella124[[#This Row],[Percentage of Suppliers - Raw]]/$C$151</f>
        <v>0</v>
      </c>
      <c r="E109" s="26">
        <v>0</v>
      </c>
      <c r="F109" s="38">
        <f>Tabella124[[#This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Tabella124[[#This Row],[Percentage of Suppliers - Raw]]/$C$151</f>
        <v>0</v>
      </c>
      <c r="E110" s="26">
        <v>0</v>
      </c>
      <c r="F110" s="38">
        <f>Tabella124[[#This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8.9999999999999998E-4</v>
      </c>
      <c r="D111" s="36">
        <f>Tabella124[[#This Row],[Percentage of Suppliers - Raw]]/$C$151</f>
        <v>9.1028623444927668E-4</v>
      </c>
      <c r="E111" s="26">
        <v>5.4999999999999997E-3</v>
      </c>
      <c r="F111" s="38">
        <f>Tabella124[[#This Row],[Percentage of Supplier''s Facilities - Raw]]/$E$151</f>
        <v>5.584890333062551E-3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Tabella124[[#This Row],[Percentage of Suppliers - Raw]]/$C$151</f>
        <v>0</v>
      </c>
      <c r="E112" s="26">
        <v>7.0000000000000001E-3</v>
      </c>
      <c r="F112" s="38">
        <f>Tabella124[[#This Row],[Percentage of Supplier''s Facilities - Raw]]/$E$151</f>
        <v>7.1080422420796109E-3</v>
      </c>
    </row>
    <row r="113" spans="1:6" ht="19" x14ac:dyDescent="0.25">
      <c r="A113" s="31" t="s">
        <v>126</v>
      </c>
      <c r="B113" s="141">
        <v>3.43</v>
      </c>
      <c r="C113" s="22">
        <v>8.9999999999999998E-4</v>
      </c>
      <c r="D113" s="36">
        <f>Tabella124[[#This Row],[Percentage of Suppliers - Raw]]/$C$151</f>
        <v>9.1028623444927668E-4</v>
      </c>
      <c r="E113" s="26">
        <v>2.3E-3</v>
      </c>
      <c r="F113" s="38">
        <f>Tabella124[[#This Row],[Percentage of Supplier''s Facilities - Raw]]/$E$151</f>
        <v>2.3354995938261579E-3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Tabella124[[#This Row],[Percentage of Suppliers - Raw]]/$C$151</f>
        <v>0</v>
      </c>
      <c r="E114" s="26">
        <v>0</v>
      </c>
      <c r="F114" s="38">
        <f>Tabella124[[#This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8.9999999999999998E-4</v>
      </c>
      <c r="D115" s="36">
        <f>Tabella124[[#This Row],[Percentage of Suppliers - Raw]]/$C$151</f>
        <v>9.1028623444927668E-4</v>
      </c>
      <c r="E115" s="26">
        <v>2.8999999999999998E-3</v>
      </c>
      <c r="F115" s="38">
        <f>Tabella124[[#This Row],[Percentage of Supplier''s Facilities - Raw]]/$E$151</f>
        <v>2.9447603574329815E-3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Tabella124[[#This Row],[Percentage of Suppliers - Raw]]/$C$151</f>
        <v>0</v>
      </c>
      <c r="E116" s="26">
        <v>1.6999999999999999E-3</v>
      </c>
      <c r="F116" s="38">
        <f>Tabella124[[#This Row],[Percentage of Supplier''s Facilities - Raw]]/$E$151</f>
        <v>1.726238830219334E-3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Tabella124[[#This Row],[Percentage of Suppliers - Raw]]/$C$151</f>
        <v>0</v>
      </c>
      <c r="E117" s="26">
        <v>0</v>
      </c>
      <c r="F117" s="38">
        <f>Tabella124[[#This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Tabella124[[#This Row],[Percentage of Suppliers - Raw]]/$C$151</f>
        <v>0</v>
      </c>
      <c r="E118" s="26">
        <v>2.5999999999999999E-3</v>
      </c>
      <c r="F118" s="38">
        <f>Tabella124[[#This Row],[Percentage of Supplier''s Facilities - Raw]]/$E$151</f>
        <v>2.6401299756295695E-3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Tabella124[[#This Row],[Percentage of Suppliers - Raw]]/$C$151</f>
        <v>0</v>
      </c>
      <c r="E119" s="26">
        <v>0</v>
      </c>
      <c r="F119" s="38">
        <f>Tabella124[[#This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Tabella124[[#This Row],[Percentage of Suppliers - Raw]]/$C$151</f>
        <v>0</v>
      </c>
      <c r="E120" s="26">
        <v>5.0000000000000001E-4</v>
      </c>
      <c r="F120" s="38">
        <f>Tabella124[[#This Row],[Percentage of Supplier''s Facilities - Raw]]/$E$151</f>
        <v>5.0771730300568649E-4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Tabella124[[#This Row],[Percentage of Suppliers - Raw]]/$C$151</f>
        <v>0</v>
      </c>
      <c r="E121" s="26">
        <v>0</v>
      </c>
      <c r="F121" s="38">
        <f>Tabella124[[#This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4.4000000000000003E-3</v>
      </c>
      <c r="D122" s="36">
        <f>Tabella124[[#This Row],[Percentage of Suppliers - Raw]]/$C$151</f>
        <v>4.4502882573075756E-3</v>
      </c>
      <c r="E122" s="26">
        <v>1.0800000000000001E-2</v>
      </c>
      <c r="F122" s="38">
        <f>Tabella124[[#This Row],[Percentage of Supplier''s Facilities - Raw]]/$E$151</f>
        <v>1.0966693744922828E-2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Tabella124[[#This Row],[Percentage of Suppliers - Raw]]/$C$151</f>
        <v>0</v>
      </c>
      <c r="E123" s="26">
        <v>1.6999999999999999E-3</v>
      </c>
      <c r="F123" s="38">
        <f>Tabella124[[#This Row],[Percentage of Supplier''s Facilities - Raw]]/$E$151</f>
        <v>1.726238830219334E-3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Tabella124[[#This Row],[Percentage of Suppliers - Raw]]/$C$151</f>
        <v>0</v>
      </c>
      <c r="E124" s="26">
        <v>5.0000000000000001E-4</v>
      </c>
      <c r="F124" s="38">
        <f>Tabella124[[#This Row],[Percentage of Supplier''s Facilities - Raw]]/$E$151</f>
        <v>5.0771730300568649E-4</v>
      </c>
    </row>
    <row r="125" spans="1:6" ht="19" x14ac:dyDescent="0.25">
      <c r="A125" s="31" t="s">
        <v>138</v>
      </c>
      <c r="B125" s="150">
        <v>5.22</v>
      </c>
      <c r="C125" s="22">
        <v>2.7000000000000001E-3</v>
      </c>
      <c r="D125" s="36">
        <f>Tabella124[[#This Row],[Percentage of Suppliers - Raw]]/$C$151</f>
        <v>2.7308587033478301E-3</v>
      </c>
      <c r="E125" s="26">
        <v>3.0000000000000001E-3</v>
      </c>
      <c r="F125" s="38">
        <f>Tabella124[[#This Row],[Percentage of Supplier''s Facilities - Raw]]/$E$151</f>
        <v>3.0463038180341189E-3</v>
      </c>
    </row>
    <row r="126" spans="1:6" ht="19" x14ac:dyDescent="0.25">
      <c r="A126" s="31" t="s">
        <v>139</v>
      </c>
      <c r="B126" s="151">
        <v>3.57</v>
      </c>
      <c r="C126" s="22">
        <v>0.39560000000000001</v>
      </c>
      <c r="D126" s="36">
        <f>Tabella124[[#This Row],[Percentage of Suppliers - Raw]]/$C$151</f>
        <v>0.40012137149792654</v>
      </c>
      <c r="E126" s="26">
        <v>0.10929999999999999</v>
      </c>
      <c r="F126" s="38">
        <f>Tabella124[[#This Row],[Percentage of Supplier''s Facilities - Raw]]/$E$151</f>
        <v>0.11098700243704306</v>
      </c>
    </row>
    <row r="127" spans="1:6" ht="19" x14ac:dyDescent="0.25">
      <c r="A127" s="31" t="s">
        <v>140</v>
      </c>
      <c r="B127" s="152">
        <v>3.7</v>
      </c>
      <c r="C127" s="22">
        <v>4.4000000000000003E-3</v>
      </c>
      <c r="D127" s="36">
        <f>Tabella124[[#This Row],[Percentage of Suppliers - Raw]]/$C$151</f>
        <v>4.4502882573075756E-3</v>
      </c>
      <c r="E127" s="26">
        <v>1.2E-2</v>
      </c>
      <c r="F127" s="38">
        <f>Tabella124[[#This Row],[Percentage of Supplier''s Facilities - Raw]]/$E$151</f>
        <v>1.2185215272136476E-2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Tabella124[[#This Row],[Percentage of Suppliers - Raw]]/$C$151</f>
        <v>0</v>
      </c>
      <c r="E128" s="26">
        <v>0</v>
      </c>
      <c r="F128" s="38">
        <f>Tabella124[[#This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Tabella124[[#This Row],[Percentage of Suppliers - Raw]]/$C$151</f>
        <v>0</v>
      </c>
      <c r="E129" s="26">
        <v>0</v>
      </c>
      <c r="F129" s="38">
        <f>Tabella124[[#This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4.4000000000000003E-3</v>
      </c>
      <c r="D130" s="36">
        <f>Tabella124[[#This Row],[Percentage of Suppliers - Raw]]/$C$151</f>
        <v>4.4502882573075756E-3</v>
      </c>
      <c r="E130" s="26">
        <v>6.4999999999999997E-3</v>
      </c>
      <c r="F130" s="38">
        <f>Tabella124[[#This Row],[Percentage of Supplier''s Facilities - Raw]]/$E$151</f>
        <v>6.600324939073924E-3</v>
      </c>
    </row>
    <row r="131" spans="1:6" ht="19" x14ac:dyDescent="0.25">
      <c r="A131" s="31" t="s">
        <v>144</v>
      </c>
      <c r="B131" s="154">
        <v>2.78</v>
      </c>
      <c r="C131" s="22">
        <v>6.1999999999999998E-3</v>
      </c>
      <c r="D131" s="36">
        <f>Tabella124[[#This Row],[Percentage of Suppliers - Raw]]/$C$151</f>
        <v>6.2708607262061278E-3</v>
      </c>
      <c r="E131" s="26">
        <v>6.4999999999999997E-3</v>
      </c>
      <c r="F131" s="38">
        <f>Tabella124[[#This Row],[Percentage of Supplier''s Facilities - Raw]]/$E$151</f>
        <v>6.600324939073924E-3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Tabella124[[#This Row],[Percentage of Suppliers - Raw]]/$C$151</f>
        <v>0</v>
      </c>
      <c r="E132" s="26">
        <v>0</v>
      </c>
      <c r="F132" s="38">
        <f>Tabella124[[#This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Tabella124[[#This Row],[Percentage of Suppliers - Raw]]/$C$151</f>
        <v>0</v>
      </c>
      <c r="E133" s="26">
        <v>0</v>
      </c>
      <c r="F133" s="38">
        <f>Tabella124[[#This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1.8E-3</v>
      </c>
      <c r="D134" s="36">
        <f>Tabella124[[#This Row],[Percentage of Suppliers - Raw]]/$C$151</f>
        <v>1.8205724688985534E-3</v>
      </c>
      <c r="E134" s="26">
        <v>1.26E-2</v>
      </c>
      <c r="F134" s="38">
        <f>Tabella124[[#This Row],[Percentage of Supplier''s Facilities - Raw]]/$E$151</f>
        <v>1.27944760357433E-2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Tabella124[[#This Row],[Percentage of Suppliers - Raw]]/$C$151</f>
        <v>0</v>
      </c>
      <c r="E135" s="26">
        <v>0</v>
      </c>
      <c r="F135" s="38">
        <f>Tabella124[[#This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Tabella124[[#This Row],[Percentage of Suppliers - Raw]]/$C$151</f>
        <v>0</v>
      </c>
      <c r="E136" s="26">
        <v>0</v>
      </c>
      <c r="F136" s="38">
        <f>Tabella124[[#This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Tabella124[[#This Row],[Percentage of Suppliers - Raw]]/$C$151</f>
        <v>0</v>
      </c>
      <c r="E137" s="26">
        <v>0</v>
      </c>
      <c r="F137" s="38">
        <f>Tabella124[[#This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Tabella124[[#This Row],[Percentage of Suppliers - Raw]]/$C$151</f>
        <v>0</v>
      </c>
      <c r="E138" s="26">
        <v>1.1999999999999999E-3</v>
      </c>
      <c r="F138" s="38">
        <f>Tabella124[[#This Row],[Percentage of Supplier''s Facilities - Raw]]/$E$151</f>
        <v>1.2185215272136475E-3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Tabella124[[#This Row],[Percentage of Suppliers - Raw]]/$C$151</f>
        <v>0</v>
      </c>
      <c r="E139" s="26">
        <v>4.1000000000000003E-3</v>
      </c>
      <c r="F139" s="38">
        <f>Tabella124[[#This Row],[Percentage of Supplier''s Facilities - Raw]]/$E$151</f>
        <v>4.1632818846466298E-3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Tabella124[[#This Row],[Percentage of Suppliers - Raw]]/$C$151</f>
        <v>0</v>
      </c>
      <c r="E140" s="26">
        <v>0</v>
      </c>
      <c r="F140" s="38">
        <f>Tabella124[[#This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Tabella124[[#This Row],[Percentage of Suppliers - Raw]]/$C$151</f>
        <v>0</v>
      </c>
      <c r="E141" s="26">
        <v>5.0000000000000001E-4</v>
      </c>
      <c r="F141" s="38">
        <f>Tabella124[[#This Row],[Percentage of Supplier''s Facilities - Raw]]/$E$151</f>
        <v>5.0771730300568649E-4</v>
      </c>
    </row>
    <row r="142" spans="1:6" ht="19" x14ac:dyDescent="0.25">
      <c r="A142" s="31" t="s">
        <v>155</v>
      </c>
      <c r="B142" s="164">
        <v>3.72</v>
      </c>
      <c r="C142" s="22">
        <v>8.9999999999999998E-4</v>
      </c>
      <c r="D142" s="36">
        <f>Tabella124[[#This Row],[Percentage of Suppliers - Raw]]/$C$151</f>
        <v>9.1028623444927668E-4</v>
      </c>
      <c r="E142" s="26">
        <v>1.9E-3</v>
      </c>
      <c r="F142" s="38">
        <f>Tabella124[[#This Row],[Percentage of Supplier''s Facilities - Raw]]/$E$151</f>
        <v>1.9293257514216087E-3</v>
      </c>
    </row>
    <row r="143" spans="1:6" ht="19" x14ac:dyDescent="0.25">
      <c r="A143" s="31" t="s">
        <v>156</v>
      </c>
      <c r="B143" s="128">
        <v>3.32</v>
      </c>
      <c r="C143" s="22">
        <v>2.1299999999999999E-2</v>
      </c>
      <c r="D143" s="36">
        <f>Tabella124[[#This Row],[Percentage of Suppliers - Raw]]/$C$151</f>
        <v>2.1543440881966216E-2</v>
      </c>
      <c r="E143" s="26">
        <v>2.93E-2</v>
      </c>
      <c r="F143" s="38">
        <f>Tabella124[[#This Row],[Percentage of Supplier''s Facilities - Raw]]/$E$151</f>
        <v>2.9752233956133228E-2</v>
      </c>
    </row>
    <row r="144" spans="1:6" ht="19" x14ac:dyDescent="0.25">
      <c r="A144" s="31" t="s">
        <v>157</v>
      </c>
      <c r="B144" s="165">
        <v>4.1900000000000004</v>
      </c>
      <c r="C144" s="22">
        <v>0.14399999999999999</v>
      </c>
      <c r="D144" s="36">
        <f>Tabella124[[#This Row],[Percentage of Suppliers - Raw]]/$C$151</f>
        <v>0.14564579751188425</v>
      </c>
      <c r="E144" s="26">
        <v>0.16569999999999999</v>
      </c>
      <c r="F144" s="38">
        <f>Tabella124[[#This Row],[Percentage of Supplier''s Facilities - Raw]]/$E$151</f>
        <v>0.16825751421608448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Tabella124[[#This Row],[Percentage of Suppliers - Raw]]/$C$151</f>
        <v>0</v>
      </c>
      <c r="E145" s="26">
        <v>0</v>
      </c>
      <c r="F145" s="38">
        <f>Tabella124[[#This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Tabella124[[#This Row],[Percentage of Suppliers - Raw]]/$C$151</f>
        <v>0</v>
      </c>
      <c r="E146" s="26">
        <v>0</v>
      </c>
      <c r="F146" s="38">
        <f>Tabella124[[#This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1.8E-3</v>
      </c>
      <c r="D147" s="36">
        <f>Tabella124[[#This Row],[Percentage of Suppliers - Raw]]/$C$151</f>
        <v>1.8205724688985534E-3</v>
      </c>
      <c r="E147" s="26">
        <v>2.63E-2</v>
      </c>
      <c r="F147" s="38">
        <f>Tabella124[[#This Row],[Percentage of Supplier''s Facilities - Raw]]/$E$151</f>
        <v>2.6705930138099111E-2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Tabella124[[#This Row],[Percentage of Suppliers - Raw]]/$C$151</f>
        <v>0</v>
      </c>
      <c r="E148" s="26">
        <v>0</v>
      </c>
      <c r="F148" s="38">
        <f>Tabella124[[#This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Tabella124[[#This Row],[Percentage of Suppliers - Raw]]/$C$151</f>
        <v>0</v>
      </c>
      <c r="E149" s="26">
        <v>0</v>
      </c>
      <c r="F149" s="38">
        <f>Tabella124[[#This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Tabella124[[#This Row],[Percentage of Suppliers - Raw]]/$C$151</f>
        <v>0</v>
      </c>
      <c r="E150" s="26">
        <v>0</v>
      </c>
      <c r="F150" s="38">
        <f>Tabella124[[#This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0.98870000000000013</v>
      </c>
      <c r="D151" s="39">
        <f>Tabella124[[#This Row],[Percentage of Suppliers - Raw]]/$C$151</f>
        <v>1</v>
      </c>
      <c r="E151" s="25">
        <f>SUM(E4:E150)</f>
        <v>0.9847999999999999</v>
      </c>
      <c r="F151" s="39">
        <f>SUM(F4:F150)</f>
        <v>1.0000000000000002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2C50-2957-EA40-B815-D490CDFC6124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189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Tabella126[[#This Row],[Percentage of Suppliers - Raw]]/$C$151</f>
        <v>0</v>
      </c>
      <c r="E4" s="26">
        <v>0</v>
      </c>
      <c r="F4" s="38">
        <f>Tabella126[[#This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Tabella126[[#This Row],[Percentage of Suppliers - Raw]]/$C$151</f>
        <v>0</v>
      </c>
      <c r="E5" s="26">
        <v>5.0000000000000001E-4</v>
      </c>
      <c r="F5" s="38">
        <f>Tabella126[[#This Row],[Percentage of Supplier''s Facilities - Raw]]/$E$151</f>
        <v>5.0479555779909169E-4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Tabella126[[#This Row],[Percentage of Suppliers - Raw]]/$C$151</f>
        <v>0</v>
      </c>
      <c r="E6" s="26">
        <v>2.0000000000000001E-4</v>
      </c>
      <c r="F6" s="38">
        <f>Tabella126[[#This Row],[Percentage of Supplier''s Facilities - Raw]]/$E$151</f>
        <v>2.0191822311963669E-4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Tabella126[[#This Row],[Percentage of Suppliers - Raw]]/$C$151</f>
        <v>0</v>
      </c>
      <c r="E7" s="26">
        <v>4.7000000000000002E-3</v>
      </c>
      <c r="F7" s="38">
        <f>Tabella126[[#This Row],[Percentage of Supplier''s Facilities - Raw]]/$E$151</f>
        <v>4.7450782433114619E-3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Tabella126[[#This Row],[Percentage of Suppliers - Raw]]/$C$151</f>
        <v>0</v>
      </c>
      <c r="E8" s="26">
        <v>1E-4</v>
      </c>
      <c r="F8" s="38">
        <f>Tabella126[[#This Row],[Percentage of Supplier''s Facilities - Raw]]/$E$151</f>
        <v>1.0095911155981834E-4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0.41051352172591921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0.38414941948510878</v>
      </c>
    </row>
    <row r="9" spans="1:16" ht="23" thickBot="1" x14ac:dyDescent="0.35">
      <c r="A9" s="31" t="s">
        <v>19</v>
      </c>
      <c r="B9" s="48">
        <v>3.22</v>
      </c>
      <c r="C9" s="22">
        <v>2.07E-2</v>
      </c>
      <c r="D9" s="36">
        <f>Tabella126[[#This Row],[Percentage of Suppliers - Raw]]/$C$151</f>
        <v>2.0966271649954425E-2</v>
      </c>
      <c r="E9" s="26">
        <v>1.2200000000000001E-2</v>
      </c>
      <c r="F9" s="38">
        <f>Tabella126[[#This Row],[Percentage of Supplier''s Facilities - Raw]]/$E$151</f>
        <v>1.2317011610297838E-2</v>
      </c>
      <c r="H9" s="20" t="s">
        <v>20</v>
      </c>
      <c r="I9" s="21"/>
      <c r="J9" s="21"/>
      <c r="K9" s="175">
        <f>SUMPRODUCT(B4:B150,D4:D150)</f>
        <v>4.0410797123468054</v>
      </c>
      <c r="M9" s="20" t="s">
        <v>21</v>
      </c>
      <c r="N9" s="21"/>
      <c r="O9" s="21"/>
      <c r="P9" s="175">
        <f>SUMPRODUCT(B4:B150,F4:F150)</f>
        <v>4.1802635032811732</v>
      </c>
    </row>
    <row r="10" spans="1:16" ht="19" x14ac:dyDescent="0.25">
      <c r="A10" s="31" t="s">
        <v>22</v>
      </c>
      <c r="B10" s="49">
        <v>3.41</v>
      </c>
      <c r="C10" s="22">
        <v>1.4E-3</v>
      </c>
      <c r="D10" s="36">
        <f>Tabella126[[#This Row],[Percentage of Suppliers - Raw]]/$C$151</f>
        <v>1.4180087106249368E-3</v>
      </c>
      <c r="E10" s="26">
        <v>2.5999999999999999E-3</v>
      </c>
      <c r="F10" s="38">
        <f>Tabella126[[#This Row],[Percentage of Supplier''s Facilities - Raw]]/$E$151</f>
        <v>2.6249369005552766E-3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Tabella126[[#This Row],[Percentage of Suppliers - Raw]]/$C$151</f>
        <v>0</v>
      </c>
      <c r="E11" s="26">
        <v>1E-4</v>
      </c>
      <c r="F11" s="38">
        <f>Tabella126[[#This Row],[Percentage of Supplier''s Facilities - Raw]]/$E$151</f>
        <v>1.0095911155981834E-4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Tabella126[[#This Row],[Percentage of Suppliers - Raw]]/$C$151</f>
        <v>0</v>
      </c>
      <c r="E12" s="26">
        <v>2.0000000000000001E-4</v>
      </c>
      <c r="F12" s="38">
        <f>Tabella126[[#This Row],[Percentage of Supplier''s Facilities - Raw]]/$E$151</f>
        <v>2.0191822311963669E-4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Tabella126[[#This Row],[Percentage of Suppliers - Raw]]/$C$151</f>
        <v>0</v>
      </c>
      <c r="E13" s="26">
        <v>5.9999999999999995E-4</v>
      </c>
      <c r="F13" s="38">
        <f>Tabella126[[#This Row],[Percentage of Supplier''s Facilities - Raw]]/$E$151</f>
        <v>6.0575466935891E-4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Tabella126[[#This Row],[Percentage of Suppliers - Raw]]/$C$151</f>
        <v>0</v>
      </c>
      <c r="E14" s="26">
        <v>4.0000000000000002E-4</v>
      </c>
      <c r="F14" s="38">
        <f>Tabella126[[#This Row],[Percentage of Supplier''s Facilities - Raw]]/$E$151</f>
        <v>4.0383644623927337E-4</v>
      </c>
    </row>
    <row r="15" spans="1:16" ht="19" x14ac:dyDescent="0.25">
      <c r="A15" s="31" t="s">
        <v>27</v>
      </c>
      <c r="B15" s="53">
        <v>3.33</v>
      </c>
      <c r="C15" s="22">
        <v>2.8E-3</v>
      </c>
      <c r="D15" s="36">
        <f>Tabella126[[#This Row],[Percentage of Suppliers - Raw]]/$C$151</f>
        <v>2.8360174212498737E-3</v>
      </c>
      <c r="E15" s="26">
        <v>4.4999999999999997E-3</v>
      </c>
      <c r="F15" s="38">
        <f>Tabella126[[#This Row],[Percentage of Supplier''s Facilities - Raw]]/$E$151</f>
        <v>4.5431600201918249E-3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Tabella126[[#This Row],[Percentage of Suppliers - Raw]]/$C$151</f>
        <v>0</v>
      </c>
      <c r="E16" s="26">
        <v>0</v>
      </c>
      <c r="F16" s="38">
        <f>Tabella126[[#This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Tabella126[[#This Row],[Percentage of Suppliers - Raw]]/$C$151</f>
        <v>0</v>
      </c>
      <c r="E17" s="26">
        <v>0</v>
      </c>
      <c r="F17" s="38">
        <f>Tabella126[[#This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Tabella126[[#This Row],[Percentage of Suppliers - Raw]]/$C$151</f>
        <v>0</v>
      </c>
      <c r="E18" s="26">
        <v>2.0000000000000001E-4</v>
      </c>
      <c r="F18" s="38">
        <f>Tabella126[[#This Row],[Percentage of Supplier''s Facilities - Raw]]/$E$151</f>
        <v>2.0191822311963669E-4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Tabella126[[#This Row],[Percentage of Suppliers - Raw]]/$C$151</f>
        <v>0</v>
      </c>
      <c r="E19" s="26">
        <v>0</v>
      </c>
      <c r="F19" s="38">
        <f>Tabella126[[#This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Tabella126[[#This Row],[Percentage of Suppliers - Raw]]/$C$151</f>
        <v>0</v>
      </c>
      <c r="E20" s="26">
        <v>1E-4</v>
      </c>
      <c r="F20" s="38">
        <f>Tabella126[[#This Row],[Percentage of Supplier''s Facilities - Raw]]/$E$151</f>
        <v>1.0095911155981834E-4</v>
      </c>
    </row>
    <row r="21" spans="1:7" ht="19" x14ac:dyDescent="0.25">
      <c r="A21" s="31" t="s">
        <v>33</v>
      </c>
      <c r="B21" s="57">
        <v>5.35</v>
      </c>
      <c r="C21" s="22">
        <v>2.8E-3</v>
      </c>
      <c r="D21" s="36">
        <f>Tabella126[[#This Row],[Percentage of Suppliers - Raw]]/$C$151</f>
        <v>2.8360174212498737E-3</v>
      </c>
      <c r="E21" s="26">
        <v>1.9199999999999998E-2</v>
      </c>
      <c r="F21" s="38">
        <f>Tabella126[[#This Row],[Percentage of Supplier''s Facilities - Raw]]/$E$151</f>
        <v>1.938414941948512E-2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Tabella126[[#This Row],[Percentage of Suppliers - Raw]]/$C$151</f>
        <v>0</v>
      </c>
      <c r="E22" s="26">
        <v>1.2999999999999999E-3</v>
      </c>
      <c r="F22" s="38">
        <f>Tabella126[[#This Row],[Percentage of Supplier''s Facilities - Raw]]/$E$151</f>
        <v>1.3124684502776383E-3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Tabella126[[#This Row],[Percentage of Suppliers - Raw]]/$C$151</f>
        <v>0</v>
      </c>
      <c r="E23" s="26">
        <v>0</v>
      </c>
      <c r="F23" s="38">
        <f>Tabella126[[#This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Tabella126[[#This Row],[Percentage of Suppliers - Raw]]/$C$151</f>
        <v>0</v>
      </c>
      <c r="E24" s="26">
        <v>0</v>
      </c>
      <c r="F24" s="38">
        <f>Tabella126[[#This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Tabella126[[#This Row],[Percentage of Suppliers - Raw]]/$C$151</f>
        <v>0</v>
      </c>
      <c r="E25" s="26">
        <v>4.0000000000000002E-4</v>
      </c>
      <c r="F25" s="38">
        <f>Tabella126[[#This Row],[Percentage of Supplier''s Facilities - Raw]]/$E$151</f>
        <v>4.0383644623927337E-4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Tabella126[[#This Row],[Percentage of Suppliers - Raw]]/$C$151</f>
        <v>0</v>
      </c>
      <c r="E26" s="26">
        <v>1E-4</v>
      </c>
      <c r="F26" s="38">
        <f>Tabella126[[#This Row],[Percentage of Supplier''s Facilities - Raw]]/$E$151</f>
        <v>1.0095911155981834E-4</v>
      </c>
    </row>
    <row r="27" spans="1:7" ht="19" x14ac:dyDescent="0.25">
      <c r="A27" s="31" t="s">
        <v>39</v>
      </c>
      <c r="B27" s="64">
        <v>3.44</v>
      </c>
      <c r="C27" s="22">
        <v>4.3400000000000001E-2</v>
      </c>
      <c r="D27" s="36">
        <f>Tabella126[[#This Row],[Percentage of Suppliers - Raw]]/$C$151</f>
        <v>4.3958270029373046E-2</v>
      </c>
      <c r="E27" s="26">
        <v>3.0499999999999999E-2</v>
      </c>
      <c r="F27" s="38">
        <f>Tabella126[[#This Row],[Percentage of Supplier''s Facilities - Raw]]/$E$151</f>
        <v>3.0792529025744593E-2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Tabella126[[#This Row],[Percentage of Suppliers - Raw]]/$C$151</f>
        <v>0</v>
      </c>
      <c r="E28" s="26">
        <v>0</v>
      </c>
      <c r="F28" s="38">
        <f>Tabella126[[#This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Tabella126[[#This Row],[Percentage of Suppliers - Raw]]/$C$151</f>
        <v>0</v>
      </c>
      <c r="E29" s="26">
        <v>1E-4</v>
      </c>
      <c r="F29" s="38">
        <f>Tabella126[[#This Row],[Percentage of Supplier''s Facilities - Raw]]/$E$151</f>
        <v>1.0095911155981834E-4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Tabella126[[#This Row],[Percentage of Suppliers - Raw]]/$C$151</f>
        <v>0</v>
      </c>
      <c r="E30" s="26">
        <v>4.7000000000000002E-3</v>
      </c>
      <c r="F30" s="38">
        <f>Tabella126[[#This Row],[Percentage of Supplier''s Facilities - Raw]]/$E$151</f>
        <v>4.7450782433114619E-3</v>
      </c>
    </row>
    <row r="31" spans="1:7" ht="19" x14ac:dyDescent="0.25">
      <c r="A31" s="31" t="s">
        <v>43</v>
      </c>
      <c r="B31" s="50">
        <v>4.26</v>
      </c>
      <c r="C31" s="22">
        <f xml:space="preserve"> 10.19% + 3.85%</f>
        <v>0.1404</v>
      </c>
      <c r="D31" s="36">
        <f>Tabella126[[#This Row],[Percentage of Suppliers - Raw]]/$C$151</f>
        <v>0.14220601640838654</v>
      </c>
      <c r="E31" s="26">
        <v>9.69E-2</v>
      </c>
      <c r="F31" s="38">
        <f>Tabella126[[#This Row],[Percentage of Supplier''s Facilities - Raw]]/$E$151</f>
        <v>9.782937910146397E-2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6.9999999999999999E-4</v>
      </c>
      <c r="D32" s="36">
        <f>Tabella126[[#This Row],[Percentage of Suppliers - Raw]]/$C$151</f>
        <v>7.0900435531246842E-4</v>
      </c>
      <c r="E32" s="26">
        <v>3.2000000000000002E-3</v>
      </c>
      <c r="F32" s="38">
        <f>Tabella126[[#This Row],[Percentage of Supplier''s Facilities - Raw]]/$E$151</f>
        <v>3.230691569914187E-3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Tabella126[[#This Row],[Percentage of Suppliers - Raw]]/$C$151</f>
        <v>0</v>
      </c>
      <c r="E33" s="26">
        <v>0</v>
      </c>
      <c r="F33" s="38">
        <f>Tabella126[[#This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Tabella126[[#This Row],[Percentage of Suppliers - Raw]]/$C$151</f>
        <v>0</v>
      </c>
      <c r="E34" s="26">
        <v>1.1000000000000001E-3</v>
      </c>
      <c r="F34" s="38">
        <f>Tabella126[[#This Row],[Percentage of Supplier''s Facilities - Raw]]/$E$151</f>
        <v>1.1105502271580017E-3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Tabella126[[#This Row],[Percentage of Suppliers - Raw]]/$C$151</f>
        <v>0</v>
      </c>
      <c r="E35" s="26">
        <v>0</v>
      </c>
      <c r="F35" s="38">
        <f>Tabella126[[#This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Tabella126[[#This Row],[Percentage of Suppliers - Raw]]/$C$151</f>
        <v>0</v>
      </c>
      <c r="E36" s="26">
        <v>5.9999999999999995E-4</v>
      </c>
      <c r="F36" s="38">
        <f>Tabella126[[#This Row],[Percentage of Supplier''s Facilities - Raw]]/$E$151</f>
        <v>6.0575466935891E-4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Tabella126[[#This Row],[Percentage of Suppliers - Raw]]/$C$151</f>
        <v>0</v>
      </c>
      <c r="E37" s="26">
        <v>2.9999999999999997E-4</v>
      </c>
      <c r="F37" s="38">
        <f>Tabella126[[#This Row],[Percentage of Supplier''s Facilities - Raw]]/$E$151</f>
        <v>3.02877334679455E-4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Tabella126[[#This Row],[Percentage of Suppliers - Raw]]/$C$151</f>
        <v>0</v>
      </c>
      <c r="E38" s="26">
        <v>4.5999999999999999E-3</v>
      </c>
      <c r="F38" s="38">
        <f>Tabella126[[#This Row],[Percentage of Supplier''s Facilities - Raw]]/$E$151</f>
        <v>4.6441191317516438E-3</v>
      </c>
    </row>
    <row r="39" spans="1:6" ht="19" x14ac:dyDescent="0.25">
      <c r="A39" s="31" t="s">
        <v>52</v>
      </c>
      <c r="B39" s="75">
        <v>3.2</v>
      </c>
      <c r="C39" s="22">
        <v>2.8E-3</v>
      </c>
      <c r="D39" s="36">
        <f>Tabella126[[#This Row],[Percentage of Suppliers - Raw]]/$C$151</f>
        <v>2.8360174212498737E-3</v>
      </c>
      <c r="E39" s="26">
        <v>2.5999999999999999E-3</v>
      </c>
      <c r="F39" s="38">
        <f>Tabella126[[#This Row],[Percentage of Supplier''s Facilities - Raw]]/$E$151</f>
        <v>2.6249369005552766E-3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Tabella126[[#This Row],[Percentage of Suppliers - Raw]]/$C$151</f>
        <v>0</v>
      </c>
      <c r="E40" s="26">
        <v>1E-4</v>
      </c>
      <c r="F40" s="38">
        <f>Tabella126[[#This Row],[Percentage of Supplier''s Facilities - Raw]]/$E$151</f>
        <v>1.0095911155981834E-4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Tabella126[[#This Row],[Percentage of Suppliers - Raw]]/$C$151</f>
        <v>0</v>
      </c>
      <c r="E41" s="26">
        <v>1E-3</v>
      </c>
      <c r="F41" s="38">
        <f>Tabella126[[#This Row],[Percentage of Supplier''s Facilities - Raw]]/$E$151</f>
        <v>1.0095911155981834E-3</v>
      </c>
    </row>
    <row r="42" spans="1:6" ht="19" x14ac:dyDescent="0.25">
      <c r="A42" s="31" t="s">
        <v>55</v>
      </c>
      <c r="B42" s="78">
        <v>5.71</v>
      </c>
      <c r="C42" s="22">
        <v>6.9999999999999999E-4</v>
      </c>
      <c r="D42" s="36">
        <f>Tabella126[[#This Row],[Percentage of Suppliers - Raw]]/$C$151</f>
        <v>7.0900435531246842E-4</v>
      </c>
      <c r="E42" s="26">
        <v>1.6000000000000001E-3</v>
      </c>
      <c r="F42" s="38">
        <f>Tabella126[[#This Row],[Percentage of Supplier''s Facilities - Raw]]/$E$151</f>
        <v>1.6153457849570935E-3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Tabella126[[#This Row],[Percentage of Suppliers - Raw]]/$C$151</f>
        <v>0</v>
      </c>
      <c r="E43" s="26">
        <v>2.3E-3</v>
      </c>
      <c r="F43" s="38">
        <f>Tabella126[[#This Row],[Percentage of Supplier''s Facilities - Raw]]/$E$151</f>
        <v>2.3220595658758219E-3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Tabella126[[#This Row],[Percentage of Suppliers - Raw]]/$C$151</f>
        <v>0</v>
      </c>
      <c r="E44" s="26">
        <v>5.9999999999999995E-4</v>
      </c>
      <c r="F44" s="38">
        <f>Tabella126[[#This Row],[Percentage of Supplier''s Facilities - Raw]]/$E$151</f>
        <v>6.0575466935891E-4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Tabella126[[#This Row],[Percentage of Suppliers - Raw]]/$C$151</f>
        <v>0</v>
      </c>
      <c r="E45" s="26">
        <v>5.9999999999999995E-4</v>
      </c>
      <c r="F45" s="38">
        <f>Tabella126[[#This Row],[Percentage of Supplier''s Facilities - Raw]]/$E$151</f>
        <v>6.0575466935891E-4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Tabella126[[#This Row],[Percentage of Suppliers - Raw]]/$C$151</f>
        <v>0</v>
      </c>
      <c r="E46" s="26">
        <v>1E-4</v>
      </c>
      <c r="F46" s="38">
        <f>Tabella126[[#This Row],[Percentage of Supplier''s Facilities - Raw]]/$E$151</f>
        <v>1.0095911155981834E-4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Tabella126[[#This Row],[Percentage of Suppliers - Raw]]/$C$151</f>
        <v>0</v>
      </c>
      <c r="E47" s="26">
        <v>2.9999999999999997E-4</v>
      </c>
      <c r="F47" s="38">
        <f>Tabella126[[#This Row],[Percentage of Supplier''s Facilities - Raw]]/$E$151</f>
        <v>3.02877334679455E-4</v>
      </c>
    </row>
    <row r="48" spans="1:6" ht="19" x14ac:dyDescent="0.25">
      <c r="A48" s="31" t="s">
        <v>61</v>
      </c>
      <c r="B48" s="83">
        <v>3.35</v>
      </c>
      <c r="C48" s="22">
        <v>2.8E-3</v>
      </c>
      <c r="D48" s="36">
        <f>Tabella126[[#This Row],[Percentage of Suppliers - Raw]]/$C$151</f>
        <v>2.8360174212498737E-3</v>
      </c>
      <c r="E48" s="26">
        <v>2.5999999999999999E-3</v>
      </c>
      <c r="F48" s="38">
        <f>Tabella126[[#This Row],[Percentage of Supplier''s Facilities - Raw]]/$E$151</f>
        <v>2.6249369005552766E-3</v>
      </c>
    </row>
    <row r="49" spans="1:6" ht="19" x14ac:dyDescent="0.25">
      <c r="A49" s="31" t="s">
        <v>62</v>
      </c>
      <c r="B49" s="84">
        <v>3.65</v>
      </c>
      <c r="C49" s="22">
        <v>2.4199999999999999E-2</v>
      </c>
      <c r="D49" s="36">
        <f>Tabella126[[#This Row],[Percentage of Suppliers - Raw]]/$C$151</f>
        <v>2.4511293426516766E-2</v>
      </c>
      <c r="E49" s="26">
        <v>2.81E-2</v>
      </c>
      <c r="F49" s="38">
        <f>Tabella126[[#This Row],[Percentage of Supplier''s Facilities - Raw]]/$E$151</f>
        <v>2.8369510348308952E-2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Tabella126[[#This Row],[Percentage of Suppliers - Raw]]/$C$151</f>
        <v>0</v>
      </c>
      <c r="E50" s="26">
        <v>2.0000000000000001E-4</v>
      </c>
      <c r="F50" s="38">
        <f>Tabella126[[#This Row],[Percentage of Supplier''s Facilities - Raw]]/$E$151</f>
        <v>2.0191822311963669E-4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Tabella126[[#This Row],[Percentage of Suppliers - Raw]]/$C$151</f>
        <v>0</v>
      </c>
      <c r="E51" s="26">
        <v>0</v>
      </c>
      <c r="F51" s="38">
        <f>Tabella126[[#This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Tabella126[[#This Row],[Percentage of Suppliers - Raw]]/$C$151</f>
        <v>0</v>
      </c>
      <c r="E52" s="26">
        <v>2.0000000000000001E-4</v>
      </c>
      <c r="F52" s="38">
        <f>Tabella126[[#This Row],[Percentage of Supplier''s Facilities - Raw]]/$E$151</f>
        <v>2.0191822311963669E-4</v>
      </c>
    </row>
    <row r="53" spans="1:6" ht="19" x14ac:dyDescent="0.25">
      <c r="A53" s="31" t="s">
        <v>66</v>
      </c>
      <c r="B53" s="88">
        <v>3.42</v>
      </c>
      <c r="C53" s="22">
        <v>2.1399999999999999E-2</v>
      </c>
      <c r="D53" s="36">
        <f>Tabella126[[#This Row],[Percentage of Suppliers - Raw]]/$C$151</f>
        <v>2.1675276005266891E-2</v>
      </c>
      <c r="E53" s="26">
        <v>3.3500000000000002E-2</v>
      </c>
      <c r="F53" s="38">
        <f>Tabella126[[#This Row],[Percentage of Supplier''s Facilities - Raw]]/$E$151</f>
        <v>3.3821302372539143E-2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Tabella126[[#This Row],[Percentage of Suppliers - Raw]]/$C$151</f>
        <v>0</v>
      </c>
      <c r="E54" s="26">
        <v>4.0000000000000002E-4</v>
      </c>
      <c r="F54" s="38">
        <f>Tabella126[[#This Row],[Percentage of Supplier''s Facilities - Raw]]/$E$151</f>
        <v>4.0383644623927337E-4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Tabella126[[#This Row],[Percentage of Suppliers - Raw]]/$C$151</f>
        <v>0</v>
      </c>
      <c r="E55" s="26">
        <v>1.9E-3</v>
      </c>
      <c r="F55" s="38">
        <f>Tabella126[[#This Row],[Percentage of Supplier''s Facilities - Raw]]/$E$151</f>
        <v>1.9182231196365484E-3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Tabella126[[#This Row],[Percentage of Suppliers - Raw]]/$C$151</f>
        <v>0</v>
      </c>
      <c r="E56" s="26">
        <v>5.0000000000000001E-4</v>
      </c>
      <c r="F56" s="38">
        <f>Tabella126[[#This Row],[Percentage of Supplier''s Facilities - Raw]]/$E$151</f>
        <v>5.0479555779909169E-4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Tabella126[[#This Row],[Percentage of Suppliers - Raw]]/$C$151</f>
        <v>0</v>
      </c>
      <c r="E57" s="26">
        <v>0</v>
      </c>
      <c r="F57" s="38">
        <f>Tabella126[[#This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Tabella126[[#This Row],[Percentage of Suppliers - Raw]]/$C$151</f>
        <v>0</v>
      </c>
      <c r="E58" s="26">
        <v>0</v>
      </c>
      <c r="F58" s="38">
        <f>Tabella126[[#This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Tabella126[[#This Row],[Percentage of Suppliers - Raw]]/$C$151</f>
        <v>0</v>
      </c>
      <c r="E59" s="26">
        <v>0</v>
      </c>
      <c r="F59" s="38">
        <f>Tabella126[[#This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Tabella126[[#This Row],[Percentage of Suppliers - Raw]]/$C$151</f>
        <v>0</v>
      </c>
      <c r="E60" s="26">
        <v>0</v>
      </c>
      <c r="F60" s="38">
        <f>Tabella126[[#This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Tabella126[[#This Row],[Percentage of Suppliers - Raw]]/$C$151</f>
        <v>0</v>
      </c>
      <c r="E61" s="26">
        <v>1.1000000000000001E-3</v>
      </c>
      <c r="F61" s="38">
        <f>Tabella126[[#This Row],[Percentage of Supplier''s Facilities - Raw]]/$E$151</f>
        <v>1.1105502271580017E-3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Tabella126[[#This Row],[Percentage of Suppliers - Raw]]/$C$151</f>
        <v>0</v>
      </c>
      <c r="E62" s="26">
        <v>3.5000000000000001E-3</v>
      </c>
      <c r="F62" s="38">
        <f>Tabella126[[#This Row],[Percentage of Supplier''s Facilities - Raw]]/$E$151</f>
        <v>3.5335689045936417E-3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Tabella126[[#This Row],[Percentage of Suppliers - Raw]]/$C$151</f>
        <v>0</v>
      </c>
      <c r="E63" s="26">
        <v>1E-4</v>
      </c>
      <c r="F63" s="38">
        <f>Tabella126[[#This Row],[Percentage of Supplier''s Facilities - Raw]]/$E$151</f>
        <v>1.0095911155981834E-4</v>
      </c>
    </row>
    <row r="64" spans="1:6" ht="19" x14ac:dyDescent="0.25">
      <c r="A64" s="31" t="s">
        <v>77</v>
      </c>
      <c r="B64" s="98">
        <v>5.07</v>
      </c>
      <c r="C64" s="22">
        <v>8.2600000000000007E-2</v>
      </c>
      <c r="D64" s="36">
        <f>Tabella126[[#This Row],[Percentage of Suppliers - Raw]]/$C$151</f>
        <v>8.3662513926871282E-2</v>
      </c>
      <c r="E64" s="26">
        <v>6.1400000000000003E-2</v>
      </c>
      <c r="F64" s="38">
        <f>Tabella126[[#This Row],[Percentage of Supplier''s Facilities - Raw]]/$E$151</f>
        <v>6.1988894497728465E-2</v>
      </c>
    </row>
    <row r="65" spans="1:6" ht="19" x14ac:dyDescent="0.25">
      <c r="A65" s="31" t="s">
        <v>78</v>
      </c>
      <c r="B65" s="99">
        <v>4.92</v>
      </c>
      <c r="C65" s="22">
        <v>1.4E-3</v>
      </c>
      <c r="D65" s="36">
        <f>Tabella126[[#This Row],[Percentage of Suppliers - Raw]]/$C$151</f>
        <v>1.4180087106249368E-3</v>
      </c>
      <c r="E65" s="26">
        <v>8.6E-3</v>
      </c>
      <c r="F65" s="38">
        <f>Tabella126[[#This Row],[Percentage of Supplier''s Facilities - Raw]]/$E$151</f>
        <v>8.6824835941443773E-3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Tabella126[[#This Row],[Percentage of Suppliers - Raw]]/$C$151</f>
        <v>0</v>
      </c>
      <c r="E66" s="26">
        <v>2.0000000000000001E-4</v>
      </c>
      <c r="F66" s="38">
        <f>Tabella126[[#This Row],[Percentage of Supplier''s Facilities - Raw]]/$E$151</f>
        <v>2.0191822311963669E-4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Tabella126[[#This Row],[Percentage of Suppliers - Raw]]/$C$151</f>
        <v>0</v>
      </c>
      <c r="E67" s="26">
        <v>2.9999999999999997E-4</v>
      </c>
      <c r="F67" s="38">
        <f>Tabella126[[#This Row],[Percentage of Supplier''s Facilities - Raw]]/$E$151</f>
        <v>3.02877334679455E-4</v>
      </c>
    </row>
    <row r="68" spans="1:6" ht="19" x14ac:dyDescent="0.25">
      <c r="A68" s="31" t="s">
        <v>81</v>
      </c>
      <c r="B68" s="102">
        <v>3.25</v>
      </c>
      <c r="C68" s="22">
        <v>7.1000000000000004E-3</v>
      </c>
      <c r="D68" s="36">
        <f>Tabella126[[#This Row],[Percentage of Suppliers - Raw]]/$C$151</f>
        <v>7.1913298895978951E-3</v>
      </c>
      <c r="E68" s="26">
        <v>3.0999999999999999E-3</v>
      </c>
      <c r="F68" s="38">
        <f>Tabella126[[#This Row],[Percentage of Supplier''s Facilities - Raw]]/$E$151</f>
        <v>3.1297324583543684E-3</v>
      </c>
    </row>
    <row r="69" spans="1:6" ht="19" x14ac:dyDescent="0.25">
      <c r="A69" s="31" t="s">
        <v>82</v>
      </c>
      <c r="B69" s="103">
        <v>4.6100000000000003</v>
      </c>
      <c r="C69" s="22">
        <v>1.14E-2</v>
      </c>
      <c r="D69" s="36">
        <f>Tabella126[[#This Row],[Percentage of Suppliers - Raw]]/$C$151</f>
        <v>1.1546642357945915E-2</v>
      </c>
      <c r="E69" s="26">
        <v>2.7000000000000001E-3</v>
      </c>
      <c r="F69" s="38">
        <f>Tabella126[[#This Row],[Percentage of Supplier''s Facilities - Raw]]/$E$151</f>
        <v>2.7258960121150952E-3</v>
      </c>
    </row>
    <row r="70" spans="1:6" ht="19" x14ac:dyDescent="0.25">
      <c r="A70" s="31" t="s">
        <v>83</v>
      </c>
      <c r="B70" s="104">
        <v>3.84</v>
      </c>
      <c r="C70" s="22">
        <v>7.1000000000000004E-3</v>
      </c>
      <c r="D70" s="36">
        <f>Tabella126[[#This Row],[Percentage of Suppliers - Raw]]/$C$151</f>
        <v>7.1913298895978951E-3</v>
      </c>
      <c r="E70" s="26">
        <v>1.38E-2</v>
      </c>
      <c r="F70" s="38">
        <f>Tabella126[[#This Row],[Percentage of Supplier''s Facilities - Raw]]/$E$151</f>
        <v>1.3932357395254931E-2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Tabella126[[#This Row],[Percentage of Suppliers - Raw]]/$C$151</f>
        <v>0</v>
      </c>
      <c r="E71" s="26">
        <v>2.0000000000000001E-4</v>
      </c>
      <c r="F71" s="38">
        <f>Tabella126[[#This Row],[Percentage of Supplier''s Facilities - Raw]]/$E$151</f>
        <v>2.0191822311963669E-4</v>
      </c>
    </row>
    <row r="72" spans="1:6" ht="19" x14ac:dyDescent="0.25">
      <c r="A72" s="31" t="s">
        <v>85</v>
      </c>
      <c r="B72" s="97">
        <v>3.38</v>
      </c>
      <c r="C72" s="22">
        <v>6.3399999999999998E-2</v>
      </c>
      <c r="D72" s="36">
        <f>Tabella126[[#This Row],[Percentage of Suppliers - Raw]]/$C$151</f>
        <v>6.4215537324014998E-2</v>
      </c>
      <c r="E72" s="26">
        <v>5.1900000000000002E-2</v>
      </c>
      <c r="F72" s="38">
        <f>Tabella126[[#This Row],[Percentage of Supplier''s Facilities - Raw]]/$E$151</f>
        <v>5.2397778899545722E-2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Tabella126[[#This Row],[Percentage of Suppliers - Raw]]/$C$151</f>
        <v>0</v>
      </c>
      <c r="E73" s="26">
        <v>2.9999999999999997E-4</v>
      </c>
      <c r="F73" s="38">
        <f>Tabella126[[#This Row],[Percentage of Supplier''s Facilities - Raw]]/$E$151</f>
        <v>3.02877334679455E-4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Tabella126[[#This Row],[Percentage of Suppliers - Raw]]/$C$151</f>
        <v>0</v>
      </c>
      <c r="E74" s="26">
        <v>2.0000000000000001E-4</v>
      </c>
      <c r="F74" s="38">
        <f>Tabella126[[#This Row],[Percentage of Supplier''s Facilities - Raw]]/$E$151</f>
        <v>2.0191822311963669E-4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Tabella126[[#This Row],[Percentage of Suppliers - Raw]]/$C$151</f>
        <v>0</v>
      </c>
      <c r="E75" s="26">
        <v>4.0000000000000002E-4</v>
      </c>
      <c r="F75" s="38">
        <f>Tabella126[[#This Row],[Percentage of Supplier''s Facilities - Raw]]/$E$151</f>
        <v>4.0383644623927337E-4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Tabella126[[#This Row],[Percentage of Suppliers - Raw]]/$C$151</f>
        <v>0</v>
      </c>
      <c r="E76" s="26">
        <v>1E-4</v>
      </c>
      <c r="F76" s="38">
        <f>Tabella126[[#This Row],[Percentage of Supplier''s Facilities - Raw]]/$E$151</f>
        <v>1.0095911155981834E-4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Tabella126[[#This Row],[Percentage of Suppliers - Raw]]/$C$151</f>
        <v>0</v>
      </c>
      <c r="E77" s="26">
        <v>1E-4</v>
      </c>
      <c r="F77" s="38">
        <f>Tabella126[[#This Row],[Percentage of Supplier''s Facilities - Raw]]/$E$151</f>
        <v>1.0095911155981834E-4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Tabella126[[#This Row],[Percentage of Suppliers - Raw]]/$C$151</f>
        <v>0</v>
      </c>
      <c r="E78" s="26">
        <v>1E-4</v>
      </c>
      <c r="F78" s="38">
        <f>Tabella126[[#This Row],[Percentage of Supplier''s Facilities - Raw]]/$E$151</f>
        <v>1.0095911155981834E-4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Tabella126[[#This Row],[Percentage of Suppliers - Raw]]/$C$151</f>
        <v>0</v>
      </c>
      <c r="E79" s="26">
        <v>2.9999999999999997E-4</v>
      </c>
      <c r="F79" s="38">
        <f>Tabella126[[#This Row],[Percentage of Supplier''s Facilities - Raw]]/$E$151</f>
        <v>3.02877334679455E-4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Tabella126[[#This Row],[Percentage of Suppliers - Raw]]/$C$151</f>
        <v>0</v>
      </c>
      <c r="E80" s="26">
        <v>1E-4</v>
      </c>
      <c r="F80" s="38">
        <f>Tabella126[[#This Row],[Percentage of Supplier''s Facilities - Raw]]/$E$151</f>
        <v>1.0095911155981834E-4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Tabella126[[#This Row],[Percentage of Suppliers - Raw]]/$C$151</f>
        <v>0</v>
      </c>
      <c r="E81" s="26">
        <v>0</v>
      </c>
      <c r="F81" s="38">
        <f>Tabella126[[#This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Tabella126[[#This Row],[Percentage of Suppliers - Raw]]/$C$151</f>
        <v>0</v>
      </c>
      <c r="E82" s="26">
        <v>0</v>
      </c>
      <c r="F82" s="38">
        <f>Tabella126[[#This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Tabella126[[#This Row],[Percentage of Suppliers - Raw]]/$C$151</f>
        <v>0</v>
      </c>
      <c r="E83" s="26">
        <v>0</v>
      </c>
      <c r="F83" s="38">
        <f>Tabella126[[#This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1.4E-3</v>
      </c>
      <c r="D84" s="36">
        <f>Tabella126[[#This Row],[Percentage of Suppliers - Raw]]/$C$151</f>
        <v>1.4180087106249368E-3</v>
      </c>
      <c r="E84" s="26">
        <v>5.0000000000000001E-4</v>
      </c>
      <c r="F84" s="38">
        <f>Tabella126[[#This Row],[Percentage of Supplier''s Facilities - Raw]]/$E$151</f>
        <v>5.0479555779909169E-4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Tabella126[[#This Row],[Percentage of Suppliers - Raw]]/$C$151</f>
        <v>0</v>
      </c>
      <c r="E85" s="26">
        <v>2.0000000000000001E-4</v>
      </c>
      <c r="F85" s="38">
        <f>Tabella126[[#This Row],[Percentage of Supplier''s Facilities - Raw]]/$E$151</f>
        <v>2.0191822311963669E-4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Tabella126[[#This Row],[Percentage of Suppliers - Raw]]/$C$151</f>
        <v>0</v>
      </c>
      <c r="E86" s="26">
        <v>1E-4</v>
      </c>
      <c r="F86" s="38">
        <f>Tabella126[[#This Row],[Percentage of Supplier''s Facilities - Raw]]/$E$151</f>
        <v>1.0095911155981834E-4</v>
      </c>
    </row>
    <row r="87" spans="1:6" ht="19" x14ac:dyDescent="0.25">
      <c r="A87" s="31" t="s">
        <v>100</v>
      </c>
      <c r="B87" s="119">
        <v>4.03</v>
      </c>
      <c r="C87" s="22">
        <v>2.0999999999999999E-3</v>
      </c>
      <c r="D87" s="36">
        <f>Tabella126[[#This Row],[Percentage of Suppliers - Raw]]/$C$151</f>
        <v>2.1270130659374054E-3</v>
      </c>
      <c r="E87" s="26">
        <v>8.8000000000000005E-3</v>
      </c>
      <c r="F87" s="38">
        <f>Tabella126[[#This Row],[Percentage of Supplier''s Facilities - Raw]]/$E$151</f>
        <v>8.8844018172640135E-3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Tabella126[[#This Row],[Percentage of Suppliers - Raw]]/$C$151</f>
        <v>0</v>
      </c>
      <c r="E88" s="26">
        <v>0</v>
      </c>
      <c r="F88" s="38">
        <f>Tabella126[[#This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Tabella126[[#This Row],[Percentage of Suppliers - Raw]]/$C$151</f>
        <v>0</v>
      </c>
      <c r="E89" s="26">
        <v>0</v>
      </c>
      <c r="F89" s="38">
        <f>Tabella126[[#This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Tabella126[[#This Row],[Percentage of Suppliers - Raw]]/$C$151</f>
        <v>0</v>
      </c>
      <c r="E90" s="26">
        <v>1E-4</v>
      </c>
      <c r="F90" s="38">
        <f>Tabella126[[#This Row],[Percentage of Supplier''s Facilities - Raw]]/$E$151</f>
        <v>1.0095911155981834E-4</v>
      </c>
    </row>
    <row r="91" spans="1:6" ht="19" x14ac:dyDescent="0.25">
      <c r="A91" s="31" t="s">
        <v>104</v>
      </c>
      <c r="B91" s="123">
        <v>5.42</v>
      </c>
      <c r="C91" s="22">
        <v>2.0999999999999999E-3</v>
      </c>
      <c r="D91" s="36">
        <f>Tabella126[[#This Row],[Percentage of Suppliers - Raw]]/$C$151</f>
        <v>2.1270130659374054E-3</v>
      </c>
      <c r="E91" s="26">
        <v>2.8899999999999999E-2</v>
      </c>
      <c r="F91" s="38">
        <f>Tabella126[[#This Row],[Percentage of Supplier''s Facilities - Raw]]/$E$151</f>
        <v>2.9177183240787496E-2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Tabella126[[#This Row],[Percentage of Suppliers - Raw]]/$C$151</f>
        <v>0</v>
      </c>
      <c r="E92" s="26">
        <v>0</v>
      </c>
      <c r="F92" s="38">
        <f>Tabella126[[#This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Tabella126[[#This Row],[Percentage of Suppliers - Raw]]/$C$151</f>
        <v>0</v>
      </c>
      <c r="E93" s="26">
        <v>0</v>
      </c>
      <c r="F93" s="38">
        <f>Tabella126[[#This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Tabella126[[#This Row],[Percentage of Suppliers - Raw]]/$C$151</f>
        <v>0</v>
      </c>
      <c r="E94" s="26">
        <v>1.9E-3</v>
      </c>
      <c r="F94" s="38">
        <f>Tabella126[[#This Row],[Percentage of Supplier''s Facilities - Raw]]/$E$151</f>
        <v>1.9182231196365484E-3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Tabella126[[#This Row],[Percentage of Suppliers - Raw]]/$C$151</f>
        <v>0</v>
      </c>
      <c r="E95" s="26">
        <v>2.9999999999999997E-4</v>
      </c>
      <c r="F95" s="38">
        <f>Tabella126[[#This Row],[Percentage of Supplier''s Facilities - Raw]]/$E$151</f>
        <v>3.02877334679455E-4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Tabella126[[#This Row],[Percentage of Suppliers - Raw]]/$C$151</f>
        <v>0</v>
      </c>
      <c r="E96" s="26">
        <v>2.0000000000000001E-4</v>
      </c>
      <c r="F96" s="38">
        <f>Tabella126[[#This Row],[Percentage of Supplier''s Facilities - Raw]]/$E$151</f>
        <v>2.0191822311963669E-4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Tabella126[[#This Row],[Percentage of Suppliers - Raw]]/$C$151</f>
        <v>0</v>
      </c>
      <c r="E97" s="26">
        <v>1E-4</v>
      </c>
      <c r="F97" s="38">
        <f>Tabella126[[#This Row],[Percentage of Supplier''s Facilities - Raw]]/$E$151</f>
        <v>1.0095911155981834E-4</v>
      </c>
    </row>
    <row r="98" spans="1:6" ht="19" x14ac:dyDescent="0.25">
      <c r="A98" s="31" t="s">
        <v>111</v>
      </c>
      <c r="B98" s="127">
        <v>3.59</v>
      </c>
      <c r="C98" s="22">
        <v>5.0000000000000001E-3</v>
      </c>
      <c r="D98" s="36">
        <f>Tabella126[[#This Row],[Percentage of Suppliers - Raw]]/$C$151</f>
        <v>5.0643168236604889E-3</v>
      </c>
      <c r="E98" s="26">
        <v>7.3000000000000001E-3</v>
      </c>
      <c r="F98" s="38">
        <f>Tabella126[[#This Row],[Percentage of Supplier''s Facilities - Raw]]/$E$151</f>
        <v>7.3700151438667386E-3</v>
      </c>
    </row>
    <row r="99" spans="1:6" ht="19" x14ac:dyDescent="0.25">
      <c r="A99" s="31" t="s">
        <v>112</v>
      </c>
      <c r="B99" s="128">
        <v>3.32</v>
      </c>
      <c r="C99" s="22">
        <v>2.0999999999999999E-3</v>
      </c>
      <c r="D99" s="36">
        <f>Tabella126[[#This Row],[Percentage of Suppliers - Raw]]/$C$151</f>
        <v>2.1270130659374054E-3</v>
      </c>
      <c r="E99" s="26">
        <v>2.8E-3</v>
      </c>
      <c r="F99" s="38">
        <f>Tabella126[[#This Row],[Percentage of Supplier''s Facilities - Raw]]/$E$151</f>
        <v>2.8268551236749133E-3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Tabella126[[#This Row],[Percentage of Suppliers - Raw]]/$C$151</f>
        <v>0</v>
      </c>
      <c r="E100" s="26">
        <v>2.9999999999999997E-4</v>
      </c>
      <c r="F100" s="38">
        <f>Tabella126[[#This Row],[Percentage of Supplier''s Facilities - Raw]]/$E$151</f>
        <v>3.02877334679455E-4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Tabella126[[#This Row],[Percentage of Suppliers - Raw]]/$C$151</f>
        <v>0</v>
      </c>
      <c r="E101" s="26">
        <v>0</v>
      </c>
      <c r="F101" s="38">
        <f>Tabella126[[#This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Tabella126[[#This Row],[Percentage of Suppliers - Raw]]/$C$151</f>
        <v>0</v>
      </c>
      <c r="E102" s="26">
        <v>1E-3</v>
      </c>
      <c r="F102" s="38">
        <f>Tabella126[[#This Row],[Percentage of Supplier''s Facilities - Raw]]/$E$151</f>
        <v>1.0095911155981834E-3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Tabella126[[#This Row],[Percentage of Suppliers - Raw]]/$C$151</f>
        <v>0</v>
      </c>
      <c r="E103" s="26">
        <v>1E-4</v>
      </c>
      <c r="F103" s="38">
        <f>Tabella126[[#This Row],[Percentage of Supplier''s Facilities - Raw]]/$E$151</f>
        <v>1.0095911155981834E-4</v>
      </c>
    </row>
    <row r="104" spans="1:6" ht="19" x14ac:dyDescent="0.25">
      <c r="A104" s="31" t="s">
        <v>117</v>
      </c>
      <c r="B104" s="133">
        <v>3.38</v>
      </c>
      <c r="C104" s="22">
        <v>2.8E-3</v>
      </c>
      <c r="D104" s="36">
        <f>Tabella126[[#This Row],[Percentage of Suppliers - Raw]]/$C$151</f>
        <v>2.8360174212498737E-3</v>
      </c>
      <c r="E104" s="26">
        <v>1.6000000000000001E-3</v>
      </c>
      <c r="F104" s="38">
        <f>Tabella126[[#This Row],[Percentage of Supplier''s Facilities - Raw]]/$E$151</f>
        <v>1.6153457849570935E-3</v>
      </c>
    </row>
    <row r="105" spans="1:6" ht="19" x14ac:dyDescent="0.25">
      <c r="A105" s="31" t="s">
        <v>118</v>
      </c>
      <c r="B105" s="134">
        <v>4.0199999999999996</v>
      </c>
      <c r="C105" s="22">
        <v>6.9999999999999999E-4</v>
      </c>
      <c r="D105" s="36">
        <f>Tabella126[[#This Row],[Percentage of Suppliers - Raw]]/$C$151</f>
        <v>7.0900435531246842E-4</v>
      </c>
      <c r="E105" s="26">
        <v>1.1000000000000001E-3</v>
      </c>
      <c r="F105" s="38">
        <f>Tabella126[[#This Row],[Percentage of Supplier''s Facilities - Raw]]/$E$151</f>
        <v>1.1105502271580017E-3</v>
      </c>
    </row>
    <row r="106" spans="1:6" ht="19" x14ac:dyDescent="0.25">
      <c r="A106" s="31" t="s">
        <v>119</v>
      </c>
      <c r="B106" s="135">
        <v>6.65</v>
      </c>
      <c r="C106" s="22">
        <v>1.4E-3</v>
      </c>
      <c r="D106" s="36">
        <f>Tabella126[[#This Row],[Percentage of Suppliers - Raw]]/$C$151</f>
        <v>1.4180087106249368E-3</v>
      </c>
      <c r="E106" s="26">
        <v>1.6999999999999999E-3</v>
      </c>
      <c r="F106" s="38">
        <f>Tabella126[[#This Row],[Percentage of Supplier''s Facilities - Raw]]/$E$151</f>
        <v>1.7163048965169116E-3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Tabella126[[#This Row],[Percentage of Suppliers - Raw]]/$C$151</f>
        <v>0</v>
      </c>
      <c r="E107" s="26">
        <v>5.0000000000000001E-4</v>
      </c>
      <c r="F107" s="38">
        <f>Tabella126[[#This Row],[Percentage of Supplier''s Facilities - Raw]]/$E$151</f>
        <v>5.0479555779909169E-4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Tabella126[[#This Row],[Percentage of Suppliers - Raw]]/$C$151</f>
        <v>0</v>
      </c>
      <c r="E108" s="26">
        <v>1E-4</v>
      </c>
      <c r="F108" s="38">
        <f>Tabella126[[#This Row],[Percentage of Supplier''s Facilities - Raw]]/$E$151</f>
        <v>1.0095911155981834E-4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Tabella126[[#This Row],[Percentage of Suppliers - Raw]]/$C$151</f>
        <v>0</v>
      </c>
      <c r="E109" s="26">
        <v>5.0000000000000001E-4</v>
      </c>
      <c r="F109" s="38">
        <f>Tabella126[[#This Row],[Percentage of Supplier''s Facilities - Raw]]/$E$151</f>
        <v>5.0479555779909169E-4</v>
      </c>
    </row>
    <row r="110" spans="1:6" ht="19" x14ac:dyDescent="0.25">
      <c r="A110" s="31" t="s">
        <v>123</v>
      </c>
      <c r="B110" s="139">
        <v>5.28</v>
      </c>
      <c r="C110" s="22">
        <v>6.9999999999999999E-4</v>
      </c>
      <c r="D110" s="36">
        <f>Tabella126[[#This Row],[Percentage of Suppliers - Raw]]/$C$151</f>
        <v>7.0900435531246842E-4</v>
      </c>
      <c r="E110" s="26">
        <v>1.1000000000000001E-3</v>
      </c>
      <c r="F110" s="38">
        <f>Tabella126[[#This Row],[Percentage of Supplier''s Facilities - Raw]]/$E$151</f>
        <v>1.1105502271580017E-3</v>
      </c>
    </row>
    <row r="111" spans="1:6" ht="19" x14ac:dyDescent="0.25">
      <c r="A111" s="31" t="s">
        <v>124</v>
      </c>
      <c r="B111" s="129">
        <v>5.8</v>
      </c>
      <c r="C111" s="22">
        <v>2.0999999999999999E-3</v>
      </c>
      <c r="D111" s="36">
        <f>Tabella126[[#This Row],[Percentage of Suppliers - Raw]]/$C$151</f>
        <v>2.1270130659374054E-3</v>
      </c>
      <c r="E111" s="26">
        <v>3.5000000000000001E-3</v>
      </c>
      <c r="F111" s="38">
        <f>Tabella126[[#This Row],[Percentage of Supplier''s Facilities - Raw]]/$E$151</f>
        <v>3.5335689045936417E-3</v>
      </c>
    </row>
    <row r="112" spans="1:6" ht="19" x14ac:dyDescent="0.25">
      <c r="A112" s="31" t="s">
        <v>125</v>
      </c>
      <c r="B112" s="140">
        <v>4.1500000000000004</v>
      </c>
      <c r="C112" s="22">
        <v>6.9999999999999999E-4</v>
      </c>
      <c r="D112" s="36">
        <f>Tabella126[[#This Row],[Percentage of Suppliers - Raw]]/$C$151</f>
        <v>7.0900435531246842E-4</v>
      </c>
      <c r="E112" s="26">
        <v>9.7000000000000003E-3</v>
      </c>
      <c r="F112" s="38">
        <f>Tabella126[[#This Row],[Percentage of Supplier''s Facilities - Raw]]/$E$151</f>
        <v>9.7930338213023781E-3</v>
      </c>
    </row>
    <row r="113" spans="1:6" ht="19" x14ac:dyDescent="0.25">
      <c r="A113" s="31" t="s">
        <v>126</v>
      </c>
      <c r="B113" s="141">
        <v>3.43</v>
      </c>
      <c r="C113" s="22">
        <v>6.9999999999999999E-4</v>
      </c>
      <c r="D113" s="36">
        <f>Tabella126[[#This Row],[Percentage of Suppliers - Raw]]/$C$151</f>
        <v>7.0900435531246842E-4</v>
      </c>
      <c r="E113" s="26">
        <v>2.5999999999999999E-3</v>
      </c>
      <c r="F113" s="38">
        <f>Tabella126[[#This Row],[Percentage of Supplier''s Facilities - Raw]]/$E$151</f>
        <v>2.6249369005552766E-3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Tabella126[[#This Row],[Percentage of Suppliers - Raw]]/$C$151</f>
        <v>0</v>
      </c>
      <c r="E114" s="26">
        <v>2.9999999999999997E-4</v>
      </c>
      <c r="F114" s="38">
        <f>Tabella126[[#This Row],[Percentage of Supplier''s Facilities - Raw]]/$E$151</f>
        <v>3.02877334679455E-4</v>
      </c>
    </row>
    <row r="115" spans="1:6" ht="19" x14ac:dyDescent="0.25">
      <c r="A115" s="31" t="s">
        <v>128</v>
      </c>
      <c r="B115" s="142">
        <v>4.05</v>
      </c>
      <c r="C115" s="22">
        <v>6.9999999999999999E-4</v>
      </c>
      <c r="D115" s="36">
        <f>Tabella126[[#This Row],[Percentage of Suppliers - Raw]]/$C$151</f>
        <v>7.0900435531246842E-4</v>
      </c>
      <c r="E115" s="26">
        <v>3.0000000000000001E-3</v>
      </c>
      <c r="F115" s="38">
        <f>Tabella126[[#This Row],[Percentage of Supplier''s Facilities - Raw]]/$E$151</f>
        <v>3.0287733467945503E-3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Tabella126[[#This Row],[Percentage of Suppliers - Raw]]/$C$151</f>
        <v>0</v>
      </c>
      <c r="E116" s="26">
        <v>3.3E-3</v>
      </c>
      <c r="F116" s="38">
        <f>Tabella126[[#This Row],[Percentage of Supplier''s Facilities - Raw]]/$E$151</f>
        <v>3.3316506814740051E-3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Tabella126[[#This Row],[Percentage of Suppliers - Raw]]/$C$151</f>
        <v>0</v>
      </c>
      <c r="E117" s="26">
        <v>0</v>
      </c>
      <c r="F117" s="38">
        <f>Tabella126[[#This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6.9999999999999999E-4</v>
      </c>
      <c r="D118" s="36">
        <f>Tabella126[[#This Row],[Percentage of Suppliers - Raw]]/$C$151</f>
        <v>7.0900435531246842E-4</v>
      </c>
      <c r="E118" s="26">
        <v>1.6999999999999999E-3</v>
      </c>
      <c r="F118" s="38">
        <f>Tabella126[[#This Row],[Percentage of Supplier''s Facilities - Raw]]/$E$151</f>
        <v>1.7163048965169116E-3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Tabella126[[#This Row],[Percentage of Suppliers - Raw]]/$C$151</f>
        <v>0</v>
      </c>
      <c r="E119" s="26">
        <v>2.0000000000000001E-4</v>
      </c>
      <c r="F119" s="38">
        <f>Tabella126[[#This Row],[Percentage of Supplier''s Facilities - Raw]]/$E$151</f>
        <v>2.0191822311963669E-4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Tabella126[[#This Row],[Percentage of Suppliers - Raw]]/$C$151</f>
        <v>0</v>
      </c>
      <c r="E120" s="26">
        <v>4.0000000000000002E-4</v>
      </c>
      <c r="F120" s="38">
        <f>Tabella126[[#This Row],[Percentage of Supplier''s Facilities - Raw]]/$E$151</f>
        <v>4.0383644623927337E-4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Tabella126[[#This Row],[Percentage of Suppliers - Raw]]/$C$151</f>
        <v>0</v>
      </c>
      <c r="E121" s="26">
        <v>0</v>
      </c>
      <c r="F121" s="38">
        <f>Tabella126[[#This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0.01</v>
      </c>
      <c r="D122" s="36">
        <f>Tabella126[[#This Row],[Percentage of Suppliers - Raw]]/$C$151</f>
        <v>1.0128633647320978E-2</v>
      </c>
      <c r="E122" s="26">
        <v>4.5999999999999999E-3</v>
      </c>
      <c r="F122" s="38">
        <f>Tabella126[[#This Row],[Percentage of Supplier''s Facilities - Raw]]/$E$151</f>
        <v>4.6441191317516438E-3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Tabella126[[#This Row],[Percentage of Suppliers - Raw]]/$C$151</f>
        <v>0</v>
      </c>
      <c r="E123" s="26">
        <v>1.9E-3</v>
      </c>
      <c r="F123" s="38">
        <f>Tabella126[[#This Row],[Percentage of Supplier''s Facilities - Raw]]/$E$151</f>
        <v>1.9182231196365484E-3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Tabella126[[#This Row],[Percentage of Suppliers - Raw]]/$C$151</f>
        <v>0</v>
      </c>
      <c r="E124" s="26">
        <v>5.0000000000000001E-4</v>
      </c>
      <c r="F124" s="38">
        <f>Tabella126[[#This Row],[Percentage of Supplier''s Facilities - Raw]]/$E$151</f>
        <v>5.0479555779909169E-4</v>
      </c>
    </row>
    <row r="125" spans="1:6" ht="19" x14ac:dyDescent="0.25">
      <c r="A125" s="31" t="s">
        <v>138</v>
      </c>
      <c r="B125" s="150">
        <v>5.22</v>
      </c>
      <c r="C125" s="22">
        <v>2.0999999999999999E-3</v>
      </c>
      <c r="D125" s="36">
        <f>Tabella126[[#This Row],[Percentage of Suppliers - Raw]]/$C$151</f>
        <v>2.1270130659374054E-3</v>
      </c>
      <c r="E125" s="26">
        <v>5.4000000000000003E-3</v>
      </c>
      <c r="F125" s="38">
        <f>Tabella126[[#This Row],[Percentage of Supplier''s Facilities - Raw]]/$E$151</f>
        <v>5.4517920242301903E-3</v>
      </c>
    </row>
    <row r="126" spans="1:6" ht="19" x14ac:dyDescent="0.25">
      <c r="A126" s="31" t="s">
        <v>139</v>
      </c>
      <c r="B126" s="151">
        <v>3.57</v>
      </c>
      <c r="C126" s="22">
        <v>2.1399999999999999E-2</v>
      </c>
      <c r="D126" s="36">
        <f>Tabella126[[#This Row],[Percentage of Suppliers - Raw]]/$C$151</f>
        <v>2.1675276005266891E-2</v>
      </c>
      <c r="E126" s="26">
        <v>1.1900000000000001E-2</v>
      </c>
      <c r="F126" s="38">
        <f>Tabella126[[#This Row],[Percentage of Supplier''s Facilities - Raw]]/$E$151</f>
        <v>1.2014134275618383E-2</v>
      </c>
    </row>
    <row r="127" spans="1:6" ht="19" x14ac:dyDescent="0.25">
      <c r="A127" s="31" t="s">
        <v>140</v>
      </c>
      <c r="B127" s="152">
        <v>3.7</v>
      </c>
      <c r="C127" s="22">
        <v>5.7000000000000002E-3</v>
      </c>
      <c r="D127" s="36">
        <f>Tabella126[[#This Row],[Percentage of Suppliers - Raw]]/$C$151</f>
        <v>5.7733211789729576E-3</v>
      </c>
      <c r="E127" s="26">
        <v>1.1299999999999999E-2</v>
      </c>
      <c r="F127" s="38">
        <f>Tabella126[[#This Row],[Percentage of Supplier''s Facilities - Raw]]/$E$151</f>
        <v>1.1408379606259471E-2</v>
      </c>
    </row>
    <row r="128" spans="1:6" ht="19" x14ac:dyDescent="0.25">
      <c r="A128" s="32" t="s">
        <v>141</v>
      </c>
      <c r="B128" s="125">
        <v>5.1100000000000003</v>
      </c>
      <c r="C128" s="22">
        <v>2.0999999999999999E-3</v>
      </c>
      <c r="D128" s="36">
        <f>Tabella126[[#This Row],[Percentage of Suppliers - Raw]]/$C$151</f>
        <v>2.1270130659374054E-3</v>
      </c>
      <c r="E128" s="26">
        <v>4.0000000000000002E-4</v>
      </c>
      <c r="F128" s="38">
        <f>Tabella126[[#This Row],[Percentage of Supplier''s Facilities - Raw]]/$E$151</f>
        <v>4.0383644623927337E-4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Tabella126[[#This Row],[Percentage of Suppliers - Raw]]/$C$151</f>
        <v>0</v>
      </c>
      <c r="E129" s="26">
        <v>0</v>
      </c>
      <c r="F129" s="38">
        <f>Tabella126[[#This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1.14E-2</v>
      </c>
      <c r="D130" s="36">
        <f>Tabella126[[#This Row],[Percentage of Suppliers - Raw]]/$C$151</f>
        <v>1.1546642357945915E-2</v>
      </c>
      <c r="E130" s="26">
        <v>4.1000000000000003E-3</v>
      </c>
      <c r="F130" s="38">
        <f>Tabella126[[#This Row],[Percentage of Supplier''s Facilities - Raw]]/$E$151</f>
        <v>4.1393235739525525E-3</v>
      </c>
    </row>
    <row r="131" spans="1:6" ht="19" x14ac:dyDescent="0.25">
      <c r="A131" s="31" t="s">
        <v>144</v>
      </c>
      <c r="B131" s="154">
        <v>2.78</v>
      </c>
      <c r="C131" s="22">
        <v>1.14E-2</v>
      </c>
      <c r="D131" s="36">
        <f>Tabella126[[#This Row],[Percentage of Suppliers - Raw]]/$C$151</f>
        <v>1.1546642357945915E-2</v>
      </c>
      <c r="E131" s="26">
        <v>4.1999999999999997E-3</v>
      </c>
      <c r="F131" s="38">
        <f>Tabella126[[#This Row],[Percentage of Supplier''s Facilities - Raw]]/$E$151</f>
        <v>4.2402826855123697E-3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Tabella126[[#This Row],[Percentage of Suppliers - Raw]]/$C$151</f>
        <v>0</v>
      </c>
      <c r="E132" s="26">
        <v>0</v>
      </c>
      <c r="F132" s="38">
        <f>Tabella126[[#This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Tabella126[[#This Row],[Percentage of Suppliers - Raw]]/$C$151</f>
        <v>0</v>
      </c>
      <c r="E133" s="26">
        <v>0</v>
      </c>
      <c r="F133" s="38">
        <f>Tabella126[[#This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1.4E-3</v>
      </c>
      <c r="D134" s="36">
        <f>Tabella126[[#This Row],[Percentage of Suppliers - Raw]]/$C$151</f>
        <v>1.4180087106249368E-3</v>
      </c>
      <c r="E134" s="26">
        <v>8.3000000000000001E-3</v>
      </c>
      <c r="F134" s="38">
        <f>Tabella126[[#This Row],[Percentage of Supplier''s Facilities - Raw]]/$E$151</f>
        <v>8.3796062594649213E-3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Tabella126[[#This Row],[Percentage of Suppliers - Raw]]/$C$151</f>
        <v>0</v>
      </c>
      <c r="E135" s="26">
        <v>0</v>
      </c>
      <c r="F135" s="38">
        <f>Tabella126[[#This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Tabella126[[#This Row],[Percentage of Suppliers - Raw]]/$C$151</f>
        <v>0</v>
      </c>
      <c r="E136" s="26">
        <v>1E-4</v>
      </c>
      <c r="F136" s="38">
        <f>Tabella126[[#This Row],[Percentage of Supplier''s Facilities - Raw]]/$E$151</f>
        <v>1.0095911155981834E-4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Tabella126[[#This Row],[Percentage of Suppliers - Raw]]/$C$151</f>
        <v>0</v>
      </c>
      <c r="E137" s="26">
        <v>0</v>
      </c>
      <c r="F137" s="38">
        <f>Tabella126[[#This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Tabella126[[#This Row],[Percentage of Suppliers - Raw]]/$C$151</f>
        <v>0</v>
      </c>
      <c r="E138" s="26">
        <v>1.1000000000000001E-3</v>
      </c>
      <c r="F138" s="38">
        <f>Tabella126[[#This Row],[Percentage of Supplier''s Facilities - Raw]]/$E$151</f>
        <v>1.1105502271580017E-3</v>
      </c>
    </row>
    <row r="139" spans="1:6" ht="19" x14ac:dyDescent="0.25">
      <c r="A139" s="31" t="s">
        <v>152</v>
      </c>
      <c r="B139" s="161">
        <v>5.26</v>
      </c>
      <c r="C139" s="22">
        <v>6.9999999999999999E-4</v>
      </c>
      <c r="D139" s="36">
        <f>Tabella126[[#This Row],[Percentage of Suppliers - Raw]]/$C$151</f>
        <v>7.0900435531246842E-4</v>
      </c>
      <c r="E139" s="26">
        <v>7.4999999999999997E-3</v>
      </c>
      <c r="F139" s="38">
        <f>Tabella126[[#This Row],[Percentage of Supplier''s Facilities - Raw]]/$E$151</f>
        <v>7.5719333669863748E-3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Tabella126[[#This Row],[Percentage of Suppliers - Raw]]/$C$151</f>
        <v>0</v>
      </c>
      <c r="E140" s="26">
        <v>1E-4</v>
      </c>
      <c r="F140" s="38">
        <f>Tabella126[[#This Row],[Percentage of Supplier''s Facilities - Raw]]/$E$151</f>
        <v>1.0095911155981834E-4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Tabella126[[#This Row],[Percentage of Suppliers - Raw]]/$C$151</f>
        <v>0</v>
      </c>
      <c r="E141" s="26">
        <v>1.4E-3</v>
      </c>
      <c r="F141" s="38">
        <f>Tabella126[[#This Row],[Percentage of Supplier''s Facilities - Raw]]/$E$151</f>
        <v>1.4134275618374566E-3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Tabella126[[#This Row],[Percentage of Suppliers - Raw]]/$C$151</f>
        <v>0</v>
      </c>
      <c r="E142" s="26">
        <v>2.0999999999999999E-3</v>
      </c>
      <c r="F142" s="38">
        <f>Tabella126[[#This Row],[Percentage of Supplier''s Facilities - Raw]]/$E$151</f>
        <v>2.1201413427561848E-3</v>
      </c>
    </row>
    <row r="143" spans="1:6" ht="19" x14ac:dyDescent="0.25">
      <c r="A143" s="31" t="s">
        <v>156</v>
      </c>
      <c r="B143" s="128">
        <v>3.32</v>
      </c>
      <c r="C143" s="22">
        <v>5.3400000000000003E-2</v>
      </c>
      <c r="D143" s="36">
        <f>Tabella126[[#This Row],[Percentage of Suppliers - Raw]]/$C$151</f>
        <v>5.4086903676694026E-2</v>
      </c>
      <c r="E143" s="26">
        <v>3.6900000000000002E-2</v>
      </c>
      <c r="F143" s="38">
        <f>Tabella126[[#This Row],[Percentage of Supplier''s Facilities - Raw]]/$E$151</f>
        <v>3.7253912165572965E-2</v>
      </c>
    </row>
    <row r="144" spans="1:6" ht="19" x14ac:dyDescent="0.25">
      <c r="A144" s="31" t="s">
        <v>157</v>
      </c>
      <c r="B144" s="165">
        <v>4.1900000000000004</v>
      </c>
      <c r="C144" s="22">
        <v>0.40529999999999999</v>
      </c>
      <c r="D144" s="36">
        <f>Tabella126[[#This Row],[Percentage of Suppliers - Raw]]/$C$151</f>
        <v>0.41051352172591921</v>
      </c>
      <c r="E144" s="26">
        <v>0.3805</v>
      </c>
      <c r="F144" s="38">
        <f>Tabella126[[#This Row],[Percentage of Supplier''s Facilities - Raw]]/$E$151</f>
        <v>0.38414941948510878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Tabella126[[#This Row],[Percentage of Suppliers - Raw]]/$C$151</f>
        <v>0</v>
      </c>
      <c r="E145" s="26">
        <v>5.9999999999999995E-4</v>
      </c>
      <c r="F145" s="38">
        <f>Tabella126[[#This Row],[Percentage of Supplier''s Facilities - Raw]]/$E$151</f>
        <v>6.0575466935891E-4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Tabella126[[#This Row],[Percentage of Suppliers - Raw]]/$C$151</f>
        <v>0</v>
      </c>
      <c r="E146" s="26">
        <v>1.1000000000000001E-3</v>
      </c>
      <c r="F146" s="38">
        <f>Tabella126[[#This Row],[Percentage of Supplier''s Facilities - Raw]]/$E$151</f>
        <v>1.1105502271580017E-3</v>
      </c>
    </row>
    <row r="147" spans="1:6" ht="19" x14ac:dyDescent="0.25">
      <c r="A147" s="31" t="s">
        <v>160</v>
      </c>
      <c r="B147" s="168">
        <v>4.32</v>
      </c>
      <c r="C147" s="22">
        <v>2.0999999999999999E-3</v>
      </c>
      <c r="D147" s="36">
        <f>Tabella126[[#This Row],[Percentage of Suppliers - Raw]]/$C$151</f>
        <v>2.1270130659374054E-3</v>
      </c>
      <c r="E147" s="26">
        <v>7.4000000000000003E-3</v>
      </c>
      <c r="F147" s="38">
        <f>Tabella126[[#This Row],[Percentage of Supplier''s Facilities - Raw]]/$E$151</f>
        <v>7.4709742554265575E-3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Tabella126[[#This Row],[Percentage of Suppliers - Raw]]/$C$151</f>
        <v>0</v>
      </c>
      <c r="E148" s="26">
        <v>0</v>
      </c>
      <c r="F148" s="38">
        <f>Tabella126[[#This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Tabella126[[#This Row],[Percentage of Suppliers - Raw]]/$C$151</f>
        <v>0</v>
      </c>
      <c r="E149" s="26">
        <v>5.0000000000000001E-4</v>
      </c>
      <c r="F149" s="38">
        <f>Tabella126[[#This Row],[Percentage of Supplier''s Facilities - Raw]]/$E$151</f>
        <v>5.0479555779909169E-4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Tabella126[[#This Row],[Percentage of Suppliers - Raw]]/$C$151</f>
        <v>0</v>
      </c>
      <c r="E150" s="26">
        <v>2.0000000000000001E-4</v>
      </c>
      <c r="F150" s="38">
        <f>Tabella126[[#This Row],[Percentage of Supplier''s Facilities - Raw]]/$E$151</f>
        <v>2.0191822311963669E-4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0.98729999999999984</v>
      </c>
      <c r="D151" s="39">
        <f>Tabella126[[#This Row],[Percentage of Suppliers - Raw]]/$C$151</f>
        <v>1</v>
      </c>
      <c r="E151" s="25">
        <f>SUM(E4:E150)</f>
        <v>0.99049999999999938</v>
      </c>
      <c r="F151" s="39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BD4B-A2DC-3545-9C35-46847FB0AD55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190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Tabella125[[#This Row],[Percentage of Suppliers - Raw]]/$C$151</f>
        <v>0</v>
      </c>
      <c r="E4" s="26">
        <v>0</v>
      </c>
      <c r="F4" s="36">
        <f>Tabella125[[#This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Tabella125[[#This Row],[Percentage of Suppliers - Raw]]/$C$151</f>
        <v>0</v>
      </c>
      <c r="E5" s="26">
        <v>2.9999999999999997E-4</v>
      </c>
      <c r="F5" s="36">
        <f>Tabella125[[#This Row],[Percentage of Supplier''s Facilities - Raw]]/$E$151</f>
        <v>3.0168946098149647E-4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Tabella125[[#This Row],[Percentage of Suppliers - Raw]]/$C$151</f>
        <v>0</v>
      </c>
      <c r="E6" s="26">
        <v>2.9999999999999997E-4</v>
      </c>
      <c r="F6" s="36">
        <f>Tabella125[[#This Row],[Percentage of Supplier''s Facilities - Raw]]/$E$151</f>
        <v>3.0168946098149647E-4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3.5000000000000001E-3</v>
      </c>
      <c r="D7" s="36">
        <f>Tabella125[[#This Row],[Percentage of Suppliers - Raw]]/$C$151</f>
        <v>3.5518571138623903E-3</v>
      </c>
      <c r="E7" s="26">
        <v>5.4000000000000003E-3</v>
      </c>
      <c r="F7" s="36">
        <f>Tabella125[[#This Row],[Percentage of Supplier''s Facilities - Raw]]/$E$151</f>
        <v>5.4304102976669372E-3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Tabella125[[#This Row],[Percentage of Suppliers - Raw]]/$C$151</f>
        <v>0</v>
      </c>
      <c r="E8" s="26">
        <v>0</v>
      </c>
      <c r="F8" s="36">
        <f>Tabella125[[#This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4.26</v>
      </c>
      <c r="K8" s="19">
        <f>INDEX(D4:D150,MATCH(MAX(D4:D150),D4:D150,0))</f>
        <v>0.26923076923076916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0.23421158487530178</v>
      </c>
    </row>
    <row r="9" spans="1:16" ht="23" thickBot="1" x14ac:dyDescent="0.35">
      <c r="A9" s="31" t="s">
        <v>19</v>
      </c>
      <c r="B9" s="48">
        <v>3.22</v>
      </c>
      <c r="C9" s="22">
        <v>2.4400000000000002E-2</v>
      </c>
      <c r="D9" s="36">
        <f>Tabella125[[#This Row],[Percentage of Suppliers - Raw]]/$C$151</f>
        <v>2.4761518165212094E-2</v>
      </c>
      <c r="E9" s="26">
        <v>1.2200000000000001E-2</v>
      </c>
      <c r="F9" s="36">
        <f>Tabella125[[#This Row],[Percentage of Supplier''s Facilities - Raw]]/$E$151</f>
        <v>1.2268704746580858E-2</v>
      </c>
      <c r="H9" s="20" t="s">
        <v>20</v>
      </c>
      <c r="I9" s="21"/>
      <c r="J9" s="21"/>
      <c r="K9" s="175">
        <f>SUMPRODUCT(B4:B150,D4:D150)</f>
        <v>4.0222691292875981</v>
      </c>
      <c r="M9" s="20" t="s">
        <v>21</v>
      </c>
      <c r="N9" s="21"/>
      <c r="O9" s="21"/>
      <c r="P9" s="175">
        <f>SUMPRODUCT(B4:B150,F4:F150)</f>
        <v>4.125986524537411</v>
      </c>
    </row>
    <row r="10" spans="1:16" ht="19" x14ac:dyDescent="0.25">
      <c r="A10" s="31" t="s">
        <v>22</v>
      </c>
      <c r="B10" s="49">
        <v>3.41</v>
      </c>
      <c r="C10" s="22">
        <v>5.1999999999999998E-3</v>
      </c>
      <c r="D10" s="36">
        <f>Tabella125[[#This Row],[Percentage of Suppliers - Raw]]/$C$151</f>
        <v>5.2770448548812654E-3</v>
      </c>
      <c r="E10" s="26">
        <v>5.3E-3</v>
      </c>
      <c r="F10" s="36">
        <f>Tabella125[[#This Row],[Percentage of Supplier''s Facilities - Raw]]/$E$151</f>
        <v>5.3298471440064383E-3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Tabella125[[#This Row],[Percentage of Suppliers - Raw]]/$C$151</f>
        <v>0</v>
      </c>
      <c r="E11" s="26">
        <v>0</v>
      </c>
      <c r="F11" s="36">
        <f>Tabella125[[#This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Tabella125[[#This Row],[Percentage of Suppliers - Raw]]/$C$151</f>
        <v>0</v>
      </c>
      <c r="E12" s="26">
        <v>0</v>
      </c>
      <c r="F12" s="36">
        <f>Tabella125[[#This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Tabella125[[#This Row],[Percentage of Suppliers - Raw]]/$C$151</f>
        <v>0</v>
      </c>
      <c r="E13" s="26">
        <v>1E-4</v>
      </c>
      <c r="F13" s="36">
        <f>Tabella125[[#This Row],[Percentage of Supplier''s Facilities - Raw]]/$E$151</f>
        <v>1.0056315366049884E-4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Tabella125[[#This Row],[Percentage of Suppliers - Raw]]/$C$151</f>
        <v>0</v>
      </c>
      <c r="E14" s="26">
        <v>2.9999999999999997E-4</v>
      </c>
      <c r="F14" s="36">
        <f>Tabella125[[#This Row],[Percentage of Supplier''s Facilities - Raw]]/$E$151</f>
        <v>3.0168946098149647E-4</v>
      </c>
    </row>
    <row r="15" spans="1:16" ht="19" x14ac:dyDescent="0.25">
      <c r="A15" s="31" t="s">
        <v>27</v>
      </c>
      <c r="B15" s="53">
        <v>3.33</v>
      </c>
      <c r="C15" s="22">
        <v>3.5000000000000001E-3</v>
      </c>
      <c r="D15" s="36">
        <f>Tabella125[[#This Row],[Percentage of Suppliers - Raw]]/$C$151</f>
        <v>3.5518571138623903E-3</v>
      </c>
      <c r="E15" s="26">
        <v>6.6E-3</v>
      </c>
      <c r="F15" s="36">
        <f>Tabella125[[#This Row],[Percentage of Supplier''s Facilities - Raw]]/$E$151</f>
        <v>6.6371681415929229E-3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Tabella125[[#This Row],[Percentage of Suppliers - Raw]]/$C$151</f>
        <v>0</v>
      </c>
      <c r="E16" s="26">
        <v>0</v>
      </c>
      <c r="F16" s="36">
        <f>Tabella125[[#This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Tabella125[[#This Row],[Percentage of Suppliers - Raw]]/$C$151</f>
        <v>0</v>
      </c>
      <c r="E17" s="26">
        <v>0</v>
      </c>
      <c r="F17" s="36">
        <f>Tabella125[[#This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Tabella125[[#This Row],[Percentage of Suppliers - Raw]]/$C$151</f>
        <v>0</v>
      </c>
      <c r="E18" s="26">
        <v>0</v>
      </c>
      <c r="F18" s="36">
        <f>Tabella125[[#This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Tabella125[[#This Row],[Percentage of Suppliers - Raw]]/$C$151</f>
        <v>0</v>
      </c>
      <c r="E19" s="26">
        <v>0</v>
      </c>
      <c r="F19" s="36">
        <f>Tabella125[[#This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Tabella125[[#This Row],[Percentage of Suppliers - Raw]]/$C$151</f>
        <v>0</v>
      </c>
      <c r="E20" s="26">
        <v>1E-4</v>
      </c>
      <c r="F20" s="36">
        <f>Tabella125[[#This Row],[Percentage of Supplier''s Facilities - Raw]]/$E$151</f>
        <v>1.0056315366049884E-4</v>
      </c>
    </row>
    <row r="21" spans="1:7" ht="19" x14ac:dyDescent="0.25">
      <c r="A21" s="31" t="s">
        <v>33</v>
      </c>
      <c r="B21" s="57">
        <v>5.35</v>
      </c>
      <c r="C21" s="22">
        <v>8.6999999999999994E-3</v>
      </c>
      <c r="D21" s="36">
        <f>Tabella125[[#This Row],[Percentage of Suppliers - Raw]]/$C$151</f>
        <v>8.8289019687436548E-3</v>
      </c>
      <c r="E21" s="26">
        <v>2.8299999999999999E-2</v>
      </c>
      <c r="F21" s="36">
        <f>Tabella125[[#This Row],[Percentage of Supplier''s Facilities - Raw]]/$E$151</f>
        <v>2.8459372485921168E-2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Tabella125[[#This Row],[Percentage of Suppliers - Raw]]/$C$151</f>
        <v>0</v>
      </c>
      <c r="E22" s="26">
        <v>1.6000000000000001E-3</v>
      </c>
      <c r="F22" s="36">
        <f>Tabella125[[#This Row],[Percentage of Supplier''s Facilities - Raw]]/$E$151</f>
        <v>1.6090104585679815E-3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Tabella125[[#This Row],[Percentage of Suppliers - Raw]]/$C$151</f>
        <v>0</v>
      </c>
      <c r="E23" s="26">
        <v>0</v>
      </c>
      <c r="F23" s="36">
        <f>Tabella125[[#This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Tabella125[[#This Row],[Percentage of Suppliers - Raw]]/$C$151</f>
        <v>0</v>
      </c>
      <c r="E24" s="26">
        <v>0</v>
      </c>
      <c r="F24" s="36">
        <f>Tabella125[[#This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Tabella125[[#This Row],[Percentage of Suppliers - Raw]]/$C$151</f>
        <v>0</v>
      </c>
      <c r="E25" s="26">
        <v>2.0000000000000001E-4</v>
      </c>
      <c r="F25" s="36">
        <f>Tabella125[[#This Row],[Percentage of Supplier''s Facilities - Raw]]/$E$151</f>
        <v>2.0112630732099768E-4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Tabella125[[#This Row],[Percentage of Suppliers - Raw]]/$C$151</f>
        <v>0</v>
      </c>
      <c r="E26" s="26">
        <v>1E-4</v>
      </c>
      <c r="F26" s="36">
        <f>Tabella125[[#This Row],[Percentage of Supplier''s Facilities - Raw]]/$E$151</f>
        <v>1.0056315366049884E-4</v>
      </c>
    </row>
    <row r="27" spans="1:7" ht="19" x14ac:dyDescent="0.25">
      <c r="A27" s="31" t="s">
        <v>39</v>
      </c>
      <c r="B27" s="64">
        <v>3.44</v>
      </c>
      <c r="C27" s="22">
        <v>2.7900000000000001E-2</v>
      </c>
      <c r="D27" s="36">
        <f>Tabella125[[#This Row],[Percentage of Suppliers - Raw]]/$C$151</f>
        <v>2.8313375279074484E-2</v>
      </c>
      <c r="E27" s="26">
        <v>4.0500000000000001E-2</v>
      </c>
      <c r="F27" s="36">
        <f>Tabella125[[#This Row],[Percentage of Supplier''s Facilities - Raw]]/$E$151</f>
        <v>4.0728077232502026E-2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Tabella125[[#This Row],[Percentage of Suppliers - Raw]]/$C$151</f>
        <v>0</v>
      </c>
      <c r="E28" s="26">
        <v>0</v>
      </c>
      <c r="F28" s="36">
        <f>Tabella125[[#This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Tabella125[[#This Row],[Percentage of Suppliers - Raw]]/$C$151</f>
        <v>0</v>
      </c>
      <c r="E29" s="26">
        <v>0</v>
      </c>
      <c r="F29" s="36">
        <f>Tabella125[[#This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1.6999999999999999E-3</v>
      </c>
      <c r="D30" s="36">
        <f>Tabella125[[#This Row],[Percentage of Suppliers - Raw]]/$C$151</f>
        <v>1.7251877410188752E-3</v>
      </c>
      <c r="E30" s="26">
        <v>1.9E-3</v>
      </c>
      <c r="F30" s="36">
        <f>Tabella125[[#This Row],[Percentage of Supplier''s Facilities - Raw]]/$E$151</f>
        <v>1.9106999195494779E-3</v>
      </c>
    </row>
    <row r="31" spans="1:7" ht="19" x14ac:dyDescent="0.25">
      <c r="A31" s="31" t="s">
        <v>43</v>
      </c>
      <c r="B31" s="50">
        <v>4.26</v>
      </c>
      <c r="C31" s="22">
        <f xml:space="preserve"> 21.64% + 4.89%</f>
        <v>0.26529999999999998</v>
      </c>
      <c r="D31" s="36">
        <f>Tabella125[[#This Row],[Percentage of Suppliers - Raw]]/$C$151</f>
        <v>0.26923076923076916</v>
      </c>
      <c r="E31" s="26">
        <v>0.14449999999999999</v>
      </c>
      <c r="F31" s="36">
        <f>Tabella125[[#This Row],[Percentage of Supplier''s Facilities - Raw]]/$E$151</f>
        <v>0.14531375703942079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Tabella125[[#This Row],[Percentage of Suppliers - Raw]]/$C$151</f>
        <v>0</v>
      </c>
      <c r="E32" s="26">
        <v>1.6999999999999999E-3</v>
      </c>
      <c r="F32" s="36">
        <f>Tabella125[[#This Row],[Percentage of Supplier''s Facilities - Raw]]/$E$151</f>
        <v>1.70957361222848E-3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Tabella125[[#This Row],[Percentage of Suppliers - Raw]]/$C$151</f>
        <v>0</v>
      </c>
      <c r="E33" s="26">
        <v>0</v>
      </c>
      <c r="F33" s="36">
        <f>Tabella125[[#This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Tabella125[[#This Row],[Percentage of Suppliers - Raw]]/$C$151</f>
        <v>0</v>
      </c>
      <c r="E34" s="26">
        <v>8.0000000000000004E-4</v>
      </c>
      <c r="F34" s="36">
        <f>Tabella125[[#This Row],[Percentage of Supplier''s Facilities - Raw]]/$E$151</f>
        <v>8.0450522928399073E-4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Tabella125[[#This Row],[Percentage of Suppliers - Raw]]/$C$151</f>
        <v>0</v>
      </c>
      <c r="E35" s="26">
        <v>0</v>
      </c>
      <c r="F35" s="36">
        <f>Tabella125[[#This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1.6999999999999999E-3</v>
      </c>
      <c r="D36" s="36">
        <f>Tabella125[[#This Row],[Percentage of Suppliers - Raw]]/$C$151</f>
        <v>1.7251877410188752E-3</v>
      </c>
      <c r="E36" s="26">
        <v>5.0000000000000001E-4</v>
      </c>
      <c r="F36" s="36">
        <f>Tabella125[[#This Row],[Percentage of Supplier''s Facilities - Raw]]/$E$151</f>
        <v>5.0281576830249421E-4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Tabella125[[#This Row],[Percentage of Suppliers - Raw]]/$C$151</f>
        <v>0</v>
      </c>
      <c r="E37" s="26">
        <v>0</v>
      </c>
      <c r="F37" s="36">
        <f>Tabella125[[#This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Tabella125[[#This Row],[Percentage of Suppliers - Raw]]/$C$151</f>
        <v>0</v>
      </c>
      <c r="E38" s="26">
        <v>1.18E-2</v>
      </c>
      <c r="F38" s="36">
        <f>Tabella125[[#This Row],[Percentage of Supplier''s Facilities - Raw]]/$E$151</f>
        <v>1.1866452131938862E-2</v>
      </c>
    </row>
    <row r="39" spans="1:6" ht="19" x14ac:dyDescent="0.25">
      <c r="A39" s="31" t="s">
        <v>52</v>
      </c>
      <c r="B39" s="75">
        <v>3.2</v>
      </c>
      <c r="C39" s="22">
        <v>1.6999999999999999E-3</v>
      </c>
      <c r="D39" s="36">
        <f>Tabella125[[#This Row],[Percentage of Suppliers - Raw]]/$C$151</f>
        <v>1.7251877410188752E-3</v>
      </c>
      <c r="E39" s="26">
        <v>3.0999999999999999E-3</v>
      </c>
      <c r="F39" s="36">
        <f>Tabella125[[#This Row],[Percentage of Supplier''s Facilities - Raw]]/$E$151</f>
        <v>3.1174577634754635E-3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Tabella125[[#This Row],[Percentage of Suppliers - Raw]]/$C$151</f>
        <v>0</v>
      </c>
      <c r="E40" s="26">
        <v>0</v>
      </c>
      <c r="F40" s="36">
        <f>Tabella125[[#This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Tabella125[[#This Row],[Percentage of Suppliers - Raw]]/$C$151</f>
        <v>0</v>
      </c>
      <c r="E41" s="26">
        <v>1E-3</v>
      </c>
      <c r="F41" s="36">
        <f>Tabella125[[#This Row],[Percentage of Supplier''s Facilities - Raw]]/$E$151</f>
        <v>1.0056315366049884E-3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Tabella125[[#This Row],[Percentage of Suppliers - Raw]]/$C$151</f>
        <v>0</v>
      </c>
      <c r="E42" s="26">
        <v>5.0000000000000001E-4</v>
      </c>
      <c r="F42" s="36">
        <f>Tabella125[[#This Row],[Percentage of Supplier''s Facilities - Raw]]/$E$151</f>
        <v>5.0281576830249421E-4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Tabella125[[#This Row],[Percentage of Suppliers - Raw]]/$C$151</f>
        <v>0</v>
      </c>
      <c r="E43" s="26">
        <v>8.0000000000000004E-4</v>
      </c>
      <c r="F43" s="36">
        <f>Tabella125[[#This Row],[Percentage of Supplier''s Facilities - Raw]]/$E$151</f>
        <v>8.0450522928399073E-4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Tabella125[[#This Row],[Percentage of Suppliers - Raw]]/$C$151</f>
        <v>0</v>
      </c>
      <c r="E44" s="26">
        <v>2.0000000000000001E-4</v>
      </c>
      <c r="F44" s="36">
        <f>Tabella125[[#This Row],[Percentage of Supplier''s Facilities - Raw]]/$E$151</f>
        <v>2.0112630732099768E-4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Tabella125[[#This Row],[Percentage of Suppliers - Raw]]/$C$151</f>
        <v>0</v>
      </c>
      <c r="E45" s="26">
        <v>6.9999999999999999E-4</v>
      </c>
      <c r="F45" s="36">
        <f>Tabella125[[#This Row],[Percentage of Supplier''s Facilities - Raw]]/$E$151</f>
        <v>7.0394207562349178E-4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Tabella125[[#This Row],[Percentage of Suppliers - Raw]]/$C$151</f>
        <v>0</v>
      </c>
      <c r="E46" s="26">
        <v>0</v>
      </c>
      <c r="F46" s="36">
        <f>Tabella125[[#This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Tabella125[[#This Row],[Percentage of Suppliers - Raw]]/$C$151</f>
        <v>0</v>
      </c>
      <c r="E47" s="26">
        <v>0</v>
      </c>
      <c r="F47" s="36">
        <f>Tabella125[[#This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Tabella125[[#This Row],[Percentage of Suppliers - Raw]]/$C$151</f>
        <v>0</v>
      </c>
      <c r="E48" s="26">
        <v>3.0999999999999999E-3</v>
      </c>
      <c r="F48" s="36">
        <f>Tabella125[[#This Row],[Percentage of Supplier''s Facilities - Raw]]/$E$151</f>
        <v>3.1174577634754635E-3</v>
      </c>
    </row>
    <row r="49" spans="1:6" ht="19" x14ac:dyDescent="0.25">
      <c r="A49" s="31" t="s">
        <v>62</v>
      </c>
      <c r="B49" s="84">
        <v>3.65</v>
      </c>
      <c r="C49" s="22">
        <v>2.7900000000000001E-2</v>
      </c>
      <c r="D49" s="36">
        <f>Tabella125[[#This Row],[Percentage of Suppliers - Raw]]/$C$151</f>
        <v>2.8313375279074484E-2</v>
      </c>
      <c r="E49" s="26">
        <v>3.6499999999999998E-2</v>
      </c>
      <c r="F49" s="36">
        <f>Tabella125[[#This Row],[Percentage of Supplier''s Facilities - Raw]]/$E$151</f>
        <v>3.6705551086082068E-2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Tabella125[[#This Row],[Percentage of Suppliers - Raw]]/$C$151</f>
        <v>0</v>
      </c>
      <c r="E50" s="26">
        <v>0</v>
      </c>
      <c r="F50" s="36">
        <f>Tabella125[[#This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Tabella125[[#This Row],[Percentage of Suppliers - Raw]]/$C$151</f>
        <v>0</v>
      </c>
      <c r="E51" s="26">
        <v>0</v>
      </c>
      <c r="F51" s="36">
        <f>Tabella125[[#This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Tabella125[[#This Row],[Percentage of Suppliers - Raw]]/$C$151</f>
        <v>0</v>
      </c>
      <c r="E52" s="26">
        <v>0</v>
      </c>
      <c r="F52" s="36">
        <f>Tabella125[[#This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4.0099999999999997E-2</v>
      </c>
      <c r="D53" s="36">
        <f>Tabella125[[#This Row],[Percentage of Suppliers - Raw]]/$C$151</f>
        <v>4.0694134361680526E-2</v>
      </c>
      <c r="E53" s="26">
        <v>6.2100000000000002E-2</v>
      </c>
      <c r="F53" s="36">
        <f>Tabella125[[#This Row],[Percentage of Supplier''s Facilities - Raw]]/$E$151</f>
        <v>6.2449718423169778E-2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Tabella125[[#This Row],[Percentage of Suppliers - Raw]]/$C$151</f>
        <v>0</v>
      </c>
      <c r="E54" s="26">
        <v>1E-4</v>
      </c>
      <c r="F54" s="36">
        <f>Tabella125[[#This Row],[Percentage of Supplier''s Facilities - Raw]]/$E$151</f>
        <v>1.0056315366049884E-4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Tabella125[[#This Row],[Percentage of Suppliers - Raw]]/$C$151</f>
        <v>0</v>
      </c>
      <c r="E55" s="26">
        <v>5.0000000000000001E-4</v>
      </c>
      <c r="F55" s="36">
        <f>Tabella125[[#This Row],[Percentage of Supplier''s Facilities - Raw]]/$E$151</f>
        <v>5.0281576830249421E-4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Tabella125[[#This Row],[Percentage of Suppliers - Raw]]/$C$151</f>
        <v>0</v>
      </c>
      <c r="E56" s="26">
        <v>2.0000000000000001E-4</v>
      </c>
      <c r="F56" s="36">
        <f>Tabella125[[#This Row],[Percentage of Supplier''s Facilities - Raw]]/$E$151</f>
        <v>2.0112630732099768E-4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Tabella125[[#This Row],[Percentage of Suppliers - Raw]]/$C$151</f>
        <v>0</v>
      </c>
      <c r="E57" s="26">
        <v>0</v>
      </c>
      <c r="F57" s="36">
        <f>Tabella125[[#This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Tabella125[[#This Row],[Percentage of Suppliers - Raw]]/$C$151</f>
        <v>0</v>
      </c>
      <c r="E58" s="26">
        <v>0</v>
      </c>
      <c r="F58" s="36">
        <f>Tabella125[[#This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Tabella125[[#This Row],[Percentage of Suppliers - Raw]]/$C$151</f>
        <v>0</v>
      </c>
      <c r="E59" s="26">
        <v>0</v>
      </c>
      <c r="F59" s="36">
        <f>Tabella125[[#This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Tabella125[[#This Row],[Percentage of Suppliers - Raw]]/$C$151</f>
        <v>0</v>
      </c>
      <c r="E60" s="26">
        <v>0</v>
      </c>
      <c r="F60" s="36">
        <f>Tabella125[[#This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Tabella125[[#This Row],[Percentage of Suppliers - Raw]]/$C$151</f>
        <v>0</v>
      </c>
      <c r="E61" s="26">
        <v>1E-4</v>
      </c>
      <c r="F61" s="36">
        <f>Tabella125[[#This Row],[Percentage of Supplier''s Facilities - Raw]]/$E$151</f>
        <v>1.0056315366049884E-4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Tabella125[[#This Row],[Percentage of Suppliers - Raw]]/$C$151</f>
        <v>0</v>
      </c>
      <c r="E62" s="26">
        <v>6.8999999999999999E-3</v>
      </c>
      <c r="F62" s="36">
        <f>Tabella125[[#This Row],[Percentage of Supplier''s Facilities - Raw]]/$E$151</f>
        <v>6.9388576025744197E-3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Tabella125[[#This Row],[Percentage of Suppliers - Raw]]/$C$151</f>
        <v>0</v>
      </c>
      <c r="E63" s="26">
        <v>2.0000000000000001E-4</v>
      </c>
      <c r="F63" s="36">
        <f>Tabella125[[#This Row],[Percentage of Supplier''s Facilities - Raw]]/$E$151</f>
        <v>2.0112630732099768E-4</v>
      </c>
    </row>
    <row r="64" spans="1:6" ht="19" x14ac:dyDescent="0.25">
      <c r="A64" s="31" t="s">
        <v>77</v>
      </c>
      <c r="B64" s="98">
        <v>5.07</v>
      </c>
      <c r="C64" s="22">
        <v>6.6299999999999998E-2</v>
      </c>
      <c r="D64" s="36">
        <f>Tabella125[[#This Row],[Percentage of Suppliers - Raw]]/$C$151</f>
        <v>6.7282321899736139E-2</v>
      </c>
      <c r="E64" s="26">
        <v>5.7500000000000002E-2</v>
      </c>
      <c r="F64" s="36">
        <f>Tabella125[[#This Row],[Percentage of Supplier''s Facilities - Raw]]/$E$151</f>
        <v>5.7823813354786834E-2</v>
      </c>
    </row>
    <row r="65" spans="1:6" ht="19" x14ac:dyDescent="0.25">
      <c r="A65" s="31" t="s">
        <v>78</v>
      </c>
      <c r="B65" s="99">
        <v>4.92</v>
      </c>
      <c r="C65" s="22">
        <v>3.5000000000000001E-3</v>
      </c>
      <c r="D65" s="36">
        <f>Tabella125[[#This Row],[Percentage of Suppliers - Raw]]/$C$151</f>
        <v>3.5518571138623903E-3</v>
      </c>
      <c r="E65" s="26">
        <v>7.6E-3</v>
      </c>
      <c r="F65" s="36">
        <f>Tabella125[[#This Row],[Percentage of Supplier''s Facilities - Raw]]/$E$151</f>
        <v>7.6427996781979115E-3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Tabella125[[#This Row],[Percentage of Suppliers - Raw]]/$C$151</f>
        <v>0</v>
      </c>
      <c r="E66" s="26">
        <v>0</v>
      </c>
      <c r="F66" s="36">
        <f>Tabella125[[#This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Tabella125[[#This Row],[Percentage of Suppliers - Raw]]/$C$151</f>
        <v>0</v>
      </c>
      <c r="E67" s="26">
        <v>0</v>
      </c>
      <c r="F67" s="36">
        <f>Tabella125[[#This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5.1999999999999998E-3</v>
      </c>
      <c r="D68" s="36">
        <f>Tabella125[[#This Row],[Percentage of Suppliers - Raw]]/$C$151</f>
        <v>5.2770448548812654E-3</v>
      </c>
      <c r="E68" s="26">
        <v>1.5E-3</v>
      </c>
      <c r="F68" s="36">
        <f>Tabella125[[#This Row],[Percentage of Supplier''s Facilities - Raw]]/$E$151</f>
        <v>1.5084473049074825E-3</v>
      </c>
    </row>
    <row r="69" spans="1:6" ht="19" x14ac:dyDescent="0.25">
      <c r="A69" s="31" t="s">
        <v>82</v>
      </c>
      <c r="B69" s="103">
        <v>4.6100000000000003</v>
      </c>
      <c r="C69" s="22">
        <v>5.1999999999999998E-3</v>
      </c>
      <c r="D69" s="36">
        <f>Tabella125[[#This Row],[Percentage of Suppliers - Raw]]/$C$151</f>
        <v>5.2770448548812654E-3</v>
      </c>
      <c r="E69" s="26">
        <v>1.1000000000000001E-3</v>
      </c>
      <c r="F69" s="36">
        <f>Tabella125[[#This Row],[Percentage of Supplier''s Facilities - Raw]]/$E$151</f>
        <v>1.1061946902654871E-3</v>
      </c>
    </row>
    <row r="70" spans="1:6" ht="19" x14ac:dyDescent="0.25">
      <c r="A70" s="31" t="s">
        <v>83</v>
      </c>
      <c r="B70" s="104">
        <v>3.84</v>
      </c>
      <c r="C70" s="22">
        <v>8.6999999999999994E-3</v>
      </c>
      <c r="D70" s="36">
        <f>Tabella125[[#This Row],[Percentage of Suppliers - Raw]]/$C$151</f>
        <v>8.8289019687436548E-3</v>
      </c>
      <c r="E70" s="26">
        <v>1.7299999999999999E-2</v>
      </c>
      <c r="F70" s="36">
        <f>Tabella125[[#This Row],[Percentage of Supplier''s Facilities - Raw]]/$E$151</f>
        <v>1.7397425583266297E-2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Tabella125[[#This Row],[Percentage of Suppliers - Raw]]/$C$151</f>
        <v>0</v>
      </c>
      <c r="E71" s="26">
        <v>0</v>
      </c>
      <c r="F71" s="36">
        <f>Tabella125[[#This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9.4200000000000006E-2</v>
      </c>
      <c r="D72" s="36">
        <f>Tabella125[[#This Row],[Percentage of Suppliers - Raw]]/$C$151</f>
        <v>9.5595697178810626E-2</v>
      </c>
      <c r="E72" s="26">
        <v>6.1899999999999997E-2</v>
      </c>
      <c r="F72" s="36">
        <f>Tabella125[[#This Row],[Percentage of Supplier''s Facilities - Raw]]/$E$151</f>
        <v>6.2248592115848773E-2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Tabella125[[#This Row],[Percentage of Suppliers - Raw]]/$C$151</f>
        <v>0</v>
      </c>
      <c r="E73" s="26">
        <v>1E-4</v>
      </c>
      <c r="F73" s="36">
        <f>Tabella125[[#This Row],[Percentage of Supplier''s Facilities - Raw]]/$E$151</f>
        <v>1.0056315366049884E-4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Tabella125[[#This Row],[Percentage of Suppliers - Raw]]/$C$151</f>
        <v>0</v>
      </c>
      <c r="E74" s="26">
        <v>5.0000000000000001E-4</v>
      </c>
      <c r="F74" s="36">
        <f>Tabella125[[#This Row],[Percentage of Supplier''s Facilities - Raw]]/$E$151</f>
        <v>5.0281576830249421E-4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Tabella125[[#This Row],[Percentage of Suppliers - Raw]]/$C$151</f>
        <v>0</v>
      </c>
      <c r="E75" s="26">
        <v>1E-4</v>
      </c>
      <c r="F75" s="36">
        <f>Tabella125[[#This Row],[Percentage of Supplier''s Facilities - Raw]]/$E$151</f>
        <v>1.0056315366049884E-4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Tabella125[[#This Row],[Percentage of Suppliers - Raw]]/$C$151</f>
        <v>0</v>
      </c>
      <c r="E76" s="26">
        <v>0</v>
      </c>
      <c r="F76" s="36">
        <f>Tabella125[[#This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Tabella125[[#This Row],[Percentage of Suppliers - Raw]]/$C$151</f>
        <v>0</v>
      </c>
      <c r="E77" s="26">
        <v>0</v>
      </c>
      <c r="F77" s="36">
        <f>Tabella125[[#This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Tabella125[[#This Row],[Percentage of Suppliers - Raw]]/$C$151</f>
        <v>0</v>
      </c>
      <c r="E78" s="26">
        <v>0</v>
      </c>
      <c r="F78" s="36">
        <f>Tabella125[[#This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Tabella125[[#This Row],[Percentage of Suppliers - Raw]]/$C$151</f>
        <v>0</v>
      </c>
      <c r="E79" s="26">
        <v>0</v>
      </c>
      <c r="F79" s="36">
        <f>Tabella125[[#This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Tabella125[[#This Row],[Percentage of Suppliers - Raw]]/$C$151</f>
        <v>0</v>
      </c>
      <c r="E80" s="26">
        <v>0</v>
      </c>
      <c r="F80" s="36">
        <f>Tabella125[[#This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Tabella125[[#This Row],[Percentage of Suppliers - Raw]]/$C$151</f>
        <v>0</v>
      </c>
      <c r="E81" s="26">
        <v>0</v>
      </c>
      <c r="F81" s="36">
        <f>Tabella125[[#This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Tabella125[[#This Row],[Percentage of Suppliers - Raw]]/$C$151</f>
        <v>0</v>
      </c>
      <c r="E82" s="26">
        <v>2.0000000000000001E-4</v>
      </c>
      <c r="F82" s="36">
        <f>Tabella125[[#This Row],[Percentage of Supplier''s Facilities - Raw]]/$E$151</f>
        <v>2.0112630732099768E-4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Tabella125[[#This Row],[Percentage of Suppliers - Raw]]/$C$151</f>
        <v>0</v>
      </c>
      <c r="E83" s="26">
        <v>0</v>
      </c>
      <c r="F83" s="36">
        <f>Tabella125[[#This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Tabella125[[#This Row],[Percentage of Suppliers - Raw]]/$C$151</f>
        <v>0</v>
      </c>
      <c r="E84" s="26">
        <v>5.0000000000000001E-4</v>
      </c>
      <c r="F84" s="36">
        <f>Tabella125[[#This Row],[Percentage of Supplier''s Facilities - Raw]]/$E$151</f>
        <v>5.0281576830249421E-4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Tabella125[[#This Row],[Percentage of Suppliers - Raw]]/$C$151</f>
        <v>0</v>
      </c>
      <c r="E85" s="26">
        <v>1E-4</v>
      </c>
      <c r="F85" s="36">
        <f>Tabella125[[#This Row],[Percentage of Supplier''s Facilities - Raw]]/$E$151</f>
        <v>1.0056315366049884E-4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Tabella125[[#This Row],[Percentage of Suppliers - Raw]]/$C$151</f>
        <v>0</v>
      </c>
      <c r="E86" s="26">
        <v>0</v>
      </c>
      <c r="F86" s="36">
        <f>Tabella125[[#This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5.1999999999999998E-3</v>
      </c>
      <c r="D87" s="36">
        <f>Tabella125[[#This Row],[Percentage of Suppliers - Raw]]/$C$151</f>
        <v>5.2770448548812654E-3</v>
      </c>
      <c r="E87" s="26">
        <v>8.3000000000000001E-3</v>
      </c>
      <c r="F87" s="36">
        <f>Tabella125[[#This Row],[Percentage of Supplier''s Facilities - Raw]]/$E$151</f>
        <v>8.3467417538214024E-3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Tabella125[[#This Row],[Percentage of Suppliers - Raw]]/$C$151</f>
        <v>0</v>
      </c>
      <c r="E88" s="26">
        <v>0</v>
      </c>
      <c r="F88" s="36">
        <f>Tabella125[[#This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Tabella125[[#This Row],[Percentage of Suppliers - Raw]]/$C$151</f>
        <v>0</v>
      </c>
      <c r="E89" s="26">
        <v>0</v>
      </c>
      <c r="F89" s="36">
        <f>Tabella125[[#This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Tabella125[[#This Row],[Percentage of Suppliers - Raw]]/$C$151</f>
        <v>0</v>
      </c>
      <c r="E90" s="26">
        <v>0</v>
      </c>
      <c r="F90" s="36">
        <f>Tabella125[[#This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1.2200000000000001E-2</v>
      </c>
      <c r="D91" s="36">
        <f>Tabella125[[#This Row],[Percentage of Suppliers - Raw]]/$C$151</f>
        <v>1.2380759082606047E-2</v>
      </c>
      <c r="E91" s="26">
        <v>4.0399999999999998E-2</v>
      </c>
      <c r="F91" s="36">
        <f>Tabella125[[#This Row],[Percentage of Supplier''s Facilities - Raw]]/$E$151</f>
        <v>4.0627514078841527E-2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Tabella125[[#This Row],[Percentage of Suppliers - Raw]]/$C$151</f>
        <v>0</v>
      </c>
      <c r="E92" s="26">
        <v>0</v>
      </c>
      <c r="F92" s="36">
        <f>Tabella125[[#This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Tabella125[[#This Row],[Percentage of Suppliers - Raw]]/$C$151</f>
        <v>0</v>
      </c>
      <c r="E93" s="26">
        <v>1E-4</v>
      </c>
      <c r="F93" s="36">
        <f>Tabella125[[#This Row],[Percentage of Supplier''s Facilities - Raw]]/$E$151</f>
        <v>1.0056315366049884E-4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Tabella125[[#This Row],[Percentage of Suppliers - Raw]]/$C$151</f>
        <v>0</v>
      </c>
      <c r="E94" s="26">
        <v>2.5999999999999999E-3</v>
      </c>
      <c r="F94" s="36">
        <f>Tabella125[[#This Row],[Percentage of Supplier''s Facilities - Raw]]/$E$151</f>
        <v>2.6146419951729697E-3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Tabella125[[#This Row],[Percentage of Suppliers - Raw]]/$C$151</f>
        <v>0</v>
      </c>
      <c r="E95" s="26">
        <v>2.0000000000000001E-4</v>
      </c>
      <c r="F95" s="36">
        <f>Tabella125[[#This Row],[Percentage of Supplier''s Facilities - Raw]]/$E$151</f>
        <v>2.0112630732099768E-4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Tabella125[[#This Row],[Percentage of Suppliers - Raw]]/$C$151</f>
        <v>0</v>
      </c>
      <c r="E96" s="26">
        <v>1E-4</v>
      </c>
      <c r="F96" s="36">
        <f>Tabella125[[#This Row],[Percentage of Supplier''s Facilities - Raw]]/$E$151</f>
        <v>1.0056315366049884E-4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Tabella125[[#This Row],[Percentage of Suppliers - Raw]]/$C$151</f>
        <v>0</v>
      </c>
      <c r="E97" s="26">
        <v>0</v>
      </c>
      <c r="F97" s="36">
        <f>Tabella125[[#This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7.0000000000000001E-3</v>
      </c>
      <c r="D98" s="36">
        <f>Tabella125[[#This Row],[Percentage of Suppliers - Raw]]/$C$151</f>
        <v>7.1037142277247806E-3</v>
      </c>
      <c r="E98" s="26">
        <v>8.5000000000000006E-3</v>
      </c>
      <c r="F98" s="36">
        <f>Tabella125[[#This Row],[Percentage of Supplier''s Facilities - Raw]]/$E$151</f>
        <v>8.547868061142402E-3</v>
      </c>
    </row>
    <row r="99" spans="1:6" ht="19" x14ac:dyDescent="0.25">
      <c r="A99" s="31" t="s">
        <v>112</v>
      </c>
      <c r="B99" s="128">
        <v>3.32</v>
      </c>
      <c r="C99" s="22">
        <v>1.6999999999999999E-3</v>
      </c>
      <c r="D99" s="36">
        <f>Tabella125[[#This Row],[Percentage of Suppliers - Raw]]/$C$151</f>
        <v>1.7251877410188752E-3</v>
      </c>
      <c r="E99" s="26">
        <v>1.5E-3</v>
      </c>
      <c r="F99" s="36">
        <f>Tabella125[[#This Row],[Percentage of Supplier''s Facilities - Raw]]/$E$151</f>
        <v>1.5084473049074825E-3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Tabella125[[#This Row],[Percentage of Suppliers - Raw]]/$C$151</f>
        <v>0</v>
      </c>
      <c r="E100" s="26">
        <v>0</v>
      </c>
      <c r="F100" s="36">
        <f>Tabella125[[#This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Tabella125[[#This Row],[Percentage of Suppliers - Raw]]/$C$151</f>
        <v>0</v>
      </c>
      <c r="E101" s="26">
        <v>0</v>
      </c>
      <c r="F101" s="36">
        <f>Tabella125[[#This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Tabella125[[#This Row],[Percentage of Suppliers - Raw]]/$C$151</f>
        <v>0</v>
      </c>
      <c r="E102" s="26">
        <v>1E-4</v>
      </c>
      <c r="F102" s="36">
        <f>Tabella125[[#This Row],[Percentage of Supplier''s Facilities - Raw]]/$E$151</f>
        <v>1.0056315366049884E-4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Tabella125[[#This Row],[Percentage of Suppliers - Raw]]/$C$151</f>
        <v>0</v>
      </c>
      <c r="E103" s="26">
        <v>8.0000000000000004E-4</v>
      </c>
      <c r="F103" s="36">
        <f>Tabella125[[#This Row],[Percentage of Supplier''s Facilities - Raw]]/$E$151</f>
        <v>8.0450522928399073E-4</v>
      </c>
    </row>
    <row r="104" spans="1:6" ht="19" x14ac:dyDescent="0.25">
      <c r="A104" s="31" t="s">
        <v>117</v>
      </c>
      <c r="B104" s="133">
        <v>3.38</v>
      </c>
      <c r="C104" s="22">
        <v>7.0000000000000001E-3</v>
      </c>
      <c r="D104" s="36">
        <f>Tabella125[[#This Row],[Percentage of Suppliers - Raw]]/$C$151</f>
        <v>7.1037142277247806E-3</v>
      </c>
      <c r="E104" s="26">
        <v>2.3999999999999998E-3</v>
      </c>
      <c r="F104" s="36">
        <f>Tabella125[[#This Row],[Percentage of Supplier''s Facilities - Raw]]/$E$151</f>
        <v>2.4135156878519718E-3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Tabella125[[#This Row],[Percentage of Suppliers - Raw]]/$C$151</f>
        <v>0</v>
      </c>
      <c r="E105" s="26">
        <v>2.0000000000000001E-4</v>
      </c>
      <c r="F105" s="36">
        <f>Tabella125[[#This Row],[Percentage of Supplier''s Facilities - Raw]]/$E$151</f>
        <v>2.0112630732099768E-4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Tabella125[[#This Row],[Percentage of Suppliers - Raw]]/$C$151</f>
        <v>0</v>
      </c>
      <c r="E106" s="26">
        <v>2.9999999999999997E-4</v>
      </c>
      <c r="F106" s="36">
        <f>Tabella125[[#This Row],[Percentage of Supplier''s Facilities - Raw]]/$E$151</f>
        <v>3.0168946098149647E-4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Tabella125[[#This Row],[Percentage of Suppliers - Raw]]/$C$151</f>
        <v>0</v>
      </c>
      <c r="E107" s="26">
        <v>1E-4</v>
      </c>
      <c r="F107" s="36">
        <f>Tabella125[[#This Row],[Percentage of Supplier''s Facilities - Raw]]/$E$151</f>
        <v>1.0056315366049884E-4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Tabella125[[#This Row],[Percentage of Suppliers - Raw]]/$C$151</f>
        <v>0</v>
      </c>
      <c r="E108" s="26">
        <v>0</v>
      </c>
      <c r="F108" s="36">
        <f>Tabella125[[#This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Tabella125[[#This Row],[Percentage of Suppliers - Raw]]/$C$151</f>
        <v>0</v>
      </c>
      <c r="E109" s="26">
        <v>2.0000000000000001E-4</v>
      </c>
      <c r="F109" s="36">
        <f>Tabella125[[#This Row],[Percentage of Supplier''s Facilities - Raw]]/$E$151</f>
        <v>2.0112630732099768E-4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Tabella125[[#This Row],[Percentage of Suppliers - Raw]]/$C$151</f>
        <v>0</v>
      </c>
      <c r="E110" s="26">
        <v>6.9999999999999999E-4</v>
      </c>
      <c r="F110" s="36">
        <f>Tabella125[[#This Row],[Percentage of Supplier''s Facilities - Raw]]/$E$151</f>
        <v>7.0394207562349178E-4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Tabella125[[#This Row],[Percentage of Suppliers - Raw]]/$C$151</f>
        <v>0</v>
      </c>
      <c r="E111" s="26">
        <v>2.5999999999999999E-3</v>
      </c>
      <c r="F111" s="36">
        <f>Tabella125[[#This Row],[Percentage of Supplier''s Facilities - Raw]]/$E$151</f>
        <v>2.6146419951729697E-3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Tabella125[[#This Row],[Percentage of Suppliers - Raw]]/$C$151</f>
        <v>0</v>
      </c>
      <c r="E112" s="26">
        <v>1.3899999999999999E-2</v>
      </c>
      <c r="F112" s="36">
        <f>Tabella125[[#This Row],[Percentage of Supplier''s Facilities - Raw]]/$E$151</f>
        <v>1.3978278358809337E-2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Tabella125[[#This Row],[Percentage of Suppliers - Raw]]/$C$151</f>
        <v>0</v>
      </c>
      <c r="E113" s="26">
        <v>3.5000000000000001E-3</v>
      </c>
      <c r="F113" s="36">
        <f>Tabella125[[#This Row],[Percentage of Supplier''s Facilities - Raw]]/$E$151</f>
        <v>3.5197103781174593E-3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Tabella125[[#This Row],[Percentage of Suppliers - Raw]]/$C$151</f>
        <v>0</v>
      </c>
      <c r="E114" s="26">
        <v>2.0000000000000001E-4</v>
      </c>
      <c r="F114" s="36">
        <f>Tabella125[[#This Row],[Percentage of Supplier''s Facilities - Raw]]/$E$151</f>
        <v>2.0112630732099768E-4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Tabella125[[#This Row],[Percentage of Suppliers - Raw]]/$C$151</f>
        <v>0</v>
      </c>
      <c r="E115" s="26">
        <v>6.0000000000000001E-3</v>
      </c>
      <c r="F115" s="36">
        <f>Tabella125[[#This Row],[Percentage of Supplier''s Facilities - Raw]]/$E$151</f>
        <v>6.03378921962993E-3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Tabella125[[#This Row],[Percentage of Suppliers - Raw]]/$C$151</f>
        <v>0</v>
      </c>
      <c r="E116" s="26">
        <v>2.5000000000000001E-3</v>
      </c>
      <c r="F116" s="36">
        <f>Tabella125[[#This Row],[Percentage of Supplier''s Facilities - Raw]]/$E$151</f>
        <v>2.5140788415124707E-3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Tabella125[[#This Row],[Percentage of Suppliers - Raw]]/$C$151</f>
        <v>0</v>
      </c>
      <c r="E117" s="26">
        <v>0</v>
      </c>
      <c r="F117" s="36">
        <f>Tabella125[[#This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Tabella125[[#This Row],[Percentage of Suppliers - Raw]]/$C$151</f>
        <v>0</v>
      </c>
      <c r="E118" s="26">
        <v>8.0000000000000004E-4</v>
      </c>
      <c r="F118" s="36">
        <f>Tabella125[[#This Row],[Percentage of Supplier''s Facilities - Raw]]/$E$151</f>
        <v>8.0450522928399073E-4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Tabella125[[#This Row],[Percentage of Suppliers - Raw]]/$C$151</f>
        <v>0</v>
      </c>
      <c r="E119" s="26">
        <v>1E-4</v>
      </c>
      <c r="F119" s="36">
        <f>Tabella125[[#This Row],[Percentage of Supplier''s Facilities - Raw]]/$E$151</f>
        <v>1.0056315366049884E-4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Tabella125[[#This Row],[Percentage of Suppliers - Raw]]/$C$151</f>
        <v>0</v>
      </c>
      <c r="E120" s="26">
        <v>1.8E-3</v>
      </c>
      <c r="F120" s="36">
        <f>Tabella125[[#This Row],[Percentage of Supplier''s Facilities - Raw]]/$E$151</f>
        <v>1.8101367658889789E-3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Tabella125[[#This Row],[Percentage of Suppliers - Raw]]/$C$151</f>
        <v>0</v>
      </c>
      <c r="E121" s="26">
        <v>0</v>
      </c>
      <c r="F121" s="36">
        <f>Tabella125[[#This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1.6999999999999999E-3</v>
      </c>
      <c r="D122" s="36">
        <f>Tabella125[[#This Row],[Percentage of Suppliers - Raw]]/$C$151</f>
        <v>1.7251877410188752E-3</v>
      </c>
      <c r="E122" s="26">
        <v>4.5999999999999999E-3</v>
      </c>
      <c r="F122" s="36">
        <f>Tabella125[[#This Row],[Percentage of Supplier''s Facilities - Raw]]/$E$151</f>
        <v>4.6259050683829465E-3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Tabella125[[#This Row],[Percentage of Suppliers - Raw]]/$C$151</f>
        <v>0</v>
      </c>
      <c r="E123" s="26">
        <v>5.7000000000000002E-3</v>
      </c>
      <c r="F123" s="36">
        <f>Tabella125[[#This Row],[Percentage of Supplier''s Facilities - Raw]]/$E$151</f>
        <v>5.7320997586484341E-3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Tabella125[[#This Row],[Percentage of Suppliers - Raw]]/$C$151</f>
        <v>0</v>
      </c>
      <c r="E124" s="26">
        <v>8.9999999999999998E-4</v>
      </c>
      <c r="F124" s="36">
        <f>Tabella125[[#This Row],[Percentage of Supplier''s Facilities - Raw]]/$E$151</f>
        <v>9.0506838294448946E-4</v>
      </c>
    </row>
    <row r="125" spans="1:6" ht="19" x14ac:dyDescent="0.25">
      <c r="A125" s="31" t="s">
        <v>138</v>
      </c>
      <c r="B125" s="150">
        <v>5.22</v>
      </c>
      <c r="C125" s="22">
        <v>1.6999999999999999E-3</v>
      </c>
      <c r="D125" s="36">
        <f>Tabella125[[#This Row],[Percentage of Suppliers - Raw]]/$C$151</f>
        <v>1.7251877410188752E-3</v>
      </c>
      <c r="E125" s="26">
        <v>7.7000000000000002E-3</v>
      </c>
      <c r="F125" s="36">
        <f>Tabella125[[#This Row],[Percentage of Supplier''s Facilities - Raw]]/$E$151</f>
        <v>7.7433628318584104E-3</v>
      </c>
    </row>
    <row r="126" spans="1:6" ht="19" x14ac:dyDescent="0.25">
      <c r="A126" s="31" t="s">
        <v>139</v>
      </c>
      <c r="B126" s="151">
        <v>3.57</v>
      </c>
      <c r="C126" s="22">
        <v>5.7599999999999998E-2</v>
      </c>
      <c r="D126" s="36">
        <f>Tabella125[[#This Row],[Percentage of Suppliers - Raw]]/$C$151</f>
        <v>5.8453419930992477E-2</v>
      </c>
      <c r="E126" s="26">
        <v>2.1899999999999999E-2</v>
      </c>
      <c r="F126" s="36">
        <f>Tabella125[[#This Row],[Percentage of Supplier''s Facilities - Raw]]/$E$151</f>
        <v>2.2023330651649242E-2</v>
      </c>
    </row>
    <row r="127" spans="1:6" ht="19" x14ac:dyDescent="0.25">
      <c r="A127" s="31" t="s">
        <v>140</v>
      </c>
      <c r="B127" s="152">
        <v>3.7</v>
      </c>
      <c r="C127" s="22">
        <v>7.0000000000000001E-3</v>
      </c>
      <c r="D127" s="36">
        <f>Tabella125[[#This Row],[Percentage of Suppliers - Raw]]/$C$151</f>
        <v>7.1037142277247806E-3</v>
      </c>
      <c r="E127" s="26">
        <v>2.1700000000000001E-2</v>
      </c>
      <c r="F127" s="36">
        <f>Tabella125[[#This Row],[Percentage of Supplier''s Facilities - Raw]]/$E$151</f>
        <v>2.1822204344328248E-2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Tabella125[[#This Row],[Percentage of Suppliers - Raw]]/$C$151</f>
        <v>0</v>
      </c>
      <c r="E128" s="26">
        <v>2.9999999999999997E-4</v>
      </c>
      <c r="F128" s="36">
        <f>Tabella125[[#This Row],[Percentage of Supplier''s Facilities - Raw]]/$E$151</f>
        <v>3.0168946098149647E-4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Tabella125[[#This Row],[Percentage of Suppliers - Raw]]/$C$151</f>
        <v>0</v>
      </c>
      <c r="E129" s="26">
        <v>0</v>
      </c>
      <c r="F129" s="36">
        <f>Tabella125[[#This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1.0500000000000001E-2</v>
      </c>
      <c r="D130" s="36">
        <f>Tabella125[[#This Row],[Percentage of Suppliers - Raw]]/$C$151</f>
        <v>1.0655571341587171E-2</v>
      </c>
      <c r="E130" s="26">
        <v>6.1999999999999998E-3</v>
      </c>
      <c r="F130" s="36">
        <f>Tabella125[[#This Row],[Percentage of Supplier''s Facilities - Raw]]/$E$151</f>
        <v>6.2349155269509271E-3</v>
      </c>
    </row>
    <row r="131" spans="1:6" ht="19" x14ac:dyDescent="0.25">
      <c r="A131" s="31" t="s">
        <v>144</v>
      </c>
      <c r="B131" s="154">
        <v>2.78</v>
      </c>
      <c r="C131" s="22">
        <v>2.0899999999999998E-2</v>
      </c>
      <c r="D131" s="36">
        <f>Tabella125[[#This Row],[Percentage of Suppliers - Raw]]/$C$151</f>
        <v>2.12096610513497E-2</v>
      </c>
      <c r="E131" s="26">
        <v>6.3E-3</v>
      </c>
      <c r="F131" s="36">
        <f>Tabella125[[#This Row],[Percentage of Supplier''s Facilities - Raw]]/$E$151</f>
        <v>6.3354786806114269E-3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Tabella125[[#This Row],[Percentage of Suppliers - Raw]]/$C$151</f>
        <v>0</v>
      </c>
      <c r="E132" s="26">
        <v>0</v>
      </c>
      <c r="F132" s="36">
        <f>Tabella125[[#This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Tabella125[[#This Row],[Percentage of Suppliers - Raw]]/$C$151</f>
        <v>0</v>
      </c>
      <c r="E133" s="26">
        <v>0</v>
      </c>
      <c r="F133" s="36">
        <f>Tabella125[[#This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1.2200000000000001E-2</v>
      </c>
      <c r="D134" s="36">
        <f>Tabella125[[#This Row],[Percentage of Suppliers - Raw]]/$C$151</f>
        <v>1.2380759082606047E-2</v>
      </c>
      <c r="E134" s="26">
        <v>1.5299999999999999E-2</v>
      </c>
      <c r="F134" s="36">
        <f>Tabella125[[#This Row],[Percentage of Supplier''s Facilities - Raw]]/$E$151</f>
        <v>1.538616251005632E-2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Tabella125[[#This Row],[Percentage of Suppliers - Raw]]/$C$151</f>
        <v>0</v>
      </c>
      <c r="E135" s="26">
        <v>0</v>
      </c>
      <c r="F135" s="36">
        <f>Tabella125[[#This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Tabella125[[#This Row],[Percentage of Suppliers - Raw]]/$C$151</f>
        <v>0</v>
      </c>
      <c r="E136" s="26">
        <v>0</v>
      </c>
      <c r="F136" s="36">
        <f>Tabella125[[#This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Tabella125[[#This Row],[Percentage of Suppliers - Raw]]/$C$151</f>
        <v>0</v>
      </c>
      <c r="E137" s="26">
        <v>0</v>
      </c>
      <c r="F137" s="36">
        <f>Tabella125[[#This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Tabella125[[#This Row],[Percentage of Suppliers - Raw]]/$C$151</f>
        <v>0</v>
      </c>
      <c r="E138" s="26">
        <v>1.6000000000000001E-3</v>
      </c>
      <c r="F138" s="36">
        <f>Tabella125[[#This Row],[Percentage of Supplier''s Facilities - Raw]]/$E$151</f>
        <v>1.6090104585679815E-3</v>
      </c>
    </row>
    <row r="139" spans="1:6" ht="19" x14ac:dyDescent="0.25">
      <c r="A139" s="31" t="s">
        <v>152</v>
      </c>
      <c r="B139" s="161">
        <v>5.26</v>
      </c>
      <c r="C139" s="22">
        <v>5.1999999999999998E-3</v>
      </c>
      <c r="D139" s="36">
        <f>Tabella125[[#This Row],[Percentage of Suppliers - Raw]]/$C$151</f>
        <v>5.2770448548812654E-3</v>
      </c>
      <c r="E139" s="26">
        <v>8.6E-3</v>
      </c>
      <c r="F139" s="36">
        <f>Tabella125[[#This Row],[Percentage of Supplier''s Facilities - Raw]]/$E$151</f>
        <v>8.6484312148028993E-3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Tabella125[[#This Row],[Percentage of Suppliers - Raw]]/$C$151</f>
        <v>0</v>
      </c>
      <c r="E140" s="26">
        <v>0</v>
      </c>
      <c r="F140" s="36">
        <f>Tabella125[[#This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Tabella125[[#This Row],[Percentage of Suppliers - Raw]]/$C$151</f>
        <v>0</v>
      </c>
      <c r="E141" s="26">
        <v>6.9999999999999999E-4</v>
      </c>
      <c r="F141" s="36">
        <f>Tabella125[[#This Row],[Percentage of Supplier''s Facilities - Raw]]/$E$151</f>
        <v>7.0394207562349178E-4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Tabella125[[#This Row],[Percentage of Suppliers - Raw]]/$C$151</f>
        <v>0</v>
      </c>
      <c r="E142" s="26">
        <v>1.6999999999999999E-3</v>
      </c>
      <c r="F142" s="36">
        <f>Tabella125[[#This Row],[Percentage of Supplier''s Facilities - Raw]]/$E$151</f>
        <v>1.70957361222848E-3</v>
      </c>
    </row>
    <row r="143" spans="1:6" ht="19" x14ac:dyDescent="0.25">
      <c r="A143" s="31" t="s">
        <v>156</v>
      </c>
      <c r="B143" s="128">
        <v>3.32</v>
      </c>
      <c r="C143" s="22">
        <v>2.2700000000000001E-2</v>
      </c>
      <c r="D143" s="36">
        <f>Tabella125[[#This Row],[Percentage of Suppliers - Raw]]/$C$151</f>
        <v>2.3036330424193219E-2</v>
      </c>
      <c r="E143" s="26">
        <v>2.7E-2</v>
      </c>
      <c r="F143" s="36">
        <f>Tabella125[[#This Row],[Percentage of Supplier''s Facilities - Raw]]/$E$151</f>
        <v>2.7152051488334685E-2</v>
      </c>
    </row>
    <row r="144" spans="1:6" ht="19" x14ac:dyDescent="0.25">
      <c r="A144" s="31" t="s">
        <v>157</v>
      </c>
      <c r="B144" s="165">
        <v>4.1900000000000004</v>
      </c>
      <c r="C144" s="22">
        <v>0.21640000000000001</v>
      </c>
      <c r="D144" s="36">
        <f>Tabella125[[#This Row],[Percentage of Suppliers - Raw]]/$C$151</f>
        <v>0.21960625126852037</v>
      </c>
      <c r="E144" s="26">
        <v>0.2329</v>
      </c>
      <c r="F144" s="36">
        <f>Tabella125[[#This Row],[Percentage of Supplier''s Facilities - Raw]]/$E$151</f>
        <v>0.23421158487530178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Tabella125[[#This Row],[Percentage of Suppliers - Raw]]/$C$151</f>
        <v>0</v>
      </c>
      <c r="E145" s="26">
        <v>5.0000000000000001E-4</v>
      </c>
      <c r="F145" s="36">
        <f>Tabella125[[#This Row],[Percentage of Supplier''s Facilities - Raw]]/$E$151</f>
        <v>5.0281576830249421E-4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Tabella125[[#This Row],[Percentage of Suppliers - Raw]]/$C$151</f>
        <v>0</v>
      </c>
      <c r="E146" s="26">
        <v>8.0000000000000004E-4</v>
      </c>
      <c r="F146" s="36">
        <f>Tabella125[[#This Row],[Percentage of Supplier''s Facilities - Raw]]/$E$151</f>
        <v>8.0450522928399073E-4</v>
      </c>
    </row>
    <row r="147" spans="1:6" ht="19" x14ac:dyDescent="0.25">
      <c r="A147" s="31" t="s">
        <v>160</v>
      </c>
      <c r="B147" s="168">
        <v>4.32</v>
      </c>
      <c r="C147" s="22">
        <v>1.6999999999999999E-3</v>
      </c>
      <c r="D147" s="36">
        <f>Tabella125[[#This Row],[Percentage of Suppliers - Raw]]/$C$151</f>
        <v>1.7251877410188752E-3</v>
      </c>
      <c r="E147" s="26">
        <v>5.1000000000000004E-3</v>
      </c>
      <c r="F147" s="36">
        <f>Tabella125[[#This Row],[Percentage of Supplier''s Facilities - Raw]]/$E$151</f>
        <v>5.1287208366854412E-3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Tabella125[[#This Row],[Percentage of Suppliers - Raw]]/$C$151</f>
        <v>0</v>
      </c>
      <c r="E148" s="26">
        <v>0</v>
      </c>
      <c r="F148" s="36">
        <f>Tabella125[[#This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Tabella125[[#This Row],[Percentage of Suppliers - Raw]]/$C$151</f>
        <v>0</v>
      </c>
      <c r="E149" s="26">
        <v>0</v>
      </c>
      <c r="F149" s="36">
        <f>Tabella125[[#This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Tabella125[[#This Row],[Percentage of Suppliers - Raw]]/$C$151</f>
        <v>0</v>
      </c>
      <c r="E150" s="26">
        <v>1E-4</v>
      </c>
      <c r="F150" s="36">
        <f>Tabella125[[#This Row],[Percentage of Supplier''s Facilities - Raw]]/$E$151</f>
        <v>1.0056315366049884E-4</v>
      </c>
    </row>
    <row r="151" spans="1:6" ht="19" x14ac:dyDescent="0.25">
      <c r="A151" s="33" t="s">
        <v>164</v>
      </c>
      <c r="B151" s="171" t="e">
        <v>#N/A</v>
      </c>
      <c r="C151" s="24">
        <f>SUM(C4:C150)</f>
        <v>0.98540000000000016</v>
      </c>
      <c r="D151" s="174">
        <f>Tabella125[[#This Row],[Percentage of Suppliers - Raw]]/$C$151</f>
        <v>1</v>
      </c>
      <c r="E151" s="27">
        <f>SUM(E4:E150)</f>
        <v>0.99439999999999962</v>
      </c>
      <c r="F151" s="37">
        <f>SUM(F4:F150)</f>
        <v>0.99999999999999933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DC0FFDEFA864DA147FFDEA823F2EE" ma:contentTypeVersion="3" ma:contentTypeDescription="Create a new document." ma:contentTypeScope="" ma:versionID="39870545afabb502c4050089500bd5b6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9bb2a11c505461e40f497f8b9cdcbcf5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5E0878-4B17-4564-918F-BBBF7C87229C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c41a64fd-65ba-4a6e-8004-8ade4c8fdb3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73146A8-7F53-4F4B-93E3-C3AA836BA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B32778-3187-4026-AFD2-4F5F00D6A1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Supply Chain Exposure - Overall</vt:lpstr>
      <vt:lpstr>HHI Index - Submultiplier</vt:lpstr>
      <vt:lpstr>Country of Suppliers - Apple</vt:lpstr>
      <vt:lpstr>Country of Suppliers - Sony</vt:lpstr>
      <vt:lpstr>Country of Suppliers - Meta</vt:lpstr>
      <vt:lpstr>Country of Suppliers - NVIDIA</vt:lpstr>
      <vt:lpstr>Country of Suppliers - VW</vt:lpstr>
      <vt:lpstr>Country of Suppliers Microsoft</vt:lpstr>
      <vt:lpstr>Country of Suppliers - JPMorgan</vt:lpstr>
      <vt:lpstr>Country of Suppliers - Tencent</vt:lpstr>
      <vt:lpstr>Country of Suppliers - Reliance</vt:lpstr>
      <vt:lpstr>Country of Suppliers - Total En</vt:lpstr>
      <vt:lpstr>Country of Suppliers - P&amp;G</vt:lpstr>
      <vt:lpstr>Country of Suppliers - EliLilly</vt:lpstr>
      <vt:lpstr>Country of Suppliers - ENI</vt:lpstr>
      <vt:lpstr>Country of Suppliers - Allianz</vt:lpstr>
      <vt:lpstr>Country of Suppliers - ASML</vt:lpstr>
      <vt:lpstr>Country of Suppliers - TSMC</vt:lpstr>
      <vt:lpstr>Country of Suppliers - Toyota</vt:lpstr>
      <vt:lpstr>Country of Suppliers - SAP</vt:lpstr>
      <vt:lpstr>Country of Suppliers - Nordisk</vt:lpstr>
      <vt:lpstr>Country of Suppliers - LVMH</vt:lpstr>
      <vt:lpstr>Country of Suppliers - Oreal</vt:lpstr>
      <vt:lpstr>Country of Suppliers - BNP</vt:lpstr>
      <vt:lpstr>Country of Suppliers - Samsung</vt:lpstr>
      <vt:lpstr>Country of Suppliers - Amazon</vt:lpstr>
      <vt:lpstr>Country of Suppliers - Ford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ARZUM KARAHAN</cp:lastModifiedBy>
  <cp:revision/>
  <dcterms:created xsi:type="dcterms:W3CDTF">2026-03-14T18:10:36Z</dcterms:created>
  <dcterms:modified xsi:type="dcterms:W3CDTF">2026-04-02T19:47:16Z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