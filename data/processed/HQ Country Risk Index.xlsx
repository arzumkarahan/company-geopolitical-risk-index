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bocconi.sharepoint.com/sites/Geopolitics-DataGroup1/Documenti condivisi/General/Final Dataset - CGPR/"/>
    </mc:Choice>
  </mc:AlternateContent>
  <xr:revisionPtr revIDLastSave="78" documentId="13_ncr:1_{282242C4-323A-9043-91A5-5A1116F7DEA0}" xr6:coauthVersionLast="47" xr6:coauthVersionMax="47" xr10:uidLastSave="{18E45ED1-9A4F-AB4A-B1B0-A0DF062964DF}"/>
  <bookViews>
    <workbookView xWindow="0" yWindow="0" windowWidth="28800" windowHeight="18000" activeTab="1" xr2:uid="{95916127-3CC4-294F-93BE-B53715E5263E}"/>
  </bookViews>
  <sheets>
    <sheet name="Geopolitical Risk Index" sheetId="2" r:id="rId1"/>
    <sheet name="HQ Country Risk Index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2" i="1"/>
  <c r="D2" i="1" s="1"/>
</calcChain>
</file>

<file path=xl/sharedStrings.xml><?xml version="1.0" encoding="utf-8"?>
<sst xmlns="http://schemas.openxmlformats.org/spreadsheetml/2006/main" count="249" uniqueCount="201">
  <si>
    <t>Country</t>
  </si>
  <si>
    <t>Country Geopolitical Risk Index - 2024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</si>
  <si>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</si>
  <si>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</si>
  <si>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</si>
  <si>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</si>
  <si>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</si>
  <si>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</si>
  <si>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</si>
  <si>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</si>
  <si>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</si>
  <si>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</si>
  <si>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</si>
  <si>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</si>
  <si>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</si>
  <si>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</si>
  <si>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</si>
  <si>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</si>
  <si>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</si>
  <si>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</si>
  <si>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</si>
  <si>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</si>
  <si>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</si>
  <si>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</si>
  <si>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</si>
  <si>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</si>
  <si>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</si>
  <si>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</si>
  <si>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</si>
  <si>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</si>
  <si>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</si>
  <si>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</si>
  <si>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</si>
  <si>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</si>
  <si>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</si>
  <si>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</si>
  <si>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</si>
  <si>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</si>
  <si>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</si>
  <si>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</si>
  <si>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</si>
  <si>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</si>
  <si>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</si>
  <si>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</si>
  <si>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</si>
  <si>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</si>
  <si>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</si>
  <si>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</si>
  <si>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</si>
  <si>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</si>
  <si>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</si>
  <si>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</si>
  <si>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</si>
  <si>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</si>
  <si>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</si>
  <si>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</si>
  <si>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</si>
  <si>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</si>
  <si>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</si>
  <si>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</si>
  <si>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</si>
  <si>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</si>
  <si>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</si>
  <si>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</si>
  <si>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</si>
  <si>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</si>
  <si>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</si>
  <si>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</si>
  <si>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</si>
  <si>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</si>
  <si>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</si>
  <si>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</si>
  <si>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</si>
  <si>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</si>
  <si>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</si>
  <si>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</si>
  <si>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</si>
  <si>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</si>
  <si>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</si>
  <si>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</si>
  <si>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</si>
  <si>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</si>
  <si>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Lithuania</t>
  </si>
  <si>
    <t>Madagascar</t>
  </si>
  <si>
    <t>Malawi</t>
  </si>
  <si>
    <t>Malaysia</t>
  </si>
  <si>
    <t>Mali</t>
  </si>
  <si>
    <t>Mauritania</t>
  </si>
  <si>
    <t>Mauritius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</si>
  <si>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</si>
  <si>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</si>
  <si>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</si>
  <si>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</si>
  <si>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</si>
  <si>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</si>
  <si>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</si>
  <si>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</si>
  <si>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</si>
  <si>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</si>
  <si>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</si>
  <si>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</si>
  <si>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</si>
  <si>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</si>
  <si>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</si>
  <si>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</si>
  <si>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</si>
  <si>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</si>
  <si>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</si>
  <si>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</si>
  <si>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</si>
  <si>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</si>
  <si>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</si>
  <si>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</si>
  <si>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</si>
  <si>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</si>
  <si>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</si>
  <si>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</si>
  <si>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</si>
  <si>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</si>
  <si>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</si>
  <si>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</si>
  <si>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</si>
  <si>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</si>
  <si>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</si>
  <si>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</si>
  <si>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</si>
  <si>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</si>
  <si>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</si>
  <si>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</si>
  <si>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</si>
  <si>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</si>
  <si>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</si>
  <si>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</si>
  <si>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</si>
  <si>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</si>
  <si>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</si>
  <si>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</si>
  <si>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</si>
  <si>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</si>
  <si>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</si>
  <si>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</si>
  <si>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</si>
  <si>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</si>
  <si>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</si>
  <si>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Venezuela</t>
  </si>
  <si>
    <t>Vietnam</t>
  </si>
  <si>
    <t>Yemen</t>
  </si>
  <si>
    <t>Zambia</t>
  </si>
  <si>
    <t>Zimbabwe</t>
  </si>
  <si>
    <t>Company Name</t>
  </si>
  <si>
    <t>HQ Country</t>
  </si>
  <si>
    <t>Country Geopolitical Risk Index</t>
  </si>
  <si>
    <t>HQ Country Risk - Component</t>
  </si>
  <si>
    <t>Apple</t>
  </si>
  <si>
    <t>Meta</t>
  </si>
  <si>
    <t>Microsoft</t>
  </si>
  <si>
    <t>Ford</t>
  </si>
  <si>
    <t>Procter &amp; Gamble</t>
  </si>
  <si>
    <t>Samsung</t>
  </si>
  <si>
    <t>Amazon</t>
  </si>
  <si>
    <t>NVIDIA</t>
  </si>
  <si>
    <t>Allianz</t>
  </si>
  <si>
    <t>L'Oreal</t>
  </si>
  <si>
    <t>LVMH</t>
  </si>
  <si>
    <t>Novo Nordisk</t>
  </si>
  <si>
    <t>Reliance Industries</t>
  </si>
  <si>
    <t>SAP</t>
  </si>
  <si>
    <t>Sony</t>
  </si>
  <si>
    <t>Tencent</t>
  </si>
  <si>
    <t>Totale Energies</t>
  </si>
  <si>
    <t>Toyota</t>
  </si>
  <si>
    <t>TSMC</t>
  </si>
  <si>
    <t>Volkswagen</t>
  </si>
  <si>
    <t>JP Morgan</t>
  </si>
  <si>
    <t>ASML</t>
  </si>
  <si>
    <t>BNP Paribas</t>
  </si>
  <si>
    <t>Eli Lilly</t>
  </si>
  <si>
    <t>ENI</t>
  </si>
  <si>
    <t>Leonardo</t>
  </si>
  <si>
    <t>Pfizer</t>
  </si>
  <si>
    <t>Prysmian</t>
  </si>
  <si>
    <t>Unicredit</t>
  </si>
  <si>
    <t>Campari</t>
  </si>
  <si>
    <t>Moncler</t>
  </si>
  <si>
    <t>Ferrari</t>
  </si>
  <si>
    <t>Alibaba</t>
  </si>
  <si>
    <t>Nestlè</t>
  </si>
  <si>
    <t>Gazprom</t>
  </si>
  <si>
    <t>Novartis</t>
  </si>
  <si>
    <t>Moderna</t>
  </si>
  <si>
    <t>HSBC</t>
  </si>
  <si>
    <t>Walmart</t>
  </si>
  <si>
    <t>Unilever</t>
  </si>
  <si>
    <t>Coca-Cola</t>
  </si>
  <si>
    <t>Caterpillar</t>
  </si>
  <si>
    <t>Tesla</t>
  </si>
  <si>
    <t>Alphabet</t>
  </si>
  <si>
    <t>Saudi Aramco</t>
  </si>
  <si>
    <t>Shell</t>
  </si>
  <si>
    <t>Chevron</t>
  </si>
  <si>
    <t>ExxonMobil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</si>
</sst>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12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5E6CE"/>
        <bgColor rgb="FF000000"/>
      </patternFill>
    </fill>
    <fill>
      <patternFill patternType="solid">
        <fgColor rgb="FFF2F9F4"/>
        <bgColor rgb="FF000000"/>
      </patternFill>
    </fill>
    <fill>
      <patternFill patternType="solid">
        <fgColor rgb="FFFFF6F6"/>
        <bgColor rgb="FF000000"/>
      </patternFill>
    </fill>
    <fill>
      <patternFill patternType="solid">
        <fgColor rgb="FFC4E6CD"/>
        <bgColor rgb="FF000000"/>
      </patternFill>
    </fill>
    <fill>
      <patternFill patternType="solid">
        <fgColor rgb="FFDBF0E1"/>
        <bgColor rgb="FF000000"/>
      </patternFill>
    </fill>
    <fill>
      <patternFill patternType="solid">
        <fgColor rgb="FF87CD99"/>
        <bgColor rgb="FF000000"/>
      </patternFill>
    </fill>
    <fill>
      <patternFill patternType="solid">
        <fgColor rgb="FF91D1A2"/>
        <bgColor rgb="FF000000"/>
      </patternFill>
    </fill>
    <fill>
      <patternFill patternType="solid">
        <fgColor rgb="FFBFE4C9"/>
        <bgColor rgb="FF000000"/>
      </patternFill>
    </fill>
    <fill>
      <patternFill patternType="solid">
        <fgColor rgb="FFFDD4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DCF9E"/>
        <bgColor rgb="FF000000"/>
      </patternFill>
    </fill>
    <fill>
      <patternFill patternType="solid">
        <fgColor rgb="FFFEE3E4"/>
        <bgColor rgb="FF000000"/>
      </patternFill>
    </fill>
    <fill>
      <patternFill patternType="solid">
        <fgColor rgb="FFE8F5EC"/>
        <bgColor rgb="FF000000"/>
      </patternFill>
    </fill>
    <fill>
      <patternFill patternType="solid">
        <fgColor rgb="FFFDFEFD"/>
        <bgColor rgb="FF000000"/>
      </patternFill>
    </fill>
    <fill>
      <patternFill patternType="solid">
        <fgColor rgb="FFF9FCFA"/>
        <bgColor rgb="FF000000"/>
      </patternFill>
    </fill>
    <fill>
      <patternFill patternType="solid">
        <fgColor rgb="FFC3E6CC"/>
        <bgColor rgb="FF000000"/>
      </patternFill>
    </fill>
    <fill>
      <patternFill patternType="solid">
        <fgColor rgb="FFFAFDFA"/>
        <bgColor rgb="FF000000"/>
      </patternFill>
    </fill>
    <fill>
      <patternFill patternType="solid">
        <fgColor rgb="FFC8E8D0"/>
        <bgColor rgb="FF000000"/>
      </patternFill>
    </fill>
    <fill>
      <patternFill patternType="solid">
        <fgColor rgb="FFFDC8C8"/>
        <bgColor rgb="FF000000"/>
      </patternFill>
    </fill>
    <fill>
      <patternFill patternType="solid">
        <fgColor rgb="FFFDD3D3"/>
        <bgColor rgb="FF000000"/>
      </patternFill>
    </fill>
    <fill>
      <patternFill patternType="solid">
        <fgColor rgb="FFFCB9BA"/>
        <bgColor rgb="FF000000"/>
      </patternFill>
    </fill>
    <fill>
      <patternFill patternType="solid">
        <fgColor rgb="FF93D2A3"/>
        <bgColor rgb="FF000000"/>
      </patternFill>
    </fill>
    <fill>
      <patternFill patternType="solid">
        <fgColor rgb="FFFCBBBC"/>
        <bgColor rgb="FF000000"/>
      </patternFill>
    </fill>
    <fill>
      <patternFill patternType="solid">
        <fgColor rgb="FFBFE4C8"/>
        <bgColor rgb="FF000000"/>
      </patternFill>
    </fill>
    <fill>
      <patternFill patternType="solid">
        <fgColor rgb="FFFFF1F1"/>
        <bgColor rgb="FF000000"/>
      </patternFill>
    </fill>
    <fill>
      <patternFill patternType="solid">
        <fgColor rgb="FFFFF5F5"/>
        <bgColor rgb="FF000000"/>
      </patternFill>
    </fill>
    <fill>
      <patternFill patternType="solid">
        <fgColor rgb="FFBDE3C7"/>
        <bgColor rgb="FF000000"/>
      </patternFill>
    </fill>
    <fill>
      <patternFill patternType="solid">
        <fgColor rgb="FFFFF8F8"/>
        <bgColor rgb="FF000000"/>
      </patternFill>
    </fill>
    <fill>
      <patternFill patternType="solid">
        <fgColor rgb="FFC0E4CA"/>
        <bgColor rgb="FF000000"/>
      </patternFill>
    </fill>
    <fill>
      <patternFill patternType="solid">
        <fgColor rgb="FFD5EDDB"/>
        <bgColor rgb="FF000000"/>
      </patternFill>
    </fill>
    <fill>
      <patternFill patternType="solid">
        <fgColor rgb="FFA3D8B1"/>
        <bgColor rgb="FF000000"/>
      </patternFill>
    </fill>
    <fill>
      <patternFill patternType="solid">
        <fgColor rgb="FF86CC98"/>
        <bgColor rgb="FF000000"/>
      </patternFill>
    </fill>
    <fill>
      <patternFill patternType="solid">
        <fgColor rgb="FFFEE4E5"/>
        <bgColor rgb="FF000000"/>
      </patternFill>
    </fill>
    <fill>
      <patternFill patternType="solid">
        <fgColor rgb="FFD6EEDC"/>
        <bgColor rgb="FF000000"/>
      </patternFill>
    </fill>
    <fill>
      <patternFill patternType="solid">
        <fgColor rgb="FFFFF2F2"/>
        <bgColor rgb="FF000000"/>
      </patternFill>
    </fill>
    <fill>
      <patternFill patternType="solid">
        <fgColor rgb="FFFFF7F7"/>
        <bgColor rgb="FF000000"/>
      </patternFill>
    </fill>
    <fill>
      <patternFill patternType="solid">
        <fgColor rgb="FFDCF0E1"/>
        <bgColor rgb="FF000000"/>
      </patternFill>
    </fill>
    <fill>
      <patternFill patternType="solid">
        <fgColor rgb="FF9AD5A9"/>
        <bgColor rgb="FF000000"/>
      </patternFill>
    </fill>
    <fill>
      <patternFill patternType="solid">
        <fgColor rgb="FFCCE9D3"/>
        <bgColor rgb="FF000000"/>
      </patternFill>
    </fill>
    <fill>
      <patternFill patternType="solid">
        <fgColor rgb="FFFCB4B5"/>
        <bgColor rgb="FF000000"/>
      </patternFill>
    </fill>
    <fill>
      <patternFill patternType="solid">
        <fgColor rgb="FF8ED09F"/>
        <bgColor rgb="FF000000"/>
      </patternFill>
    </fill>
    <fill>
      <patternFill patternType="solid">
        <fgColor rgb="FF9ED6AD"/>
        <bgColor rgb="FF000000"/>
      </patternFill>
    </fill>
    <fill>
      <patternFill patternType="solid">
        <fgColor rgb="FFFFEEEF"/>
        <bgColor rgb="FF000000"/>
      </patternFill>
    </fill>
    <fill>
      <patternFill patternType="solid">
        <fgColor rgb="FFFBFDFC"/>
        <bgColor rgb="FF000000"/>
      </patternFill>
    </fill>
    <fill>
      <patternFill patternType="solid">
        <fgColor rgb="FFE3F3E7"/>
        <bgColor rgb="FF000000"/>
      </patternFill>
    </fill>
    <fill>
      <patternFill patternType="solid">
        <fgColor rgb="FFD3ECD9"/>
        <bgColor rgb="FF000000"/>
      </patternFill>
    </fill>
    <fill>
      <patternFill patternType="solid">
        <fgColor rgb="FFFDD1D2"/>
        <bgColor rgb="FF000000"/>
      </patternFill>
    </fill>
    <fill>
      <patternFill patternType="solid">
        <fgColor rgb="FFFEE6E7"/>
        <bgColor rgb="FF000000"/>
      </patternFill>
    </fill>
    <fill>
      <patternFill patternType="solid">
        <fgColor rgb="FFE2F3E7"/>
        <bgColor rgb="FF000000"/>
      </patternFill>
    </fill>
    <fill>
      <patternFill patternType="solid">
        <fgColor rgb="FFFDC8C9"/>
        <bgColor rgb="FF000000"/>
      </patternFill>
    </fill>
    <fill>
      <patternFill patternType="solid">
        <fgColor rgb="FFFFEFEF"/>
        <bgColor rgb="FF000000"/>
      </patternFill>
    </fill>
    <fill>
      <patternFill patternType="solid">
        <fgColor rgb="FF9DD6AC"/>
        <bgColor rgb="FF000000"/>
      </patternFill>
    </fill>
    <fill>
      <patternFill patternType="solid">
        <fgColor rgb="FF8FD0A0"/>
        <bgColor rgb="FF000000"/>
      </patternFill>
    </fill>
    <fill>
      <patternFill patternType="solid">
        <fgColor rgb="FFEAF6ED"/>
        <bgColor rgb="FF000000"/>
      </patternFill>
    </fill>
    <fill>
      <patternFill patternType="solid">
        <fgColor rgb="FFFEE9EA"/>
        <bgColor rgb="FF000000"/>
      </patternFill>
    </fill>
    <fill>
      <patternFill patternType="solid">
        <fgColor rgb="FFFEE1E1"/>
        <bgColor rgb="FF000000"/>
      </patternFill>
    </fill>
    <fill>
      <patternFill patternType="solid">
        <fgColor rgb="FF89CD9B"/>
        <bgColor rgb="FF000000"/>
      </patternFill>
    </fill>
    <fill>
      <patternFill patternType="solid">
        <fgColor rgb="FFD2ECD9"/>
        <bgColor rgb="FF000000"/>
      </patternFill>
    </fill>
    <fill>
      <patternFill patternType="solid">
        <fgColor rgb="FFA8DBB5"/>
        <bgColor rgb="FF000000"/>
      </patternFill>
    </fill>
    <fill>
      <patternFill patternType="solid">
        <fgColor rgb="FFD9EFDF"/>
        <bgColor rgb="FF000000"/>
      </patternFill>
    </fill>
    <fill>
      <patternFill patternType="solid">
        <fgColor rgb="FFEEF8F0"/>
        <bgColor rgb="FF000000"/>
      </patternFill>
    </fill>
    <fill>
      <patternFill patternType="solid">
        <fgColor rgb="FFCEEAD5"/>
        <bgColor rgb="FF000000"/>
      </patternFill>
    </fill>
    <fill>
      <patternFill patternType="solid">
        <fgColor rgb="FFFEDDDD"/>
        <bgColor rgb="FF000000"/>
      </patternFill>
    </fill>
    <fill>
      <patternFill patternType="solid">
        <fgColor rgb="FFC1E5CA"/>
        <bgColor rgb="FF000000"/>
      </patternFill>
    </fill>
    <fill>
      <patternFill patternType="solid">
        <fgColor rgb="FFFBFDFB"/>
        <bgColor rgb="FF000000"/>
      </patternFill>
    </fill>
    <fill>
      <patternFill patternType="solid">
        <fgColor rgb="FFEEF8F1"/>
        <bgColor rgb="FF000000"/>
      </patternFill>
    </fill>
    <fill>
      <patternFill patternType="solid">
        <fgColor rgb="FFAFDDBB"/>
        <bgColor rgb="FF000000"/>
      </patternFill>
    </fill>
    <fill>
      <patternFill patternType="solid">
        <fgColor rgb="FFFEDDDE"/>
        <bgColor rgb="FF000000"/>
      </patternFill>
    </fill>
    <fill>
      <patternFill patternType="solid">
        <fgColor rgb="FFFFFDFD"/>
        <bgColor rgb="FF000000"/>
      </patternFill>
    </fill>
    <fill>
      <patternFill patternType="solid">
        <fgColor rgb="FFFEE5E5"/>
        <bgColor rgb="FF000000"/>
      </patternFill>
    </fill>
    <fill>
      <patternFill patternType="solid">
        <fgColor rgb="FFFFF4F4"/>
        <bgColor rgb="FF000000"/>
      </patternFill>
    </fill>
    <fill>
      <patternFill patternType="solid">
        <fgColor rgb="FFADDCB9"/>
        <bgColor rgb="FF000000"/>
      </patternFill>
    </fill>
    <fill>
      <patternFill patternType="solid">
        <fgColor rgb="FFFFECED"/>
        <bgColor rgb="FF000000"/>
      </patternFill>
    </fill>
    <fill>
      <patternFill patternType="solid">
        <fgColor rgb="FFFFF9F9"/>
        <bgColor rgb="FF000000"/>
      </patternFill>
    </fill>
    <fill>
      <patternFill patternType="solid">
        <fgColor rgb="FFB3DFBE"/>
        <bgColor rgb="FF000000"/>
      </patternFill>
    </fill>
    <fill>
      <patternFill patternType="solid">
        <fgColor rgb="FFFCACAD"/>
        <bgColor rgb="FF000000"/>
      </patternFill>
    </fill>
    <fill>
      <patternFill patternType="solid">
        <fgColor rgb="FFFED5D6"/>
        <bgColor rgb="FF000000"/>
      </patternFill>
    </fill>
    <fill>
      <patternFill patternType="solid">
        <fgColor rgb="FF94D2A4"/>
        <bgColor rgb="FF000000"/>
      </patternFill>
    </fill>
    <fill>
      <patternFill patternType="solid">
        <fgColor rgb="FFFEFEFE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ECF7EF"/>
        <bgColor rgb="FF000000"/>
      </patternFill>
    </fill>
    <fill>
      <patternFill patternType="solid">
        <fgColor rgb="FFD3EDDA"/>
        <bgColor rgb="FF000000"/>
      </patternFill>
    </fill>
    <fill>
      <patternFill patternType="solid">
        <fgColor rgb="FF9BD5AA"/>
        <bgColor rgb="FF000000"/>
      </patternFill>
    </fill>
    <fill>
      <patternFill patternType="solid">
        <fgColor rgb="FF8CCF9E"/>
        <bgColor rgb="FF000000"/>
      </patternFill>
    </fill>
    <fill>
      <patternFill patternType="solid">
        <fgColor rgb="FFFFEDEE"/>
        <bgColor rgb="FF000000"/>
      </patternFill>
    </fill>
    <fill>
      <patternFill patternType="solid">
        <fgColor rgb="FFFCADAE"/>
        <bgColor rgb="FF000000"/>
      </patternFill>
    </fill>
    <fill>
      <patternFill patternType="solid">
        <fgColor rgb="FFFDCACB"/>
        <bgColor rgb="FF000000"/>
      </patternFill>
    </fill>
    <fill>
      <patternFill patternType="solid">
        <fgColor rgb="FFBAE2C4"/>
        <bgColor rgb="FF000000"/>
      </patternFill>
    </fill>
    <fill>
      <patternFill patternType="solid">
        <fgColor rgb="FFB2DFBE"/>
        <bgColor rgb="FF000000"/>
      </patternFill>
    </fill>
    <fill>
      <patternFill patternType="solid">
        <fgColor rgb="FFFDC3C3"/>
        <bgColor rgb="FF000000"/>
      </patternFill>
    </fill>
    <fill>
      <patternFill patternType="solid">
        <fgColor rgb="FFCFEBD6"/>
        <bgColor rgb="FF000000"/>
      </patternFill>
    </fill>
    <fill>
      <patternFill patternType="solid">
        <fgColor rgb="FFD7EEDD"/>
        <bgColor rgb="FF000000"/>
      </patternFill>
    </fill>
    <fill>
      <patternFill patternType="solid">
        <fgColor rgb="FFF6FBF7"/>
        <bgColor rgb="FF000000"/>
      </patternFill>
    </fill>
    <fill>
      <patternFill patternType="solid">
        <fgColor rgb="FFB9E2C4"/>
        <bgColor rgb="FF000000"/>
      </patternFill>
    </fill>
    <fill>
      <patternFill patternType="solid">
        <fgColor rgb="FF92D1A3"/>
        <bgColor rgb="FF000000"/>
      </patternFill>
    </fill>
    <fill>
      <patternFill patternType="solid">
        <fgColor rgb="FFB3DFBF"/>
        <bgColor rgb="FF000000"/>
      </patternFill>
    </fill>
    <fill>
      <patternFill patternType="solid">
        <fgColor rgb="FFFEE5E6"/>
        <bgColor rgb="FF000000"/>
      </patternFill>
    </fill>
    <fill>
      <patternFill patternType="solid">
        <fgColor rgb="FFFFFEFE"/>
        <bgColor rgb="FF000000"/>
      </patternFill>
    </fill>
    <fill>
      <patternFill patternType="solid">
        <fgColor rgb="FFFCFDFC"/>
        <bgColor rgb="FF000000"/>
      </patternFill>
    </fill>
    <fill>
      <patternFill patternType="solid">
        <fgColor rgb="FFE9F5EC"/>
        <bgColor rgb="FF000000"/>
      </patternFill>
    </fill>
    <fill>
      <patternFill patternType="solid">
        <fgColor rgb="FFFFF5F6"/>
        <bgColor rgb="FF000000"/>
      </patternFill>
    </fill>
    <fill>
      <patternFill patternType="solid">
        <fgColor rgb="FF7DC991"/>
        <bgColor rgb="FF000000"/>
      </patternFill>
    </fill>
    <fill>
      <patternFill patternType="solid">
        <fgColor rgb="FFA6D9B3"/>
        <bgColor rgb="FF000000"/>
      </patternFill>
    </fill>
    <fill>
      <patternFill patternType="solid">
        <fgColor rgb="FF95D2A5"/>
        <bgColor rgb="FF000000"/>
      </patternFill>
    </fill>
    <fill>
      <patternFill patternType="solid">
        <fgColor rgb="FFF3FAF5"/>
        <bgColor rgb="FF000000"/>
      </patternFill>
    </fill>
    <fill>
      <patternFill patternType="solid">
        <fgColor rgb="FF9AD4A9"/>
        <bgColor rgb="FF000000"/>
      </patternFill>
    </fill>
    <fill>
      <patternFill patternType="solid">
        <fgColor rgb="FFA1D7AF"/>
        <bgColor rgb="FF000000"/>
      </patternFill>
    </fill>
    <fill>
      <patternFill patternType="solid">
        <fgColor rgb="FFEDF7EF"/>
        <bgColor rgb="FF000000"/>
      </patternFill>
    </fill>
    <fill>
      <patternFill patternType="solid">
        <fgColor rgb="FF97D3A7"/>
        <bgColor rgb="FF000000"/>
      </patternFill>
    </fill>
    <fill>
      <patternFill patternType="solid">
        <fgColor rgb="FF6FC385"/>
        <bgColor rgb="FF000000"/>
      </patternFill>
    </fill>
    <fill>
      <patternFill patternType="solid">
        <fgColor rgb="FFFBA0A1"/>
        <bgColor rgb="FF000000"/>
      </patternFill>
    </fill>
    <fill>
      <patternFill patternType="solid">
        <fgColor rgb="FFFFF3F3"/>
        <bgColor rgb="FF000000"/>
      </patternFill>
    </fill>
    <fill>
      <patternFill patternType="solid">
        <fgColor rgb="FFEFF8F1"/>
        <bgColor rgb="FF000000"/>
      </patternFill>
    </fill>
    <fill>
      <patternFill patternType="solid">
        <fgColor rgb="FFFEEAEA"/>
        <bgColor rgb="FF000000"/>
      </patternFill>
    </fill>
    <fill>
      <patternFill patternType="solid">
        <fgColor rgb="FFC5E7CE"/>
        <bgColor rgb="FF000000"/>
      </patternFill>
    </fill>
    <fill>
      <patternFill patternType="solid">
        <fgColor rgb="FFEEF7F0"/>
        <bgColor rgb="FF000000"/>
      </patternFill>
    </fill>
    <fill>
      <patternFill patternType="solid">
        <fgColor rgb="FFF5FAF6"/>
        <bgColor rgb="FF000000"/>
      </patternFill>
    </fill>
    <fill>
      <patternFill patternType="solid">
        <fgColor rgb="FFFED5D5"/>
        <bgColor rgb="FF000000"/>
      </patternFill>
    </fill>
    <fill>
      <patternFill patternType="solid">
        <fgColor rgb="FFFDD2D2"/>
        <bgColor rgb="FF000000"/>
      </patternFill>
    </fill>
    <fill>
      <patternFill patternType="solid">
        <fgColor rgb="FFA2D8B0"/>
        <bgColor rgb="FF000000"/>
      </patternFill>
    </fill>
    <fill>
      <patternFill patternType="solid">
        <fgColor rgb="FFBBE2C5"/>
        <bgColor rgb="FF000000"/>
      </patternFill>
    </fill>
    <fill>
      <patternFill patternType="solid">
        <fgColor rgb="FFACDCB9"/>
        <bgColor rgb="FF000000"/>
      </patternFill>
    </fill>
    <fill>
      <patternFill patternType="solid">
        <fgColor rgb="FFC2E5CC"/>
        <bgColor rgb="FF000000"/>
      </patternFill>
    </fill>
    <fill>
      <patternFill patternType="solid">
        <fgColor rgb="FFE4F3E8"/>
        <bgColor rgb="FF000000"/>
      </patternFill>
    </fill>
    <fill>
      <patternFill patternType="solid">
        <fgColor rgb="FFFEDCDC"/>
        <bgColor rgb="FF000000"/>
      </patternFill>
    </fill>
  </fills>
  <borders count="6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4" fillId="2" borderId="0" xfId="0" applyFont="1" applyFill="1"/>
    <xf numFmtId="0" fontId="5" fillId="0" borderId="1" xfId="0" applyFont="1" applyBorder="1"/>
    <xf numFmtId="0" fontId="5" fillId="0" borderId="2" xfId="0" applyFont="1" applyBorder="1"/>
    <xf numFmtId="0" fontId="6" fillId="3" borderId="3" xfId="0" applyFont="1" applyFill="1" applyBorder="1"/>
    <xf numFmtId="2" fontId="7" fillId="4" borderId="4" xfId="0" applyNumberFormat="1" applyFont="1" applyFill="1" applyBorder="1" applyAlignment="1">
      <alignment horizontal="center" vertical="center"/>
    </xf>
    <xf numFmtId="0" fontId="6" fillId="0" borderId="0" xfId="0" applyFont="1"/>
    <xf numFmtId="2" fontId="7" fillId="5" borderId="4" xfId="0" applyNumberFormat="1" applyFont="1" applyFill="1" applyBorder="1" applyAlignment="1">
      <alignment horizontal="center" vertical="center"/>
    </xf>
    <xf numFmtId="0" fontId="6" fillId="3" borderId="0" xfId="0" applyFont="1" applyFill="1"/>
    <xf numFmtId="2" fontId="7" fillId="6" borderId="4" xfId="0" applyNumberFormat="1" applyFont="1" applyFill="1" applyBorder="1" applyAlignment="1">
      <alignment horizontal="center" vertical="center"/>
    </xf>
    <xf numFmtId="2" fontId="7" fillId="7" borderId="4" xfId="0" applyNumberFormat="1" applyFont="1" applyFill="1" applyBorder="1" applyAlignment="1">
      <alignment horizontal="center" vertical="center"/>
    </xf>
    <xf numFmtId="2" fontId="7" fillId="8" borderId="4" xfId="0" applyNumberFormat="1" applyFont="1" applyFill="1" applyBorder="1" applyAlignment="1">
      <alignment horizontal="center" vertical="center"/>
    </xf>
    <xf numFmtId="2" fontId="7" fillId="9" borderId="4" xfId="0" applyNumberFormat="1" applyFont="1" applyFill="1" applyBorder="1" applyAlignment="1">
      <alignment horizontal="center" vertical="center"/>
    </xf>
    <xf numFmtId="2" fontId="7" fillId="10" borderId="4" xfId="0" applyNumberFormat="1" applyFont="1" applyFill="1" applyBorder="1" applyAlignment="1">
      <alignment horizontal="center" vertical="center"/>
    </xf>
    <xf numFmtId="2" fontId="7" fillId="11" borderId="4" xfId="0" applyNumberFormat="1" applyFont="1" applyFill="1" applyBorder="1" applyAlignment="1">
      <alignment horizontal="center" vertical="center"/>
    </xf>
    <xf numFmtId="2" fontId="7" fillId="12" borderId="4" xfId="0" applyNumberFormat="1" applyFont="1" applyFill="1" applyBorder="1" applyAlignment="1">
      <alignment horizontal="center" vertical="center"/>
    </xf>
    <xf numFmtId="2" fontId="7" fillId="13" borderId="4" xfId="0" applyNumberFormat="1" applyFont="1" applyFill="1" applyBorder="1" applyAlignment="1">
      <alignment horizontal="center" vertical="center"/>
    </xf>
    <xf numFmtId="2" fontId="7" fillId="14" borderId="4" xfId="0" applyNumberFormat="1" applyFont="1" applyFill="1" applyBorder="1" applyAlignment="1">
      <alignment horizontal="center" vertical="center"/>
    </xf>
    <xf numFmtId="2" fontId="7" fillId="15" borderId="4" xfId="0" applyNumberFormat="1" applyFont="1" applyFill="1" applyBorder="1" applyAlignment="1">
      <alignment horizontal="center" vertical="center"/>
    </xf>
    <xf numFmtId="2" fontId="7" fillId="16" borderId="4" xfId="0" applyNumberFormat="1" applyFont="1" applyFill="1" applyBorder="1" applyAlignment="1">
      <alignment horizontal="center" vertical="center"/>
    </xf>
    <xf numFmtId="2" fontId="7" fillId="17" borderId="4" xfId="0" applyNumberFormat="1" applyFont="1" applyFill="1" applyBorder="1" applyAlignment="1">
      <alignment horizontal="center" vertical="center"/>
    </xf>
    <xf numFmtId="2" fontId="7" fillId="18" borderId="4" xfId="0" applyNumberFormat="1" applyFont="1" applyFill="1" applyBorder="1" applyAlignment="1">
      <alignment horizontal="center" vertical="center"/>
    </xf>
    <xf numFmtId="2" fontId="7" fillId="19" borderId="4" xfId="0" applyNumberFormat="1" applyFont="1" applyFill="1" applyBorder="1" applyAlignment="1">
      <alignment horizontal="center" vertical="center"/>
    </xf>
    <xf numFmtId="2" fontId="7" fillId="20" borderId="4" xfId="0" applyNumberFormat="1" applyFont="1" applyFill="1" applyBorder="1" applyAlignment="1">
      <alignment horizontal="center" vertical="center"/>
    </xf>
    <xf numFmtId="2" fontId="7" fillId="21" borderId="4" xfId="0" applyNumberFormat="1" applyFont="1" applyFill="1" applyBorder="1" applyAlignment="1">
      <alignment horizontal="center" vertical="center"/>
    </xf>
    <xf numFmtId="2" fontId="7" fillId="22" borderId="4" xfId="0" applyNumberFormat="1" applyFont="1" applyFill="1" applyBorder="1" applyAlignment="1">
      <alignment horizontal="center" vertical="center"/>
    </xf>
    <xf numFmtId="2" fontId="7" fillId="23" borderId="4" xfId="0" applyNumberFormat="1" applyFont="1" applyFill="1" applyBorder="1" applyAlignment="1">
      <alignment horizontal="center" vertical="center"/>
    </xf>
    <xf numFmtId="2" fontId="7" fillId="24" borderId="4" xfId="0" applyNumberFormat="1" applyFont="1" applyFill="1" applyBorder="1" applyAlignment="1">
      <alignment horizontal="center" vertical="center"/>
    </xf>
    <xf numFmtId="2" fontId="7" fillId="25" borderId="4" xfId="0" applyNumberFormat="1" applyFont="1" applyFill="1" applyBorder="1" applyAlignment="1">
      <alignment horizontal="center" vertical="center"/>
    </xf>
    <xf numFmtId="2" fontId="7" fillId="26" borderId="4" xfId="0" applyNumberFormat="1" applyFont="1" applyFill="1" applyBorder="1" applyAlignment="1">
      <alignment horizontal="center" vertical="center"/>
    </xf>
    <xf numFmtId="2" fontId="7" fillId="27" borderId="4" xfId="0" applyNumberFormat="1" applyFont="1" applyFill="1" applyBorder="1" applyAlignment="1">
      <alignment horizontal="center" vertical="center"/>
    </xf>
    <xf numFmtId="2" fontId="7" fillId="28" borderId="4" xfId="0" applyNumberFormat="1" applyFont="1" applyFill="1" applyBorder="1" applyAlignment="1">
      <alignment horizontal="center" vertical="center"/>
    </xf>
    <xf numFmtId="2" fontId="7" fillId="29" borderId="4" xfId="0" applyNumberFormat="1" applyFont="1" applyFill="1" applyBorder="1" applyAlignment="1">
      <alignment horizontal="center" vertical="center"/>
    </xf>
    <xf numFmtId="2" fontId="7" fillId="30" borderId="4" xfId="0" applyNumberFormat="1" applyFont="1" applyFill="1" applyBorder="1" applyAlignment="1">
      <alignment horizontal="center" vertical="center"/>
    </xf>
    <xf numFmtId="2" fontId="7" fillId="31" borderId="4" xfId="0" applyNumberFormat="1" applyFont="1" applyFill="1" applyBorder="1" applyAlignment="1">
      <alignment horizontal="center" vertical="center"/>
    </xf>
    <xf numFmtId="2" fontId="7" fillId="32" borderId="4" xfId="0" applyNumberFormat="1" applyFont="1" applyFill="1" applyBorder="1" applyAlignment="1">
      <alignment horizontal="center" vertical="center"/>
    </xf>
    <xf numFmtId="2" fontId="7" fillId="33" borderId="4" xfId="0" applyNumberFormat="1" applyFont="1" applyFill="1" applyBorder="1" applyAlignment="1">
      <alignment horizontal="center" vertical="center"/>
    </xf>
    <xf numFmtId="2" fontId="7" fillId="34" borderId="4" xfId="0" applyNumberFormat="1" applyFont="1" applyFill="1" applyBorder="1" applyAlignment="1">
      <alignment horizontal="center" vertical="center"/>
    </xf>
    <xf numFmtId="2" fontId="7" fillId="35" borderId="4" xfId="0" applyNumberFormat="1" applyFont="1" applyFill="1" applyBorder="1" applyAlignment="1">
      <alignment horizontal="center" vertical="center"/>
    </xf>
    <xf numFmtId="2" fontId="7" fillId="36" borderId="4" xfId="0" applyNumberFormat="1" applyFont="1" applyFill="1" applyBorder="1" applyAlignment="1">
      <alignment horizontal="center" vertical="center"/>
    </xf>
    <xf numFmtId="2" fontId="7" fillId="37" borderId="4" xfId="0" applyNumberFormat="1" applyFont="1" applyFill="1" applyBorder="1" applyAlignment="1">
      <alignment horizontal="center" vertical="center"/>
    </xf>
    <xf numFmtId="2" fontId="7" fillId="38" borderId="4" xfId="0" applyNumberFormat="1" applyFont="1" applyFill="1" applyBorder="1" applyAlignment="1">
      <alignment horizontal="center" vertical="center"/>
    </xf>
    <xf numFmtId="2" fontId="7" fillId="39" borderId="4" xfId="0" applyNumberFormat="1" applyFont="1" applyFill="1" applyBorder="1" applyAlignment="1">
      <alignment horizontal="center" vertical="center"/>
    </xf>
    <xf numFmtId="2" fontId="7" fillId="40" borderId="4" xfId="0" applyNumberFormat="1" applyFont="1" applyFill="1" applyBorder="1" applyAlignment="1">
      <alignment horizontal="center" vertical="center"/>
    </xf>
    <xf numFmtId="2" fontId="7" fillId="41" borderId="4" xfId="0" applyNumberFormat="1" applyFont="1" applyFill="1" applyBorder="1" applyAlignment="1">
      <alignment horizontal="center" vertical="center"/>
    </xf>
    <xf numFmtId="2" fontId="7" fillId="42" borderId="4" xfId="0" applyNumberFormat="1" applyFont="1" applyFill="1" applyBorder="1" applyAlignment="1">
      <alignment horizontal="center" vertical="center"/>
    </xf>
    <xf numFmtId="2" fontId="7" fillId="43" borderId="4" xfId="0" applyNumberFormat="1" applyFont="1" applyFill="1" applyBorder="1" applyAlignment="1">
      <alignment horizontal="center" vertical="center"/>
    </xf>
    <xf numFmtId="2" fontId="7" fillId="44" borderId="4" xfId="0" applyNumberFormat="1" applyFont="1" applyFill="1" applyBorder="1" applyAlignment="1">
      <alignment horizontal="center" vertical="center"/>
    </xf>
    <xf numFmtId="2" fontId="7" fillId="45" borderId="4" xfId="0" applyNumberFormat="1" applyFont="1" applyFill="1" applyBorder="1" applyAlignment="1">
      <alignment horizontal="center" vertical="center"/>
    </xf>
    <xf numFmtId="2" fontId="7" fillId="46" borderId="4" xfId="0" applyNumberFormat="1" applyFont="1" applyFill="1" applyBorder="1" applyAlignment="1">
      <alignment horizontal="center" vertical="center"/>
    </xf>
    <xf numFmtId="2" fontId="7" fillId="47" borderId="4" xfId="0" applyNumberFormat="1" applyFont="1" applyFill="1" applyBorder="1" applyAlignment="1">
      <alignment horizontal="center" vertical="center"/>
    </xf>
    <xf numFmtId="2" fontId="7" fillId="48" borderId="4" xfId="0" applyNumberFormat="1" applyFont="1" applyFill="1" applyBorder="1" applyAlignment="1">
      <alignment horizontal="center" vertical="center"/>
    </xf>
    <xf numFmtId="2" fontId="7" fillId="49" borderId="4" xfId="0" applyNumberFormat="1" applyFont="1" applyFill="1" applyBorder="1" applyAlignment="1">
      <alignment horizontal="center" vertical="center"/>
    </xf>
    <xf numFmtId="2" fontId="7" fillId="50" borderId="4" xfId="0" applyNumberFormat="1" applyFont="1" applyFill="1" applyBorder="1" applyAlignment="1">
      <alignment horizontal="center" vertical="center"/>
    </xf>
    <xf numFmtId="2" fontId="7" fillId="51" borderId="4" xfId="0" applyNumberFormat="1" applyFont="1" applyFill="1" applyBorder="1" applyAlignment="1">
      <alignment horizontal="center" vertical="center"/>
    </xf>
    <xf numFmtId="2" fontId="7" fillId="52" borderId="4" xfId="0" applyNumberFormat="1" applyFont="1" applyFill="1" applyBorder="1" applyAlignment="1">
      <alignment horizontal="center" vertical="center"/>
    </xf>
    <xf numFmtId="2" fontId="7" fillId="53" borderId="4" xfId="0" applyNumberFormat="1" applyFont="1" applyFill="1" applyBorder="1" applyAlignment="1">
      <alignment horizontal="center" vertical="center"/>
    </xf>
    <xf numFmtId="2" fontId="7" fillId="54" borderId="4" xfId="0" applyNumberFormat="1" applyFont="1" applyFill="1" applyBorder="1" applyAlignment="1">
      <alignment horizontal="center" vertical="center"/>
    </xf>
    <xf numFmtId="2" fontId="7" fillId="55" borderId="4" xfId="0" applyNumberFormat="1" applyFont="1" applyFill="1" applyBorder="1" applyAlignment="1">
      <alignment horizontal="center" vertical="center"/>
    </xf>
    <xf numFmtId="2" fontId="7" fillId="56" borderId="4" xfId="0" applyNumberFormat="1" applyFont="1" applyFill="1" applyBorder="1" applyAlignment="1">
      <alignment horizontal="center" vertical="center"/>
    </xf>
    <xf numFmtId="2" fontId="7" fillId="57" borderId="4" xfId="0" applyNumberFormat="1" applyFont="1" applyFill="1" applyBorder="1" applyAlignment="1">
      <alignment horizontal="center" vertical="center"/>
    </xf>
    <xf numFmtId="2" fontId="7" fillId="58" borderId="4" xfId="0" applyNumberFormat="1" applyFont="1" applyFill="1" applyBorder="1" applyAlignment="1">
      <alignment horizontal="center" vertical="center"/>
    </xf>
    <xf numFmtId="2" fontId="7" fillId="59" borderId="4" xfId="0" applyNumberFormat="1" applyFont="1" applyFill="1" applyBorder="1" applyAlignment="1">
      <alignment horizontal="center" vertical="center"/>
    </xf>
    <xf numFmtId="2" fontId="7" fillId="60" borderId="4" xfId="0" applyNumberFormat="1" applyFont="1" applyFill="1" applyBorder="1" applyAlignment="1">
      <alignment horizontal="center" vertical="center"/>
    </xf>
    <xf numFmtId="2" fontId="7" fillId="61" borderId="4" xfId="0" applyNumberFormat="1" applyFont="1" applyFill="1" applyBorder="1" applyAlignment="1">
      <alignment horizontal="center" vertical="center"/>
    </xf>
    <xf numFmtId="2" fontId="7" fillId="62" borderId="4" xfId="0" applyNumberFormat="1" applyFont="1" applyFill="1" applyBorder="1" applyAlignment="1">
      <alignment horizontal="center" vertical="center"/>
    </xf>
    <xf numFmtId="2" fontId="7" fillId="63" borderId="4" xfId="0" applyNumberFormat="1" applyFont="1" applyFill="1" applyBorder="1" applyAlignment="1">
      <alignment horizontal="center" vertical="center"/>
    </xf>
    <xf numFmtId="2" fontId="7" fillId="64" borderId="4" xfId="0" applyNumberFormat="1" applyFont="1" applyFill="1" applyBorder="1" applyAlignment="1">
      <alignment horizontal="center" vertical="center"/>
    </xf>
    <xf numFmtId="2" fontId="7" fillId="65" borderId="4" xfId="0" applyNumberFormat="1" applyFont="1" applyFill="1" applyBorder="1" applyAlignment="1">
      <alignment horizontal="center" vertical="center"/>
    </xf>
    <xf numFmtId="2" fontId="7" fillId="66" borderId="4" xfId="0" applyNumberFormat="1" applyFont="1" applyFill="1" applyBorder="1" applyAlignment="1">
      <alignment horizontal="center" vertical="center"/>
    </xf>
    <xf numFmtId="2" fontId="7" fillId="67" borderId="4" xfId="0" applyNumberFormat="1" applyFont="1" applyFill="1" applyBorder="1" applyAlignment="1">
      <alignment horizontal="center" vertical="center"/>
    </xf>
    <xf numFmtId="2" fontId="7" fillId="68" borderId="4" xfId="0" applyNumberFormat="1" applyFont="1" applyFill="1" applyBorder="1" applyAlignment="1">
      <alignment horizontal="center" vertical="center"/>
    </xf>
    <xf numFmtId="2" fontId="7" fillId="69" borderId="4" xfId="0" applyNumberFormat="1" applyFont="1" applyFill="1" applyBorder="1" applyAlignment="1">
      <alignment horizontal="center" vertical="center"/>
    </xf>
    <xf numFmtId="2" fontId="7" fillId="70" borderId="4" xfId="0" applyNumberFormat="1" applyFont="1" applyFill="1" applyBorder="1" applyAlignment="1">
      <alignment horizontal="center" vertical="center"/>
    </xf>
    <xf numFmtId="2" fontId="7" fillId="71" borderId="4" xfId="0" applyNumberFormat="1" applyFont="1" applyFill="1" applyBorder="1" applyAlignment="1">
      <alignment horizontal="center" vertical="center"/>
    </xf>
    <xf numFmtId="2" fontId="7" fillId="72" borderId="4" xfId="0" applyNumberFormat="1" applyFont="1" applyFill="1" applyBorder="1" applyAlignment="1">
      <alignment horizontal="center" vertical="center"/>
    </xf>
    <xf numFmtId="2" fontId="7" fillId="73" borderId="4" xfId="0" applyNumberFormat="1" applyFont="1" applyFill="1" applyBorder="1" applyAlignment="1">
      <alignment horizontal="center" vertical="center"/>
    </xf>
    <xf numFmtId="2" fontId="7" fillId="74" borderId="4" xfId="0" applyNumberFormat="1" applyFont="1" applyFill="1" applyBorder="1" applyAlignment="1">
      <alignment horizontal="center" vertical="center"/>
    </xf>
    <xf numFmtId="2" fontId="7" fillId="75" borderId="4" xfId="0" applyNumberFormat="1" applyFont="1" applyFill="1" applyBorder="1" applyAlignment="1">
      <alignment horizontal="center" vertical="center"/>
    </xf>
    <xf numFmtId="2" fontId="7" fillId="76" borderId="4" xfId="0" applyNumberFormat="1" applyFont="1" applyFill="1" applyBorder="1" applyAlignment="1">
      <alignment horizontal="center" vertical="center"/>
    </xf>
    <xf numFmtId="2" fontId="7" fillId="77" borderId="4" xfId="0" applyNumberFormat="1" applyFont="1" applyFill="1" applyBorder="1" applyAlignment="1">
      <alignment horizontal="center" vertical="center"/>
    </xf>
    <xf numFmtId="2" fontId="7" fillId="78" borderId="4" xfId="0" applyNumberFormat="1" applyFont="1" applyFill="1" applyBorder="1" applyAlignment="1">
      <alignment horizontal="center" vertical="center"/>
    </xf>
    <xf numFmtId="2" fontId="7" fillId="79" borderId="4" xfId="0" applyNumberFormat="1" applyFont="1" applyFill="1" applyBorder="1" applyAlignment="1">
      <alignment horizontal="center" vertical="center"/>
    </xf>
    <xf numFmtId="2" fontId="7" fillId="80" borderId="4" xfId="0" applyNumberFormat="1" applyFont="1" applyFill="1" applyBorder="1" applyAlignment="1">
      <alignment horizontal="center" vertical="center"/>
    </xf>
    <xf numFmtId="2" fontId="7" fillId="81" borderId="4" xfId="0" applyNumberFormat="1" applyFont="1" applyFill="1" applyBorder="1" applyAlignment="1">
      <alignment horizontal="center" vertical="center"/>
    </xf>
    <xf numFmtId="2" fontId="7" fillId="82" borderId="4" xfId="0" applyNumberFormat="1" applyFont="1" applyFill="1" applyBorder="1" applyAlignment="1">
      <alignment horizontal="center" vertical="center"/>
    </xf>
    <xf numFmtId="2" fontId="7" fillId="83" borderId="4" xfId="0" applyNumberFormat="1" applyFont="1" applyFill="1" applyBorder="1" applyAlignment="1">
      <alignment horizontal="center" vertical="center"/>
    </xf>
    <xf numFmtId="2" fontId="7" fillId="84" borderId="4" xfId="0" applyNumberFormat="1" applyFont="1" applyFill="1" applyBorder="1" applyAlignment="1">
      <alignment horizontal="center" vertical="center"/>
    </xf>
    <xf numFmtId="2" fontId="7" fillId="85" borderId="4" xfId="0" applyNumberFormat="1" applyFont="1" applyFill="1" applyBorder="1" applyAlignment="1">
      <alignment horizontal="center" vertical="center"/>
    </xf>
    <xf numFmtId="2" fontId="7" fillId="86" borderId="4" xfId="0" applyNumberFormat="1" applyFont="1" applyFill="1" applyBorder="1" applyAlignment="1">
      <alignment horizontal="center" vertical="center"/>
    </xf>
    <xf numFmtId="2" fontId="7" fillId="87" borderId="4" xfId="0" applyNumberFormat="1" applyFont="1" applyFill="1" applyBorder="1" applyAlignment="1">
      <alignment horizontal="center" vertical="center"/>
    </xf>
    <xf numFmtId="2" fontId="7" fillId="88" borderId="4" xfId="0" applyNumberFormat="1" applyFont="1" applyFill="1" applyBorder="1" applyAlignment="1">
      <alignment horizontal="center" vertical="center"/>
    </xf>
    <xf numFmtId="2" fontId="7" fillId="89" borderId="4" xfId="0" applyNumberFormat="1" applyFont="1" applyFill="1" applyBorder="1" applyAlignment="1">
      <alignment horizontal="center" vertical="center"/>
    </xf>
    <xf numFmtId="2" fontId="7" fillId="90" borderId="4" xfId="0" applyNumberFormat="1" applyFont="1" applyFill="1" applyBorder="1" applyAlignment="1">
      <alignment horizontal="center" vertical="center"/>
    </xf>
    <xf numFmtId="2" fontId="7" fillId="91" borderId="4" xfId="0" applyNumberFormat="1" applyFont="1" applyFill="1" applyBorder="1" applyAlignment="1">
      <alignment horizontal="center" vertical="center"/>
    </xf>
    <xf numFmtId="2" fontId="7" fillId="92" borderId="4" xfId="0" applyNumberFormat="1" applyFont="1" applyFill="1" applyBorder="1" applyAlignment="1">
      <alignment horizontal="center" vertical="center"/>
    </xf>
    <xf numFmtId="2" fontId="7" fillId="93" borderId="4" xfId="0" applyNumberFormat="1" applyFont="1" applyFill="1" applyBorder="1" applyAlignment="1">
      <alignment horizontal="center" vertical="center"/>
    </xf>
    <xf numFmtId="2" fontId="7" fillId="94" borderId="4" xfId="0" applyNumberFormat="1" applyFont="1" applyFill="1" applyBorder="1" applyAlignment="1">
      <alignment horizontal="center" vertical="center"/>
    </xf>
    <xf numFmtId="2" fontId="7" fillId="95" borderId="4" xfId="0" applyNumberFormat="1" applyFont="1" applyFill="1" applyBorder="1" applyAlignment="1">
      <alignment horizontal="center" vertical="center"/>
    </xf>
    <xf numFmtId="2" fontId="7" fillId="96" borderId="4" xfId="0" applyNumberFormat="1" applyFont="1" applyFill="1" applyBorder="1" applyAlignment="1">
      <alignment horizontal="center" vertical="center"/>
    </xf>
    <xf numFmtId="2" fontId="7" fillId="97" borderId="4" xfId="0" applyNumberFormat="1" applyFont="1" applyFill="1" applyBorder="1" applyAlignment="1">
      <alignment horizontal="center" vertical="center"/>
    </xf>
    <xf numFmtId="2" fontId="7" fillId="98" borderId="4" xfId="0" applyNumberFormat="1" applyFont="1" applyFill="1" applyBorder="1" applyAlignment="1">
      <alignment horizontal="center" vertical="center"/>
    </xf>
    <xf numFmtId="2" fontId="7" fillId="99" borderId="4" xfId="0" applyNumberFormat="1" applyFont="1" applyFill="1" applyBorder="1" applyAlignment="1">
      <alignment horizontal="center" vertical="center"/>
    </xf>
    <xf numFmtId="2" fontId="7" fillId="100" borderId="4" xfId="0" applyNumberFormat="1" applyFont="1" applyFill="1" applyBorder="1" applyAlignment="1">
      <alignment horizontal="center" vertical="center"/>
    </xf>
    <xf numFmtId="2" fontId="7" fillId="101" borderId="4" xfId="0" applyNumberFormat="1" applyFont="1" applyFill="1" applyBorder="1" applyAlignment="1">
      <alignment horizontal="center" vertical="center"/>
    </xf>
    <xf numFmtId="2" fontId="7" fillId="102" borderId="4" xfId="0" applyNumberFormat="1" applyFont="1" applyFill="1" applyBorder="1" applyAlignment="1">
      <alignment horizontal="center" vertical="center"/>
    </xf>
    <xf numFmtId="2" fontId="7" fillId="103" borderId="4" xfId="0" applyNumberFormat="1" applyFont="1" applyFill="1" applyBorder="1" applyAlignment="1">
      <alignment horizontal="center" vertical="center"/>
    </xf>
    <xf numFmtId="2" fontId="7" fillId="104" borderId="4" xfId="0" applyNumberFormat="1" applyFont="1" applyFill="1" applyBorder="1" applyAlignment="1">
      <alignment horizontal="center" vertical="center"/>
    </xf>
    <xf numFmtId="2" fontId="7" fillId="105" borderId="4" xfId="0" applyNumberFormat="1" applyFont="1" applyFill="1" applyBorder="1" applyAlignment="1">
      <alignment horizontal="center" vertical="center"/>
    </xf>
    <xf numFmtId="2" fontId="7" fillId="106" borderId="4" xfId="0" applyNumberFormat="1" applyFont="1" applyFill="1" applyBorder="1" applyAlignment="1">
      <alignment horizontal="center" vertical="center"/>
    </xf>
    <xf numFmtId="2" fontId="7" fillId="107" borderId="4" xfId="0" applyNumberFormat="1" applyFont="1" applyFill="1" applyBorder="1" applyAlignment="1">
      <alignment horizontal="center" vertical="center"/>
    </xf>
    <xf numFmtId="2" fontId="7" fillId="108" borderId="4" xfId="0" applyNumberFormat="1" applyFont="1" applyFill="1" applyBorder="1" applyAlignment="1">
      <alignment horizontal="center" vertical="center"/>
    </xf>
    <xf numFmtId="2" fontId="7" fillId="109" borderId="4" xfId="0" applyNumberFormat="1" applyFont="1" applyFill="1" applyBorder="1" applyAlignment="1">
      <alignment horizontal="center" vertical="center"/>
    </xf>
    <xf numFmtId="2" fontId="7" fillId="110" borderId="4" xfId="0" applyNumberFormat="1" applyFont="1" applyFill="1" applyBorder="1" applyAlignment="1">
      <alignment horizontal="center" vertical="center"/>
    </xf>
    <xf numFmtId="2" fontId="7" fillId="111" borderId="4" xfId="0" applyNumberFormat="1" applyFont="1" applyFill="1" applyBorder="1" applyAlignment="1">
      <alignment horizontal="center" vertical="center"/>
    </xf>
    <xf numFmtId="2" fontId="7" fillId="112" borderId="4" xfId="0" applyNumberFormat="1" applyFont="1" applyFill="1" applyBorder="1" applyAlignment="1">
      <alignment horizontal="center" vertical="center"/>
    </xf>
    <xf numFmtId="2" fontId="7" fillId="113" borderId="4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7" fillId="114" borderId="4" xfId="0" applyNumberFormat="1" applyFont="1" applyFill="1" applyBorder="1" applyAlignment="1">
      <alignment horizontal="center" vertical="center"/>
    </xf>
    <xf numFmtId="2" fontId="7" fillId="115" borderId="4" xfId="0" applyNumberFormat="1" applyFont="1" applyFill="1" applyBorder="1" applyAlignment="1">
      <alignment horizontal="center" vertical="center"/>
    </xf>
    <xf numFmtId="2" fontId="7" fillId="116" borderId="4" xfId="0" applyNumberFormat="1" applyFont="1" applyFill="1" applyBorder="1" applyAlignment="1">
      <alignment horizontal="center" vertical="center"/>
    </xf>
    <xf numFmtId="2" fontId="7" fillId="117" borderId="4" xfId="0" applyNumberFormat="1" applyFont="1" applyFill="1" applyBorder="1" applyAlignment="1">
      <alignment horizontal="center" vertical="center"/>
    </xf>
    <xf numFmtId="2" fontId="7" fillId="118" borderId="4" xfId="0" applyNumberFormat="1" applyFont="1" applyFill="1" applyBorder="1" applyAlignment="1">
      <alignment horizontal="center" vertical="center"/>
    </xf>
    <xf numFmtId="2" fontId="7" fillId="119" borderId="4" xfId="0" applyNumberFormat="1" applyFont="1" applyFill="1" applyBorder="1" applyAlignment="1">
      <alignment horizontal="center" vertical="center"/>
    </xf>
    <xf numFmtId="2" fontId="7" fillId="120" borderId="4" xfId="0" applyNumberFormat="1" applyFont="1" applyFill="1" applyBorder="1" applyAlignment="1">
      <alignment horizontal="center" vertical="center"/>
    </xf>
    <xf numFmtId="2" fontId="7" fillId="121" borderId="4" xfId="0" applyNumberFormat="1" applyFont="1" applyFill="1" applyBorder="1" applyAlignment="1">
      <alignment horizontal="center" vertical="center"/>
    </xf>
    <xf numFmtId="2" fontId="7" fillId="122" borderId="4" xfId="0" applyNumberFormat="1" applyFont="1" applyFill="1" applyBorder="1" applyAlignment="1">
      <alignment horizontal="center" vertical="center"/>
    </xf>
    <xf numFmtId="2" fontId="7" fillId="123" borderId="4" xfId="0" applyNumberFormat="1" applyFont="1" applyFill="1" applyBorder="1" applyAlignment="1">
      <alignment horizontal="center" vertical="center"/>
    </xf>
    <xf numFmtId="2" fontId="7" fillId="124" borderId="4" xfId="0" applyNumberFormat="1" applyFont="1" applyFill="1" applyBorder="1" applyAlignment="1">
      <alignment horizontal="center" vertical="center"/>
    </xf>
    <xf numFmtId="2" fontId="7" fillId="125" borderId="4" xfId="0" applyNumberFormat="1" applyFont="1" applyFill="1" applyBorder="1" applyAlignment="1">
      <alignment horizontal="center" vertical="center"/>
    </xf>
    <xf numFmtId="2" fontId="7" fillId="126" borderId="4" xfId="0" applyNumberFormat="1" applyFont="1" applyFill="1" applyBorder="1" applyAlignment="1">
      <alignment horizontal="center" vertical="center"/>
    </xf>
    <xf numFmtId="2" fontId="7" fillId="127" borderId="4" xfId="0" applyNumberFormat="1" applyFont="1" applyFill="1" applyBorder="1" applyAlignment="1">
      <alignment horizontal="center" vertical="center"/>
    </xf>
    <xf numFmtId="2" fontId="7" fillId="128" borderId="4" xfId="0" applyNumberFormat="1" applyFont="1" applyFill="1" applyBorder="1" applyAlignment="1">
      <alignment horizontal="center" vertical="center"/>
    </xf>
    <xf numFmtId="0" fontId="1" fillId="0" borderId="4" xfId="0" applyFont="1" applyBorder="1"/>
    <xf numFmtId="0" fontId="2" fillId="0" borderId="4" xfId="0" applyFont="1" applyBorder="1"/>
    <xf numFmtId="0" fontId="3" fillId="0" borderId="4" xfId="0" applyFont="1" applyBorder="1"/>
    <xf numFmtId="0" fontId="2" fillId="0" borderId="5" xfId="0" applyFont="1" applyBorder="1"/>
    <xf numFmtId="0" fontId="1" fillId="0" borderId="5" xfId="0" applyFont="1" applyBorder="1"/>
    <xf numFmtId="0" fontId="1" fillId="0" borderId="5" xfId="0" applyNumberFormat="1" applyFont="1" applyBorder="1"/>
    <xf numFmtId="0" fontId="3" fillId="0" borderId="5" xfId="0" applyFont="1" applyBorder="1"/>
    <xf numFmtId="0" fontId="5" fillId="0" borderId="5" xfId="0" applyFont="1" applyBorder="1"/>
  </cellXfs>
  <cellStyles count="1">
    <cellStyle name="Normale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</dxfs>
  <tableStyles count="0" defaultTableStyle="TableStyleMedium2" defaultPivotStyle="PivotStyleLight16"/>
  <colors>
    <mruColors>
      <color rgb="FFFF7C7B"/>
      <color rgb="FF8AF1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D4FD5-9868-A24C-B170-D7D645FCBCF5}" name="Tabella1" displayName="Tabella1" ref="A1:D49" totalsRowShown="0" headerRowDxfId="5" dataDxfId="4">
  <autoFilter ref="A1:D49" xr:uid="{8A4D4FD5-9868-A24C-B170-D7D645FCBCF5}"/>
  <tableColumns count="4">
    <tableColumn id="1" xr3:uid="{809E14AB-E7F0-254E-B7F1-8D393BA8D590}" name="Company Name" dataDxfId="3"/>
    <tableColumn id="2" xr3:uid="{61FB25F7-EB34-2D48-9763-5FE4F6E49DFC}" name="HQ Country" dataDxfId="2"/>
    <tableColumn id="3" xr3:uid="{672086DC-E90F-A54D-BC07-0EB945E40AC6}" name="Country Geopolitical Risk Index" dataDxfId="1">
      <calculatedColumnFormula>VLOOKUP(Tabella1[[#This Row],[HQ Country]],'Geopolitical Risk Index'!A$2:B$148,2,FALSE)</calculatedColumnFormula>
    </tableColumn>
    <tableColumn id="4" xr3:uid="{ACDE99E4-A575-9147-AAA9-972C84E6EE3E}" name="HQ Country Risk - Component" dataDxfId="0">
      <calculatedColumnFormula>Tabella1[[#This Row],[Country Geopolitical Risk Index]]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43B5-DE71-6C4D-9049-CAF32210F54F}">
  <dimension ref="A1:B148"/>
  <sheetViews>
    <sheetView topLeftCell="A13" workbookViewId="0">
      <selection activeCell="A29" sqref="A29"/>
    </sheetView>
  </sheetViews>
  <sheetFormatPr baseColWidth="10" defaultColWidth="11" defaultRowHeight="16" x14ac:dyDescent="0.2"/>
  <cols>
    <col min="1" max="1" width="23" bestFit="1" customWidth="1"/>
    <col min="2" max="2" width="38.5" bestFit="1" customWidth="1"/>
  </cols>
  <sheetData>
    <row r="1" spans="1:2" ht="20" thickTop="1" x14ac:dyDescent="0.25">
      <c r="A1" s="3" t="s">
        <v>0</v>
      </c>
      <c r="B1" s="4" t="s">
        <v>1</v>
      </c>
    </row>
    <row r="2" spans="1:2" ht="18" x14ac:dyDescent="0.25">
      <c r="A2" s="5" t="s">
        <v>2</v>
      </c>
      <c r="B2" s="6">
        <v>4.37</v>
      </c>
    </row>
    <row r="3" spans="1:2" ht="18" x14ac:dyDescent="0.25">
      <c r="A3" s="7" t="s">
        <v>3</v>
      </c>
      <c r="B3" s="8">
        <v>5.21</v>
      </c>
    </row>
    <row r="4" spans="1:2" ht="18" x14ac:dyDescent="0.25">
      <c r="A4" s="9" t="s">
        <v>4</v>
      </c>
      <c r="B4" s="10">
        <v>5.63</v>
      </c>
    </row>
    <row r="5" spans="1:2" ht="18" x14ac:dyDescent="0.25">
      <c r="A5" s="7" t="s">
        <v>5</v>
      </c>
      <c r="B5" s="11">
        <v>4.3600000000000003</v>
      </c>
    </row>
    <row r="6" spans="1:2" ht="18" x14ac:dyDescent="0.25">
      <c r="A6" s="9" t="s">
        <v>6</v>
      </c>
      <c r="B6" s="12">
        <v>4.79</v>
      </c>
    </row>
    <row r="7" spans="1:2" ht="18" x14ac:dyDescent="0.25">
      <c r="A7" s="7" t="s">
        <v>7</v>
      </c>
      <c r="B7" s="13">
        <v>3.22</v>
      </c>
    </row>
    <row r="8" spans="1:2" ht="18" x14ac:dyDescent="0.25">
      <c r="A8" s="9" t="s">
        <v>8</v>
      </c>
      <c r="B8" s="14">
        <v>3.41</v>
      </c>
    </row>
    <row r="9" spans="1:2" ht="18" x14ac:dyDescent="0.25">
      <c r="A9" s="7" t="s">
        <v>9</v>
      </c>
      <c r="B9" s="8">
        <v>5.21</v>
      </c>
    </row>
    <row r="10" spans="1:2" ht="18" x14ac:dyDescent="0.25">
      <c r="A10" s="9" t="s">
        <v>10</v>
      </c>
      <c r="B10" s="15">
        <v>4.26</v>
      </c>
    </row>
    <row r="11" spans="1:2" ht="18" x14ac:dyDescent="0.25">
      <c r="A11" s="7" t="s">
        <v>11</v>
      </c>
      <c r="B11" s="16">
        <v>6.29</v>
      </c>
    </row>
    <row r="12" spans="1:2" ht="18" x14ac:dyDescent="0.25">
      <c r="A12" s="9" t="s">
        <v>12</v>
      </c>
      <c r="B12" s="17">
        <v>5.45</v>
      </c>
    </row>
    <row r="13" spans="1:2" ht="18" x14ac:dyDescent="0.25">
      <c r="A13" s="7" t="s">
        <v>13</v>
      </c>
      <c r="B13" s="18">
        <v>3.33</v>
      </c>
    </row>
    <row r="14" spans="1:2" ht="18" x14ac:dyDescent="0.25">
      <c r="A14" s="9" t="s">
        <v>14</v>
      </c>
      <c r="B14" s="19">
        <v>6</v>
      </c>
    </row>
    <row r="15" spans="1:2" ht="18" x14ac:dyDescent="0.25">
      <c r="A15" s="7" t="s">
        <v>15</v>
      </c>
      <c r="B15" s="20">
        <v>5.0199999999999996</v>
      </c>
    </row>
    <row r="16" spans="1:2" ht="18" x14ac:dyDescent="0.25">
      <c r="A16" s="9" t="s">
        <v>16</v>
      </c>
      <c r="B16" s="21">
        <v>5.41</v>
      </c>
    </row>
    <row r="17" spans="1:2" ht="18" x14ac:dyDescent="0.25">
      <c r="A17" s="7" t="s">
        <v>17</v>
      </c>
      <c r="B17" s="22">
        <v>5.34</v>
      </c>
    </row>
    <row r="18" spans="1:2" ht="18" x14ac:dyDescent="0.25">
      <c r="A18" s="9" t="s">
        <v>18</v>
      </c>
      <c r="B18" s="23">
        <v>4.34</v>
      </c>
    </row>
    <row r="19" spans="1:2" ht="18" x14ac:dyDescent="0.25">
      <c r="A19" s="7" t="s">
        <v>19</v>
      </c>
      <c r="B19" s="24">
        <v>5.35</v>
      </c>
    </row>
    <row r="20" spans="1:2" ht="18" x14ac:dyDescent="0.25">
      <c r="A20" s="9" t="s">
        <v>20</v>
      </c>
      <c r="B20" s="25">
        <v>4.43</v>
      </c>
    </row>
    <row r="21" spans="1:2" ht="18" x14ac:dyDescent="0.25">
      <c r="A21" s="7" t="s">
        <v>21</v>
      </c>
      <c r="B21" s="26">
        <v>6.55</v>
      </c>
    </row>
    <row r="22" spans="1:2" ht="18" x14ac:dyDescent="0.25">
      <c r="A22" s="9" t="s">
        <v>22</v>
      </c>
      <c r="B22" s="27">
        <v>6.33</v>
      </c>
    </row>
    <row r="23" spans="1:2" ht="18" x14ac:dyDescent="0.25">
      <c r="A23" s="7" t="s">
        <v>23</v>
      </c>
      <c r="B23" s="10">
        <v>5.64</v>
      </c>
    </row>
    <row r="24" spans="1:2" ht="18" x14ac:dyDescent="0.25">
      <c r="A24" s="9" t="s">
        <v>24</v>
      </c>
      <c r="B24" s="28">
        <v>6.83</v>
      </c>
    </row>
    <row r="25" spans="1:2" ht="18" x14ac:dyDescent="0.25">
      <c r="A25" s="7" t="s">
        <v>25</v>
      </c>
      <c r="B25" s="29">
        <v>3.44</v>
      </c>
    </row>
    <row r="26" spans="1:2" ht="18" x14ac:dyDescent="0.25">
      <c r="A26" s="9" t="s">
        <v>26</v>
      </c>
      <c r="B26" s="30">
        <v>6.79</v>
      </c>
    </row>
    <row r="27" spans="1:2" ht="18" x14ac:dyDescent="0.25">
      <c r="A27" s="7" t="s">
        <v>27</v>
      </c>
      <c r="B27" s="28">
        <v>6.84</v>
      </c>
    </row>
    <row r="28" spans="1:2" ht="18" x14ac:dyDescent="0.25">
      <c r="A28" s="9" t="s">
        <v>28</v>
      </c>
      <c r="B28" s="11">
        <v>4.3600000000000003</v>
      </c>
    </row>
    <row r="29" spans="1:2" ht="18" x14ac:dyDescent="0.25">
      <c r="A29" s="7" t="s">
        <v>29</v>
      </c>
      <c r="B29" s="31">
        <v>4.26</v>
      </c>
    </row>
    <row r="30" spans="1:2" ht="18" x14ac:dyDescent="0.25">
      <c r="A30" s="9" t="s">
        <v>30</v>
      </c>
      <c r="B30" s="32">
        <v>5.72</v>
      </c>
    </row>
    <row r="31" spans="1:2" ht="18" x14ac:dyDescent="0.25">
      <c r="A31" s="7" t="s">
        <v>31</v>
      </c>
      <c r="B31" s="33">
        <v>5.65</v>
      </c>
    </row>
    <row r="32" spans="1:2" ht="18" x14ac:dyDescent="0.25">
      <c r="A32" s="9" t="s">
        <v>32</v>
      </c>
      <c r="B32" s="34">
        <v>4.2300000000000004</v>
      </c>
    </row>
    <row r="33" spans="1:2" ht="18" x14ac:dyDescent="0.25">
      <c r="A33" s="7" t="s">
        <v>33</v>
      </c>
      <c r="B33" s="35">
        <v>5.6</v>
      </c>
    </row>
    <row r="34" spans="1:2" ht="18" x14ac:dyDescent="0.25">
      <c r="A34" s="9" t="s">
        <v>34</v>
      </c>
      <c r="B34" s="36">
        <v>4.28</v>
      </c>
    </row>
    <row r="35" spans="1:2" ht="18" x14ac:dyDescent="0.25">
      <c r="A35" s="7" t="s">
        <v>35</v>
      </c>
      <c r="B35" s="37">
        <v>4.67</v>
      </c>
    </row>
    <row r="36" spans="1:2" ht="18" x14ac:dyDescent="0.25">
      <c r="A36" s="9" t="s">
        <v>36</v>
      </c>
      <c r="B36" s="38">
        <v>3.75</v>
      </c>
    </row>
    <row r="37" spans="1:2" ht="18" x14ac:dyDescent="0.25">
      <c r="A37" s="7" t="s">
        <v>37</v>
      </c>
      <c r="B37" s="39">
        <v>3.2</v>
      </c>
    </row>
    <row r="38" spans="1:2" ht="18" x14ac:dyDescent="0.25">
      <c r="A38" s="9" t="s">
        <v>38</v>
      </c>
      <c r="B38" s="40">
        <v>5.98</v>
      </c>
    </row>
    <row r="39" spans="1:2" ht="18" x14ac:dyDescent="0.25">
      <c r="A39" s="7" t="s">
        <v>39</v>
      </c>
      <c r="B39" s="41">
        <v>4.7</v>
      </c>
    </row>
    <row r="40" spans="1:2" ht="18" x14ac:dyDescent="0.25">
      <c r="A40" s="9" t="s">
        <v>40</v>
      </c>
      <c r="B40" s="42">
        <v>5.71</v>
      </c>
    </row>
    <row r="41" spans="1:2" ht="18" x14ac:dyDescent="0.25">
      <c r="A41" s="7" t="s">
        <v>41</v>
      </c>
      <c r="B41" s="43">
        <v>5.6</v>
      </c>
    </row>
    <row r="42" spans="1:2" ht="18" x14ac:dyDescent="0.25">
      <c r="A42" s="9" t="s">
        <v>42</v>
      </c>
      <c r="B42" s="44">
        <v>4.79</v>
      </c>
    </row>
    <row r="43" spans="1:2" ht="18" x14ac:dyDescent="0.25">
      <c r="A43" s="7" t="s">
        <v>43</v>
      </c>
      <c r="B43" s="45">
        <v>3.57</v>
      </c>
    </row>
    <row r="44" spans="1:2" ht="18" x14ac:dyDescent="0.25">
      <c r="A44" s="9" t="s">
        <v>44</v>
      </c>
      <c r="B44" s="46">
        <v>4.5</v>
      </c>
    </row>
    <row r="45" spans="1:2" ht="18" x14ac:dyDescent="0.25">
      <c r="A45" s="7" t="s">
        <v>45</v>
      </c>
      <c r="B45" s="47">
        <v>6.93</v>
      </c>
    </row>
    <row r="46" spans="1:2" ht="18" x14ac:dyDescent="0.25">
      <c r="A46" s="9" t="s">
        <v>46</v>
      </c>
      <c r="B46" s="48">
        <v>3.35</v>
      </c>
    </row>
    <row r="47" spans="1:2" ht="18" x14ac:dyDescent="0.25">
      <c r="A47" s="7" t="s">
        <v>47</v>
      </c>
      <c r="B47" s="49">
        <v>3.65</v>
      </c>
    </row>
    <row r="48" spans="1:2" ht="18" x14ac:dyDescent="0.25">
      <c r="A48" s="9" t="s">
        <v>48</v>
      </c>
      <c r="B48" s="50">
        <v>5.78</v>
      </c>
    </row>
    <row r="49" spans="1:2" ht="18" x14ac:dyDescent="0.25">
      <c r="A49" s="7" t="s">
        <v>49</v>
      </c>
      <c r="B49" s="51">
        <v>5.38</v>
      </c>
    </row>
    <row r="50" spans="1:2" ht="18" x14ac:dyDescent="0.25">
      <c r="A50" s="9" t="s">
        <v>50</v>
      </c>
      <c r="B50" s="52">
        <v>4.93</v>
      </c>
    </row>
    <row r="51" spans="1:2" ht="18" x14ac:dyDescent="0.25">
      <c r="A51" s="7" t="s">
        <v>51</v>
      </c>
      <c r="B51" s="14">
        <v>3.42</v>
      </c>
    </row>
    <row r="52" spans="1:2" ht="18" x14ac:dyDescent="0.25">
      <c r="A52" s="9" t="s">
        <v>52</v>
      </c>
      <c r="B52" s="53">
        <v>4.63</v>
      </c>
    </row>
    <row r="53" spans="1:2" ht="18" x14ac:dyDescent="0.25">
      <c r="A53" s="7" t="s">
        <v>53</v>
      </c>
      <c r="B53" s="23">
        <v>4.34</v>
      </c>
    </row>
    <row r="54" spans="1:2" ht="18" x14ac:dyDescent="0.25">
      <c r="A54" s="9" t="s">
        <v>54</v>
      </c>
      <c r="B54" s="17">
        <v>5.45</v>
      </c>
    </row>
    <row r="55" spans="1:2" ht="18" x14ac:dyDescent="0.25">
      <c r="A55" s="7" t="s">
        <v>55</v>
      </c>
      <c r="B55" s="54">
        <v>6.36</v>
      </c>
    </row>
    <row r="56" spans="1:2" ht="18" x14ac:dyDescent="0.25">
      <c r="A56" s="9" t="s">
        <v>56</v>
      </c>
      <c r="B56" s="55">
        <v>5.94</v>
      </c>
    </row>
    <row r="57" spans="1:2" ht="18" x14ac:dyDescent="0.25">
      <c r="A57" s="7" t="s">
        <v>57</v>
      </c>
      <c r="B57" s="56">
        <v>4.92</v>
      </c>
    </row>
    <row r="58" spans="1:2" ht="18" x14ac:dyDescent="0.25">
      <c r="A58" s="9" t="s">
        <v>58</v>
      </c>
      <c r="B58" s="57">
        <v>6.53</v>
      </c>
    </row>
    <row r="59" spans="1:2" ht="18" x14ac:dyDescent="0.25">
      <c r="A59" s="7" t="s">
        <v>59</v>
      </c>
      <c r="B59" s="58">
        <v>5.77</v>
      </c>
    </row>
    <row r="60" spans="1:2" ht="18" x14ac:dyDescent="0.25">
      <c r="A60" s="9" t="s">
        <v>60</v>
      </c>
      <c r="B60" s="59">
        <v>3.63</v>
      </c>
    </row>
    <row r="61" spans="1:2" ht="18" x14ac:dyDescent="0.25">
      <c r="A61" s="7" t="s">
        <v>61</v>
      </c>
      <c r="B61" s="60">
        <v>3.38</v>
      </c>
    </row>
    <row r="62" spans="1:2" ht="18" x14ac:dyDescent="0.25">
      <c r="A62" s="9" t="s">
        <v>62</v>
      </c>
      <c r="B62" s="61">
        <v>5.07</v>
      </c>
    </row>
    <row r="63" spans="1:2" ht="18" x14ac:dyDescent="0.25">
      <c r="A63" s="7" t="s">
        <v>63</v>
      </c>
      <c r="B63" s="52">
        <v>4.92</v>
      </c>
    </row>
    <row r="64" spans="1:2" ht="18" x14ac:dyDescent="0.25">
      <c r="A64" s="9" t="s">
        <v>64</v>
      </c>
      <c r="B64" s="62">
        <v>5.88</v>
      </c>
    </row>
    <row r="65" spans="1:2" ht="18" x14ac:dyDescent="0.25">
      <c r="A65" s="7" t="s">
        <v>65</v>
      </c>
      <c r="B65" s="63">
        <v>6.05</v>
      </c>
    </row>
    <row r="66" spans="1:2" ht="18" x14ac:dyDescent="0.25">
      <c r="A66" s="9" t="s">
        <v>66</v>
      </c>
      <c r="B66" s="64">
        <v>3.25</v>
      </c>
    </row>
    <row r="67" spans="1:2" ht="18" x14ac:dyDescent="0.25">
      <c r="A67" s="7" t="s">
        <v>67</v>
      </c>
      <c r="B67" s="65">
        <v>4.6100000000000003</v>
      </c>
    </row>
    <row r="68" spans="1:2" ht="18" x14ac:dyDescent="0.25">
      <c r="A68" s="9" t="s">
        <v>68</v>
      </c>
      <c r="B68" s="66">
        <v>3.84</v>
      </c>
    </row>
    <row r="69" spans="1:2" ht="18" x14ac:dyDescent="0.25">
      <c r="A69" s="7" t="s">
        <v>69</v>
      </c>
      <c r="B69" s="67">
        <v>4.75</v>
      </c>
    </row>
    <row r="70" spans="1:2" ht="18" x14ac:dyDescent="0.25">
      <c r="A70" s="9" t="s">
        <v>70</v>
      </c>
      <c r="B70" s="60">
        <v>3.38</v>
      </c>
    </row>
    <row r="71" spans="1:2" ht="18" x14ac:dyDescent="0.25">
      <c r="A71" s="7" t="s">
        <v>71</v>
      </c>
      <c r="B71" s="68">
        <v>5.13</v>
      </c>
    </row>
    <row r="72" spans="1:2" ht="18" x14ac:dyDescent="0.25">
      <c r="A72" s="9" t="s">
        <v>72</v>
      </c>
      <c r="B72" s="69">
        <v>4.54</v>
      </c>
    </row>
    <row r="73" spans="1:2" ht="18" x14ac:dyDescent="0.25">
      <c r="A73" s="7" t="s">
        <v>73</v>
      </c>
      <c r="B73" s="70">
        <v>6.13</v>
      </c>
    </row>
    <row r="74" spans="1:2" ht="18" x14ac:dyDescent="0.25">
      <c r="A74" s="9" t="s">
        <v>74</v>
      </c>
      <c r="B74" s="71">
        <v>4.3</v>
      </c>
    </row>
    <row r="75" spans="1:2" ht="18" x14ac:dyDescent="0.25">
      <c r="A75" s="7" t="s">
        <v>75</v>
      </c>
      <c r="B75" s="72">
        <v>5.37</v>
      </c>
    </row>
    <row r="76" spans="1:2" ht="18" x14ac:dyDescent="0.25">
      <c r="A76" s="9" t="s">
        <v>76</v>
      </c>
      <c r="B76" s="73">
        <v>5.14</v>
      </c>
    </row>
    <row r="77" spans="1:2" ht="18" x14ac:dyDescent="0.25">
      <c r="A77" s="7" t="s">
        <v>77</v>
      </c>
      <c r="B77" s="74">
        <v>3.97</v>
      </c>
    </row>
    <row r="78" spans="1:2" ht="18" x14ac:dyDescent="0.25">
      <c r="A78" s="9" t="s">
        <v>78</v>
      </c>
      <c r="B78" s="75">
        <v>6.12</v>
      </c>
    </row>
    <row r="79" spans="1:2" ht="18" x14ac:dyDescent="0.25">
      <c r="A79" s="7" t="s">
        <v>79</v>
      </c>
      <c r="B79" s="76">
        <v>5.49</v>
      </c>
    </row>
    <row r="80" spans="1:2" ht="18" x14ac:dyDescent="0.25">
      <c r="A80" s="9" t="s">
        <v>80</v>
      </c>
      <c r="B80" s="77">
        <v>5.97</v>
      </c>
    </row>
    <row r="81" spans="1:2" ht="18" x14ac:dyDescent="0.25">
      <c r="A81" s="7" t="s">
        <v>81</v>
      </c>
      <c r="B81" s="78">
        <v>5.68</v>
      </c>
    </row>
    <row r="82" spans="1:2" ht="18" x14ac:dyDescent="0.25">
      <c r="A82" s="9" t="s">
        <v>82</v>
      </c>
      <c r="B82" s="79">
        <v>3.93</v>
      </c>
    </row>
    <row r="83" spans="1:2" ht="18" x14ac:dyDescent="0.25">
      <c r="A83" s="7" t="s">
        <v>83</v>
      </c>
      <c r="B83" s="80">
        <v>5.82</v>
      </c>
    </row>
    <row r="84" spans="1:2" ht="18" x14ac:dyDescent="0.25">
      <c r="A84" s="9" t="s">
        <v>84</v>
      </c>
      <c r="B84" s="81">
        <v>5.58</v>
      </c>
    </row>
    <row r="85" spans="1:2" ht="18" x14ac:dyDescent="0.25">
      <c r="A85" s="7" t="s">
        <v>85</v>
      </c>
      <c r="B85" s="82">
        <v>4.03</v>
      </c>
    </row>
    <row r="86" spans="1:2" ht="18" x14ac:dyDescent="0.25">
      <c r="A86" s="9" t="s">
        <v>86</v>
      </c>
      <c r="B86" s="83">
        <v>7.1</v>
      </c>
    </row>
    <row r="87" spans="1:2" ht="18" x14ac:dyDescent="0.25">
      <c r="A87" s="7" t="s">
        <v>87</v>
      </c>
      <c r="B87" s="84">
        <v>6.28</v>
      </c>
    </row>
    <row r="88" spans="1:2" ht="18" x14ac:dyDescent="0.25">
      <c r="A88" s="9" t="s">
        <v>88</v>
      </c>
      <c r="B88" s="85">
        <v>3.47</v>
      </c>
    </row>
    <row r="89" spans="1:2" ht="18" x14ac:dyDescent="0.25">
      <c r="A89" s="7" t="s">
        <v>89</v>
      </c>
      <c r="B89" s="86">
        <v>5.42</v>
      </c>
    </row>
    <row r="90" spans="1:2" ht="18" x14ac:dyDescent="0.25">
      <c r="A90" s="9" t="s">
        <v>90</v>
      </c>
      <c r="B90" s="73">
        <v>5.14</v>
      </c>
    </row>
    <row r="91" spans="1:2" ht="18" x14ac:dyDescent="0.25">
      <c r="A91" s="7" t="s">
        <v>91</v>
      </c>
      <c r="B91" s="87">
        <v>4.6500000000000004</v>
      </c>
    </row>
    <row r="92" spans="1:2" ht="18" x14ac:dyDescent="0.25">
      <c r="A92" s="9" t="s">
        <v>92</v>
      </c>
      <c r="B92" s="88">
        <v>5.0999999999999996</v>
      </c>
    </row>
    <row r="93" spans="1:2" ht="18" x14ac:dyDescent="0.25">
      <c r="A93" s="7" t="s">
        <v>93</v>
      </c>
      <c r="B93" s="16">
        <v>6.3</v>
      </c>
    </row>
    <row r="94" spans="1:2" ht="18" x14ac:dyDescent="0.25">
      <c r="A94" s="9" t="s">
        <v>94</v>
      </c>
      <c r="B94" s="89">
        <v>4.6399999999999997</v>
      </c>
    </row>
    <row r="95" spans="1:2" ht="18" x14ac:dyDescent="0.25">
      <c r="A95" s="7" t="s">
        <v>95</v>
      </c>
      <c r="B95" s="50">
        <v>5.78</v>
      </c>
    </row>
    <row r="96" spans="1:2" ht="18" x14ac:dyDescent="0.25">
      <c r="A96" s="9" t="s">
        <v>96</v>
      </c>
      <c r="B96" s="90">
        <v>3.59</v>
      </c>
    </row>
    <row r="97" spans="1:2" ht="18" x14ac:dyDescent="0.25">
      <c r="A97" s="7" t="s">
        <v>97</v>
      </c>
      <c r="B97" s="91">
        <v>3.32</v>
      </c>
    </row>
    <row r="98" spans="1:2" ht="18" x14ac:dyDescent="0.25">
      <c r="A98" s="9" t="s">
        <v>98</v>
      </c>
      <c r="B98" s="92">
        <v>5.8</v>
      </c>
    </row>
    <row r="99" spans="1:2" ht="18" x14ac:dyDescent="0.25">
      <c r="A99" s="7" t="s">
        <v>99</v>
      </c>
      <c r="B99" s="93">
        <v>7.07</v>
      </c>
    </row>
    <row r="100" spans="1:2" ht="18" x14ac:dyDescent="0.25">
      <c r="A100" s="9" t="s">
        <v>100</v>
      </c>
      <c r="B100" s="94">
        <v>6.5</v>
      </c>
    </row>
    <row r="101" spans="1:2" ht="18" x14ac:dyDescent="0.25">
      <c r="A101" s="7" t="s">
        <v>101</v>
      </c>
      <c r="B101" s="95">
        <v>4.16</v>
      </c>
    </row>
    <row r="102" spans="1:2" ht="18" x14ac:dyDescent="0.25">
      <c r="A102" s="9" t="s">
        <v>102</v>
      </c>
      <c r="B102" s="60">
        <v>3.38</v>
      </c>
    </row>
    <row r="103" spans="1:2" ht="18" x14ac:dyDescent="0.25">
      <c r="A103" s="7" t="s">
        <v>103</v>
      </c>
      <c r="B103" s="96">
        <v>4.0199999999999996</v>
      </c>
    </row>
    <row r="104" spans="1:2" ht="18" x14ac:dyDescent="0.25">
      <c r="A104" s="9" t="s">
        <v>104</v>
      </c>
      <c r="B104" s="97">
        <v>6.65</v>
      </c>
    </row>
    <row r="105" spans="1:2" ht="18" x14ac:dyDescent="0.25">
      <c r="A105" s="7" t="s">
        <v>105</v>
      </c>
      <c r="B105" s="98">
        <v>4.5599999999999996</v>
      </c>
    </row>
    <row r="106" spans="1:2" ht="18" x14ac:dyDescent="0.25">
      <c r="A106" s="9" t="s">
        <v>106</v>
      </c>
      <c r="B106" s="22">
        <v>5.34</v>
      </c>
    </row>
    <row r="107" spans="1:2" ht="18" x14ac:dyDescent="0.25">
      <c r="A107" s="7" t="s">
        <v>107</v>
      </c>
      <c r="B107" s="99">
        <v>4.72</v>
      </c>
    </row>
    <row r="108" spans="1:2" ht="18" x14ac:dyDescent="0.25">
      <c r="A108" s="9" t="s">
        <v>108</v>
      </c>
      <c r="B108" s="100">
        <v>5.28</v>
      </c>
    </row>
    <row r="109" spans="1:2" ht="18" x14ac:dyDescent="0.25">
      <c r="A109" s="7" t="s">
        <v>109</v>
      </c>
      <c r="B109" s="92">
        <v>5.8</v>
      </c>
    </row>
    <row r="110" spans="1:2" ht="18" x14ac:dyDescent="0.25">
      <c r="A110" s="9" t="s">
        <v>110</v>
      </c>
      <c r="B110" s="101">
        <v>4.1500000000000004</v>
      </c>
    </row>
    <row r="111" spans="1:2" ht="18" x14ac:dyDescent="0.25">
      <c r="A111" s="7" t="s">
        <v>111</v>
      </c>
      <c r="B111" s="102">
        <v>3.43</v>
      </c>
    </row>
    <row r="112" spans="1:2" ht="18" x14ac:dyDescent="0.25">
      <c r="A112" s="9" t="s">
        <v>112</v>
      </c>
      <c r="B112" s="39">
        <v>3.2</v>
      </c>
    </row>
    <row r="113" spans="1:2" ht="18" x14ac:dyDescent="0.25">
      <c r="A113" s="7" t="s">
        <v>113</v>
      </c>
      <c r="B113" s="103">
        <v>4.05</v>
      </c>
    </row>
    <row r="114" spans="1:2" ht="18" x14ac:dyDescent="0.25">
      <c r="A114" s="9" t="s">
        <v>114</v>
      </c>
      <c r="B114" s="104">
        <v>5.96</v>
      </c>
    </row>
    <row r="115" spans="1:2" ht="18" x14ac:dyDescent="0.25">
      <c r="A115" s="7" t="s">
        <v>115</v>
      </c>
      <c r="B115" s="105">
        <v>5.47</v>
      </c>
    </row>
    <row r="116" spans="1:2" ht="18" x14ac:dyDescent="0.25">
      <c r="A116" s="9" t="s">
        <v>116</v>
      </c>
      <c r="B116" s="25">
        <v>4.42</v>
      </c>
    </row>
    <row r="117" spans="1:2" ht="18" x14ac:dyDescent="0.25">
      <c r="A117" s="7" t="s">
        <v>117</v>
      </c>
      <c r="B117" s="106">
        <v>5.4</v>
      </c>
    </row>
    <row r="118" spans="1:2" ht="18" x14ac:dyDescent="0.25">
      <c r="A118" s="9" t="s">
        <v>118</v>
      </c>
      <c r="B118" s="107">
        <v>5.04</v>
      </c>
    </row>
    <row r="119" spans="1:2" ht="18" x14ac:dyDescent="0.25">
      <c r="A119" s="7" t="s">
        <v>119</v>
      </c>
      <c r="B119" s="108">
        <v>5.64</v>
      </c>
    </row>
    <row r="120" spans="1:2" ht="18" x14ac:dyDescent="0.25">
      <c r="A120" s="9" t="s">
        <v>120</v>
      </c>
      <c r="B120" s="109">
        <v>3.04</v>
      </c>
    </row>
    <row r="121" spans="1:2" ht="18" x14ac:dyDescent="0.25">
      <c r="A121" s="7" t="s">
        <v>121</v>
      </c>
      <c r="B121" s="110">
        <v>3.79</v>
      </c>
    </row>
    <row r="122" spans="1:2" ht="18" x14ac:dyDescent="0.25">
      <c r="A122" s="9" t="s">
        <v>122</v>
      </c>
      <c r="B122" s="111">
        <v>3.48</v>
      </c>
    </row>
    <row r="123" spans="1:2" ht="18" x14ac:dyDescent="0.25">
      <c r="A123" s="7" t="s">
        <v>123</v>
      </c>
      <c r="B123" s="112">
        <v>5.22</v>
      </c>
    </row>
    <row r="124" spans="1:2" ht="18" x14ac:dyDescent="0.25">
      <c r="A124" s="9" t="s">
        <v>124</v>
      </c>
      <c r="B124" s="113">
        <v>3.57</v>
      </c>
    </row>
    <row r="125" spans="1:2" ht="18" x14ac:dyDescent="0.25">
      <c r="A125" s="7" t="s">
        <v>125</v>
      </c>
      <c r="B125" s="114">
        <v>3.7</v>
      </c>
    </row>
    <row r="126" spans="1:2" ht="18" x14ac:dyDescent="0.25">
      <c r="A126" s="9" t="s">
        <v>126</v>
      </c>
      <c r="B126" s="115">
        <v>5.1100000000000003</v>
      </c>
    </row>
    <row r="127" spans="1:2" ht="18" x14ac:dyDescent="0.25">
      <c r="A127" s="7" t="s">
        <v>127</v>
      </c>
      <c r="B127" s="83">
        <v>7.1</v>
      </c>
    </row>
    <row r="128" spans="1:2" ht="18" x14ac:dyDescent="0.25">
      <c r="A128" s="9" t="s">
        <v>128</v>
      </c>
      <c r="B128" s="116">
        <v>3.52</v>
      </c>
    </row>
    <row r="129" spans="1:2" ht="18" x14ac:dyDescent="0.25">
      <c r="A129" s="7" t="s">
        <v>129</v>
      </c>
      <c r="B129" s="117">
        <v>2.78</v>
      </c>
    </row>
    <row r="130" spans="1:2" x14ac:dyDescent="0.2">
      <c r="A130" s="118" t="s">
        <v>130</v>
      </c>
      <c r="B130" s="119">
        <v>7.33</v>
      </c>
    </row>
    <row r="131" spans="1:2" ht="18" x14ac:dyDescent="0.25">
      <c r="A131" s="7" t="s">
        <v>131</v>
      </c>
      <c r="B131" s="120">
        <v>5.69</v>
      </c>
    </row>
    <row r="132" spans="1:2" ht="18" x14ac:dyDescent="0.25">
      <c r="A132" s="9" t="s">
        <v>132</v>
      </c>
      <c r="B132" s="8">
        <v>5.21</v>
      </c>
    </row>
    <row r="133" spans="1:2" ht="18" x14ac:dyDescent="0.25">
      <c r="A133" s="7" t="s">
        <v>133</v>
      </c>
      <c r="B133" s="121">
        <v>5.15</v>
      </c>
    </row>
    <row r="134" spans="1:2" ht="18" x14ac:dyDescent="0.25">
      <c r="A134" s="9" t="s">
        <v>134</v>
      </c>
      <c r="B134" s="122">
        <v>5.87</v>
      </c>
    </row>
    <row r="135" spans="1:2" ht="18" x14ac:dyDescent="0.25">
      <c r="A135" s="7" t="s">
        <v>135</v>
      </c>
      <c r="B135" s="123">
        <v>4.38</v>
      </c>
    </row>
    <row r="136" spans="1:2" ht="18" x14ac:dyDescent="0.25">
      <c r="A136" s="9" t="s">
        <v>136</v>
      </c>
      <c r="B136" s="124">
        <v>5.13</v>
      </c>
    </row>
    <row r="137" spans="1:2" ht="18" x14ac:dyDescent="0.25">
      <c r="A137" s="7" t="s">
        <v>137</v>
      </c>
      <c r="B137" s="125">
        <v>5.26</v>
      </c>
    </row>
    <row r="138" spans="1:2" ht="18" x14ac:dyDescent="0.25">
      <c r="A138" s="9" t="s">
        <v>138</v>
      </c>
      <c r="B138" s="126">
        <v>6.29</v>
      </c>
    </row>
    <row r="139" spans="1:2" ht="18" x14ac:dyDescent="0.25">
      <c r="A139" s="7" t="s">
        <v>139</v>
      </c>
      <c r="B139" s="127">
        <v>6.35</v>
      </c>
    </row>
    <row r="140" spans="1:2" ht="18" x14ac:dyDescent="0.25">
      <c r="A140" s="9" t="s">
        <v>140</v>
      </c>
      <c r="B140" s="128">
        <v>3.72</v>
      </c>
    </row>
    <row r="141" spans="1:2" ht="18" x14ac:dyDescent="0.25">
      <c r="A141" s="7" t="s">
        <v>141</v>
      </c>
      <c r="B141" s="91">
        <v>3.32</v>
      </c>
    </row>
    <row r="142" spans="1:2" ht="18" x14ac:dyDescent="0.25">
      <c r="A142" s="9" t="s">
        <v>142</v>
      </c>
      <c r="B142" s="129">
        <v>4.1900000000000004</v>
      </c>
    </row>
    <row r="143" spans="1:2" ht="18" x14ac:dyDescent="0.25">
      <c r="A143" s="7" t="s">
        <v>143</v>
      </c>
      <c r="B143" s="130">
        <v>3.91</v>
      </c>
    </row>
    <row r="144" spans="1:2" ht="18" x14ac:dyDescent="0.25">
      <c r="A144" s="9" t="s">
        <v>144</v>
      </c>
      <c r="B144" s="58">
        <v>5.77</v>
      </c>
    </row>
    <row r="145" spans="1:2" ht="18" x14ac:dyDescent="0.25">
      <c r="A145" s="7" t="s">
        <v>145</v>
      </c>
      <c r="B145" s="131">
        <v>4.32</v>
      </c>
    </row>
    <row r="146" spans="1:2" ht="18" x14ac:dyDescent="0.25">
      <c r="A146" s="9" t="s">
        <v>146</v>
      </c>
      <c r="B146" s="16">
        <v>6.3</v>
      </c>
    </row>
    <row r="147" spans="1:2" ht="18" x14ac:dyDescent="0.25">
      <c r="A147" s="7" t="s">
        <v>147</v>
      </c>
      <c r="B147" s="132">
        <v>4.95</v>
      </c>
    </row>
    <row r="148" spans="1:2" ht="18" x14ac:dyDescent="0.25">
      <c r="A148" s="9" t="s">
        <v>148</v>
      </c>
      <c r="B148" s="133">
        <v>6.14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C92E-05CB-2945-90FF-E8780C26B94E}">
  <dimension ref="A1:D49"/>
  <sheetViews>
    <sheetView tabSelected="1" workbookViewId="0">
      <selection activeCell="C22" sqref="C22"/>
    </sheetView>
  </sheetViews>
  <sheetFormatPr baseColWidth="10" defaultColWidth="10.83203125" defaultRowHeight="19" x14ac:dyDescent="0.25"/>
  <cols>
    <col min="1" max="1" width="19" style="1" bestFit="1" customWidth="1"/>
    <col min="2" max="2" width="14.33203125" style="1" customWidth="1"/>
    <col min="3" max="3" width="32.33203125" style="1" customWidth="1"/>
    <col min="4" max="4" width="31.83203125" style="1" customWidth="1"/>
    <col min="5" max="16384" width="10.83203125" style="1"/>
  </cols>
  <sheetData>
    <row r="1" spans="1:4" x14ac:dyDescent="0.25">
      <c r="A1" s="1" t="s">
        <v>149</v>
      </c>
      <c r="B1" s="1" t="s">
        <v>150</v>
      </c>
      <c r="C1" s="1" t="s">
        <v>151</v>
      </c>
      <c r="D1" s="2" t="s">
        <v>152</v>
      </c>
    </row>
    <row r="2" spans="1:4" x14ac:dyDescent="0.25">
      <c r="A2" s="135" t="s">
        <v>153</v>
      </c>
      <c r="B2" s="134" t="s">
        <v>142</v>
      </c>
      <c r="C2" s="134">
        <f>VLOOKUP(Tabella1[[#This Row],[HQ Country]],'Geopolitical Risk Index'!A$2:B$148,2,FALSE)</f>
        <v>4.1900000000000004</v>
      </c>
      <c r="D2" s="134">
        <f>Tabella1[[#This Row],[Country Geopolitical Risk Index]]</f>
        <v>4.1900000000000004</v>
      </c>
    </row>
    <row r="3" spans="1:4" x14ac:dyDescent="0.25">
      <c r="A3" s="135" t="s">
        <v>154</v>
      </c>
      <c r="B3" s="134" t="s">
        <v>142</v>
      </c>
      <c r="C3" s="134">
        <f>VLOOKUP(Tabella1[[#This Row],[HQ Country]],'Geopolitical Risk Index'!A$2:B$148,2,FALSE)</f>
        <v>4.1900000000000004</v>
      </c>
      <c r="D3" s="134">
        <f>Tabella1[[#This Row],[Country Geopolitical Risk Index]]</f>
        <v>4.1900000000000004</v>
      </c>
    </row>
    <row r="4" spans="1:4" x14ac:dyDescent="0.25">
      <c r="A4" s="135" t="s">
        <v>155</v>
      </c>
      <c r="B4" s="134" t="s">
        <v>142</v>
      </c>
      <c r="C4" s="134">
        <f>VLOOKUP(Tabella1[[#This Row],[HQ Country]],'Geopolitical Risk Index'!A$2:B$148,2,FALSE)</f>
        <v>4.1900000000000004</v>
      </c>
      <c r="D4" s="134">
        <f>Tabella1[[#This Row],[Country Geopolitical Risk Index]]</f>
        <v>4.1900000000000004</v>
      </c>
    </row>
    <row r="5" spans="1:4" x14ac:dyDescent="0.25">
      <c r="A5" s="135" t="s">
        <v>156</v>
      </c>
      <c r="B5" s="134" t="s">
        <v>142</v>
      </c>
      <c r="C5" s="134">
        <f>VLOOKUP(Tabella1[[#This Row],[HQ Country]],'Geopolitical Risk Index'!A$2:B$148,2,FALSE)</f>
        <v>4.1900000000000004</v>
      </c>
      <c r="D5" s="134">
        <f>Tabella1[[#This Row],[Country Geopolitical Risk Index]]</f>
        <v>4.1900000000000004</v>
      </c>
    </row>
    <row r="6" spans="1:4" x14ac:dyDescent="0.25">
      <c r="A6" s="135" t="s">
        <v>157</v>
      </c>
      <c r="B6" s="134" t="s">
        <v>142</v>
      </c>
      <c r="C6" s="134">
        <f>VLOOKUP(Tabella1[[#This Row],[HQ Country]],'Geopolitical Risk Index'!A$2:B$148,2,FALSE)</f>
        <v>4.1900000000000004</v>
      </c>
      <c r="D6" s="134">
        <f>Tabella1[[#This Row],[Country Geopolitical Risk Index]]</f>
        <v>4.1900000000000004</v>
      </c>
    </row>
    <row r="7" spans="1:4" x14ac:dyDescent="0.25">
      <c r="A7" s="135" t="s">
        <v>158</v>
      </c>
      <c r="B7" s="134" t="s">
        <v>124</v>
      </c>
      <c r="C7" s="134">
        <f>VLOOKUP(Tabella1[[#This Row],[HQ Country]],'Geopolitical Risk Index'!A$2:B$148,2,FALSE)</f>
        <v>3.57</v>
      </c>
      <c r="D7" s="134">
        <f>Tabella1[[#This Row],[Country Geopolitical Risk Index]]</f>
        <v>3.57</v>
      </c>
    </row>
    <row r="8" spans="1:4" x14ac:dyDescent="0.25">
      <c r="A8" s="135" t="s">
        <v>159</v>
      </c>
      <c r="B8" s="134" t="s">
        <v>142</v>
      </c>
      <c r="C8" s="134">
        <f>VLOOKUP(Tabella1[[#This Row],[HQ Country]],'Geopolitical Risk Index'!A$2:B$148,2,FALSE)</f>
        <v>4.1900000000000004</v>
      </c>
      <c r="D8" s="134">
        <f>Tabella1[[#This Row],[Country Geopolitical Risk Index]]</f>
        <v>4.1900000000000004</v>
      </c>
    </row>
    <row r="9" spans="1:4" x14ac:dyDescent="0.25">
      <c r="A9" s="135" t="s">
        <v>160</v>
      </c>
      <c r="B9" s="134" t="s">
        <v>142</v>
      </c>
      <c r="C9" s="134">
        <f>VLOOKUP(Tabella1[[#This Row],[HQ Country]],'Geopolitical Risk Index'!A$2:B$148,2,FALSE)</f>
        <v>4.1900000000000004</v>
      </c>
      <c r="D9" s="134">
        <f>Tabella1[[#This Row],[Country Geopolitical Risk Index]]</f>
        <v>4.1900000000000004</v>
      </c>
    </row>
    <row r="10" spans="1:4" x14ac:dyDescent="0.25">
      <c r="A10" s="135" t="s">
        <v>161</v>
      </c>
      <c r="B10" s="134" t="s">
        <v>51</v>
      </c>
      <c r="C10" s="134">
        <f>VLOOKUP(Tabella1[[#This Row],[HQ Country]],'Geopolitical Risk Index'!A$2:B$148,2,FALSE)</f>
        <v>3.42</v>
      </c>
      <c r="D10" s="134">
        <f>Tabella1[[#This Row],[Country Geopolitical Risk Index]]</f>
        <v>3.42</v>
      </c>
    </row>
    <row r="11" spans="1:4" x14ac:dyDescent="0.25">
      <c r="A11" s="135" t="s">
        <v>162</v>
      </c>
      <c r="B11" s="134" t="s">
        <v>47</v>
      </c>
      <c r="C11" s="134">
        <f>VLOOKUP(Tabella1[[#This Row],[HQ Country]],'Geopolitical Risk Index'!A$2:B$148,2,FALSE)</f>
        <v>3.65</v>
      </c>
      <c r="D11" s="134">
        <f>Tabella1[[#This Row],[Country Geopolitical Risk Index]]</f>
        <v>3.65</v>
      </c>
    </row>
    <row r="12" spans="1:4" x14ac:dyDescent="0.25">
      <c r="A12" s="135" t="s">
        <v>163</v>
      </c>
      <c r="B12" s="134" t="s">
        <v>47</v>
      </c>
      <c r="C12" s="134">
        <f>VLOOKUP(Tabella1[[#This Row],[HQ Country]],'Geopolitical Risk Index'!A$2:B$148,2,FALSE)</f>
        <v>3.65</v>
      </c>
      <c r="D12" s="134">
        <f>Tabella1[[#This Row],[Country Geopolitical Risk Index]]</f>
        <v>3.65</v>
      </c>
    </row>
    <row r="13" spans="1:4" x14ac:dyDescent="0.25">
      <c r="A13" s="135" t="s">
        <v>164</v>
      </c>
      <c r="B13" s="134" t="s">
        <v>37</v>
      </c>
      <c r="C13" s="134">
        <f>VLOOKUP(Tabella1[[#This Row],[HQ Country]],'Geopolitical Risk Index'!A$2:B$148,2,FALSE)</f>
        <v>3.2</v>
      </c>
      <c r="D13" s="134">
        <f>Tabella1[[#This Row],[Country Geopolitical Risk Index]]</f>
        <v>3.2</v>
      </c>
    </row>
    <row r="14" spans="1:4" x14ac:dyDescent="0.25">
      <c r="A14" s="135" t="s">
        <v>165</v>
      </c>
      <c r="B14" s="134" t="s">
        <v>62</v>
      </c>
      <c r="C14" s="134">
        <f>VLOOKUP(Tabella1[[#This Row],[HQ Country]],'Geopolitical Risk Index'!A$2:B$148,2,FALSE)</f>
        <v>5.07</v>
      </c>
      <c r="D14" s="134">
        <f>Tabella1[[#This Row],[Country Geopolitical Risk Index]]</f>
        <v>5.07</v>
      </c>
    </row>
    <row r="15" spans="1:4" x14ac:dyDescent="0.25">
      <c r="A15" s="135" t="s">
        <v>166</v>
      </c>
      <c r="B15" s="134" t="s">
        <v>142</v>
      </c>
      <c r="C15" s="134">
        <f>VLOOKUP(Tabella1[[#This Row],[HQ Country]],'Geopolitical Risk Index'!A$2:B$148,2,FALSE)</f>
        <v>4.1900000000000004</v>
      </c>
      <c r="D15" s="134">
        <f>Tabella1[[#This Row],[Country Geopolitical Risk Index]]</f>
        <v>4.1900000000000004</v>
      </c>
    </row>
    <row r="16" spans="1:4" x14ac:dyDescent="0.25">
      <c r="A16" s="135" t="s">
        <v>167</v>
      </c>
      <c r="B16" s="134" t="s">
        <v>70</v>
      </c>
      <c r="C16" s="134">
        <f>VLOOKUP(Tabella1[[#This Row],[HQ Country]],'Geopolitical Risk Index'!A$2:B$148,2,FALSE)</f>
        <v>3.38</v>
      </c>
      <c r="D16" s="134">
        <f>Tabella1[[#This Row],[Country Geopolitical Risk Index]]</f>
        <v>3.38</v>
      </c>
    </row>
    <row r="17" spans="1:4" x14ac:dyDescent="0.25">
      <c r="A17" s="135" t="s">
        <v>168</v>
      </c>
      <c r="B17" s="134" t="s">
        <v>29</v>
      </c>
      <c r="C17" s="134">
        <f>VLOOKUP(Tabella1[[#This Row],[HQ Country]],'Geopolitical Risk Index'!A$2:B$148,2,FALSE)</f>
        <v>4.26</v>
      </c>
      <c r="D17" s="134">
        <f>Tabella1[[#This Row],[Country Geopolitical Risk Index]]</f>
        <v>4.26</v>
      </c>
    </row>
    <row r="18" spans="1:4" x14ac:dyDescent="0.25">
      <c r="A18" s="135" t="s">
        <v>169</v>
      </c>
      <c r="B18" s="134" t="s">
        <v>47</v>
      </c>
      <c r="C18" s="134">
        <f>VLOOKUP(Tabella1[[#This Row],[HQ Country]],'Geopolitical Risk Index'!A$2:B$148,2,FALSE)</f>
        <v>3.65</v>
      </c>
      <c r="D18" s="134">
        <f>Tabella1[[#This Row],[Country Geopolitical Risk Index]]</f>
        <v>3.65</v>
      </c>
    </row>
    <row r="19" spans="1:4" x14ac:dyDescent="0.25">
      <c r="A19" s="135" t="s">
        <v>170</v>
      </c>
      <c r="B19" s="134" t="s">
        <v>70</v>
      </c>
      <c r="C19" s="134">
        <f>VLOOKUP(Tabella1[[#This Row],[HQ Country]],'Geopolitical Risk Index'!A$2:B$148,2,FALSE)</f>
        <v>3.38</v>
      </c>
      <c r="D19" s="134">
        <f>Tabella1[[#This Row],[Country Geopolitical Risk Index]]</f>
        <v>3.38</v>
      </c>
    </row>
    <row r="20" spans="1:4" x14ac:dyDescent="0.25">
      <c r="A20" s="135" t="s">
        <v>171</v>
      </c>
      <c r="B20" s="136" t="s">
        <v>29</v>
      </c>
      <c r="C20" s="134">
        <f>VLOOKUP(Tabella1[[#This Row],[HQ Country]],'Geopolitical Risk Index'!A$2:B$148,2,FALSE)</f>
        <v>4.26</v>
      </c>
      <c r="D20" s="134">
        <f>Tabella1[[#This Row],[Country Geopolitical Risk Index]]</f>
        <v>4.26</v>
      </c>
    </row>
    <row r="21" spans="1:4" x14ac:dyDescent="0.25">
      <c r="A21" s="135" t="s">
        <v>172</v>
      </c>
      <c r="B21" s="134" t="s">
        <v>51</v>
      </c>
      <c r="C21" s="134">
        <f>VLOOKUP(Tabella1[[#This Row],[HQ Country]],'Geopolitical Risk Index'!A$2:B$148,2,FALSE)</f>
        <v>3.42</v>
      </c>
      <c r="D21" s="134">
        <f>Tabella1[[#This Row],[Country Geopolitical Risk Index]]</f>
        <v>3.42</v>
      </c>
    </row>
    <row r="22" spans="1:4" x14ac:dyDescent="0.25">
      <c r="A22" s="135" t="s">
        <v>173</v>
      </c>
      <c r="B22" s="134" t="s">
        <v>142</v>
      </c>
      <c r="C22" s="134">
        <f>VLOOKUP(Tabella1[[#This Row],[HQ Country]],'Geopolitical Risk Index'!A$2:B$148,2,FALSE)</f>
        <v>4.1900000000000004</v>
      </c>
      <c r="D22" s="134">
        <f>Tabella1[[#This Row],[Country Geopolitical Risk Index]]</f>
        <v>4.1900000000000004</v>
      </c>
    </row>
    <row r="23" spans="1:4" x14ac:dyDescent="0.25">
      <c r="A23" s="135" t="s">
        <v>174</v>
      </c>
      <c r="B23" s="134" t="s">
        <v>96</v>
      </c>
      <c r="C23" s="134">
        <f>VLOOKUP(Tabella1[[#This Row],[HQ Country]],'Geopolitical Risk Index'!A$2:B$148,2,FALSE)</f>
        <v>3.59</v>
      </c>
      <c r="D23" s="134">
        <f>Tabella1[[#This Row],[Country Geopolitical Risk Index]]</f>
        <v>3.59</v>
      </c>
    </row>
    <row r="24" spans="1:4" x14ac:dyDescent="0.25">
      <c r="A24" s="135" t="s">
        <v>175</v>
      </c>
      <c r="B24" s="134" t="s">
        <v>47</v>
      </c>
      <c r="C24" s="134">
        <f>VLOOKUP(Tabella1[[#This Row],[HQ Country]],'Geopolitical Risk Index'!A$2:B$148,2,FALSE)</f>
        <v>3.65</v>
      </c>
      <c r="D24" s="134">
        <f>Tabella1[[#This Row],[Country Geopolitical Risk Index]]</f>
        <v>3.65</v>
      </c>
    </row>
    <row r="25" spans="1:4" x14ac:dyDescent="0.25">
      <c r="A25" s="135" t="s">
        <v>176</v>
      </c>
      <c r="B25" s="134" t="s">
        <v>142</v>
      </c>
      <c r="C25" s="134">
        <f>VLOOKUP(Tabella1[[#This Row],[HQ Country]],'Geopolitical Risk Index'!A$2:B$148,2,FALSE)</f>
        <v>4.1900000000000004</v>
      </c>
      <c r="D25" s="134">
        <f>Tabella1[[#This Row],[Country Geopolitical Risk Index]]</f>
        <v>4.1900000000000004</v>
      </c>
    </row>
    <row r="26" spans="1:4" x14ac:dyDescent="0.25">
      <c r="A26" s="135" t="s">
        <v>177</v>
      </c>
      <c r="B26" s="136" t="s">
        <v>68</v>
      </c>
      <c r="C26" s="134">
        <f>VLOOKUP(Tabella1[[#This Row],[HQ Country]],'Geopolitical Risk Index'!A$2:B$148,2,FALSE)</f>
        <v>3.84</v>
      </c>
      <c r="D26" s="134">
        <f>Tabella1[[#This Row],[Country Geopolitical Risk Index]]</f>
        <v>3.84</v>
      </c>
    </row>
    <row r="27" spans="1:4" x14ac:dyDescent="0.25">
      <c r="A27" s="137" t="s">
        <v>178</v>
      </c>
      <c r="B27" s="140" t="s">
        <v>68</v>
      </c>
      <c r="C27" s="134">
        <f>VLOOKUP(Tabella1[[#This Row],[HQ Country]],'Geopolitical Risk Index'!A$2:B$148,2,FALSE)</f>
        <v>3.84</v>
      </c>
      <c r="D27" s="139">
        <f>Tabella1[[#This Row],[Country Geopolitical Risk Index]]</f>
        <v>3.84</v>
      </c>
    </row>
    <row r="28" spans="1:4" x14ac:dyDescent="0.25">
      <c r="A28" s="141" t="s">
        <v>179</v>
      </c>
      <c r="B28" s="138" t="s">
        <v>142</v>
      </c>
      <c r="C28" s="134">
        <f>VLOOKUP(Tabella1[[#This Row],[HQ Country]],'Geopolitical Risk Index'!A$2:B$148,2,FALSE)</f>
        <v>4.1900000000000004</v>
      </c>
      <c r="D28" s="139">
        <f>Tabella1[[#This Row],[Country Geopolitical Risk Index]]</f>
        <v>4.1900000000000004</v>
      </c>
    </row>
    <row r="29" spans="1:4" x14ac:dyDescent="0.25">
      <c r="A29" s="137" t="s">
        <v>180</v>
      </c>
      <c r="B29" s="140" t="s">
        <v>68</v>
      </c>
      <c r="C29" s="134">
        <f>VLOOKUP(Tabella1[[#This Row],[HQ Country]],'Geopolitical Risk Index'!A$2:B$148,2,FALSE)</f>
        <v>3.84</v>
      </c>
      <c r="D29" s="139">
        <f>Tabella1[[#This Row],[Country Geopolitical Risk Index]]</f>
        <v>3.84</v>
      </c>
    </row>
    <row r="30" spans="1:4" x14ac:dyDescent="0.25">
      <c r="A30" s="137" t="s">
        <v>181</v>
      </c>
      <c r="B30" s="140" t="s">
        <v>68</v>
      </c>
      <c r="C30" s="134">
        <f>VLOOKUP(Tabella1[[#This Row],[HQ Country]],'Geopolitical Risk Index'!A$2:B$148,2,FALSE)</f>
        <v>3.84</v>
      </c>
      <c r="D30" s="139">
        <f>Tabella1[[#This Row],[Country Geopolitical Risk Index]]</f>
        <v>3.84</v>
      </c>
    </row>
    <row r="31" spans="1:4" x14ac:dyDescent="0.25">
      <c r="A31" s="137" t="s">
        <v>182</v>
      </c>
      <c r="B31" s="140" t="s">
        <v>68</v>
      </c>
      <c r="C31" s="134">
        <f>VLOOKUP(Tabella1[[#This Row],[HQ Country]],'Geopolitical Risk Index'!A$2:B$148,2,FALSE)</f>
        <v>3.84</v>
      </c>
      <c r="D31" s="139">
        <f>Tabella1[[#This Row],[Country Geopolitical Risk Index]]</f>
        <v>3.84</v>
      </c>
    </row>
    <row r="32" spans="1:4" x14ac:dyDescent="0.25">
      <c r="A32" s="137" t="s">
        <v>183</v>
      </c>
      <c r="B32" s="140" t="s">
        <v>68</v>
      </c>
      <c r="C32" s="134">
        <f>VLOOKUP(Tabella1[[#This Row],[HQ Country]],'Geopolitical Risk Index'!A$2:B$148,2,FALSE)</f>
        <v>3.84</v>
      </c>
      <c r="D32" s="139">
        <f>Tabella1[[#This Row],[Country Geopolitical Risk Index]]</f>
        <v>3.84</v>
      </c>
    </row>
    <row r="33" spans="1:4" x14ac:dyDescent="0.25">
      <c r="A33" s="137" t="s">
        <v>184</v>
      </c>
      <c r="B33" s="140" t="s">
        <v>68</v>
      </c>
      <c r="C33" s="134">
        <f>VLOOKUP(Tabella1[[#This Row],[HQ Country]],'Geopolitical Risk Index'!A$2:B$148,2,FALSE)</f>
        <v>3.84</v>
      </c>
      <c r="D33" s="139">
        <f>Tabella1[[#This Row],[Country Geopolitical Risk Index]]</f>
        <v>3.84</v>
      </c>
    </row>
    <row r="34" spans="1:4" x14ac:dyDescent="0.25">
      <c r="A34" s="137" t="s">
        <v>185</v>
      </c>
      <c r="B34" s="140" t="s">
        <v>29</v>
      </c>
      <c r="C34" s="134">
        <f>VLOOKUP(Tabella1[[#This Row],[HQ Country]],'Geopolitical Risk Index'!A$2:B$148,2,FALSE)</f>
        <v>4.26</v>
      </c>
      <c r="D34" s="139">
        <f>Tabella1[[#This Row],[Country Geopolitical Risk Index]]</f>
        <v>4.26</v>
      </c>
    </row>
    <row r="35" spans="1:4" x14ac:dyDescent="0.25">
      <c r="A35" s="137" t="s">
        <v>186</v>
      </c>
      <c r="B35" s="140" t="s">
        <v>129</v>
      </c>
      <c r="C35" s="134">
        <f>VLOOKUP(Tabella1[[#This Row],[HQ Country]],'Geopolitical Risk Index'!A$2:B$148,2,FALSE)</f>
        <v>2.78</v>
      </c>
      <c r="D35" s="139">
        <f>Tabella1[[#This Row],[Country Geopolitical Risk Index]]</f>
        <v>2.78</v>
      </c>
    </row>
    <row r="36" spans="1:4" x14ac:dyDescent="0.25">
      <c r="A36" s="137" t="s">
        <v>187</v>
      </c>
      <c r="B36" s="140" t="s">
        <v>114</v>
      </c>
      <c r="C36" s="134">
        <f>VLOOKUP(Tabella1[[#This Row],[HQ Country]],'Geopolitical Risk Index'!A$2:B$148,2,FALSE)</f>
        <v>5.96</v>
      </c>
      <c r="D36" s="139">
        <f>Tabella1[[#This Row],[Country Geopolitical Risk Index]]</f>
        <v>5.96</v>
      </c>
    </row>
    <row r="37" spans="1:4" x14ac:dyDescent="0.25">
      <c r="A37" s="137" t="s">
        <v>188</v>
      </c>
      <c r="B37" s="140" t="s">
        <v>129</v>
      </c>
      <c r="C37" s="134">
        <f>VLOOKUP(Tabella1[[#This Row],[HQ Country]],'Geopolitical Risk Index'!A$2:B$148,2,FALSE)</f>
        <v>2.78</v>
      </c>
      <c r="D37" s="139">
        <f>Tabella1[[#This Row],[Country Geopolitical Risk Index]]</f>
        <v>2.78</v>
      </c>
    </row>
    <row r="38" spans="1:4" x14ac:dyDescent="0.25">
      <c r="A38" s="137" t="s">
        <v>189</v>
      </c>
      <c r="B38" s="140" t="s">
        <v>142</v>
      </c>
      <c r="C38" s="134">
        <f>VLOOKUP(Tabella1[[#This Row],[HQ Country]],'Geopolitical Risk Index'!A$2:B$148,2,FALSE)</f>
        <v>4.1900000000000004</v>
      </c>
      <c r="D38" s="139">
        <f>Tabella1[[#This Row],[Country Geopolitical Risk Index]]</f>
        <v>4.1900000000000004</v>
      </c>
    </row>
    <row r="39" spans="1:4" x14ac:dyDescent="0.25">
      <c r="A39" s="137" t="s">
        <v>190</v>
      </c>
      <c r="B39" s="140" t="s">
        <v>141</v>
      </c>
      <c r="C39" s="134">
        <f>VLOOKUP(Tabella1[[#This Row],[HQ Country]],'Geopolitical Risk Index'!A$2:B$148,2,FALSE)</f>
        <v>3.32</v>
      </c>
      <c r="D39" s="139">
        <f>Tabella1[[#This Row],[Country Geopolitical Risk Index]]</f>
        <v>3.32</v>
      </c>
    </row>
    <row r="40" spans="1:4" x14ac:dyDescent="0.25">
      <c r="A40" s="137" t="s">
        <v>191</v>
      </c>
      <c r="B40" s="140" t="s">
        <v>142</v>
      </c>
      <c r="C40" s="134">
        <f>VLOOKUP(Tabella1[[#This Row],[HQ Country]],'Geopolitical Risk Index'!A$2:B$148,2,FALSE)</f>
        <v>4.1900000000000004</v>
      </c>
      <c r="D40" s="139">
        <f>Tabella1[[#This Row],[Country Geopolitical Risk Index]]</f>
        <v>4.1900000000000004</v>
      </c>
    </row>
    <row r="41" spans="1:4" x14ac:dyDescent="0.25">
      <c r="A41" s="137" t="s">
        <v>192</v>
      </c>
      <c r="B41" s="140" t="s">
        <v>141</v>
      </c>
      <c r="C41" s="134">
        <f>VLOOKUP(Tabella1[[#This Row],[HQ Country]],'Geopolitical Risk Index'!A$2:B$148,2,FALSE)</f>
        <v>3.32</v>
      </c>
      <c r="D41" s="139">
        <f>Tabella1[[#This Row],[Country Geopolitical Risk Index]]</f>
        <v>3.32</v>
      </c>
    </row>
    <row r="42" spans="1:4" x14ac:dyDescent="0.25">
      <c r="A42" s="137" t="s">
        <v>193</v>
      </c>
      <c r="B42" s="140" t="s">
        <v>142</v>
      </c>
      <c r="C42" s="139">
        <f>VLOOKUP(Tabella1[[#This Row],[HQ Country]],'Geopolitical Risk Index'!A$2:B$148,2,FALSE)</f>
        <v>4.1900000000000004</v>
      </c>
      <c r="D42" s="139">
        <f>Tabella1[[#This Row],[Country Geopolitical Risk Index]]</f>
        <v>4.1900000000000004</v>
      </c>
    </row>
    <row r="43" spans="1:4" x14ac:dyDescent="0.25">
      <c r="A43" s="137" t="s">
        <v>194</v>
      </c>
      <c r="B43" s="140" t="s">
        <v>142</v>
      </c>
      <c r="C43" s="139">
        <f>VLOOKUP(Tabella1[[#This Row],[HQ Country]],'Geopolitical Risk Index'!A$2:B$148,2,FALSE)</f>
        <v>4.1900000000000004</v>
      </c>
      <c r="D43" s="139">
        <f>Tabella1[[#This Row],[Country Geopolitical Risk Index]]</f>
        <v>4.1900000000000004</v>
      </c>
    </row>
    <row r="44" spans="1:4" x14ac:dyDescent="0.25">
      <c r="A44" s="137" t="s">
        <v>195</v>
      </c>
      <c r="B44" s="140" t="s">
        <v>142</v>
      </c>
      <c r="C44" s="139">
        <f>VLOOKUP(Tabella1[[#This Row],[HQ Country]],'Geopolitical Risk Index'!A$2:B$148,2,FALSE)</f>
        <v>4.1900000000000004</v>
      </c>
      <c r="D44" s="139">
        <f>Tabella1[[#This Row],[Country Geopolitical Risk Index]]</f>
        <v>4.1900000000000004</v>
      </c>
    </row>
    <row r="45" spans="1:4" x14ac:dyDescent="0.25">
      <c r="A45" s="137" t="s">
        <v>196</v>
      </c>
      <c r="B45" s="140" t="s">
        <v>142</v>
      </c>
      <c r="C45" s="139">
        <f>VLOOKUP(Tabella1[[#This Row],[HQ Country]],'Geopolitical Risk Index'!A$2:B$148,2,FALSE)</f>
        <v>4.1900000000000004</v>
      </c>
      <c r="D45" s="139">
        <f>Tabella1[[#This Row],[Country Geopolitical Risk Index]]</f>
        <v>4.1900000000000004</v>
      </c>
    </row>
    <row r="46" spans="1:4" x14ac:dyDescent="0.25">
      <c r="A46" s="137" t="s">
        <v>197</v>
      </c>
      <c r="B46" s="140" t="s">
        <v>116</v>
      </c>
      <c r="C46" s="139">
        <f>VLOOKUP(Tabella1[[#This Row],[HQ Country]],'Geopolitical Risk Index'!A$2:B$148,2,FALSE)</f>
        <v>4.42</v>
      </c>
      <c r="D46" s="139">
        <f>Tabella1[[#This Row],[Country Geopolitical Risk Index]]</f>
        <v>4.42</v>
      </c>
    </row>
    <row r="47" spans="1:4" x14ac:dyDescent="0.25">
      <c r="A47" s="137" t="s">
        <v>198</v>
      </c>
      <c r="B47" s="140" t="s">
        <v>141</v>
      </c>
      <c r="C47" s="139">
        <f>VLOOKUP(Tabella1[[#This Row],[HQ Country]],'Geopolitical Risk Index'!A$2:B$148,2,FALSE)</f>
        <v>3.32</v>
      </c>
      <c r="D47" s="139">
        <f>Tabella1[[#This Row],[Country Geopolitical Risk Index]]</f>
        <v>3.32</v>
      </c>
    </row>
    <row r="48" spans="1:4" x14ac:dyDescent="0.25">
      <c r="A48" s="137" t="s">
        <v>199</v>
      </c>
      <c r="B48" s="140" t="s">
        <v>142</v>
      </c>
      <c r="C48" s="139">
        <f>VLOOKUP(Tabella1[[#This Row],[HQ Country]],'Geopolitical Risk Index'!A$2:B$148,2,FALSE)</f>
        <v>4.1900000000000004</v>
      </c>
      <c r="D48" s="139">
        <f>Tabella1[[#This Row],[Country Geopolitical Risk Index]]</f>
        <v>4.1900000000000004</v>
      </c>
    </row>
    <row r="49" spans="1:4" x14ac:dyDescent="0.25">
      <c r="A49" s="137" t="s">
        <v>200</v>
      </c>
      <c r="B49" s="140" t="s">
        <v>142</v>
      </c>
      <c r="C49" s="139">
        <f>VLOOKUP(Tabella1[[#This Row],[HQ Country]],'Geopolitical Risk Index'!A$2:B$148,2,FALSE)</f>
        <v>4.1900000000000004</v>
      </c>
      <c r="D49" s="139">
        <f>Tabella1[[#This Row],[Country Geopolitical Risk Index]]</f>
        <v>4.1900000000000004</v>
      </c>
    </row>
  </sheetData>
  <conditionalFormatting sqref="D2:D49">
    <cfRule type="colorScale" priority="1">
      <colorScale>
        <cfvo type="min"/>
        <cfvo type="percentile" val="50"/>
        <cfvo type="max"/>
        <color rgb="FF00B050"/>
        <color theme="0"/>
        <color rgb="FFFF7C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6DC0FFDEFA864DA147FFDEA823F2EE" ma:contentTypeVersion="3" ma:contentTypeDescription="Creare un nuovo documento." ma:contentTypeScope="" ma:versionID="efa000e167d9ce5db8cd2eb5b6f87cd4">
  <xsd:schema xmlns:xsd="http://www.w3.org/2001/XMLSchema" xmlns:xs="http://www.w3.org/2001/XMLSchema" xmlns:p="http://schemas.microsoft.com/office/2006/metadata/properties" xmlns:ns2="c41a64fd-65ba-4a6e-8004-8ade4c8fdb39" targetNamespace="http://schemas.microsoft.com/office/2006/metadata/properties" ma:root="true" ma:fieldsID="1f94584ddf2c7798ba84aeef6e679263" ns2:_="">
    <xsd:import namespace="c41a64fd-65ba-4a6e-8004-8ade4c8fd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a64fd-65ba-4a6e-8004-8ade4c8fd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109DC9-89E4-4FA3-B040-4A2B64DD962C}"/>
</file>

<file path=customXml/itemProps2.xml><?xml version="1.0" encoding="utf-8"?>
<ds:datastoreItem xmlns:ds="http://schemas.openxmlformats.org/officeDocument/2006/customXml" ds:itemID="{8AD37022-74AD-4B7D-9FDC-188F185CC5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CECD9D-ED63-41F4-8222-347F9BB39F2E}">
  <ds:schemaRefs>
    <ds:schemaRef ds:uri="c41a64fd-65ba-4a6e-8004-8ade4c8fdb39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Geopolitical Risk Index</vt:lpstr>
      <vt:lpstr>HQ Country Risk 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Parigi</dc:creator>
  <cp:keywords/>
  <dc:description/>
  <cp:lastModifiedBy>VALERIO PARIGI</cp:lastModifiedBy>
  <cp:revision/>
  <dcterms:created xsi:type="dcterms:W3CDTF">2026-03-13T15:38:10Z</dcterms:created>
  <dcterms:modified xsi:type="dcterms:W3CDTF">2026-04-25T09:04:03Z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0x010100086DC0FFDEFA864DA147FFDEA823F2EE</vt:lpwstr>
  </property>
</Properties>
</file>