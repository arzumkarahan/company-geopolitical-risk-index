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https://bocconi.sharepoint.com/sites/Geopolitics-DataGroup1/Documenti condivisi/General/Final Dataset - CGPR/"/>
    </mc:Choice>
  </mc:AlternateContent>
  <xr:revisionPtr revIDLastSave="21" documentId="13_ncr:1_{66C91DB5-5FA0-1644-B9FC-DA994EA1695C}" xr6:coauthVersionLast="47" xr6:coauthVersionMax="47" xr10:uidLastSave="{3AF77051-6C0A-4B46-880F-56E448D1EC2D}"/>
  <bookViews>
    <workbookView xWindow="0" yWindow="0" windowWidth="28800" windowHeight="18000" xr2:uid="{00000000-000D-0000-FFFF-FFFF00000000}"/>
  </bookViews>
  <sheets>
    <sheet name="Financial Exposu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" i="1"/>
  <c r="C2" i="1"/>
  <c r="C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</calcChain>
</file>

<file path=xl/sharedStrings.xml><?xml version="1.0" encoding="utf-8"?>
<sst xmlns="http://schemas.openxmlformats.org/spreadsheetml/2006/main" count="51" uniqueCount="51">
  <si>
    <t>Company</t>
  </si>
  <si>
    <t>Net Debt/EBITDA 2024</t>
  </si>
  <si>
    <t>Financial Exposure - Multiplier</t>
  </si>
  <si>
    <t>Allianz</t>
  </si>
  <si>
    <t>Amazon</t>
  </si>
  <si>
    <t>Apple</t>
  </si>
  <si>
    <t>ASML</t>
  </si>
  <si>
    <t>BNP Paribas</t>
  </si>
  <si>
    <t>Eli Lilly</t>
  </si>
  <si>
    <t>ENI</t>
  </si>
  <si>
    <t>Ford</t>
  </si>
  <si>
    <t>JP Morgan</t>
  </si>
  <si>
    <t>L'Oreal</t>
  </si>
  <si>
    <t>LVMH</t>
  </si>
  <si>
    <t>META</t>
  </si>
  <si>
    <t>Microsoft</t>
  </si>
  <si>
    <t>Novo Nordisk</t>
  </si>
  <si>
    <t>NVIDIA</t>
  </si>
  <si>
    <t>P&amp;G</t>
  </si>
  <si>
    <t>Reliance Industries</t>
  </si>
  <si>
    <t>Samsung</t>
  </si>
  <si>
    <t>SAP</t>
  </si>
  <si>
    <t>Sony</t>
  </si>
  <si>
    <t>Tencent</t>
  </si>
  <si>
    <t>TotalEnergies</t>
  </si>
  <si>
    <t>Toyota</t>
  </si>
  <si>
    <t>TSMC</t>
  </si>
  <si>
    <t>Volkswagen</t>
  </si>
  <si>
    <t>Leonardo</t>
  </si>
  <si>
    <t>Pfizer</t>
  </si>
  <si>
    <t>Prysmian</t>
  </si>
  <si>
    <t>Unicredit</t>
  </si>
  <si>
    <t>Campari</t>
  </si>
  <si>
    <t>Moncler</t>
  </si>
  <si>
    <t>Ferrari</t>
  </si>
  <si>
    <t>Alibaba</t>
  </si>
  <si>
    <t>Nestlè</t>
  </si>
  <si>
    <t>Gazprom</t>
  </si>
  <si>
    <t>Novartis</t>
  </si>
  <si>
    <t>Moderna</t>
  </si>
  <si>
    <t>HSBC</t>
  </si>
  <si>
    <t>Walmart</t>
  </si>
  <si>
    <t>Unilever</t>
  </si>
  <si>
    <t>Coca-Cola</t>
  </si>
  <si>
    <t>Caterpillar</t>
  </si>
  <si>
    <t>Tesla</t>
  </si>
  <si>
    <t>Alphabet</t>
  </si>
  <si>
    <t>Saudi Aramco</t>
  </si>
  <si>
    <t>Shell</t>
  </si>
  <si>
    <t>Chevron</t>
  </si>
  <si>
    <t>ExxonMobil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</si>
</sst>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NumberFormat="1" applyFont="1" applyBorder="1"/>
    <xf numFmtId="0" fontId="1" fillId="0" borderId="2" xfId="0" applyFont="1" applyBorder="1"/>
    <xf numFmtId="0" fontId="1" fillId="0" borderId="2" xfId="0" applyNumberFormat="1" applyFont="1" applyBorder="1"/>
    <xf numFmtId="2" fontId="1" fillId="0" borderId="1" xfId="0" applyNumberFormat="1" applyFont="1" applyBorder="1"/>
    <xf numFmtId="2" fontId="1" fillId="0" borderId="1" xfId="0" applyNumberFormat="1" applyFont="1" applyBorder="1" applyAlignment="1">
      <alignment horizontal="right"/>
    </xf>
    <xf numFmtId="0" fontId="1" fillId="2" borderId="1" xfId="0" applyFont="1" applyFill="1" applyBorder="1"/>
  </cellXfs>
  <cellStyles count="1">
    <cellStyle name="Normale" xfId="0" builtinId="0"/>
  </cellStyles>
  <dxfs count="5"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scheme val="none"/>
      </font>
    </dxf>
  </dxfs>
  <tableStyles count="0" defaultTableStyle="TableStyleMedium9" defaultPivotStyle="PivotStyleLight16"/>
  <colors>
    <mruColors>
      <color rgb="FFFF8F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2B53DE-EEB5-614E-80EB-EE4E321B6086}" name="Tabella1" displayName="Tabella1" ref="A1:C49" totalsRowShown="0" headerRowDxfId="4" dataDxfId="3">
  <autoFilter ref="A1:C49" xr:uid="{972B53DE-EEB5-614E-80EB-EE4E321B6086}"/>
  <sortState xmlns:xlrd2="http://schemas.microsoft.com/office/spreadsheetml/2017/richdata2" ref="A2:B26">
    <sortCondition ref="A1:A26"/>
  </sortState>
  <tableColumns count="3">
    <tableColumn id="1" xr3:uid="{A737B249-4BB7-3843-8591-B8CBE2EE111B}" name="Company" dataDxfId="2"/>
    <tableColumn id="2" xr3:uid="{85548CF2-8672-E24C-998E-BFAE291A91B1}" name="Net Debt/EBITDA 2024" dataDxfId="0"/>
    <tableColumn id="3" xr3:uid="{B9B40A37-3F4D-1446-92C3-D5C502D24C60}" name="Financial Exposure - Multiplier" dataDxfId="1">
      <calculatedColumnFormula xml:space="preserve"> IF(Tabella1[[#This Row],[Net Debt/EBITDA 2024]]&lt;0, 0.8,IF(Tabella1[[#This Row],[Net Debt/EBITDA 2024]]&lt;2, 0.9, IF(Tabella1[[#This Row],[Net Debt/EBITDA 2024]] &lt; 4, 1,IF(Tabella1[[#This Row],[Net Debt/EBITDA 2024]]&lt;6,1.1,1.2))))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B30" sqref="B30"/>
    </sheetView>
  </sheetViews>
  <sheetFormatPr baseColWidth="10" defaultColWidth="18" defaultRowHeight="15" x14ac:dyDescent="0.2"/>
  <cols>
    <col min="1" max="1" width="19" bestFit="1" customWidth="1"/>
    <col min="2" max="2" width="25.33203125" bestFit="1" customWidth="1"/>
    <col min="3" max="3" width="33.33203125" bestFit="1" customWidth="1"/>
  </cols>
  <sheetData>
    <row r="1" spans="1:3" ht="19" x14ac:dyDescent="0.25">
      <c r="A1" s="1" t="s">
        <v>0</v>
      </c>
      <c r="B1" s="1" t="s">
        <v>1</v>
      </c>
      <c r="C1" s="1" t="s">
        <v>2</v>
      </c>
    </row>
    <row r="2" spans="1:3" ht="19" x14ac:dyDescent="0.25">
      <c r="A2" s="2" t="s">
        <v>3</v>
      </c>
      <c r="B2" s="6">
        <v>1.45</v>
      </c>
      <c r="C2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3" spans="1:3" ht="19" x14ac:dyDescent="0.25">
      <c r="A3" s="2" t="s">
        <v>4</v>
      </c>
      <c r="B3" s="6">
        <v>0.35</v>
      </c>
      <c r="C3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4" spans="1:3" ht="19" x14ac:dyDescent="0.25">
      <c r="A4" s="2" t="s">
        <v>5</v>
      </c>
      <c r="B4" s="6">
        <v>-0.35</v>
      </c>
      <c r="C4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5" spans="1:3" ht="19" x14ac:dyDescent="0.25">
      <c r="A5" s="2" t="s">
        <v>6</v>
      </c>
      <c r="B5" s="6">
        <v>-0.72</v>
      </c>
      <c r="C5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6" spans="1:3" ht="19" x14ac:dyDescent="0.25">
      <c r="A6" s="2" t="s">
        <v>7</v>
      </c>
      <c r="B6" s="6">
        <v>5.0999999999999996</v>
      </c>
      <c r="C6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1.1000000000000001</v>
      </c>
    </row>
    <row r="7" spans="1:3" ht="19" x14ac:dyDescent="0.25">
      <c r="A7" s="2" t="s">
        <v>8</v>
      </c>
      <c r="B7" s="6">
        <v>2.15</v>
      </c>
      <c r="C7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1</v>
      </c>
    </row>
    <row r="8" spans="1:3" ht="19" x14ac:dyDescent="0.25">
      <c r="A8" s="2" t="s">
        <v>9</v>
      </c>
      <c r="B8" s="6">
        <v>1.69</v>
      </c>
      <c r="C8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9" spans="1:3" ht="19" x14ac:dyDescent="0.25">
      <c r="A9" s="2" t="s">
        <v>10</v>
      </c>
      <c r="B9" s="6">
        <v>-0.57999999999999996</v>
      </c>
      <c r="C9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10" spans="1:3" ht="19" x14ac:dyDescent="0.25">
      <c r="A10" s="2" t="s">
        <v>11</v>
      </c>
      <c r="B10" s="6">
        <v>-0.56999999999999995</v>
      </c>
      <c r="C10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11" spans="1:3" ht="19" x14ac:dyDescent="0.25">
      <c r="A11" s="2" t="s">
        <v>12</v>
      </c>
      <c r="B11" s="6">
        <v>0.44</v>
      </c>
      <c r="C11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12" spans="1:3" ht="19" x14ac:dyDescent="0.25">
      <c r="A12" s="2" t="s">
        <v>13</v>
      </c>
      <c r="B12" s="6">
        <v>1.02</v>
      </c>
      <c r="C12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13" spans="1:3" ht="19" x14ac:dyDescent="0.25">
      <c r="A13" s="2" t="s">
        <v>14</v>
      </c>
      <c r="B13" s="6">
        <v>-0.32</v>
      </c>
      <c r="C13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14" spans="1:3" ht="19" x14ac:dyDescent="0.25">
      <c r="A14" s="2" t="s">
        <v>15</v>
      </c>
      <c r="B14" s="6">
        <v>0.16</v>
      </c>
      <c r="C14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15" spans="1:3" ht="19" x14ac:dyDescent="0.25">
      <c r="A15" s="2" t="s">
        <v>16</v>
      </c>
      <c r="B15" s="6">
        <v>0.52</v>
      </c>
      <c r="C15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16" spans="1:3" ht="19" x14ac:dyDescent="0.25">
      <c r="A16" s="2" t="s">
        <v>17</v>
      </c>
      <c r="B16" s="6">
        <v>-0.39</v>
      </c>
      <c r="C16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17" spans="1:3" ht="19" x14ac:dyDescent="0.25">
      <c r="A17" s="2" t="s">
        <v>18</v>
      </c>
      <c r="B17" s="6">
        <v>1.1000000000000001</v>
      </c>
      <c r="C17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18" spans="1:3" ht="19" x14ac:dyDescent="0.25">
      <c r="A18" s="2" t="s">
        <v>19</v>
      </c>
      <c r="B18" s="6">
        <v>0.87</v>
      </c>
      <c r="C18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19" spans="1:3" ht="19" x14ac:dyDescent="0.25">
      <c r="A19" s="2" t="s">
        <v>20</v>
      </c>
      <c r="B19" s="6">
        <v>-1.24</v>
      </c>
      <c r="C19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20" spans="1:3" ht="19" x14ac:dyDescent="0.25">
      <c r="A20" s="2" t="s">
        <v>21</v>
      </c>
      <c r="B20" s="6">
        <v>-0.02</v>
      </c>
      <c r="C20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21" spans="1:3" ht="19" x14ac:dyDescent="0.25">
      <c r="A21" s="2" t="s">
        <v>22</v>
      </c>
      <c r="B21" s="6">
        <v>0.76</v>
      </c>
      <c r="C21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22" spans="1:3" ht="19" x14ac:dyDescent="0.25">
      <c r="A22" s="2" t="s">
        <v>23</v>
      </c>
      <c r="B22" s="6">
        <v>0.06</v>
      </c>
      <c r="C22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23" spans="1:3" ht="19" x14ac:dyDescent="0.25">
      <c r="A23" s="2" t="s">
        <v>24</v>
      </c>
      <c r="B23" s="6">
        <v>0.44</v>
      </c>
      <c r="C23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24" spans="1:3" ht="19" x14ac:dyDescent="0.25">
      <c r="A24" s="2" t="s">
        <v>25</v>
      </c>
      <c r="B24" s="6">
        <v>-1.17</v>
      </c>
      <c r="C24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25" spans="1:3" ht="19" x14ac:dyDescent="0.25">
      <c r="A25" s="2" t="s">
        <v>26</v>
      </c>
      <c r="B25" s="6">
        <v>-0.69</v>
      </c>
      <c r="C25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26" spans="1:3" ht="19" x14ac:dyDescent="0.25">
      <c r="A26" s="2" t="s">
        <v>27</v>
      </c>
      <c r="B26" s="6">
        <v>-1</v>
      </c>
      <c r="C26" s="2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0.8</v>
      </c>
    </row>
    <row r="27" spans="1:3" ht="19" x14ac:dyDescent="0.25">
      <c r="A27" s="2" t="s">
        <v>28</v>
      </c>
      <c r="B27" s="7">
        <v>0.9</v>
      </c>
      <c r="C27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28" spans="1:3" ht="19" x14ac:dyDescent="0.25">
      <c r="A28" s="8" t="s">
        <v>29</v>
      </c>
      <c r="B28" s="7">
        <v>1.6</v>
      </c>
      <c r="C28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29" spans="1:3" ht="19" x14ac:dyDescent="0.25">
      <c r="A29" s="2" t="s">
        <v>30</v>
      </c>
      <c r="B29" s="7">
        <v>2.2000000000000002</v>
      </c>
      <c r="C29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1</v>
      </c>
    </row>
    <row r="30" spans="1:3" ht="19" x14ac:dyDescent="0.25">
      <c r="A30" s="8" t="s">
        <v>31</v>
      </c>
      <c r="B30" s="7">
        <v>3.5</v>
      </c>
      <c r="C30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1</v>
      </c>
    </row>
    <row r="31" spans="1:3" ht="19" x14ac:dyDescent="0.25">
      <c r="A31" s="2" t="s">
        <v>32</v>
      </c>
      <c r="B31" s="7">
        <v>2.8</v>
      </c>
      <c r="C31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1</v>
      </c>
    </row>
    <row r="32" spans="1:3" ht="19" x14ac:dyDescent="0.25">
      <c r="A32" s="8" t="s">
        <v>33</v>
      </c>
      <c r="B32" s="7">
        <v>0</v>
      </c>
      <c r="C32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33" spans="1:3" ht="19" x14ac:dyDescent="0.25">
      <c r="A33" s="2" t="s">
        <v>34</v>
      </c>
      <c r="B33" s="7">
        <v>0.3</v>
      </c>
      <c r="C33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34" spans="1:3" ht="19" x14ac:dyDescent="0.25">
      <c r="A34" s="8" t="s">
        <v>35</v>
      </c>
      <c r="B34" s="7">
        <v>1</v>
      </c>
      <c r="C34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35" spans="1:3" ht="19" x14ac:dyDescent="0.25">
      <c r="A35" s="2" t="s">
        <v>36</v>
      </c>
      <c r="B35" s="7">
        <v>2.2000000000000002</v>
      </c>
      <c r="C35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1</v>
      </c>
    </row>
    <row r="36" spans="1:3" ht="19" x14ac:dyDescent="0.25">
      <c r="A36" s="8" t="s">
        <v>37</v>
      </c>
      <c r="B36" s="7">
        <v>0.2</v>
      </c>
      <c r="C36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37" spans="1:3" ht="19" x14ac:dyDescent="0.25">
      <c r="A37" s="2" t="s">
        <v>38</v>
      </c>
      <c r="B37" s="7">
        <v>1.3</v>
      </c>
      <c r="C37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38" spans="1:3" ht="19" x14ac:dyDescent="0.25">
      <c r="A38" s="8" t="s">
        <v>39</v>
      </c>
      <c r="B38" s="7">
        <v>0.3</v>
      </c>
      <c r="C38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39" spans="1:3" ht="19" x14ac:dyDescent="0.25">
      <c r="A39" s="2" t="s">
        <v>40</v>
      </c>
      <c r="B39" s="7">
        <v>4.5999999999999996</v>
      </c>
      <c r="C39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1.1000000000000001</v>
      </c>
    </row>
    <row r="40" spans="1:3" ht="19" x14ac:dyDescent="0.25">
      <c r="A40" s="8" t="s">
        <v>41</v>
      </c>
      <c r="B40" s="7">
        <v>1.5</v>
      </c>
      <c r="C40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41" spans="1:3" ht="19" x14ac:dyDescent="0.25">
      <c r="A41" s="2" t="s">
        <v>42</v>
      </c>
      <c r="B41" s="7">
        <v>2.5</v>
      </c>
      <c r="C41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1</v>
      </c>
    </row>
    <row r="42" spans="1:3" ht="19" x14ac:dyDescent="0.25">
      <c r="A42" s="8" t="s">
        <v>43</v>
      </c>
      <c r="B42" s="7">
        <v>2.4</v>
      </c>
      <c r="C42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1</v>
      </c>
    </row>
    <row r="43" spans="1:3" ht="19" x14ac:dyDescent="0.25">
      <c r="A43" s="2" t="s">
        <v>44</v>
      </c>
      <c r="B43" s="7">
        <v>1.8</v>
      </c>
      <c r="C43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44" spans="1:3" ht="19" x14ac:dyDescent="0.25">
      <c r="A44" s="8" t="s">
        <v>45</v>
      </c>
      <c r="B44" s="7">
        <v>0.1</v>
      </c>
      <c r="C44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45" spans="1:3" ht="19" x14ac:dyDescent="0.25">
      <c r="A45" s="2" t="s">
        <v>46</v>
      </c>
      <c r="B45" s="7">
        <v>1.8</v>
      </c>
      <c r="C45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46" spans="1:3" ht="19" x14ac:dyDescent="0.25">
      <c r="A46" s="8" t="s">
        <v>47</v>
      </c>
      <c r="B46" s="7">
        <v>0.3</v>
      </c>
      <c r="C46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47" spans="1:3" ht="19" x14ac:dyDescent="0.25">
      <c r="A47" s="2" t="s">
        <v>48</v>
      </c>
      <c r="B47" s="7">
        <v>0.6</v>
      </c>
      <c r="C47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48" spans="1:3" ht="19" x14ac:dyDescent="0.25">
      <c r="A48" s="8" t="s">
        <v>49</v>
      </c>
      <c r="B48" s="7">
        <v>0.8</v>
      </c>
      <c r="C48" s="3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  <row r="49" spans="1:3" ht="19" x14ac:dyDescent="0.25">
      <c r="A49" s="4" t="s">
        <v>50</v>
      </c>
      <c r="B49" s="7">
        <v>0.4</v>
      </c>
      <c r="C49" s="5">
        <f xml:space="preserve"> IF(Tabella1[[#This Row],[Net Debt/EBITDA 2024]]&lt;0, 0.8,IF(Tabella1[[#This Row],[Net Debt/EBITDA 2024]]&lt;2, 0.9, IF(Tabella1[[#This Row],[Net Debt/EBITDA 2024]] &lt; 4, 1,IF(Tabella1[[#This Row],[Net Debt/EBITDA 2024]]&lt;6,1.1,1.2))))</f>
        <v>0.9</v>
      </c>
    </row>
  </sheetData>
  <conditionalFormatting sqref="C2:C49">
    <cfRule type="colorScale" priority="1">
      <colorScale>
        <cfvo type="min"/>
        <cfvo type="percentile" val="50"/>
        <cfvo type="max"/>
        <color rgb="FF00B050"/>
        <color theme="0"/>
        <color rgb="FFFF8F95"/>
      </colorScale>
    </cfRule>
  </conditionalFormatting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6DC0FFDEFA864DA147FFDEA823F2EE" ma:contentTypeVersion="3" ma:contentTypeDescription="Creare un nuovo documento." ma:contentTypeScope="" ma:versionID="efa000e167d9ce5db8cd2eb5b6f87cd4">
  <xsd:schema xmlns:xsd="http://www.w3.org/2001/XMLSchema" xmlns:xs="http://www.w3.org/2001/XMLSchema" xmlns:p="http://schemas.microsoft.com/office/2006/metadata/properties" xmlns:ns2="c41a64fd-65ba-4a6e-8004-8ade4c8fdb39" targetNamespace="http://schemas.microsoft.com/office/2006/metadata/properties" ma:root="true" ma:fieldsID="1f94584ddf2c7798ba84aeef6e679263" ns2:_="">
    <xsd:import namespace="c41a64fd-65ba-4a6e-8004-8ade4c8fd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a64fd-65ba-4a6e-8004-8ade4c8fd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E50425-CE3F-4044-94E1-4363C82699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5F6982-0AB8-4F18-B8A2-A0502C83FF9D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c41a64fd-65ba-4a6e-8004-8ade4c8fdb39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14E50ED-5E40-4117-8E72-7B12F1FBE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a64fd-65ba-4a6e-8004-8ade4c8fd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Financial Exposure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VALERIO PARIGI</cp:lastModifiedBy>
  <cp:revision/>
  <dcterms:created xsi:type="dcterms:W3CDTF">2026-04-01T07:59:16Z</dcterms:created>
  <dcterms:modified xsi:type="dcterms:W3CDTF">2026-04-25T10:57:02Z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0x010100086DC0FFDEFA864DA147FFDEA823F2EE</vt:lpwstr>
  </property>
</Properties>
</file>