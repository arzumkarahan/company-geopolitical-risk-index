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/>
  <mc:AlternateContent xmlns:mc="http://schemas.openxmlformats.org/markup-compatibility/2006">
    <mc:Choice Requires="x15">
      <x15ac:absPath xmlns:x15ac="http://schemas.microsoft.com/office/spreadsheetml/2010/11/ac" url="https://bocconi.sharepoint.com/sites/Geopolitics-DataGroup1/Documenti condivisi/General/Final Dataset - CGPR/"/>
    </mc:Choice>
  </mc:AlternateContent>
  <xr:revisionPtr revIDLastSave="0" documentId="13_ncr:1_{66C91DB5-5FA0-1644-B9FC-DA994EA1695C}" xr6:coauthVersionLast="47" xr6:coauthVersionMax="47" xr10:uidLastSave="{00000000-0000-0000-0000-000000000000}"/>
  <bookViews>
    <workbookView xWindow="0" yWindow="600" windowWidth="28800" windowHeight="16120" xr2:uid="{00000000-000D-0000-FFFF-FFFF00000000}"/>
  </bookViews>
  <sheets>
    <sheet name="Financial Exposure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" i="1" l="1"/>
  <c r="C2" i="1"/>
  <c r="C3" i="1"/>
  <c r="C4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</calcChain>
</file>

<file path=xl/sharedStrings.xml><?xml version="1.0" encoding="utf-8"?>
<sst xmlns="http://schemas.openxmlformats.org/spreadsheetml/2006/main" count="28" uniqueCount="28">
  <si>
    <t>Company</t>
  </si>
  <si>
    <t>Net Debt/EBITDA 2024</t>
  </si>
  <si>
    <t>Financial Exposure - Multiplier</t>
  </si>
  <si>
    <t>Allianz</t>
  </si>
  <si>
    <t>Amazon</t>
  </si>
  <si>
    <t>Apple</t>
  </si>
  <si>
    <t>ASML</t>
  </si>
  <si>
    <t>BNP Paribas</t>
  </si>
  <si>
    <t>Eli Lilly</t>
  </si>
  <si>
    <t>ENI</t>
  </si>
  <si>
    <t>Ford</t>
  </si>
  <si>
    <t>JP Morgan</t>
  </si>
  <si>
    <t>L'Oreal</t>
  </si>
  <si>
    <t>LVMH</t>
  </si>
  <si>
    <t>META</t>
  </si>
  <si>
    <t>Microsoft</t>
  </si>
  <si>
    <t>Novo Nordisk</t>
  </si>
  <si>
    <t>NVIDIA</t>
  </si>
  <si>
    <t>P&amp;G</t>
  </si>
  <si>
    <t>Reliance Industries</t>
  </si>
  <si>
    <t>Samsung</t>
  </si>
  <si>
    <t>SAP</t>
  </si>
  <si>
    <t>Sony</t>
  </si>
  <si>
    <t>Tencent</t>
  </si>
  <si>
    <t>TotalEnergies</t>
  </si>
  <si>
    <t>Toyota</t>
  </si>
  <si>
    <t>TSMC</t>
  </si>
  <si>
    <t>Volkswagen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</si>
</sst>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4"/>
      <color theme="1"/>
      <name val="Aptos Narrow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1" fillId="0" borderId="1" xfId="0" applyFont="1" applyBorder="1"/>
  </cellXfs>
  <cellStyles count="1">
    <cellStyle name="Normale" xfId="0" builtinId="0"/>
  </cellStyles>
  <dxfs count="5">
    <dxf>
      <font>
        <strike val="0"/>
        <outline val="0"/>
        <shadow val="0"/>
        <u val="none"/>
        <vertAlign val="baseline"/>
        <sz val="14"/>
        <color theme="1"/>
        <name val="Aptos Narrow"/>
        <scheme val="none"/>
      </font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ptos Narrow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ptos Narrow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ptos Narrow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scheme val="none"/>
      </font>
    </dxf>
  </dxfs>
  <tableStyles count="0" defaultTableStyle="TableStyleMedium9" defaultPivotStyle="PivotStyleLight16"/>
  <colors>
    <mruColors>
      <color rgb="FFFF8F9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72B53DE-EEB5-614E-80EB-EE4E321B6086}" name="Tabella1" displayName="Tabella1" ref="A1:C26" totalsRowShown="0" headerRowDxfId="4" dataDxfId="3">
  <autoFilter ref="A1:C26" xr:uid="{972B53DE-EEB5-614E-80EB-EE4E321B6086}"/>
  <sortState xmlns:xlrd2="http://schemas.microsoft.com/office/spreadsheetml/2017/richdata2" ref="A2:B26">
    <sortCondition ref="A1:A26"/>
  </sortState>
  <tableColumns count="3">
    <tableColumn id="1" xr3:uid="{A737B249-4BB7-3843-8591-B8CBE2EE111B}" name="Company" dataDxfId="2"/>
    <tableColumn id="2" xr3:uid="{85548CF2-8672-E24C-998E-BFAE291A91B1}" name="Net Debt/EBITDA 2024" dataDxfId="1"/>
    <tableColumn id="3" xr3:uid="{B9B40A37-3F4D-1446-92C3-D5C502D24C60}" name="Financial Exposure - Multiplier" dataDxfId="0">
      <calculatedColumnFormula xml:space="preserve"> IF(Tabella1[[#This Row],[Net Debt/EBITDA 2024]]&lt;0, 0.8,IF(Tabella1[[#This Row],[Net Debt/EBITDA 2024]]&lt;2, 0.9, IF(Tabella1[[#This Row],[Net Debt/EBITDA 2024]] &lt; 4, 1,IF(Tabella1[[#This Row],[Net Debt/EBITDA 2024]]&lt;6,1.1,1.2))))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6"/>
  <sheetViews>
    <sheetView tabSelected="1" workbookViewId="0">
      <selection activeCell="C2" sqref="C2"/>
    </sheetView>
  </sheetViews>
  <sheetFormatPr baseColWidth="10" defaultColWidth="18" defaultRowHeight="15" x14ac:dyDescent="0.2"/>
  <cols>
    <col min="1" max="1" width="19" bestFit="1" customWidth="1"/>
    <col min="2" max="2" width="25.33203125" bestFit="1" customWidth="1"/>
    <col min="3" max="3" width="33.33203125" bestFit="1" customWidth="1"/>
  </cols>
  <sheetData>
    <row r="1" spans="1:3" ht="19" x14ac:dyDescent="0.25">
      <c r="A1" s="1" t="s">
        <v>0</v>
      </c>
      <c r="B1" s="1" t="s">
        <v>1</v>
      </c>
      <c r="C1" s="1" t="s">
        <v>2</v>
      </c>
    </row>
    <row r="2" spans="1:3" ht="19" x14ac:dyDescent="0.25">
      <c r="A2" s="2" t="s">
        <v>3</v>
      </c>
      <c r="B2" s="2">
        <v>1.45</v>
      </c>
      <c r="C2" s="2">
        <f xml:space="preserve"> IF(Tabella1[[#This Row],[Net Debt/EBITDA 2024]]&lt;0, 0.8,IF(Tabella1[[#This Row],[Net Debt/EBITDA 2024]]&lt;2, 0.9, IF(Tabella1[[#This Row],[Net Debt/EBITDA 2024]] &lt; 4, 1,IF(Tabella1[[#This Row],[Net Debt/EBITDA 2024]]&lt;6,1.1,1.2))))</f>
        <v>0.9</v>
      </c>
    </row>
    <row r="3" spans="1:3" ht="19" x14ac:dyDescent="0.25">
      <c r="A3" s="2" t="s">
        <v>4</v>
      </c>
      <c r="B3" s="2">
        <v>0.35</v>
      </c>
      <c r="C3" s="2">
        <f xml:space="preserve"> IF(Tabella1[[#This Row],[Net Debt/EBITDA 2024]]&lt;0, 0.8,IF(Tabella1[[#This Row],[Net Debt/EBITDA 2024]]&lt;2, 0.9, IF(Tabella1[[#This Row],[Net Debt/EBITDA 2024]] &lt; 4, 1,IF(Tabella1[[#This Row],[Net Debt/EBITDA 2024]]&lt;6,1.1,1.2))))</f>
        <v>0.9</v>
      </c>
    </row>
    <row r="4" spans="1:3" ht="19" x14ac:dyDescent="0.25">
      <c r="A4" s="2" t="s">
        <v>5</v>
      </c>
      <c r="B4" s="2">
        <v>-0.35</v>
      </c>
      <c r="C4" s="2">
        <f xml:space="preserve"> IF(Tabella1[[#This Row],[Net Debt/EBITDA 2024]]&lt;0, 0.8,IF(Tabella1[[#This Row],[Net Debt/EBITDA 2024]]&lt;2, 0.9, IF(Tabella1[[#This Row],[Net Debt/EBITDA 2024]] &lt; 4, 1,IF(Tabella1[[#This Row],[Net Debt/EBITDA 2024]]&lt;6,1.1,1.2))))</f>
        <v>0.8</v>
      </c>
    </row>
    <row r="5" spans="1:3" ht="19" x14ac:dyDescent="0.25">
      <c r="A5" s="2" t="s">
        <v>6</v>
      </c>
      <c r="B5" s="2">
        <v>-0.72</v>
      </c>
      <c r="C5" s="2">
        <f xml:space="preserve"> IF(Tabella1[[#This Row],[Net Debt/EBITDA 2024]]&lt;0, 0.8,IF(Tabella1[[#This Row],[Net Debt/EBITDA 2024]]&lt;2, 0.9, IF(Tabella1[[#This Row],[Net Debt/EBITDA 2024]] &lt; 4, 1,IF(Tabella1[[#This Row],[Net Debt/EBITDA 2024]]&lt;6,1.1,1.2))))</f>
        <v>0.8</v>
      </c>
    </row>
    <row r="6" spans="1:3" ht="19" x14ac:dyDescent="0.25">
      <c r="A6" s="2" t="s">
        <v>7</v>
      </c>
      <c r="B6" s="2">
        <v>5.0999999999999996</v>
      </c>
      <c r="C6" s="2">
        <f xml:space="preserve"> IF(Tabella1[[#This Row],[Net Debt/EBITDA 2024]]&lt;0, 0.8,IF(Tabella1[[#This Row],[Net Debt/EBITDA 2024]]&lt;2, 0.9, IF(Tabella1[[#This Row],[Net Debt/EBITDA 2024]] &lt; 4, 1,IF(Tabella1[[#This Row],[Net Debt/EBITDA 2024]]&lt;6,1.1,1.2))))</f>
        <v>1.1000000000000001</v>
      </c>
    </row>
    <row r="7" spans="1:3" ht="19" x14ac:dyDescent="0.25">
      <c r="A7" s="2" t="s">
        <v>8</v>
      </c>
      <c r="B7" s="2">
        <v>2.15</v>
      </c>
      <c r="C7" s="2">
        <f xml:space="preserve"> IF(Tabella1[[#This Row],[Net Debt/EBITDA 2024]]&lt;0, 0.8,IF(Tabella1[[#This Row],[Net Debt/EBITDA 2024]]&lt;2, 0.9, IF(Tabella1[[#This Row],[Net Debt/EBITDA 2024]] &lt; 4, 1,IF(Tabella1[[#This Row],[Net Debt/EBITDA 2024]]&lt;6,1.1,1.2))))</f>
        <v>1</v>
      </c>
    </row>
    <row r="8" spans="1:3" ht="19" x14ac:dyDescent="0.25">
      <c r="A8" s="2" t="s">
        <v>9</v>
      </c>
      <c r="B8" s="2">
        <v>1.69</v>
      </c>
      <c r="C8" s="2">
        <f xml:space="preserve"> IF(Tabella1[[#This Row],[Net Debt/EBITDA 2024]]&lt;0, 0.8,IF(Tabella1[[#This Row],[Net Debt/EBITDA 2024]]&lt;2, 0.9, IF(Tabella1[[#This Row],[Net Debt/EBITDA 2024]] &lt; 4, 1,IF(Tabella1[[#This Row],[Net Debt/EBITDA 2024]]&lt;6,1.1,1.2))))</f>
        <v>0.9</v>
      </c>
    </row>
    <row r="9" spans="1:3" ht="19" x14ac:dyDescent="0.25">
      <c r="A9" s="2" t="s">
        <v>10</v>
      </c>
      <c r="B9" s="2">
        <v>-0.57999999999999996</v>
      </c>
      <c r="C9" s="2">
        <f xml:space="preserve"> IF(Tabella1[[#This Row],[Net Debt/EBITDA 2024]]&lt;0, 0.8,IF(Tabella1[[#This Row],[Net Debt/EBITDA 2024]]&lt;2, 0.9, IF(Tabella1[[#This Row],[Net Debt/EBITDA 2024]] &lt; 4, 1,IF(Tabella1[[#This Row],[Net Debt/EBITDA 2024]]&lt;6,1.1,1.2))))</f>
        <v>0.8</v>
      </c>
    </row>
    <row r="10" spans="1:3" ht="19" x14ac:dyDescent="0.25">
      <c r="A10" s="2" t="s">
        <v>11</v>
      </c>
      <c r="B10" s="2">
        <v>-0.56999999999999995</v>
      </c>
      <c r="C10" s="2">
        <f xml:space="preserve"> IF(Tabella1[[#This Row],[Net Debt/EBITDA 2024]]&lt;0, 0.8,IF(Tabella1[[#This Row],[Net Debt/EBITDA 2024]]&lt;2, 0.9, IF(Tabella1[[#This Row],[Net Debt/EBITDA 2024]] &lt; 4, 1,IF(Tabella1[[#This Row],[Net Debt/EBITDA 2024]]&lt;6,1.1,1.2))))</f>
        <v>0.8</v>
      </c>
    </row>
    <row r="11" spans="1:3" ht="19" x14ac:dyDescent="0.25">
      <c r="A11" s="2" t="s">
        <v>12</v>
      </c>
      <c r="B11" s="2">
        <v>0.44</v>
      </c>
      <c r="C11" s="2">
        <f xml:space="preserve"> IF(Tabella1[[#This Row],[Net Debt/EBITDA 2024]]&lt;0, 0.8,IF(Tabella1[[#This Row],[Net Debt/EBITDA 2024]]&lt;2, 0.9, IF(Tabella1[[#This Row],[Net Debt/EBITDA 2024]] &lt; 4, 1,IF(Tabella1[[#This Row],[Net Debt/EBITDA 2024]]&lt;6,1.1,1.2))))</f>
        <v>0.9</v>
      </c>
    </row>
    <row r="12" spans="1:3" ht="19" x14ac:dyDescent="0.25">
      <c r="A12" s="2" t="s">
        <v>13</v>
      </c>
      <c r="B12" s="2">
        <v>1.02</v>
      </c>
      <c r="C12" s="2">
        <f xml:space="preserve"> IF(Tabella1[[#This Row],[Net Debt/EBITDA 2024]]&lt;0, 0.8,IF(Tabella1[[#This Row],[Net Debt/EBITDA 2024]]&lt;2, 0.9, IF(Tabella1[[#This Row],[Net Debt/EBITDA 2024]] &lt; 4, 1,IF(Tabella1[[#This Row],[Net Debt/EBITDA 2024]]&lt;6,1.1,1.2))))</f>
        <v>0.9</v>
      </c>
    </row>
    <row r="13" spans="1:3" ht="19" x14ac:dyDescent="0.25">
      <c r="A13" s="2" t="s">
        <v>14</v>
      </c>
      <c r="B13" s="2">
        <v>-0.32</v>
      </c>
      <c r="C13" s="2">
        <f xml:space="preserve"> IF(Tabella1[[#This Row],[Net Debt/EBITDA 2024]]&lt;0, 0.8,IF(Tabella1[[#This Row],[Net Debt/EBITDA 2024]]&lt;2, 0.9, IF(Tabella1[[#This Row],[Net Debt/EBITDA 2024]] &lt; 4, 1,IF(Tabella1[[#This Row],[Net Debt/EBITDA 2024]]&lt;6,1.1,1.2))))</f>
        <v>0.8</v>
      </c>
    </row>
    <row r="14" spans="1:3" ht="19" x14ac:dyDescent="0.25">
      <c r="A14" s="2" t="s">
        <v>15</v>
      </c>
      <c r="B14" s="2">
        <v>0.16</v>
      </c>
      <c r="C14" s="2">
        <f xml:space="preserve"> IF(Tabella1[[#This Row],[Net Debt/EBITDA 2024]]&lt;0, 0.8,IF(Tabella1[[#This Row],[Net Debt/EBITDA 2024]]&lt;2, 0.9, IF(Tabella1[[#This Row],[Net Debt/EBITDA 2024]] &lt; 4, 1,IF(Tabella1[[#This Row],[Net Debt/EBITDA 2024]]&lt;6,1.1,1.2))))</f>
        <v>0.9</v>
      </c>
    </row>
    <row r="15" spans="1:3" ht="19" x14ac:dyDescent="0.25">
      <c r="A15" s="2" t="s">
        <v>16</v>
      </c>
      <c r="B15" s="2">
        <v>0.52</v>
      </c>
      <c r="C15" s="2">
        <f xml:space="preserve"> IF(Tabella1[[#This Row],[Net Debt/EBITDA 2024]]&lt;0, 0.8,IF(Tabella1[[#This Row],[Net Debt/EBITDA 2024]]&lt;2, 0.9, IF(Tabella1[[#This Row],[Net Debt/EBITDA 2024]] &lt; 4, 1,IF(Tabella1[[#This Row],[Net Debt/EBITDA 2024]]&lt;6,1.1,1.2))))</f>
        <v>0.9</v>
      </c>
    </row>
    <row r="16" spans="1:3" ht="19" x14ac:dyDescent="0.25">
      <c r="A16" s="2" t="s">
        <v>17</v>
      </c>
      <c r="B16" s="2">
        <v>-0.39</v>
      </c>
      <c r="C16" s="2">
        <f xml:space="preserve"> IF(Tabella1[[#This Row],[Net Debt/EBITDA 2024]]&lt;0, 0.8,IF(Tabella1[[#This Row],[Net Debt/EBITDA 2024]]&lt;2, 0.9, IF(Tabella1[[#This Row],[Net Debt/EBITDA 2024]] &lt; 4, 1,IF(Tabella1[[#This Row],[Net Debt/EBITDA 2024]]&lt;6,1.1,1.2))))</f>
        <v>0.8</v>
      </c>
    </row>
    <row r="17" spans="1:3" ht="19" x14ac:dyDescent="0.25">
      <c r="A17" s="2" t="s">
        <v>18</v>
      </c>
      <c r="B17" s="2">
        <v>1.1000000000000001</v>
      </c>
      <c r="C17" s="2">
        <f xml:space="preserve"> IF(Tabella1[[#This Row],[Net Debt/EBITDA 2024]]&lt;0, 0.8,IF(Tabella1[[#This Row],[Net Debt/EBITDA 2024]]&lt;2, 0.9, IF(Tabella1[[#This Row],[Net Debt/EBITDA 2024]] &lt; 4, 1,IF(Tabella1[[#This Row],[Net Debt/EBITDA 2024]]&lt;6,1.1,1.2))))</f>
        <v>0.9</v>
      </c>
    </row>
    <row r="18" spans="1:3" ht="19" x14ac:dyDescent="0.25">
      <c r="A18" s="2" t="s">
        <v>19</v>
      </c>
      <c r="B18" s="2">
        <v>0.87</v>
      </c>
      <c r="C18" s="2">
        <f xml:space="preserve"> IF(Tabella1[[#This Row],[Net Debt/EBITDA 2024]]&lt;0, 0.8,IF(Tabella1[[#This Row],[Net Debt/EBITDA 2024]]&lt;2, 0.9, IF(Tabella1[[#This Row],[Net Debt/EBITDA 2024]] &lt; 4, 1,IF(Tabella1[[#This Row],[Net Debt/EBITDA 2024]]&lt;6,1.1,1.2))))</f>
        <v>0.9</v>
      </c>
    </row>
    <row r="19" spans="1:3" ht="19" x14ac:dyDescent="0.25">
      <c r="A19" s="2" t="s">
        <v>20</v>
      </c>
      <c r="B19" s="2">
        <v>-1.24</v>
      </c>
      <c r="C19" s="2">
        <f xml:space="preserve"> IF(Tabella1[[#This Row],[Net Debt/EBITDA 2024]]&lt;0, 0.8,IF(Tabella1[[#This Row],[Net Debt/EBITDA 2024]]&lt;2, 0.9, IF(Tabella1[[#This Row],[Net Debt/EBITDA 2024]] &lt; 4, 1,IF(Tabella1[[#This Row],[Net Debt/EBITDA 2024]]&lt;6,1.1,1.2))))</f>
        <v>0.8</v>
      </c>
    </row>
    <row r="20" spans="1:3" ht="19" x14ac:dyDescent="0.25">
      <c r="A20" s="2" t="s">
        <v>21</v>
      </c>
      <c r="B20" s="2">
        <v>-0.02</v>
      </c>
      <c r="C20" s="2">
        <f xml:space="preserve"> IF(Tabella1[[#This Row],[Net Debt/EBITDA 2024]]&lt;0, 0.8,IF(Tabella1[[#This Row],[Net Debt/EBITDA 2024]]&lt;2, 0.9, IF(Tabella1[[#This Row],[Net Debt/EBITDA 2024]] &lt; 4, 1,IF(Tabella1[[#This Row],[Net Debt/EBITDA 2024]]&lt;6,1.1,1.2))))</f>
        <v>0.8</v>
      </c>
    </row>
    <row r="21" spans="1:3" ht="19" x14ac:dyDescent="0.25">
      <c r="A21" s="2" t="s">
        <v>22</v>
      </c>
      <c r="B21" s="2">
        <v>0.76</v>
      </c>
      <c r="C21" s="2">
        <f xml:space="preserve"> IF(Tabella1[[#This Row],[Net Debt/EBITDA 2024]]&lt;0, 0.8,IF(Tabella1[[#This Row],[Net Debt/EBITDA 2024]]&lt;2, 0.9, IF(Tabella1[[#This Row],[Net Debt/EBITDA 2024]] &lt; 4, 1,IF(Tabella1[[#This Row],[Net Debt/EBITDA 2024]]&lt;6,1.1,1.2))))</f>
        <v>0.9</v>
      </c>
    </row>
    <row r="22" spans="1:3" ht="19" x14ac:dyDescent="0.25">
      <c r="A22" s="2" t="s">
        <v>23</v>
      </c>
      <c r="B22" s="2">
        <v>0.06</v>
      </c>
      <c r="C22" s="2">
        <f xml:space="preserve"> IF(Tabella1[[#This Row],[Net Debt/EBITDA 2024]]&lt;0, 0.8,IF(Tabella1[[#This Row],[Net Debt/EBITDA 2024]]&lt;2, 0.9, IF(Tabella1[[#This Row],[Net Debt/EBITDA 2024]] &lt; 4, 1,IF(Tabella1[[#This Row],[Net Debt/EBITDA 2024]]&lt;6,1.1,1.2))))</f>
        <v>0.9</v>
      </c>
    </row>
    <row r="23" spans="1:3" ht="19" x14ac:dyDescent="0.25">
      <c r="A23" s="2" t="s">
        <v>24</v>
      </c>
      <c r="B23" s="2">
        <v>0.44</v>
      </c>
      <c r="C23" s="2">
        <f xml:space="preserve"> IF(Tabella1[[#This Row],[Net Debt/EBITDA 2024]]&lt;0, 0.8,IF(Tabella1[[#This Row],[Net Debt/EBITDA 2024]]&lt;2, 0.9, IF(Tabella1[[#This Row],[Net Debt/EBITDA 2024]] &lt; 4, 1,IF(Tabella1[[#This Row],[Net Debt/EBITDA 2024]]&lt;6,1.1,1.2))))</f>
        <v>0.9</v>
      </c>
    </row>
    <row r="24" spans="1:3" ht="19" x14ac:dyDescent="0.25">
      <c r="A24" s="2" t="s">
        <v>25</v>
      </c>
      <c r="B24" s="2">
        <v>-1.17</v>
      </c>
      <c r="C24" s="2">
        <f xml:space="preserve"> IF(Tabella1[[#This Row],[Net Debt/EBITDA 2024]]&lt;0, 0.8,IF(Tabella1[[#This Row],[Net Debt/EBITDA 2024]]&lt;2, 0.9, IF(Tabella1[[#This Row],[Net Debt/EBITDA 2024]] &lt; 4, 1,IF(Tabella1[[#This Row],[Net Debt/EBITDA 2024]]&lt;6,1.1,1.2))))</f>
        <v>0.8</v>
      </c>
    </row>
    <row r="25" spans="1:3" ht="19" x14ac:dyDescent="0.25">
      <c r="A25" s="2" t="s">
        <v>26</v>
      </c>
      <c r="B25" s="2">
        <v>-0.69</v>
      </c>
      <c r="C25" s="2">
        <f xml:space="preserve"> IF(Tabella1[[#This Row],[Net Debt/EBITDA 2024]]&lt;0, 0.8,IF(Tabella1[[#This Row],[Net Debt/EBITDA 2024]]&lt;2, 0.9, IF(Tabella1[[#This Row],[Net Debt/EBITDA 2024]] &lt; 4, 1,IF(Tabella1[[#This Row],[Net Debt/EBITDA 2024]]&lt;6,1.1,1.2))))</f>
        <v>0.8</v>
      </c>
    </row>
    <row r="26" spans="1:3" ht="19" x14ac:dyDescent="0.25">
      <c r="A26" s="2" t="s">
        <v>27</v>
      </c>
      <c r="B26" s="2">
        <v>-1</v>
      </c>
      <c r="C26" s="2">
        <f xml:space="preserve"> IF(Tabella1[[#This Row],[Net Debt/EBITDA 2024]]&lt;0, 0.8,IF(Tabella1[[#This Row],[Net Debt/EBITDA 2024]]&lt;2, 0.9, IF(Tabella1[[#This Row],[Net Debt/EBITDA 2024]] &lt; 4, 1,IF(Tabella1[[#This Row],[Net Debt/EBITDA 2024]]&lt;6,1.1,1.2))))</f>
        <v>0.8</v>
      </c>
    </row>
  </sheetData>
  <conditionalFormatting sqref="C2:C26">
    <cfRule type="colorScale" priority="1">
      <colorScale>
        <cfvo type="min"/>
        <cfvo type="percentile" val="50"/>
        <cfvo type="max"/>
        <color rgb="FF00B050"/>
        <color theme="0"/>
        <color rgb="FFFF8F95"/>
      </colorScale>
    </cfRule>
  </conditionalFormatting>
  <pageMargins left="0.75" right="0.75" top="1" bottom="1" header="0.5" footer="0.5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86DC0FFDEFA864DA147FFDEA823F2EE" ma:contentTypeVersion="3" ma:contentTypeDescription="Creare un nuovo documento." ma:contentTypeScope="" ma:versionID="efa000e167d9ce5db8cd2eb5b6f87cd4">
  <xsd:schema xmlns:xsd="http://www.w3.org/2001/XMLSchema" xmlns:xs="http://www.w3.org/2001/XMLSchema" xmlns:p="http://schemas.microsoft.com/office/2006/metadata/properties" xmlns:ns2="c41a64fd-65ba-4a6e-8004-8ade4c8fdb39" targetNamespace="http://schemas.microsoft.com/office/2006/metadata/properties" ma:root="true" ma:fieldsID="1f94584ddf2c7798ba84aeef6e679263" ns2:_="">
    <xsd:import namespace="c41a64fd-65ba-4a6e-8004-8ade4c8fdb3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1a64fd-65ba-4a6e-8004-8ade4c8fdb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14E50ED-5E40-4117-8E72-7B12F1FBEE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41a64fd-65ba-4a6e-8004-8ade4c8fdb3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65F6982-0AB8-4F18-B8A2-A0502C83FF9D}">
  <ds:schemaRefs>
    <ds:schemaRef ds:uri="http://www.w3.org/XML/1998/namespace"/>
    <ds:schemaRef ds:uri="http://schemas.microsoft.com/office/2006/documentManagement/types"/>
    <ds:schemaRef ds:uri="http://purl.org/dc/elements/1.1/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schemas.microsoft.com/office/infopath/2007/PartnerControls"/>
    <ds:schemaRef ds:uri="c41a64fd-65ba-4a6e-8004-8ade4c8fdb39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4FE50425-CE3F-4044-94E1-4363C82699D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Financial Exposure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VALERIO PARIGI</cp:lastModifiedBy>
  <cp:revision/>
  <dcterms:created xsi:type="dcterms:W3CDTF">2026-04-01T07:59:16Z</dcterms:created>
  <dcterms:modified xsi:type="dcterms:W3CDTF">2026-04-02T20:04:37Z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0x010100086DC0FFDEFA864DA147FFDEA823F2EE</vt:lpwstr>
  </property>
</Properties>
</file>